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comments15.xml" ContentType="application/vnd.openxmlformats-officedocument.spreadsheetml.comments+xml"/>
  <Override PartName="/xl/tables/table34.xml" ContentType="application/vnd.openxmlformats-officedocument.spreadsheetml.table+xml"/>
  <Override PartName="/xl/tables/table33.xml" ContentType="application/vnd.openxmlformats-officedocument.spreadsheetml.table+xml"/>
  <Override PartName="/xl/tables/table32.xml" ContentType="application/vnd.openxmlformats-officedocument.spreadsheetml.table+xml"/>
  <Override PartName="/xl/tables/table24.xml" ContentType="application/vnd.openxmlformats-officedocument.spreadsheetml.table+xml"/>
  <Override PartName="/xl/tables/table23.xml" ContentType="application/vnd.openxmlformats-officedocument.spreadsheetml.table+xml"/>
  <Override PartName="/xl/tables/table22.xml" ContentType="application/vnd.openxmlformats-officedocument.spreadsheetml.table+xml"/>
  <Override PartName="/xl/tables/table20.xml" ContentType="application/vnd.openxmlformats-officedocument.spreadsheetml.table+xml"/>
  <Override PartName="/xl/tables/table18.xml" ContentType="application/vnd.openxmlformats-officedocument.spreadsheetml.table+xml"/>
  <Override PartName="/xl/tables/table13.xml" ContentType="application/vnd.openxmlformats-officedocument.spreadsheetml.table+xml"/>
  <Override PartName="/xl/tables/table12.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xl/tables/table1.xml" ContentType="application/vnd.openxmlformats-officedocument.spreadsheetml.table+xml"/>
  <Override PartName="/xl/tables/table35.xml" ContentType="application/vnd.openxmlformats-officedocument.spreadsheetml.table+xml"/>
  <Override PartName="/xl/tables/table40.xml" ContentType="application/vnd.openxmlformats-officedocument.spreadsheetml.table+xml"/>
  <Override PartName="/xl/tables/table3.xml" ContentType="application/vnd.openxmlformats-officedocument.spreadsheetml.table+xml"/>
  <Override PartName="/xl/tables/table37.xml" ContentType="application/vnd.openxmlformats-officedocument.spreadsheetml.table+xml"/>
  <Override PartName="/xl/tables/table36.xml" ContentType="application/vnd.openxmlformats-officedocument.spreadsheetml.table+xml"/>
  <Override PartName="/xl/tables/table2.xml" ContentType="application/vnd.openxmlformats-officedocument.spreadsheetml.table+xml"/>
  <Override PartName="/xl/tables/table41.xml" ContentType="application/vnd.openxmlformats-officedocument.spreadsheetml.table+xml"/>
  <Override PartName="/xl/tables/table38.xml" ContentType="application/vnd.openxmlformats-officedocument.spreadsheetml.table+xml"/>
  <Override PartName="/xl/tables/table4.xml" ContentType="application/vnd.openxmlformats-officedocument.spreadsheetml.table+xml"/>
  <Override PartName="/xl/tables/table31.xml" ContentType="application/vnd.openxmlformats-officedocument.spreadsheetml.table+xml"/>
  <Override PartName="/xl/tables/table29.xml" ContentType="application/vnd.openxmlformats-officedocument.spreadsheetml.table+xml"/>
  <Override PartName="/xl/tables/table19.xml" ContentType="application/vnd.openxmlformats-officedocument.spreadsheetml.table+xml"/>
  <Override PartName="/xl/tables/table21.xml" ContentType="application/vnd.openxmlformats-officedocument.spreadsheetml.table+xml"/>
  <Override PartName="/xl/tables/table26.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27.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28.xml" ContentType="application/vnd.openxmlformats-officedocument.spreadsheetml.table+xml"/>
  <Override PartName="/xl/tables/table30.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25.xml" ContentType="application/vnd.openxmlformats-officedocument.spreadsheetml.table+xml"/>
  <Override PartName="/xl/tables/table39.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_rels/sheet4.xml.rels" ContentType="application/vnd.openxmlformats-package.relationships+xml"/>
  <Override PartName="/xl/worksheets/_rels/sheet1.xml.rels" ContentType="application/vnd.openxmlformats-package.relationships+xml"/>
  <Override PartName="/xl/worksheets/_rels/sheet28.xml.rels" ContentType="application/vnd.openxmlformats-package.relationships+xml"/>
  <Override PartName="/xl/worksheets/_rels/sheet15.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2.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23.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26.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21.xml.rels" ContentType="application/vnd.openxmlformats-package.relationships+xml"/>
  <Override PartName="/xl/worksheets/_rels/sheet3.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comments4.xml" ContentType="application/vnd.openxmlformats-officedocument.spreadsheetml.comments+xml"/>
  <Override PartName="/xl/comments2.xml" ContentType="application/vnd.openxmlformats-officedocument.spreadsheetml.comments+xml"/>
  <Override PartName="/xl/comments12.xml" ContentType="application/vnd.openxmlformats-officedocument.spreadsheetml.comments+xml"/>
  <Override PartName="/xl/drawings/vmlDrawing8.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5.xml" ContentType="application/vnd.openxmlformats-officedocument.drawing+xml"/>
  <Override PartName="/xl/drawings/vmlDrawing4.vml" ContentType="application/vnd.openxmlformats-officedocument.vmlDrawing"/>
  <Override PartName="/xl/drawings/_rels/drawing5.xml.rels" ContentType="application/vnd.openxmlformats-package.relationships+xml"/>
  <Override PartName="/xl/drawings/vmlDrawing2.vml" ContentType="application/vnd.openxmlformats-officedocument.vmlDrawing"/>
  <Override PartName="/xl/drawings/drawing3.xml" ContentType="application/vnd.openxmlformats-officedocument.drawing+xml"/>
  <Override PartName="/xl/drawings/vmlDrawing5.vml" ContentType="application/vnd.openxmlformats-officedocument.vmlDrawing"/>
  <Override PartName="/xl/drawings/vmlDrawing3.vml" ContentType="application/vnd.openxmlformats-officedocument.vmlDrawing"/>
  <Override PartName="/xl/drawings/drawing4.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comments23.xml" ContentType="application/vnd.openxmlformats-officedocument.spreadsheetml.comments+xml"/>
  <Override PartName="/xl/media/image1.png" ContentType="image/png"/>
  <Override PartName="/xl/comments17.xml" ContentType="application/vnd.openxmlformats-officedocument.spreadsheetml.comments+xml"/>
  <Override PartName="/xl/pivotCache/pivotCacheDefinition1.xml" ContentType="application/vnd.openxmlformats-officedocument.spreadsheetml.pivotCacheDefinition+xml"/>
  <Override PartName="/xl/pivotCache/pivotCacheRecords2.xml" ContentType="application/vnd.openxmlformats-officedocument.spreadsheetml.pivotCacheRecords+xml"/>
  <Override PartName="/xl/pivotCache/_rels/pivotCacheDefinition2.xml.rels" ContentType="application/vnd.openxmlformats-package.relationships+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comments13.xml" ContentType="application/vnd.openxmlformats-officedocument.spreadsheetml.comments+xml"/>
  <Override PartName="/xl/comments20.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pivotTables/_rels/pivotTable2.xml.rels" ContentType="application/vnd.openxmlformats-package.relationships+xml"/>
  <Override PartName="/xl/pivotTables/_rels/pivotTable1.xml.rels" ContentType="application/vnd.openxmlformats-package.relationships+xml"/>
  <Override PartName="/xl/pivotTables/pivotTable1.xml" ContentType="application/vnd.openxmlformats-officedocument.spreadsheetml.pivotTable+xml"/>
  <Override PartName="/xl/pivotTables/pivotTable2.xml" ContentType="application/vnd.openxmlformats-officedocument.spreadsheetml.pivotTable+xml"/>
  <Override PartName="/xl/styles.xml" ContentType="application/vnd.openxmlformats-officedocument.spreadsheetml.styles+xml"/>
  <Override PartName="/xl/externalLinks/_rels/externalLink1.xml.rels" ContentType="application/vnd.openxmlformats-package.relationships+xml"/>
  <Override PartName="/xl/externalLinks/externalLink1.xml" ContentType="application/vnd.openxmlformats-officedocument.spreadsheetml.externalLink+xml"/>
  <Override PartName="/xl/comments10.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2"/>
  </bookViews>
  <sheets>
    <sheet name="JHora" sheetId="1" state="visible" r:id="rId3"/>
    <sheet name="Basics" sheetId="2" state="visible" r:id="rId4"/>
    <sheet name="Charts" sheetId="3" state="visible" r:id="rId5"/>
    <sheet name="Sp.Nakshatra" sheetId="4" state="visible" r:id="rId6"/>
    <sheet name="Ayush" sheetId="5" state="visible" r:id="rId7"/>
    <sheet name="Shadbala" sheetId="6" state="visible" r:id="rId8"/>
    <sheet name="Vimshottari" sheetId="7" state="visible" r:id="rId9"/>
    <sheet name="Vimshottari@Date" sheetId="8" state="visible" r:id="rId10"/>
    <sheet name="Yuti Yoga" sheetId="9" state="visible" r:id="rId11"/>
    <sheet name="Udu" sheetId="10" state="visible" r:id="rId12"/>
    <sheet name="KalaChakra Dasa" sheetId="11" state="visible" r:id="rId13"/>
    <sheet name="Ashtakavarga" sheetId="12" state="visible" r:id="rId14"/>
    <sheet name="DATA" sheetId="13" state="visible" r:id="rId15"/>
    <sheet name="Tattva" sheetId="14" state="visible" r:id="rId16"/>
    <sheet name="NarayanaDasa" sheetId="15" state="visible" r:id="rId17"/>
    <sheet name="Sarvotabhadra" sheetId="16" state="visible" r:id="rId18"/>
    <sheet name="Sahamas" sheetId="17" state="visible" r:id="rId19"/>
    <sheet name="NavaTara" sheetId="18" state="visible" r:id="rId20"/>
    <sheet name="Shata Patha Chakra" sheetId="19" state="visible" r:id="rId21"/>
    <sheet name="Kalachakra" sheetId="20" state="visible" r:id="rId22"/>
    <sheet name="Lagna" sheetId="21" state="visible" r:id="rId23"/>
    <sheet name="MatchMaking" sheetId="22" state="visible" r:id="rId24"/>
    <sheet name="Murhurtha Rulers" sheetId="23" state="visible" r:id="rId25"/>
    <sheet name="Navanayaka" sheetId="24" state="visible" r:id="rId26"/>
    <sheet name="Progressions" sheetId="25" state="visible" r:id="rId27"/>
    <sheet name="WorkSheet" sheetId="26" state="visible" r:id="rId28"/>
    <sheet name="Rudra" sheetId="27" state="visible" r:id="rId29"/>
    <sheet name="PanchaPakshi" sheetId="28" state="visible" r:id="rId30"/>
    <sheet name="RashiNxPada" sheetId="29" state="visible" r:id="rId31"/>
  </sheets>
  <externalReferences>
    <externalReference r:id="rId32"/>
  </externalReferences>
  <definedNames>
    <definedName function="false" hidden="false" localSheetId="1" name="_xlnm.Print_Area" vbProcedure="false">Basics!$A$1:$AC$53</definedName>
    <definedName function="false" hidden="true" localSheetId="0" name="_xlnm._FilterDatabase" vbProcedure="false">JHora!$A$1:$C$109</definedName>
    <definedName function="false" hidden="true" localSheetId="7" name="_xlnm._FilterDatabase" vbProcedure="false">'Vimshottari@Date'!$A$10:$K$330</definedName>
    <definedName function="false" hidden="false" name="Age" vbProcedure="false">Progressions!$B$4</definedName>
    <definedName function="false" hidden="false" name="Ahargana" vbProcedure="false">DATA!$C$29</definedName>
    <definedName function="false" hidden="false" name="AharganaBase" vbProcedure="false">DATA!$B$29</definedName>
    <definedName function="false" hidden="false" name="AharganaBaseDate" vbProcedure="false">DATA!$B$29</definedName>
    <definedName function="false" hidden="false" name="AllPAV" vbProcedure="false">Ashtakavarga!$A$151:$R$262</definedName>
    <definedName function="false" hidden="false" name="antartattva" vbProcedure="false">#N/A</definedName>
    <definedName function="false" hidden="false" name="AshtottariDasa" vbProcedure="false">#N/A</definedName>
    <definedName function="false" hidden="false" name="AshtottariNaxRulers" vbProcedure="false">DATA!$K$215:$K$242</definedName>
    <definedName function="false" hidden="false" name="AshtottariNaxYears" vbProcedure="false">DATA!$L$215:$L$242</definedName>
    <definedName function="false" hidden="false" name="AshtStarDeg" vbProcedure="false">#N/A</definedName>
    <definedName function="false" hidden="false" name="Avastha" vbProcedure="false">#N/A</definedName>
    <definedName function="false" hidden="false" name="Balance1" vbProcedure="false">Vimshottari!$B$237</definedName>
    <definedName function="false" hidden="false" name="BAV" vbProcedure="false">Ashtakavarga!$B$16:$P$24</definedName>
    <definedName function="false" hidden="false" name="BhavaCusp" vbProcedure="false">sahamas!#ref!</definedName>
    <definedName function="false" hidden="false" name="BhavaInfo" vbProcedure="false">DATA!$A$31:$D$44</definedName>
    <definedName function="false" hidden="false" name="BorderDegrees" vbProcedure="false">DATA!$A$821:$B$858</definedName>
    <definedName function="false" hidden="false" name="Chart" vbProcedure="false">Basics!$A$58:$M$67</definedName>
    <definedName function="false" hidden="false" name="ChartInfo" vbProcedure="false">Basics!$A$7:$K$50</definedName>
    <definedName function="false" hidden="false" name="D150EnglishNames" vbProcedure="false">DATA!$V$215:$V$364</definedName>
    <definedName function="false" hidden="false" name="D150InequalDegrees" vbProcedure="false">DATA!$W$215:$W$364</definedName>
    <definedName function="false" hidden="false" name="D20Deities" vbProcedure="false">DATA!$B$215:$C$254</definedName>
    <definedName function="false" hidden="false" name="D24Deities" vbProcedure="false">DATA!$AF$214:$AF$226</definedName>
    <definedName function="false" hidden="false" name="D27Deities" vbProcedure="false">DATA!$D$215:$E$241</definedName>
    <definedName function="false" hidden="false" name="D60Dieties" vbProcedure="false">DATA!$X$214:$AA$274</definedName>
    <definedName function="false" hidden="false" name="DasaSpans" vbProcedure="false">Udu!$C$30:$AW$58</definedName>
    <definedName function="false" hidden="false" name="DasaYears" vbProcedure="false">Vimshottari!$A$2:$C$10</definedName>
    <definedName function="false" hidden="false" name="Date" vbProcedure="false">Basics!$G$2</definedName>
    <definedName function="false" hidden="false" name="DayBirth" vbProcedure="false">Basics!$B$53</definedName>
    <definedName function="false" hidden="false" name="DaysInYear" vbProcedure="false">Basics!$B$3</definedName>
    <definedName function="false" hidden="false" name="DinaMaana" vbProcedure="false">Basics!$D$48</definedName>
    <definedName function="false" hidden="false" name="DivCharts" vbProcedure="false">NarayanaDasa!$A$18:$Q$30</definedName>
    <definedName function="false" hidden="false" name="DoB" vbProcedure="false">Basics!$E$2</definedName>
    <definedName function="false" hidden="false" name="DTattvaUnit" vbProcedure="false">Tattva!$I$5</definedName>
    <definedName function="false" hidden="false" name="Excel_BuiltIn__FilterDatabase_11" vbProcedure="false">Basics!$A$50:$IU$50</definedName>
    <definedName function="false" hidden="false" name="Excel_BuiltIn__FilterDatabase_2" vbProcedure="false">"$#REF!.$A$99:$M$179"</definedName>
    <definedName function="false" hidden="false" name="Excel_BuiltIn__FilterDatabase_4" vbProcedure="false">"$#REF!.$A$1:$P$62"</definedName>
    <definedName function="false" hidden="false" name="Excel_BuiltIn__FilterDatabase_5" vbProcedure="false">"$#REF!.$A$9:$S$19"</definedName>
    <definedName function="false" hidden="false" name="Excel_BuiltIn__FilterDatabase_9" vbProcedure="false">"$#REF!.$A$1:$D$30"</definedName>
    <definedName function="false" hidden="false" name="FinancialRelations" vbProcedure="false">DATA!$A$520:$E$529</definedName>
    <definedName function="false" hidden="false" name="FirstDasaYrs1" vbProcedure="false">Vimshottari!$E$236</definedName>
    <definedName function="false" hidden="false" name="FourthLord" vbProcedure="false">Sahamas!$D$5</definedName>
    <definedName function="false" hidden="false" name="GhatakaChakra" vbProcedure="false">DATA!$A$369:$H$382</definedName>
    <definedName function="false" hidden="false" name="GowriPanchanga" vbProcedure="false">DATA!$A$673:$J$687</definedName>
    <definedName function="false" hidden="false" name="GrahaOrder" vbProcedure="false">DATA!$A$484:$A$492</definedName>
    <definedName function="false" hidden="false" name="GrahaShayanadiGunanka" vbProcedure="false">DATA!$R$3:$R$11</definedName>
    <definedName function="false" hidden="false" name="GrahaWeekdayOrder" vbProcedure="false">DATA!$Q$3:$Q$11</definedName>
    <definedName function="false" hidden="false" name="Gunachakra" vbProcedure="false">DATA!$A$661:$F$670</definedName>
    <definedName function="false" hidden="false" name="HindiName" vbProcedure="false">#N/A</definedName>
    <definedName function="false" hidden="false" name="Hora" vbProcedure="false">'Murhurtha Rulers'!$I$16</definedName>
    <definedName function="false" hidden="false" name="HoraLagna" vbProcedure="false">Basics!$G$20</definedName>
    <definedName function="false" hidden="false" name="JanmaGhatika" vbProcedure="false">Basics!$D$50</definedName>
    <definedName function="false" hidden="false" name="JupDeb" vbProcedure="false">DATA!$J$7</definedName>
    <definedName function="false" hidden="false" name="JupEx" vbProcedure="false">DATA!$H$7</definedName>
    <definedName function="false" hidden="false" name="Jupiter" vbProcedure="false">Basics!$G$12</definedName>
    <definedName function="false" hidden="false" name="JupiterHouse" vbProcedure="false">Ashtakavarga!$C$8</definedName>
    <definedName function="false" hidden="false" name="Kalachakra" vbProcedure="false">'KalaChakra Dasa'!$A$1:$H$25</definedName>
    <definedName function="false" hidden="false" name="KalachakraTbl" vbProcedure="false">KC[]</definedName>
    <definedName function="false" hidden="false" name="Ketu" vbProcedure="false">Basics!$G$16</definedName>
    <definedName function="false" hidden="false" name="KetuDeb" vbProcedure="false">DATA!$J$11</definedName>
    <definedName function="false" hidden="false" name="KetuEx" vbProcedure="false">DATA!$H$11</definedName>
    <definedName function="false" hidden="false" name="Lagna" vbProcedure="false">Basics!$G$7</definedName>
    <definedName function="false" hidden="false" name="Lagnahouse" vbProcedure="false">Ashtakavarga!$C$11</definedName>
    <definedName function="false" hidden="false" name="LagnaLord" vbProcedure="false">Sahamas!$D$2</definedName>
    <definedName function="false" hidden="false" name="LagnaLordD" vbProcedure="false">Sahamas!$H$2</definedName>
    <definedName function="false" hidden="false" name="LagnaShubhAshubha" vbProcedure="false">DATA!$A$715:$F$728</definedName>
    <definedName function="false" hidden="false" name="LL" vbProcedure="false">Sahamas!$H$2</definedName>
    <definedName function="false" hidden="false" name="Lord2h" vbProcedure="false">Sahamas!$F$1</definedName>
    <definedName function="false" hidden="false" name="LordsInHouses" vbProcedure="false">DATA!$A$861:$N$874</definedName>
    <definedName function="false" hidden="false" name="MahaDasaTable" vbProcedure="false">Udu!$A$65:$G$95</definedName>
    <definedName function="false" hidden="false" name="Mandi" vbProcedure="false">DATA!$A$507:$C$515</definedName>
    <definedName function="false" hidden="false" name="Mars" vbProcedure="false">Basics!$G$10</definedName>
    <definedName function="false" hidden="false" name="MarsDeb" vbProcedure="false">DATA!$J$5</definedName>
    <definedName function="false" hidden="false" name="MarsEx" vbProcedure="false">DATA!$H$5</definedName>
    <definedName function="false" hidden="false" name="MarsHouse" vbProcedure="false">Ashtakavarga!$C$6</definedName>
    <definedName function="false" hidden="false" name="MercDeb" vbProcedure="false">DATA!$J$6</definedName>
    <definedName function="false" hidden="false" name="MercEx" vbProcedure="false">DATA!$H$6</definedName>
    <definedName function="false" hidden="false" name="Mercury" vbProcedure="false">Basics!$G$11</definedName>
    <definedName function="false" hidden="false" name="MercuryHouse" vbProcedure="false">Ashtakavarga!$C$7</definedName>
    <definedName function="false" hidden="false" name="Moon" vbProcedure="false">Basics!$G$9</definedName>
    <definedName function="false" hidden="false" name="MoonDeb" vbProcedure="false">DATA!$J$4</definedName>
    <definedName function="false" hidden="false" name="MoonDeg" vbProcedure="false">Basics!$G$9</definedName>
    <definedName function="false" hidden="false" name="MoonEx" vbProcedure="false">DATA!$H$4</definedName>
    <definedName function="false" hidden="false" name="MoonHouse" vbProcedure="false">Ashtakavarga!$C$5</definedName>
    <definedName function="false" hidden="false" name="MoonPeriod" vbProcedure="false">DATA!$L$4</definedName>
    <definedName function="false" hidden="false" name="NakshatraInfo" vbProcedure="false">DATA!$48:$75</definedName>
    <definedName function="false" hidden="false" name="NakshatraSpan" vbProcedure="false">Udu!$C$30:$C$58</definedName>
    <definedName function="false" hidden="false" name="NakshatraTbl" vbProcedure="false">DATA!$B$48:$AF$75</definedName>
    <definedName function="false" hidden="false" name="NaxDeg28" vbProcedure="false">DATA!$N$215:$N$242</definedName>
    <definedName function="false" hidden="false" name="NaxNames28" vbProcedure="false">DATA!$M$215:$M$242</definedName>
    <definedName function="false" hidden="false" name="NDasaC" vbProcedure="false">NarayanaDasa!$C$3:$E$14</definedName>
    <definedName function="false" hidden="false" name="NDasaSeq" vbProcedure="false">NarayanaDasa!$B$3:$S$14</definedName>
    <definedName function="false" hidden="false" name="NDDaysInYEar" vbProcedure="false">NarayanaDasa!$D$16</definedName>
    <definedName function="false" hidden="false" name="NDDoB" vbProcedure="false">NarayanaDasa!$C$16</definedName>
    <definedName function="false" hidden="false" name="NDTable" vbProcedure="false">NarayanaDasa!$A$2:$T$14</definedName>
    <definedName function="false" hidden="false" name="Pachakaadi" vbProcedure="false">DATA!$A$553:$I$561</definedName>
    <definedName function="false" hidden="false" name="palbhaa" vbProcedure="false">Lagna!$J$3</definedName>
    <definedName function="false" hidden="false" name="PanchangaVaara" vbProcedure="false">Basics!$B$46</definedName>
    <definedName function="false" hidden="false" name="PanchangaYoga" vbProcedure="false">DATA!$A$99:$B$125</definedName>
    <definedName function="false" hidden="false" name="PlanetData" vbProcedure="false">DATA!$2:$11</definedName>
    <definedName function="false" hidden="false" name="PlanetDataSeq" vbProcedure="false">Vimshottari!$A$1:$A$10</definedName>
    <definedName function="false" hidden="false" name="PunyaSaham" vbProcedure="false">Sahamas!$I$14</definedName>
    <definedName function="false" hidden="false" name="PushyaDegree" vbProcedure="false">DATA!$U$55</definedName>
    <definedName function="false" hidden="false" name="RaashiMaan2" vbProcedure="false">Lagna!$K$10</definedName>
    <definedName function="false" hidden="false" name="RaashiMaana" vbProcedure="false">Lagna!$G$16:$J$29</definedName>
    <definedName function="false" hidden="false" name="RaashiMaana1" vbProcedure="false">Lagna!$K$9</definedName>
    <definedName function="false" hidden="false" name="Raashimaana3" vbProcedure="false">Lagna!$K$11</definedName>
    <definedName function="false" hidden="false" name="Rahu" vbProcedure="false">Basics!$G$15</definedName>
    <definedName function="false" hidden="false" name="RahuDeb" vbProcedure="false">DATA!$J$10</definedName>
    <definedName function="false" hidden="false" name="RahuEx" vbProcedure="false">DATA!$H$10</definedName>
    <definedName function="false" hidden="false" name="RahuHouse" vbProcedure="false">Ashtakavarga!$C$12</definedName>
    <definedName function="false" hidden="false" name="RasiDeg" vbProcedure="false">DATA!$B$16:$C$27</definedName>
    <definedName function="false" hidden="false" name="RasiInfo" vbProcedure="false">DATA!$A$16:$J$27</definedName>
    <definedName function="false" hidden="false" name="RasiNarayan" vbProcedure="false">NarayanaDasa!$A$39:$E$63</definedName>
    <definedName function="false" hidden="false" name="RasiTbl" vbProcedure="false">"$#REF!.$A$42:$A$53"</definedName>
    <definedName function="false" hidden="false" name="RasiTbl_11" vbProcedure="false">DATA!$A$16:$A$27</definedName>
    <definedName function="false" hidden="false" name="RasiTbl_3" vbProcedure="false">DATA!$A$16:$A$27</definedName>
    <definedName function="false" hidden="false" name="RatriMaana" vbProcedure="false">Basics!$D$49</definedName>
    <definedName function="false" hidden="false" name="RsInfo" vbProcedure="false">DATA!$B$15:$J$27</definedName>
    <definedName function="false" hidden="false" name="RsTbl" vbProcedure="false">DATA!$B$16:$B$27</definedName>
    <definedName function="false" hidden="false" name="SamvatsaraTable" vbProcedure="false">DATA!$A$599:$F$659</definedName>
    <definedName function="false" hidden="false" name="SatDeb" vbProcedure="false">DATA!$J$9</definedName>
    <definedName function="false" hidden="false" name="SatEx" vbProcedure="false">DATA!$H$9</definedName>
    <definedName function="false" hidden="false" name="Saturn" vbProcedure="false">Basics!$G$14</definedName>
    <definedName function="false" hidden="false" name="SaturnHouse" vbProcedure="false">Ashtakavarga!$C$10</definedName>
    <definedName function="false" hidden="false" name="SecondLord" vbProcedure="false">Sahamas!$D$3</definedName>
    <definedName function="false" hidden="false" name="ShayanaadiAvastha" vbProcedure="false">DATA!$O$215:$O$226</definedName>
    <definedName function="false" hidden="false" name="ShodhanaMinimum" vbProcedure="false">Ashtakavarga!$P$40</definedName>
    <definedName function="false" hidden="false" name="SignSym" vbProcedure="false">NarayanaDasa!$C$3:$C$14</definedName>
    <definedName function="false" hidden="false" name="StarDeg" vbProcedure="false">DATA!$F$46</definedName>
    <definedName function="false" hidden="false" name="Start1" vbProcedure="false">NarayanaDasa!$C$39</definedName>
    <definedName function="false" hidden="false" name="Sun" vbProcedure="false">Basics!$G$8</definedName>
    <definedName function="false" hidden="false" name="SunDeb" vbProcedure="false">DATA!$J$3</definedName>
    <definedName function="false" hidden="false" name="SunDeg" vbProcedure="false">Basics!$G$8</definedName>
    <definedName function="false" hidden="false" name="SunEx" vbProcedure="false">DATA!$H$3</definedName>
    <definedName function="false" hidden="false" name="SunHouse" vbProcedure="false">Ashtakavarga!$C$4</definedName>
    <definedName function="false" hidden="false" name="SunRise" vbProcedure="false">Basics!$B$44</definedName>
    <definedName function="false" hidden="false" name="SunSet" vbProcedure="false">Basics!$B$45</definedName>
    <definedName function="false" hidden="false" name="tattvatable" vbProcedure="false">#N/A</definedName>
    <definedName function="false" hidden="false" name="Test_10" vbProcedure="false">"$#REF!.$A$2:$J$138"</definedName>
    <definedName function="false" hidden="false" name="ThirdLord" vbProcedure="false">Sahamas!$D$4</definedName>
    <definedName function="false" hidden="false" name="Tithi" vbProcedure="false">DATA!$B$484:$B$491</definedName>
    <definedName function="false" hidden="false" name="ToB" vbProcedure="false">Basics!$H$2</definedName>
    <definedName function="false" hidden="false" name="triṁśāṁśa_phala" vbProcedure="false">DATA!$A$706:$F$713</definedName>
    <definedName function="false" hidden="false" name="UseRetrograde" vbProcedure="false">#N/A</definedName>
    <definedName function="false" hidden="false" name="Vaara" vbProcedure="false">#N/A</definedName>
    <definedName function="false" hidden="false" name="VaaraOrder" vbProcedure="false">#N/A</definedName>
    <definedName function="false" hidden="false" name="VenuDeb" vbProcedure="false">DATA!$J$8</definedName>
    <definedName function="false" hidden="false" name="Venus" vbProcedure="false">Basics!$G$13</definedName>
    <definedName function="false" hidden="false" name="VenusEx" vbProcedure="false">DATA!$H$8</definedName>
    <definedName function="false" hidden="false" name="VenusHouse" vbProcedure="false">Ashtakavarga!$C$9</definedName>
    <definedName function="false" hidden="false" name="VimAD" vbProcedure="false">Vimshottari!$G$20:$I$30</definedName>
    <definedName function="false" hidden="false" name="VimAntarDasa" vbProcedure="false">Vimshottari!$G$20:$I$29</definedName>
    <definedName function="false" hidden="false" name="VimFactor" vbProcedure="false">Vimshottari!$G$231</definedName>
    <definedName function="false" hidden="false" name="VimFrac" vbProcedure="false">DATA!$A$494:$R$504</definedName>
    <definedName function="false" hidden="false" name="VimMahaDasa" vbProcedure="false">Vimshottari!$C$20:$E$30</definedName>
    <definedName function="false" hidden="false" name="VimMD" vbProcedure="false">Vimshottari!$C$20:$E$30</definedName>
    <definedName function="false" hidden="false" name="VimPAD" vbProcedure="false">Vimshottari!$P$20:$R$30</definedName>
    <definedName function="false" hidden="false" name="VimPD" vbProcedure="false">Vimshottari!$J$20:$L$30</definedName>
    <definedName function="false" hidden="false" name="VimSD" vbProcedure="false">Vimshottari!$M$20:$O$30</definedName>
    <definedName function="false" hidden="false" name="Vimshopaaka" vbProcedure="false">DATA!$A$533:$E$549</definedName>
    <definedName function="false" hidden="false" name="VimshottariDAP" vbProcedure="false">Vimshottari!$A$64:$G$145</definedName>
    <definedName function="false" hidden="false" name="VimshottariDasa" vbProcedure="false">Vimshottari!$A$20:$E$30</definedName>
    <definedName function="false" hidden="false" name="VimshottariMD" vbProcedure="false">Vimshottari!$D$21:$E$29</definedName>
    <definedName function="false" hidden="false" name="VimTotal" vbProcedure="false">DATA!$B$13</definedName>
    <definedName function="false" hidden="false" name="Year" vbProcedure="false">Udu!$A$59</definedName>
    <definedName function="false" hidden="false" name="YogiDeg" vbProcedure="false">Basics!$G$37</definedName>
    <definedName function="false" hidden="false" name="अकथह" vbProcedure="false">DATA!$A$170:$E$179</definedName>
    <definedName function="false" hidden="false" localSheetId="11" name="_xlnm._FilterDatabase" vbProcedure="false">Ashtakavarga!$A$14:$V$280</definedName>
    <definedName function="false" hidden="false" localSheetId="16" name="_xlnm._FilterDatabase" vbProcedure="false">Sahamas!$A$1:$L$58</definedName>
  </definedNames>
  <calcPr iterateCount="100" refMode="A1" iterate="false" iterateDelta="0.0001"/>
  <pivotCaches>
    <pivotCache cacheId="1" r:id="rId34"/>
    <pivotCache cacheId="2" r:id="rId35"/>
  </pivotCaches>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Help: Use this Excel sheet to calculate upto 5 Vimsottari Dasas. All portions in Bold and Italic  are input cells. Use these cells to input chart information like Planet Postions and Date of Birth are Vimosottari Dasa beginning parameter.
</t>
        </r>
      </text>
    </comment>
    <comment ref="A32" authorId="0">
      <text>
        <r>
          <rPr>
            <sz val="10"/>
            <rFont val="Arial"/>
            <family val="2"/>
          </rPr>
          <t xml:space="preserve">Varna means caste or class. It shows the type of people one deals with. VL in D-10 shows the kind of people one deals with in one's profession. A7 in D-10 can denote people one would ASSOCIATE with (colleagues, friends and people one hangs outwith) and VL in D-10 can denote people one would DEAL with.
</t>
        </r>
      </text>
    </comment>
    <comment ref="A33" authorId="0">
      <text>
        <r>
          <rPr>
            <sz val="10"/>
            <rFont val="Arial"/>
            <family val="2"/>
          </rPr>
          <t xml:space="preserve">Varna means caste or class. It shows the type of people one deals with. VL in D-10 shows the kind of people one deals with in one's profession. A7 in D-10 can denote people one would ASSOCIATE with (colleagues, friends and people one hangs outwith) and VL in D-10 can denote people one would DEAL with.
</t>
        </r>
      </text>
    </comment>
    <comment ref="G31" authorId="0">
      <text>
        <r>
          <rPr>
            <sz val="10"/>
            <rFont val="Arial"/>
            <family val="2"/>
          </rPr>
          <t xml:space="preserve">Find the constellation occupied by natal Moon. Find the fraction traversed by
Moon in that constellation. Find the same fraction of the zodiac (360 degrees).
Add that to natal lagna. The result is called "Sree Lagna" (SL). Sree means
"prosperous" and it also stands for "Goddess Lakshmi", who is in charge of money
in Hindu mythology.
</t>
        </r>
      </text>
    </comment>
    <comment ref="G32" authorId="0">
      <text>
        <r>
          <rPr>
            <sz val="10"/>
            <rFont val="Arial"/>
            <family val="2"/>
          </rPr>
          <t xml:space="preserve">Take the longitudes of lagna and horalagna (HL). If one of them is in an even sign, subtract the longitude from 360 deg. Add the two longitudes if lagna and HL are in the sign of same oddity (odd-odd or even-even). If one is in an odd sign and the
other in an even sign, take the difference instead. If lagna is in an even sign, subtract this result from 360 deg. The final result gives the longitude of VL.
</t>
        </r>
      </text>
    </comment>
    <comment ref="J7" authorId="0">
      <text>
        <r>
          <rPr>
            <sz val="10"/>
            <rFont val="Arial"/>
            <family val="2"/>
          </rPr>
          <t xml:space="preserve">Enter the Planet names and positions in these cells. Use Only the Yellow Cell. For sign Postions use Ar,Ta etc Symbols.
Format is like 12 Cn 39 for 12^39" Cancer
</t>
        </r>
        <r>
          <rPr>
            <sz val="8"/>
            <color rgb="FF000000"/>
            <rFont val="Arial"/>
            <family val="2"/>
            <charset val="1"/>
          </rPr>
          <t xml:space="preserve">
</t>
        </r>
        <r>
          <rPr>
            <sz val="8"/>
            <color rgb="FF000000"/>
            <rFont val="Calibri"/>
            <family val="2"/>
            <charset val="1"/>
          </rPr>
          <t xml:space="preserve">Tip:You can Paste these from JHL. 
   In JHL. Copy Calculations as text and Paste the chart into a Notepad. Select only Planet positions lines from Ascdt to Gulika. Copy them to clip board Ctrl-C. Select the Yellow Portions in the Excel Sheet press Delete Key and then paste i.e Ctrl-V. Select from menu Data;Text to Columns. to convert them to cells.
</t>
        </r>
        <r>
          <rPr>
            <sz val="8"/>
            <color rgb="FF000000"/>
            <rFont val="Arial"/>
            <family val="2"/>
            <charset val="1"/>
          </rPr>
          <t xml:space="preserve">
</t>
        </r>
        <r>
          <rPr>
            <sz val="8"/>
            <color rgb="FF000000"/>
            <rFont val="Calibri"/>
            <family val="2"/>
            <charset val="1"/>
          </rPr>
          <t xml:space="preserve">    </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Br. Nx Pf 72.</t>
        </r>
      </text>
    </comment>
    <comment ref="A8" authorId="0">
      <text>
        <r>
          <rPr>
            <sz val="10"/>
            <rFont val="Arial"/>
            <family val="2"/>
          </rPr>
          <t xml:space="preserve">Br Nx 139.</t>
        </r>
      </text>
    </comment>
    <comment ref="A9" authorId="0">
      <text>
        <r>
          <rPr>
            <sz val="10"/>
            <rFont val="Arial"/>
            <family val="2"/>
          </rPr>
          <t xml:space="preserve">Committment:
</t>
        </r>
      </text>
    </comment>
    <comment ref="A10" authorId="0">
      <text>
        <r>
          <rPr>
            <sz val="10"/>
            <rFont val="Arial"/>
            <family val="2"/>
          </rPr>
          <t xml:space="preserve">Assistant from Br. Nx
Destiny Ramesh from Srath Lectures.
Raajya Br. Nakshatra 
</t>
        </r>
      </text>
    </comment>
    <comment ref="A11" authorId="0">
      <text>
        <r>
          <rPr>
            <sz val="10"/>
            <rFont val="Arial"/>
            <family val="2"/>
          </rPr>
          <t xml:space="preserve">Ramesh from Srath Lectures.</t>
        </r>
      </text>
    </comment>
    <comment ref="A13" authorId="0">
      <text>
        <r>
          <rPr>
            <sz val="10"/>
            <rFont val="Arial"/>
            <family val="2"/>
          </rPr>
          <t xml:space="preserve">138Pg:
</t>
        </r>
      </text>
    </comment>
    <comment ref="A16" authorId="0">
      <text>
        <r>
          <rPr>
            <sz val="10"/>
            <rFont val="Arial"/>
            <family val="2"/>
          </rPr>
          <t xml:space="preserve">Sanjay Prabhakaran:
</t>
        </r>
      </text>
    </comment>
    <comment ref="A17" authorId="0">
      <text>
        <r>
          <rPr>
            <sz val="10"/>
            <rFont val="Arial"/>
            <family val="2"/>
          </rPr>
          <t xml:space="preserve">Ramesh from Srath Lecture. 20 Are u hearing or Listening.  Danta of Ganesha.</t>
        </r>
      </text>
    </comment>
    <comment ref="A18" authorId="0">
      <text>
        <r>
          <rPr>
            <sz val="10"/>
            <rFont val="Arial"/>
            <family val="2"/>
          </rPr>
          <t xml:space="preserve">Ramesh from Srath Lecture? 21: </t>
        </r>
      </text>
    </comment>
    <comment ref="A19" authorId="0">
      <text>
        <r>
          <rPr>
            <sz val="10"/>
            <rFont val="Arial"/>
            <family val="2"/>
          </rPr>
          <t xml:space="preserve"> </t>
        </r>
      </text>
    </comment>
    <comment ref="A20" authorId="0">
      <text>
        <r>
          <rPr>
            <sz val="10"/>
            <rFont val="Arial"/>
            <family val="2"/>
          </rPr>
          <t xml:space="preserve">BrNx 138
</t>
        </r>
      </text>
    </comment>
    <comment ref="A21" authorId="0">
      <text>
        <r>
          <rPr>
            <sz val="10"/>
            <rFont val="Arial"/>
            <family val="2"/>
          </rPr>
          <t xml:space="preserve">Pg 139</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P2" authorId="0">
      <text>
        <r>
          <rPr>
            <sz val="10"/>
            <rFont val="Arial"/>
            <family val="2"/>
          </rPr>
          <t xml:space="preserve">Prabhakaran, Sanjay:
</t>
        </r>
        <r>
          <rPr>
            <sz val="9"/>
            <color rgb="FF000000"/>
            <rFont val="Tahoma"/>
            <family val="0"/>
            <charset val="1"/>
          </rPr>
          <t xml:space="preserve">Staana Gunanka
Exaltation 3
Moolatrikona 2
Own 3/2
Adimitra 4/3
Friend 6/5
Enemy ½
Adishatru 2/5
Neutral 1
</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D4" authorId="0">
      <text>
        <r>
          <rPr>
            <sz val="10"/>
            <rFont val="Arial"/>
            <family val="2"/>
          </rPr>
          <t xml:space="preserve">Sanjay Prabhakaran:
</t>
        </r>
        <r>
          <rPr>
            <sz val="9"/>
            <color rgb="FF000000"/>
            <rFont val="Tahoma"/>
            <family val="2"/>
            <charset val="1"/>
          </rPr>
          <t xml:space="preserve">Black is Kriitaadi 
Bold mean 4x3 group</t>
        </r>
      </text>
    </comment>
    <comment ref="D6" authorId="0">
      <text>
        <r>
          <rPr>
            <sz val="10"/>
            <rFont val="Arial"/>
            <family val="2"/>
          </rPr>
          <t xml:space="preserve">Sanjay Prabhakaran:
</t>
        </r>
        <r>
          <rPr>
            <sz val="9"/>
            <color rgb="FF000000"/>
            <rFont val="Tahoma"/>
            <family val="2"/>
            <charset val="1"/>
          </rPr>
          <t xml:space="preserve">Red is Ashiwinaadi 
Under like can be 4x3 or 3x4</t>
        </r>
      </text>
    </comment>
    <comment ref="D8" authorId="0">
      <text>
        <r>
          <rPr>
            <sz val="10"/>
            <rFont val="Arial"/>
            <family val="2"/>
          </rPr>
          <t xml:space="preserve">Sanjay Prabhakaran:
Italics means 3x4</t>
        </r>
      </text>
    </comment>
    <comment ref="D10" authorId="0">
      <text>
        <r>
          <rPr>
            <sz val="10"/>
            <rFont val="Arial"/>
            <family val="2"/>
          </rPr>
          <t xml:space="preserve">Sanjay Prabhakaran:
</t>
        </r>
        <r>
          <rPr>
            <sz val="9"/>
            <color rgb="FF000000"/>
            <rFont val="Tahoma"/>
            <family val="2"/>
            <charset val="1"/>
          </rPr>
          <t xml:space="preserve">Under can be both 3 or 4 start</t>
        </r>
      </text>
    </comment>
    <comment ref="D16" authorId="0">
      <text>
        <r>
          <rPr>
            <sz val="10"/>
            <rFont val="Arial"/>
            <family val="2"/>
          </rPr>
          <t xml:space="preserve">Sanjay Prabhakaran:
</t>
        </r>
        <r>
          <rPr>
            <sz val="9"/>
            <color rgb="FF000000"/>
            <rFont val="Tahoma"/>
            <family val="2"/>
            <charset val="1"/>
          </rPr>
          <t xml:space="preserve">Grey Italoic Kriitaadi Reverse 3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Ashtakavraga Sheet Made By Sanjay Jaggia@Indorama
In Egroup Timing of Event Group</t>
        </r>
      </text>
    </comment>
    <comment ref="A301" authorId="0">
      <text>
        <r>
          <rPr>
            <sz val="10"/>
            <rFont val="Arial"/>
            <family val="2"/>
          </rPr>
          <t xml:space="preserve">Example:When Sun Transits 1st House from Moon, and any other graha in 1st house has a vedha
Fundamentals of Astrology
 By M. Ramakrishna Bhat
</t>
        </r>
        <r>
          <rPr>
            <sz val="9"/>
            <color rgb="FF000000"/>
            <rFont val="Tahoma"/>
            <family val="2"/>
            <charset val="1"/>
          </rPr>
          <t xml:space="preserve">No Vedha between Son and Father like Su-Sa, Mo-Me</t>
        </r>
      </text>
    </comment>
    <comment ref="A309" authorId="0">
      <text>
        <r>
          <rPr>
            <sz val="10"/>
            <rFont val="Arial"/>
            <family val="2"/>
          </rPr>
          <t xml:space="preserve">Vedha of Sat &amp; Ketu like Mars</t>
        </r>
      </text>
    </comment>
    <comment ref="X159" authorId="0">
      <text>
        <r>
          <rPr>
            <sz val="10"/>
            <rFont val="Arial"/>
            <family val="2"/>
          </rPr>
          <t xml:space="preserve">22-23. Saturn in his passage through the various houses reckoned from the
Moon, will produce the following effects :—
1st - Diseases and performance of funeral rites.
2nd - Loss of wealth and children.
3rd - Gain of position or employment and acqusition of wealth and servants.
4th - Loss of wife, relations and wealth.
5th - Diminishing of wealth, loss of children and confusion of mind.
6th - Happiness all round.
7th - Suffering to wife and danger during journeys.
8th - Loss of children, cattle, friends and wealth, and suffering from diseases.
9th - Loss of wealth, obstacles to the performance of good deeds, death of an elderly relative equal to father and perpetual sorrow.
10th - Indulgence in sinful actions, loss of honour and suffering from diseases.
11th - All kinds of happiness, gain of wealth and receipt of unique honour.
12th - Engagement in a business bringing no gains, loss of wealth through
enemies, and sickness to wife and son.
</t>
        </r>
      </text>
    </comment>
    <comment ref="X173" authorId="0">
      <text>
        <r>
          <rPr>
            <sz val="10"/>
            <rFont val="Arial"/>
            <family val="2"/>
          </rPr>
          <t xml:space="preserve">21. The effects of the transit of Venus through the various houses reckoned
from the Moon be as follows: -
1st - Conferment of all kinds of enjoyments.
2nd - Gain of wealth.
3rd - Prosperity.
4th - Increase in happiness and friends.
5th - Birth of children.
6th - Accidents.
7th - Trouble to wife.
8th - Acqusition of wealth.
9th - Happiness.
10th - Quarrels.
11th - Safety.
12th - Acquisition of wealth.:
</t>
        </r>
      </text>
    </comment>
    <comment ref="X187" authorId="0">
      <text>
        <r>
          <rPr>
            <sz val="10"/>
            <rFont val="Arial"/>
            <family val="2"/>
          </rPr>
          <t xml:space="preserve">18-20 The effects of the transit of Jupiter through the various houses
reckoned from the Moon will be as given below:-
1st - Departure Irom the native place, heavy expenditure and ill will towards others.
2nd - Acquisition of wealth, domestic happiness and influence over others.
3rd - Loss of position, separation from friends, obstacles in business and diseases.
4th - Sorrow through relations, humiliation and danger from quadrupeds.
5th - Birth of children, association with noble persons and royal favour.
6th - Trouble from enemies and cousins and diseases.
7th - Journey for an auspicious work, happiness with wife and acquisition of children.
8th -Tiresome journeys resulting in fatigue, unlucky, misery and loss of wealth.
9th - Prosperity all round.
10th - Danger to property, position and children.
11th - Birth of children, gain of new position and honour.
12th - Grief, fear caused through property.
</t>
        </r>
      </text>
    </comment>
    <comment ref="X201" authorId="0">
      <text>
        <r>
          <rPr>
            <sz val="10"/>
            <rFont val="Arial"/>
            <family val="2"/>
          </rPr>
          <t xml:space="preserve">17. The following effects will be realised by the passage of Mercury through the various houses reckoned from the Moon:-
1st - Loss of wealth
2nd - Gain of wealth
3rd - Fear from enemies
4th - Accrual of wealth
5th - Quarrel with wife and children
6th - Success
7th - Misunderstandings
8th - Gain of wealth and birth of children
9th - Destruction in undertakings
10th - Happiness all round
11th - Increase in prosperity
12th - Fear of humiliation
</t>
        </r>
      </text>
    </comment>
    <comment ref="X215" authorId="0">
      <text>
        <r>
          <rPr>
            <sz val="10"/>
            <rFont val="Arial"/>
            <family val="2"/>
          </rPr>
          <t xml:space="preserve">13-16. The following effects will be realised from Mars' transit through the various houses reckoned from the Moon:-
1st - Mental Depression, separation from relations and diseases caused by impurity of blood, bile and heat.
2nd - Fear, exchange of hot words and loss, of wealth.
3rd - Success in all undertakings, acquistiorj of gold ornaments and, happiness caused thereby.
4th - Loss of position, stomach disorders and sorrow through relations.
5th - Fever, unnecessary desires, mental agony through son, quarrel with relations. .
6th - End of strife and withdrawal of enemies, freedom from diseases, victory, gain of wealth and success in all undertakings.
7th - Misunderstanding with wife, eye diseases, stomach-ache and similar disorders.
8th - Fever, anaemia, loss of wealth and honour.
9th - Humiliation through of wealth, difficulty in walking due to weakness and wastage in the several constituent elements of body.
10th - Misbehaviour, failure in efforts and exhaustion.
11th - Gain of wealth, freedom from diseases and increase in landed property.
12th - Loss of wealth, sickness caused by exessive heat
</t>
        </r>
        <r>
          <rPr>
            <sz val="11"/>
            <color rgb="FF000000"/>
            <rFont val="Noto Sans Devanagari"/>
            <family val="2"/>
            <charset val="1"/>
          </rPr>
          <t xml:space="preserve">अन्तः शोकं स्वजनविरहं रक्तपित्तोष्णरोगं लग्ने वित्ते भयमपि गिरां दोषमर्थक्षयं च।
धैरे भौमो जनयति जयं स्वर्णभूषंप्रमोदं स्थानभ्रंशं रुजमुदरजां बन्धुदुःखं चतुर्थे॥ १३॥
ज्वरमनुचितचिन्तां पुत्रहेतुव्यथां वा कलयति कलहंस्वैः पञ्चमे भूमिपुत्रः।
रिपुकलहनिवृत्तिं रोगशान्तिं च षष्ठे विजयमथ धनाप्तिं सर्वकार्यानुकूल्यम्॥ १४॥
कलत्रकलहाक्षिरुग्जठररोगकृत्सप्तमे ज्वरक्षतजरूक्षितो विगतवित्तमानोऽष्टमे।
कुजे नवमसंस्थिते परिभवोऽर्थनाशादिभि</t>
        </r>
        <r>
          <rPr>
            <sz val="11"/>
            <color rgb="FF000000"/>
            <rFont val="Calibri"/>
            <family val="2"/>
            <charset val="1"/>
          </rPr>
          <t xml:space="preserve">-</t>
        </r>
        <r>
          <rPr>
            <sz val="11"/>
            <color rgb="FF000000"/>
            <rFont val="Noto Sans Devanagari"/>
            <family val="2"/>
            <charset val="1"/>
          </rPr>
          <t xml:space="preserve">विलम्बितगतिर्भवत्यबलदेहधातुक्षयैः॥ १५॥
दुश्चेष्टा वा कर्मविघ्नः श्रमः खे द्रव्यारोग्यक्षेत्रवृद्धिश्च लाभे।
भौमः खेटो गोचरे द्वादशस्थो द्रव्यच्छेदस्ताप उष्णामयाद्यैः॥ १६॥
</t>
        </r>
      </text>
    </comment>
    <comment ref="X229" authorId="0">
      <text>
        <r>
          <rPr>
            <sz val="10"/>
            <rFont val="Arial"/>
            <family val="2"/>
          </rPr>
          <t xml:space="preserve">1st - Dawn of fortune
2nd - Loss of wealth
3rd - Success
4th - Fear
5th - Sorrow
6th - Freedom from diseases
7th - Happiness
8th - Unhappy and troublesome events.
9th - Sickness
10th - Fulfilment of ambitions
11th – Joy
12th - Expenditure
</t>
        </r>
        <r>
          <rPr>
            <sz val="11"/>
            <color rgb="FF000000"/>
            <rFont val="Noto Sans Devanagari"/>
            <family val="2"/>
            <charset val="1"/>
          </rPr>
          <t xml:space="preserve">क्रमेण भाग्योदयमर्थहातिं जयं श्लोकमरोगतां च।
सुखान्यनिष्टं गदमिष्टसिद्धिं मोदं व्ययं च प्रददाति चन्द्रः॥ १२॥</t>
        </r>
      </text>
    </comment>
    <comment ref="X243" authorId="0">
      <text>
        <r>
          <rPr>
            <sz val="10"/>
            <rFont val="Arial"/>
            <family val="2"/>
          </rPr>
          <t xml:space="preserve">1st - wearisome journey, fatigue, diseases.
2nd - Loss of wealth, unhappiness, obstinacy andvictim of deceit by others.
3rd - Acquistion of a new position, gain of wealth, happiness, freedom from diseases and destruction of enemies.
4th - Diseases, impediments to sexual enjoyments.
5th - Mental anguish, ill health, humiliation in all possible ways.
6th - Freedom from diseases, destruction of enemies, removal of sorrows and anxieties.
7th - Wearisome jorneys, stomach disorders, trouble in the anus and suffering humiliation.
8th - Fear, diseases, quarrels, royal displeasure, suffering from excessive heat.
9th - Danger, humiliation, separation from close relations and mental depression.
10th - Success in a great and important undertaking.
11th - New position, honour, wealth and freedom from diseases.
12th - Sorrow, toss of wealth, quarrels with friends and fever.
</t>
        </r>
        <r>
          <rPr>
            <sz val="11"/>
            <color rgb="FF000000"/>
            <rFont val="Noto Sans Devanagari"/>
            <family val="2"/>
            <charset val="1"/>
          </rPr>
          <t xml:space="preserve">आसुताष्टमतपोव्ययायगो विद्ध आस्फुजिदशोभनः स्मृतः।
नैधनास्ततनुकर्मधर्मधीलाभवरिसहजस्थखेचरैः॥ ८॥
जन्मन्यायासदाता क्षपयति विभवान् क्रोधरोगाध्वदाता
वित्तभ्रंशं द्वितीये दिशति न सुखदो पञ्चनामाग्रहं च।
स्थानप्राप्तिं तृतीये धननिचयमुदाकल्यकृच्चारिहन्ता
रोगाण् दत्ते चतुर्थे जनयति च मुहुः स्रग्धराभोगविघ्नम्॥ ९॥
वित्तक्षोभं सुतस्थो वितरति बहुशो रोगमोहादिदाता
षष्ठेऽर्को हन्ति रोगान् क्षपयति च रिपूञ्छोकमोहान्प्रमाष्टिं।
आध्वानं सप्तमस्थो जठरगुदभयं दैन्यभावं च तस्मै
रुक्त्रासावष्टमस्थः कलयति कलहं राजभीतिं च तापम्॥ १०॥
आपद्दैन्यं तपसि विरहं चित्तचेष्टानिरोधं
प्राप्तोन्युग्रां दशमगृहगे कर्मसिद्धिं दिनेशे।
स्थानं मानं विभवमपि चैकादशे रोगनाशं
क्लेशं वित्तक्षयमपि सुहृद्वैरमन्त्ये ज्वरं च॥ ११॥</t>
        </r>
      </text>
    </comment>
    <comment ref="X285" authorId="0">
      <text>
        <r>
          <rPr>
            <sz val="10"/>
            <rFont val="Arial"/>
            <family val="2"/>
          </rPr>
          <t xml:space="preserve">Sanjay Prabhakaran:
</t>
        </r>
        <r>
          <rPr>
            <sz val="11"/>
            <color rgb="FF000000"/>
            <rFont val="Tahoma"/>
            <family val="2"/>
            <charset val="1"/>
          </rPr>
          <t xml:space="preserve">Ashtakavarga by Mukunda Daivangya translated by PS Shastri
1-13</t>
        </r>
      </text>
    </comment>
    <comment ref="X293" authorId="0">
      <text>
        <r>
          <rPr>
            <sz val="10"/>
            <rFont val="Arial"/>
            <family val="2"/>
          </rPr>
          <t xml:space="preserve">24. Rahu in the course of his passage through the various houses will cause
the following effects :—
1st - Sickness or death. 2nd - Loss of wealth. </t>
        </r>
        <r>
          <rPr>
            <b val="true"/>
            <sz val="11"/>
            <color rgb="FF000000"/>
            <rFont val="Tahoma"/>
            <family val="2"/>
            <charset val="1"/>
          </rPr>
          <t xml:space="preserve">3rd - Happiness. </t>
        </r>
        <r>
          <rPr>
            <sz val="11"/>
            <color rgb="FF000000"/>
            <rFont val="Tahoma"/>
            <family val="2"/>
            <charset val="1"/>
          </rPr>
          <t xml:space="preserve">4th - Sorrow. 5th - Financial loss. </t>
        </r>
        <r>
          <rPr>
            <b val="true"/>
            <sz val="11"/>
            <color rgb="FF000000"/>
            <rFont val="Tahoma"/>
            <family val="2"/>
            <charset val="1"/>
          </rPr>
          <t xml:space="preserve">6th – Happiness. </t>
        </r>
        <r>
          <rPr>
            <sz val="11"/>
            <color rgb="FF000000"/>
            <rFont val="Tahoma"/>
            <family val="2"/>
            <charset val="1"/>
          </rPr>
          <t xml:space="preserve">7th - Losses (of wealth). 8th - Danger to life. 9th - Losses (of wealth). </t>
        </r>
        <r>
          <rPr>
            <b val="true"/>
            <sz val="11"/>
            <color rgb="FF000000"/>
            <rFont val="Tahoma"/>
            <family val="2"/>
            <charset val="1"/>
          </rPr>
          <t xml:space="preserve">10th - Gains (of wealth). 11th - Happiness. </t>
        </r>
        <r>
          <rPr>
            <sz val="11"/>
            <color rgb="FF000000"/>
            <rFont val="Tahoma"/>
            <family val="2"/>
            <charset val="1"/>
          </rPr>
          <t xml:space="preserve">12th -Expenditure.</t>
        </r>
      </text>
    </comment>
    <comment ref="Y295" authorId="0">
      <text>
        <r>
          <rPr>
            <sz val="10"/>
            <rFont val="Arial"/>
            <family val="2"/>
          </rPr>
          <t xml:space="preserve">Sanjay Prabhakaran:
</t>
        </r>
        <r>
          <rPr>
            <sz val="11"/>
            <color rgb="FF000000"/>
            <rFont val="Tahoma"/>
            <family val="2"/>
            <charset val="1"/>
          </rPr>
          <t xml:space="preserve">Shambu Hora add 1 to make it 44</t>
        </r>
      </text>
    </comment>
    <comment ref="Z243" authorId="0">
      <text>
        <r>
          <rPr>
            <sz val="10"/>
            <rFont val="Arial"/>
            <family val="2"/>
          </rPr>
          <t xml:space="preserve">1st - wearisome journey, fatigue, diseases.</t>
        </r>
      </text>
    </comment>
    <comment ref="AA216" authorId="0">
      <text>
        <r>
          <rPr>
            <sz val="10"/>
            <rFont val="Arial"/>
            <family val="2"/>
          </rPr>
          <t xml:space="preserve">Not in BPHS</t>
        </r>
      </text>
    </comment>
    <comment ref="AA243" authorId="0">
      <text>
        <r>
          <rPr>
            <sz val="10"/>
            <rFont val="Noto Sans Devanagari"/>
            <family val="2"/>
          </rPr>
          <t xml:space="preserve">वित्तभ्रंशं द्वितीये दिशति न सुखदो पञ्चनामाग्रहं च।
</t>
        </r>
      </text>
    </comment>
    <comment ref="AB243" authorId="0">
      <text>
        <r>
          <rPr>
            <sz val="10"/>
            <rFont val="Arial"/>
            <family val="2"/>
          </rPr>
          <t xml:space="preserve">3rd - Acquistion of a new position, gain of wealth, happiness, freedom from
diseases and destruction of enemies
</t>
        </r>
      </text>
    </comment>
    <comment ref="AD209" authorId="0">
      <text>
        <r>
          <rPr>
            <sz val="10"/>
            <rFont val="Arial"/>
            <family val="2"/>
          </rPr>
          <t xml:space="preserve">Not mentioned in BPHS</t>
        </r>
      </text>
    </comment>
    <comment ref="AD293" authorId="0">
      <text>
        <r>
          <rPr>
            <sz val="10"/>
            <rFont val="Arial"/>
            <family val="2"/>
          </rPr>
          <t xml:space="preserve">Sanjay Prabhakaran:
</t>
        </r>
        <r>
          <rPr>
            <sz val="11"/>
            <color rgb="FF000000"/>
            <rFont val="Tahoma"/>
            <family val="2"/>
            <charset val="1"/>
          </rPr>
          <t xml:space="preserve">Shambu Hora give 4 instead of 5 for Moon</t>
        </r>
      </text>
    </comment>
    <comment ref="AF289" authorId="0">
      <text>
        <r>
          <rPr>
            <sz val="10"/>
            <rFont val="Arial"/>
            <family val="2"/>
          </rPr>
          <t xml:space="preserve">Sanjay Prabhakaran:
</t>
        </r>
        <r>
          <rPr>
            <sz val="11"/>
            <color rgb="FF000000"/>
            <rFont val="Tahoma"/>
            <family val="2"/>
            <charset val="1"/>
          </rPr>
          <t xml:space="preserve">Shambu Hora adds 7 for mars
</t>
        </r>
      </text>
    </comment>
    <comment ref="AK174" authorId="0">
      <text>
        <r>
          <rPr>
            <sz val="10"/>
            <rFont val="Arial"/>
            <family val="2"/>
          </rPr>
          <t xml:space="preserve">Not mentioned in BPHS Karana prada section?</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29" authorId="0">
      <text>
        <r>
          <rPr>
            <sz val="10"/>
            <rFont val="Arial"/>
            <family val="2"/>
          </rPr>
          <t xml:space="preserve">. Ebenezer Burgess, who translated Surya Siddhanta in English, as on January 1, 1860, the number of days, past from the beginning of Creation are 714,404,108,573
</t>
        </r>
      </text>
    </comment>
    <comment ref="C193" authorId="0">
      <text>
        <r>
          <rPr>
            <sz val="10"/>
            <rFont val="Arial"/>
            <family val="2"/>
          </rPr>
          <t xml:space="preserve">Dina Kuta: If the Nakshatra of the man is 0, 2, 4, 6 or 8 Nakshatras from the Nakshatra of the woman 3 points will be given. If the number is 9 or more it is divided by 9 and we work with the remainder. Let us say the Nakshatra of the man is 14 Nakshatras from the Nakshatra of the woman 14/9=1 and the remainder is 5. Because the remainder is 5 no points are being given</t>
        </r>
      </text>
    </comment>
    <comment ref="F15" authorId="0">
      <text>
        <r>
          <rPr>
            <sz val="10"/>
            <rFont val="Arial"/>
            <family val="2"/>
          </rPr>
          <t xml:space="preserve">SR:" If a planet is in Kreta
Yuga it gives excellent results very easily whereas one in Treta needs some
effort, one in Dwapara will need a lot of the strength like Rudra's might to
do the work and give results while onee is Kali is most disinclined to do
anything and results will be tough to obtain.
</t>
        </r>
        <r>
          <rPr>
            <sz val="8"/>
            <color rgb="FF000000"/>
            <rFont val="Arial"/>
            <family val="2"/>
            <charset val="1"/>
          </rPr>
          <t xml:space="preserve">
</t>
        </r>
      </text>
    </comment>
    <comment ref="F47" authorId="0">
      <text>
        <r>
          <rPr>
            <sz val="10"/>
            <rFont val="Arial"/>
            <family val="2"/>
          </rPr>
          <t xml:space="preserve">Prashna Marga : 21.47</t>
        </r>
      </text>
    </comment>
    <comment ref="S47" authorId="0">
      <text>
        <r>
          <rPr>
            <sz val="10"/>
            <rFont val="Arial"/>
            <family val="2"/>
          </rPr>
          <t xml:space="preserve">PrashnaMarga, ch 8.30</t>
        </r>
      </text>
    </comment>
    <comment ref="U39" authorId="0">
      <text>
        <r>
          <rPr>
            <sz val="10"/>
            <rFont val="Arial"/>
            <family val="2"/>
          </rPr>
          <t xml:space="preserve">Sanjay Prabhakaran:
</t>
        </r>
        <r>
          <rPr>
            <sz val="9"/>
            <color rgb="FF000000"/>
            <rFont val="Tahoma"/>
            <family val="2"/>
            <charset val="1"/>
          </rPr>
          <t xml:space="preserve">The rulership of the Tatwa (elements) have already been indicated in the Table A7-4. For example, if the Badhakesh is in Leo ruled by the Sun, the Fire element is vitiated. If this also happens to be the 8th house, then the lamp has to be offered to the deity (Bhoota Bali) or the Holy Fire has to be worshipped with the relevant mantra like “Om Hum Rum Chaitanyayai Namah” (Bhoota Pooja).</t>
        </r>
      </text>
    </comment>
    <comment ref="X33" authorId="0">
      <text>
        <r>
          <rPr>
            <sz val="10"/>
            <rFont val="Arial"/>
            <family val="2"/>
          </rPr>
          <t xml:space="preserve">Shoulder</t>
        </r>
      </text>
    </comment>
    <comment ref="X34" authorId="0">
      <text>
        <r>
          <rPr>
            <sz val="10"/>
            <rFont val="Arial"/>
            <family val="2"/>
          </rPr>
          <t xml:space="preserve">Arms
</t>
        </r>
      </text>
    </comment>
    <comment ref="Y34" authorId="0">
      <text>
        <r>
          <rPr>
            <sz val="10"/>
            <rFont val="Arial"/>
            <family val="2"/>
          </rPr>
          <t xml:space="preserve">rectum, anus,</t>
        </r>
      </text>
    </comment>
    <comment ref="Y35" authorId="0">
      <text>
        <r>
          <rPr>
            <sz val="10"/>
            <rFont val="Arial"/>
            <family val="2"/>
          </rPr>
          <t xml:space="preserve">testicle, pudenda muliebria
</t>
        </r>
      </text>
    </comment>
    <comment ref="Y36" authorId="0">
      <text>
        <r>
          <rPr>
            <sz val="10"/>
            <rFont val="Arial"/>
            <family val="2"/>
          </rPr>
          <t xml:space="preserve">Knee</t>
        </r>
      </text>
    </comment>
    <comment ref="Y37" authorId="0">
      <text>
        <r>
          <rPr>
            <sz val="10"/>
            <rFont val="Arial"/>
            <family val="2"/>
          </rPr>
          <t xml:space="preserve">the shank (from the ankle to the knee)
</t>
        </r>
      </text>
    </comment>
    <comment ref="AH47" authorId="0">
      <text>
        <r>
          <rPr>
            <sz val="10"/>
            <rFont val="Arial"/>
            <family val="2"/>
          </rPr>
          <t xml:space="preserve">Sanjay Prabhakaran:
</t>
        </r>
        <r>
          <rPr>
            <sz val="9"/>
            <color rgb="FF000000"/>
            <rFont val="Tahoma"/>
            <family val="2"/>
            <charset val="1"/>
          </rPr>
          <t xml:space="preserve">Duration in 24 Hours How to use it?</t>
        </r>
      </text>
    </comment>
    <comment ref="AJ47" authorId="0">
      <text>
        <r>
          <rPr>
            <sz val="10"/>
            <rFont val="Arial"/>
            <family val="2"/>
          </rPr>
          <t xml:space="preserve">Srath,Cova</t>
        </r>
      </text>
    </comment>
    <comment ref="AK47" authorId="0">
      <text>
        <r>
          <rPr>
            <sz val="10"/>
            <rFont val="Arial"/>
            <family val="2"/>
          </rPr>
          <t xml:space="preserve">Prashna Marga: Ch21.37
http://thillairaj.blogspot.in/
 </t>
        </r>
        <r>
          <rPr>
            <sz val="11"/>
            <color rgb="FF000000"/>
            <rFont val="Noto Sans Devanagari"/>
            <family val="2"/>
            <charset val="1"/>
          </rPr>
          <t xml:space="preserve">சீருடைய அசுபதி நேர்ஐந்தும் வல்லுறு
சிறப்பான ஆதிரை நேர் ஆறும் ஆந்தை
பேருடைய உத்திர நேர் ஐந்தும் காகம்
பெலமான அநுடம் நேர் ஆறும் கோழி
நேருடைய அவிட்டம் நேர் ஐந்தும் கொண்ட
நிதி மயிலேயுலகிடை யாய் ஜெனித்த யாவும்
பேருடைய விவ்வகையே பட்சிரூபம் பேசிடுவாய்
மறைவிதித்த பெலமிதே</t>
        </r>
        <r>
          <rPr>
            <sz val="11"/>
            <color rgb="FF000000"/>
            <rFont val="Calibri"/>
            <family val="2"/>
            <charset val="1"/>
          </rPr>
          <t xml:space="preserve">.</t>
        </r>
      </text>
    </comment>
    <comment ref="AL47" authorId="0">
      <text>
        <r>
          <rPr>
            <sz val="10"/>
            <rFont val="Arial"/>
            <family val="2"/>
          </rPr>
          <t xml:space="preserve">Sanjay Prabhakaran:
</t>
        </r>
        <r>
          <rPr>
            <sz val="9"/>
            <color rgb="FF000000"/>
            <rFont val="Tahoma"/>
            <family val="2"/>
            <charset val="1"/>
          </rPr>
          <t xml:space="preserve">http://thillairaj.blogspot.in/</t>
        </r>
      </text>
    </comment>
    <comment ref="AO47" authorId="0">
      <text>
        <r>
          <rPr>
            <sz val="10"/>
            <rFont val="Arial"/>
            <family val="2"/>
          </rPr>
          <t xml:space="preserve">BrNx: Utpaata food is for Rakshasa, Mrityu food for Asura, Kaana for Pitru, Sama is safe.</t>
        </r>
      </text>
    </comment>
    <comment ref="AQ47" authorId="0">
      <text>
        <r>
          <rPr>
            <sz val="10"/>
            <rFont val="Arial"/>
            <family val="2"/>
          </rPr>
          <t xml:space="preserve">The lasts for 4 Gh. Also called Varjyam, Tyajyam</t>
        </r>
      </text>
    </comment>
    <comment ref="AR47" authorId="0">
      <text>
        <r>
          <rPr>
            <sz val="10"/>
            <rFont val="Arial"/>
            <family val="2"/>
          </rPr>
          <t xml:space="preserve">4Gh same as VishaGhatika Duration</t>
        </r>
      </text>
    </comment>
    <comment ref="AV47" authorId="0">
      <text>
        <r>
          <rPr>
            <sz val="10"/>
            <rFont val="Arial"/>
            <family val="2"/>
          </rPr>
          <t xml:space="preserve">BPHS,Kaalachakra</t>
        </r>
      </text>
    </comment>
    <comment ref="AX47" authorId="0">
      <text>
        <r>
          <rPr>
            <sz val="10"/>
            <rFont val="Arial"/>
            <family val="2"/>
          </rPr>
          <t xml:space="preserve">Narada Teaching, Brihad Nakshatra Pg 303. SRath</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C36" authorId="0">
      <text>
        <r>
          <rPr>
            <sz val="10"/>
            <rFont val="Arial"/>
            <family val="2"/>
          </rPr>
          <t xml:space="preserve">Decide the Initiating Narayana Dasa and Type it Here
</t>
        </r>
      </text>
    </comment>
    <comment ref="C71" authorId="0">
      <text>
        <r>
          <rPr>
            <sz val="10"/>
            <rFont val="Arial"/>
            <family val="2"/>
          </rPr>
          <t xml:space="preserve">Decide the Initiating Narayana Dasa and Type it Here
</t>
        </r>
      </text>
    </comment>
    <comment ref="C103" authorId="0">
      <text>
        <r>
          <rPr>
            <sz val="10"/>
            <rFont val="Arial"/>
            <family val="2"/>
          </rPr>
          <t xml:space="preserve">Decide the Initiating Narayana Dasa and Type it Here
</t>
        </r>
      </text>
    </comment>
    <comment ref="C136" authorId="0">
      <text>
        <r>
          <rPr>
            <sz val="10"/>
            <rFont val="Arial"/>
            <family val="2"/>
          </rPr>
          <t xml:space="preserve">Decide the Initiating Narayana Dasa and Type it Here
</t>
        </r>
      </text>
    </comment>
    <comment ref="C172" authorId="0">
      <text>
        <r>
          <rPr>
            <sz val="10"/>
            <rFont val="Arial"/>
            <family val="2"/>
          </rPr>
          <t xml:space="preserve">Decide the Initiating Narayana Dasa and Type it Here
</t>
        </r>
      </text>
    </comment>
    <comment ref="C207" authorId="0">
      <text>
        <r>
          <rPr>
            <sz val="10"/>
            <rFont val="Arial"/>
            <family val="2"/>
          </rPr>
          <t xml:space="preserve">Decide the Initiating Narayana Dasa and Type it Here
</t>
        </r>
      </text>
    </comment>
    <comment ref="C242" authorId="0">
      <text>
        <r>
          <rPr>
            <sz val="10"/>
            <rFont val="Arial"/>
            <family val="2"/>
          </rPr>
          <t xml:space="preserve">Decide the Initiating Narayana Dasa and Type it Here
</t>
        </r>
      </text>
    </comment>
    <comment ref="C274" authorId="0">
      <text>
        <r>
          <rPr>
            <sz val="10"/>
            <rFont val="Arial"/>
            <family val="2"/>
          </rPr>
          <t xml:space="preserve">Decide the Initiating Narayana Dasa and Type it Here
</t>
        </r>
      </text>
    </comment>
    <comment ref="C305" authorId="0">
      <text>
        <r>
          <rPr>
            <sz val="10"/>
            <rFont val="Arial"/>
            <family val="2"/>
          </rPr>
          <t xml:space="preserve">Decide the Initiating Narayana Dasa and Type it Here
</t>
        </r>
      </text>
    </comment>
    <comment ref="C337" authorId="0">
      <text>
        <r>
          <rPr>
            <sz val="10"/>
            <rFont val="Arial"/>
            <family val="2"/>
          </rPr>
          <t xml:space="preserve">Decide the Initiating Narayana Dasa and Type it Here
</t>
        </r>
      </text>
    </comment>
    <comment ref="H39" authorId="0">
      <text>
        <r>
          <rPr>
            <sz val="10"/>
            <rFont val="Arial"/>
            <family val="2"/>
          </rPr>
          <t xml:space="preserve">Type the Starting Narayana Antardasa in these cells.
Open the Group '+' symbol on the left to view th Nar-AntarDasa periods
</t>
        </r>
      </text>
    </comment>
    <comment ref="H41" authorId="0">
      <text>
        <r>
          <rPr>
            <sz val="10"/>
            <rFont val="Arial"/>
            <family val="2"/>
          </rPr>
          <t xml:space="preserve">Type the Starting Narayana Antardasa in these cells.
Open the Group '+' symbol on the left to view th Nar-AntarDasa periods
</t>
        </r>
      </text>
    </comment>
    <comment ref="H43" authorId="0">
      <text>
        <r>
          <rPr>
            <sz val="10"/>
            <rFont val="Arial"/>
            <family val="2"/>
          </rPr>
          <t xml:space="preserve">Type the Starting Narayana Antardasa in these cells.
Open the Group '+' symbol on the left to view th Nar-AntarDasa periods
</t>
        </r>
      </text>
    </comment>
    <comment ref="H45" authorId="0">
      <text>
        <r>
          <rPr>
            <sz val="10"/>
            <rFont val="Arial"/>
            <family val="2"/>
          </rPr>
          <t xml:space="preserve">Type the Starting Narayana Antardasa in these cells.
Open the Group '+' symbol on the left to view th Nar-AntarDasa periods
</t>
        </r>
      </text>
    </comment>
    <comment ref="H55" authorId="0">
      <text>
        <r>
          <rPr>
            <sz val="10"/>
            <rFont val="Arial"/>
            <family val="2"/>
          </rPr>
          <t xml:space="preserve">Type the Starting Narayana Antardasa in these cells.
Open the Group '+' symbol on the left to view th Nar-AntarDasa periods
</t>
        </r>
      </text>
    </comment>
    <comment ref="H57" authorId="0">
      <text>
        <r>
          <rPr>
            <sz val="10"/>
            <rFont val="Arial"/>
            <family val="2"/>
          </rPr>
          <t xml:space="preserve">Type the Starting Narayana Antardasa in these cells.
Open the Group '+' symbol on the left to view th Nar-AntarDasa periods
</t>
        </r>
      </text>
    </comment>
    <comment ref="H59" authorId="0">
      <text>
        <r>
          <rPr>
            <sz val="10"/>
            <rFont val="Arial"/>
            <family val="2"/>
          </rPr>
          <t xml:space="preserve">Type the Starting Narayana Antardasa in these cells.
Open the Group '+' symbol on the left to view th Nar-AntarDasa periods
</t>
        </r>
      </text>
    </comment>
    <comment ref="H61" authorId="0">
      <text>
        <r>
          <rPr>
            <sz val="10"/>
            <rFont val="Arial"/>
            <family val="2"/>
          </rPr>
          <t xml:space="preserve">Type the Starting Narayana Antardasa in these cells.
Open the Group '+' symbol on the left to view th Nar-AntarDasa periods
</t>
        </r>
      </text>
    </comment>
    <comment ref="H74" authorId="0">
      <text>
        <r>
          <rPr>
            <sz val="10"/>
            <rFont val="Arial"/>
            <family val="2"/>
          </rPr>
          <t xml:space="preserve">Type the Starting Narayana Antardasa in these cells.
Open the Group '+' symbol on the left to view th Nar-AntarDasa periods
</t>
        </r>
      </text>
    </comment>
    <comment ref="H76" authorId="0">
      <text>
        <r>
          <rPr>
            <sz val="10"/>
            <rFont val="Arial"/>
            <family val="2"/>
          </rPr>
          <t xml:space="preserve">Type the Starting Narayana Antardasa in these cells.
Open the Group '+' symbol on the left to view th Nar-AntarDasa periods
</t>
        </r>
      </text>
    </comment>
    <comment ref="H78" authorId="0">
      <text>
        <r>
          <rPr>
            <sz val="10"/>
            <rFont val="Arial"/>
            <family val="2"/>
          </rPr>
          <t xml:space="preserve">Type the Starting Narayana Antardasa in these cells.
Open the Group '+' symbol on the left to view th Nar-AntarDasa periods
</t>
        </r>
      </text>
    </comment>
    <comment ref="H80" authorId="0">
      <text>
        <r>
          <rPr>
            <sz val="10"/>
            <rFont val="Arial"/>
            <family val="2"/>
          </rPr>
          <t xml:space="preserve">Type the Starting Narayana Antardasa in these cells.
Open the Group '+' symbol on the left to view th Nar-AntarDasa periods
</t>
        </r>
      </text>
    </comment>
    <comment ref="H90" authorId="0">
      <text>
        <r>
          <rPr>
            <sz val="10"/>
            <rFont val="Arial"/>
            <family val="2"/>
          </rPr>
          <t xml:space="preserve">Type the Starting Narayana Antardasa in these cells.
Open the Group '+' symbol on the left to view th Nar-AntarDasa periods
</t>
        </r>
      </text>
    </comment>
    <comment ref="H92" authorId="0">
      <text>
        <r>
          <rPr>
            <sz val="10"/>
            <rFont val="Arial"/>
            <family val="2"/>
          </rPr>
          <t xml:space="preserve">Type the Starting Narayana Antardasa in these cells.
Open the Group '+' symbol on the left to view th Nar-AntarDasa periods
</t>
        </r>
      </text>
    </comment>
    <comment ref="H94" authorId="0">
      <text>
        <r>
          <rPr>
            <sz val="10"/>
            <rFont val="Arial"/>
            <family val="2"/>
          </rPr>
          <t xml:space="preserve">Type the Starting Narayana Antardasa in these cells.
Open the Group '+' symbol on the left to view th Nar-AntarDasa periods
</t>
        </r>
      </text>
    </comment>
    <comment ref="H96" authorId="0">
      <text>
        <r>
          <rPr>
            <sz val="10"/>
            <rFont val="Arial"/>
            <family val="2"/>
          </rPr>
          <t xml:space="preserve">Type the Starting Narayana Antardasa in these cells.
Open the Group '+' symbol on the left to view th Nar-AntarDasa periods
</t>
        </r>
      </text>
    </comment>
    <comment ref="H106" authorId="0">
      <text>
        <r>
          <rPr>
            <sz val="10"/>
            <rFont val="Arial"/>
            <family val="2"/>
          </rPr>
          <t xml:space="preserve">Type the Starting Narayana Antardasa in these cells.
Open the Group '+' symbol on the left to view th Nar-AntarDasa periods
</t>
        </r>
      </text>
    </comment>
    <comment ref="H108" authorId="0">
      <text>
        <r>
          <rPr>
            <sz val="10"/>
            <rFont val="Arial"/>
            <family val="2"/>
          </rPr>
          <t xml:space="preserve">Type the Starting Narayana Antardasa in these cells.
Open the Group '+' symbol on the left to view th Nar-AntarDasa periods
</t>
        </r>
      </text>
    </comment>
    <comment ref="H110" authorId="0">
      <text>
        <r>
          <rPr>
            <sz val="10"/>
            <rFont val="Arial"/>
            <family val="2"/>
          </rPr>
          <t xml:space="preserve">Type the Starting Narayana Antardasa in these cells.
Open the Group '+' symbol on the left to view th Nar-AntarDasa periods
</t>
        </r>
      </text>
    </comment>
    <comment ref="H112" authorId="0">
      <text>
        <r>
          <rPr>
            <sz val="10"/>
            <rFont val="Arial"/>
            <family val="2"/>
          </rPr>
          <t xml:space="preserve">Type the Starting Narayana Antardasa in these cells.
Open the Group '+' symbol on the left to view th Nar-AntarDasa periods
</t>
        </r>
      </text>
    </comment>
    <comment ref="H122" authorId="0">
      <text>
        <r>
          <rPr>
            <sz val="10"/>
            <rFont val="Arial"/>
            <family val="2"/>
          </rPr>
          <t xml:space="preserve">Type the Starting Narayana Antardasa in these cells.
Open the Group '+' symbol on the left to view th Nar-AntarDasa periods
</t>
        </r>
      </text>
    </comment>
    <comment ref="H124" authorId="0">
      <text>
        <r>
          <rPr>
            <sz val="10"/>
            <rFont val="Arial"/>
            <family val="2"/>
          </rPr>
          <t xml:space="preserve">Type the Starting Narayana Antardasa in these cells.
Open the Group '+' symbol on the left to view th Nar-AntarDasa periods
</t>
        </r>
      </text>
    </comment>
    <comment ref="H126" authorId="0">
      <text>
        <r>
          <rPr>
            <sz val="10"/>
            <rFont val="Arial"/>
            <family val="2"/>
          </rPr>
          <t xml:space="preserve">Type the Starting Narayana Antardasa in these cells.
Open the Group '+' symbol on the left to view th Nar-AntarDasa periods
</t>
        </r>
      </text>
    </comment>
    <comment ref="H128" authorId="0">
      <text>
        <r>
          <rPr>
            <sz val="10"/>
            <rFont val="Arial"/>
            <family val="2"/>
          </rPr>
          <t xml:space="preserve">Type the Starting Narayana Antardasa in these cells.
Open the Group '+' symbol on the left to view th Nar-AntarDasa periods
</t>
        </r>
      </text>
    </comment>
    <comment ref="H139" authorId="0">
      <text>
        <r>
          <rPr>
            <sz val="10"/>
            <rFont val="Arial"/>
            <family val="2"/>
          </rPr>
          <t xml:space="preserve">Type the Starting Narayana Antardasa in these cells.
Open the Group '+' symbol on the left to view th Nar-AntarDasa periods
</t>
        </r>
      </text>
    </comment>
    <comment ref="H141" authorId="0">
      <text>
        <r>
          <rPr>
            <sz val="10"/>
            <rFont val="Arial"/>
            <family val="2"/>
          </rPr>
          <t xml:space="preserve">Type the Starting Narayana Antardasa in these cells.
Open the Group '+' symbol on the left to view th Nar-AntarDasa periods
</t>
        </r>
      </text>
    </comment>
    <comment ref="H143" authorId="0">
      <text>
        <r>
          <rPr>
            <sz val="10"/>
            <rFont val="Arial"/>
            <family val="2"/>
          </rPr>
          <t xml:space="preserve">Type the Starting Narayana Antardasa in these cells.
Open the Group '+' symbol on the left to view th Nar-AntarDasa periods
</t>
        </r>
      </text>
    </comment>
    <comment ref="H145" authorId="0">
      <text>
        <r>
          <rPr>
            <sz val="10"/>
            <rFont val="Arial"/>
            <family val="2"/>
          </rPr>
          <t xml:space="preserve">Type the Starting Narayana Antardasa in these cells.
Open the Group '+' symbol on the left to view th Nar-AntarDasa periods
</t>
        </r>
      </text>
    </comment>
    <comment ref="H155" authorId="0">
      <text>
        <r>
          <rPr>
            <sz val="10"/>
            <rFont val="Arial"/>
            <family val="2"/>
          </rPr>
          <t xml:space="preserve">Type the Starting Narayana Antardasa in these cells.
Open the Group '+' symbol on the left to view th Nar-AntarDasa periods
</t>
        </r>
      </text>
    </comment>
    <comment ref="H157" authorId="0">
      <text>
        <r>
          <rPr>
            <sz val="10"/>
            <rFont val="Arial"/>
            <family val="2"/>
          </rPr>
          <t xml:space="preserve">Type the Starting Narayana Antardasa in these cells.
Open the Group '+' symbol on the left to view th Nar-AntarDasa periods
</t>
        </r>
      </text>
    </comment>
    <comment ref="H159" authorId="0">
      <text>
        <r>
          <rPr>
            <sz val="10"/>
            <rFont val="Arial"/>
            <family val="2"/>
          </rPr>
          <t xml:space="preserve">Type the Starting Narayana Antardasa in these cells.
Open the Group '+' symbol on the left to view th Nar-AntarDasa periods
</t>
        </r>
      </text>
    </comment>
    <comment ref="H161" authorId="0">
      <text>
        <r>
          <rPr>
            <sz val="10"/>
            <rFont val="Arial"/>
            <family val="2"/>
          </rPr>
          <t xml:space="preserve">Type the Starting Narayana Antardasa in these cells.
Open the Group '+' symbol on the left to view th Nar-AntarDasa periods
</t>
        </r>
      </text>
    </comment>
    <comment ref="H175" authorId="0">
      <text>
        <r>
          <rPr>
            <sz val="10"/>
            <rFont val="Arial"/>
            <family val="2"/>
          </rPr>
          <t xml:space="preserve">Type the Starting Narayana Antardasa in these cells.
Open the Group '+' symbol on the left to view th Nar-AntarDasa periods
</t>
        </r>
      </text>
    </comment>
    <comment ref="H177" authorId="0">
      <text>
        <r>
          <rPr>
            <sz val="10"/>
            <rFont val="Arial"/>
            <family val="2"/>
          </rPr>
          <t xml:space="preserve">Type the Starting Narayana Antardasa in these cells.
Open the Group '+' symbol on the left to view th Nar-AntarDasa periods
</t>
        </r>
      </text>
    </comment>
    <comment ref="H179" authorId="0">
      <text>
        <r>
          <rPr>
            <sz val="10"/>
            <rFont val="Arial"/>
            <family val="2"/>
          </rPr>
          <t xml:space="preserve">Type the Starting Narayana Antardasa in these cells.
Open the Group '+' symbol on the left to view th Nar-AntarDasa periods
</t>
        </r>
      </text>
    </comment>
    <comment ref="H181" authorId="0">
      <text>
        <r>
          <rPr>
            <sz val="10"/>
            <rFont val="Arial"/>
            <family val="2"/>
          </rPr>
          <t xml:space="preserve">Type the Starting Narayana Antardasa in these cells.
Open the Group '+' symbol on the left to view th Nar-AntarDasa periods
</t>
        </r>
      </text>
    </comment>
    <comment ref="H183" authorId="0">
      <text>
        <r>
          <rPr>
            <sz val="10"/>
            <rFont val="Arial"/>
            <family val="2"/>
          </rPr>
          <t xml:space="preserve">Type the Starting Narayana Antardasa in these cells.
Open the Group '+' symbol on the left to view th Nar-AntarDasa periods
</t>
        </r>
      </text>
    </comment>
    <comment ref="H191" authorId="0">
      <text>
        <r>
          <rPr>
            <sz val="10"/>
            <rFont val="Arial"/>
            <family val="2"/>
          </rPr>
          <t xml:space="preserve">Type the Starting Narayana Antardasa in these cells.
Open the Group '+' symbol on the left to view th Nar-AntarDasa periods
</t>
        </r>
      </text>
    </comment>
    <comment ref="H193" authorId="0">
      <text>
        <r>
          <rPr>
            <sz val="10"/>
            <rFont val="Arial"/>
            <family val="2"/>
          </rPr>
          <t xml:space="preserve">Type the Starting Narayana Antardasa in these cells.
Open the Group '+' symbol on the left to view th Nar-AntarDasa periods
</t>
        </r>
      </text>
    </comment>
    <comment ref="H195" authorId="0">
      <text>
        <r>
          <rPr>
            <sz val="10"/>
            <rFont val="Arial"/>
            <family val="2"/>
          </rPr>
          <t xml:space="preserve">Type the Starting Narayana Antardasa in these cells.
Open the Group '+' symbol on the left to view th Nar-AntarDasa periods
</t>
        </r>
      </text>
    </comment>
    <comment ref="H197" authorId="0">
      <text>
        <r>
          <rPr>
            <sz val="10"/>
            <rFont val="Arial"/>
            <family val="2"/>
          </rPr>
          <t xml:space="preserve">Type the Starting Narayana Antardasa in these cells.
Open the Group '+' symbol on the left to view th Nar-AntarDasa periods
</t>
        </r>
      </text>
    </comment>
    <comment ref="H210" authorId="0">
      <text>
        <r>
          <rPr>
            <sz val="10"/>
            <rFont val="Arial"/>
            <family val="2"/>
          </rPr>
          <t xml:space="preserve">Type the Starting Narayana Antardasa in these cells.
Open the Group '+' symbol on the left to view th Nar-AntarDasa periods
</t>
        </r>
      </text>
    </comment>
    <comment ref="H212" authorId="0">
      <text>
        <r>
          <rPr>
            <sz val="10"/>
            <rFont val="Arial"/>
            <family val="2"/>
          </rPr>
          <t xml:space="preserve">Type the Starting Narayana Antardasa in these cells.
Open the Group '+' symbol on the left to view th Nar-AntarDasa periods
</t>
        </r>
      </text>
    </comment>
    <comment ref="H214" authorId="0">
      <text>
        <r>
          <rPr>
            <sz val="10"/>
            <rFont val="Arial"/>
            <family val="2"/>
          </rPr>
          <t xml:space="preserve">Type the Starting Narayana Antardasa in these cells.
Open the Group '+' symbol on the left to view th Nar-AntarDasa periods
</t>
        </r>
      </text>
    </comment>
    <comment ref="H216" authorId="0">
      <text>
        <r>
          <rPr>
            <sz val="10"/>
            <rFont val="Arial"/>
            <family val="2"/>
          </rPr>
          <t xml:space="preserve">Type the Starting Narayana Antardasa in these cells.
Open the Group '+' symbol on the left to view th Nar-AntarDasa periods
</t>
        </r>
      </text>
    </comment>
    <comment ref="H226" authorId="0">
      <text>
        <r>
          <rPr>
            <sz val="10"/>
            <rFont val="Arial"/>
            <family val="2"/>
          </rPr>
          <t xml:space="preserve">Type the Starting Narayana Antardasa in these cells.
Open the Group '+' symbol on the left to view th Nar-AntarDasa periods
</t>
        </r>
      </text>
    </comment>
    <comment ref="H228" authorId="0">
      <text>
        <r>
          <rPr>
            <sz val="10"/>
            <rFont val="Arial"/>
            <family val="2"/>
          </rPr>
          <t xml:space="preserve">Type the Starting Narayana Antardasa in these cells.
Open the Group '+' symbol on the left to view th Nar-AntarDasa periods
</t>
        </r>
      </text>
    </comment>
    <comment ref="H230" authorId="0">
      <text>
        <r>
          <rPr>
            <sz val="10"/>
            <rFont val="Arial"/>
            <family val="2"/>
          </rPr>
          <t xml:space="preserve">Type the Starting Narayana Antardasa in these cells.
Open the Group '+' symbol on the left to view th Nar-AntarDasa periods
</t>
        </r>
      </text>
    </comment>
    <comment ref="H232" authorId="0">
      <text>
        <r>
          <rPr>
            <sz val="10"/>
            <rFont val="Arial"/>
            <family val="2"/>
          </rPr>
          <t xml:space="preserve">Type the Starting Narayana Antardasa in these cells.
Open the Group '+' symbol on the left to view th Nar-AntarDasa periods
</t>
        </r>
      </text>
    </comment>
    <comment ref="H245" authorId="0">
      <text>
        <r>
          <rPr>
            <sz val="10"/>
            <rFont val="Arial"/>
            <family val="2"/>
          </rPr>
          <t xml:space="preserve">Type the Starting Narayana Antardasa in these cells.
Open the Group '+' symbol on the left to view th Nar-AntarDasa periods
</t>
        </r>
      </text>
    </comment>
    <comment ref="H247" authorId="0">
      <text>
        <r>
          <rPr>
            <sz val="10"/>
            <rFont val="Arial"/>
            <family val="2"/>
          </rPr>
          <t xml:space="preserve">Type the Starting Narayana Antardasa in these cells.
Open the Group '+' symbol on the left to view th Nar-AntarDasa periods
</t>
        </r>
      </text>
    </comment>
    <comment ref="H249" authorId="0">
      <text>
        <r>
          <rPr>
            <sz val="10"/>
            <rFont val="Arial"/>
            <family val="2"/>
          </rPr>
          <t xml:space="preserve">Type the Starting Narayana Antardasa in these cells.
Open the Group '+' symbol on the left to view th Nar-AntarDasa periods
</t>
        </r>
      </text>
    </comment>
    <comment ref="H251" authorId="0">
      <text>
        <r>
          <rPr>
            <sz val="10"/>
            <rFont val="Arial"/>
            <family val="2"/>
          </rPr>
          <t xml:space="preserve">Type the Starting Narayana Antardasa in these cells.
Open the Group '+' symbol on the left to view th Nar-AntarDasa periods
</t>
        </r>
      </text>
    </comment>
    <comment ref="H253" authorId="0">
      <text>
        <r>
          <rPr>
            <sz val="10"/>
            <rFont val="Arial"/>
            <family val="2"/>
          </rPr>
          <t xml:space="preserve">Type the Starting Narayana Antardasa in these cells.
Open the Group '+' symbol on the left to view th Nar-AntarDasa periods
</t>
        </r>
      </text>
    </comment>
    <comment ref="H261" authorId="0">
      <text>
        <r>
          <rPr>
            <sz val="10"/>
            <rFont val="Arial"/>
            <family val="2"/>
          </rPr>
          <t xml:space="preserve">Type the Starting Narayana Antardasa in these cells.
Open the Group '+' symbol on the left to view th Nar-AntarDasa periods
</t>
        </r>
      </text>
    </comment>
    <comment ref="H263" authorId="0">
      <text>
        <r>
          <rPr>
            <sz val="10"/>
            <rFont val="Arial"/>
            <family val="2"/>
          </rPr>
          <t xml:space="preserve">Type the Starting Narayana Antardasa in these cells.
Open the Group '+' symbol on the left to view th Nar-AntarDasa periods
</t>
        </r>
      </text>
    </comment>
    <comment ref="H265" authorId="0">
      <text>
        <r>
          <rPr>
            <sz val="10"/>
            <rFont val="Arial"/>
            <family val="2"/>
          </rPr>
          <t xml:space="preserve">Type the Starting Narayana Antardasa in these cells.
Open the Group '+' symbol on the left to view th Nar-AntarDasa periods
</t>
        </r>
      </text>
    </comment>
    <comment ref="H267" authorId="0">
      <text>
        <r>
          <rPr>
            <sz val="10"/>
            <rFont val="Arial"/>
            <family val="2"/>
          </rPr>
          <t xml:space="preserve">Type the Starting Narayana Antardasa in these cells.
Open the Group '+' symbol on the left to view th Nar-AntarDasa periods
</t>
        </r>
      </text>
    </comment>
    <comment ref="H277" authorId="0">
      <text>
        <r>
          <rPr>
            <sz val="10"/>
            <rFont val="Arial"/>
            <family val="2"/>
          </rPr>
          <t xml:space="preserve">Type the Starting Narayana Antardasa in these cells.
Open the Group '+' symbol on the left to view th Nar-AntarDasa periods
</t>
        </r>
      </text>
    </comment>
    <comment ref="H279" authorId="0">
      <text>
        <r>
          <rPr>
            <sz val="10"/>
            <rFont val="Arial"/>
            <family val="2"/>
          </rPr>
          <t xml:space="preserve">Type the Starting Narayana Antardasa in these cells.
Open the Group '+' symbol on the left to view th Nar-AntarDasa periods
</t>
        </r>
      </text>
    </comment>
    <comment ref="H281" authorId="0">
      <text>
        <r>
          <rPr>
            <sz val="10"/>
            <rFont val="Arial"/>
            <family val="2"/>
          </rPr>
          <t xml:space="preserve">Type the Starting Narayana Antardasa in these cells.
Open the Group '+' symbol on the left to view th Nar-AntarDasa periods
</t>
        </r>
      </text>
    </comment>
    <comment ref="H283" authorId="0">
      <text>
        <r>
          <rPr>
            <sz val="10"/>
            <rFont val="Arial"/>
            <family val="2"/>
          </rPr>
          <t xml:space="preserve">Type the Starting Narayana Antardasa in these cells.
Open the Group '+' symbol on the left to view th Nar-AntarDasa periods
</t>
        </r>
      </text>
    </comment>
    <comment ref="H285" authorId="0">
      <text>
        <r>
          <rPr>
            <sz val="10"/>
            <rFont val="Arial"/>
            <family val="2"/>
          </rPr>
          <t xml:space="preserve">Type the Starting Narayana Antardasa in these cells.
Open the Group '+' symbol on the left to view th Nar-AntarDasa periods
</t>
        </r>
      </text>
    </comment>
    <comment ref="H293" authorId="0">
      <text>
        <r>
          <rPr>
            <sz val="10"/>
            <rFont val="Arial"/>
            <family val="2"/>
          </rPr>
          <t xml:space="preserve">Type the Starting Narayana Antardasa in these cells.
Open the Group '+' symbol on the left to view th Nar-AntarDasa periods
</t>
        </r>
      </text>
    </comment>
    <comment ref="H295" authorId="0">
      <text>
        <r>
          <rPr>
            <sz val="10"/>
            <rFont val="Arial"/>
            <family val="2"/>
          </rPr>
          <t xml:space="preserve">Type the Starting Narayana Antardasa in these cells.
Open the Group '+' symbol on the left to view th Nar-AntarDasa periods
</t>
        </r>
      </text>
    </comment>
    <comment ref="H297" authorId="0">
      <text>
        <r>
          <rPr>
            <sz val="10"/>
            <rFont val="Arial"/>
            <family val="2"/>
          </rPr>
          <t xml:space="preserve">Type the Starting Narayana Antardasa in these cells.
Open the Group '+' symbol on the left to view th Nar-AntarDasa periods
</t>
        </r>
      </text>
    </comment>
    <comment ref="H299" authorId="0">
      <text>
        <r>
          <rPr>
            <sz val="10"/>
            <rFont val="Arial"/>
            <family val="2"/>
          </rPr>
          <t xml:space="preserve">Type the Starting Narayana Antardasa in these cells.
Open the Group '+' symbol on the left to view th Nar-AntarDasa periods
</t>
        </r>
      </text>
    </comment>
    <comment ref="H308" authorId="0">
      <text>
        <r>
          <rPr>
            <sz val="10"/>
            <rFont val="Arial"/>
            <family val="2"/>
          </rPr>
          <t xml:space="preserve">Type the Starting Narayana Antardasa in these cells.
Open the Group '+' symbol on the left to view th Nar-AntarDasa periods
</t>
        </r>
      </text>
    </comment>
    <comment ref="H310" authorId="0">
      <text>
        <r>
          <rPr>
            <sz val="10"/>
            <rFont val="Arial"/>
            <family val="2"/>
          </rPr>
          <t xml:space="preserve">Type the Starting Narayana Antardasa in these cells.
Open the Group '+' symbol on the left to view th Nar-AntarDasa periods
</t>
        </r>
      </text>
    </comment>
    <comment ref="H312" authorId="0">
      <text>
        <r>
          <rPr>
            <sz val="10"/>
            <rFont val="Arial"/>
            <family val="2"/>
          </rPr>
          <t xml:space="preserve">Type the Starting Narayana Antardasa in these cells.
Open the Group '+' symbol on the left to view th Nar-AntarDasa periods
</t>
        </r>
      </text>
    </comment>
    <comment ref="H314" authorId="0">
      <text>
        <r>
          <rPr>
            <sz val="10"/>
            <rFont val="Arial"/>
            <family val="2"/>
          </rPr>
          <t xml:space="preserve">Type the Starting Narayana Antardasa in these cells.
Open the Group '+' symbol on the left to view th Nar-AntarDasa periods
</t>
        </r>
      </text>
    </comment>
    <comment ref="H316" authorId="0">
      <text>
        <r>
          <rPr>
            <sz val="10"/>
            <rFont val="Arial"/>
            <family val="2"/>
          </rPr>
          <t xml:space="preserve">Type the Starting Narayana Antardasa in these cells.
Open the Group '+' symbol on the left to view th Nar-AntarDasa periods
</t>
        </r>
      </text>
    </comment>
    <comment ref="H324" authorId="0">
      <text>
        <r>
          <rPr>
            <sz val="10"/>
            <rFont val="Arial"/>
            <family val="2"/>
          </rPr>
          <t xml:space="preserve">Type the Starting Narayana Antardasa in these cells.
Open the Group '+' symbol on the left to view th Nar-AntarDasa periods
</t>
        </r>
      </text>
    </comment>
    <comment ref="H326" authorId="0">
      <text>
        <r>
          <rPr>
            <sz val="10"/>
            <rFont val="Arial"/>
            <family val="2"/>
          </rPr>
          <t xml:space="preserve">Type the Starting Narayana Antardasa in these cells.
Open the Group '+' symbol on the left to view th Nar-AntarDasa periods
</t>
        </r>
      </text>
    </comment>
    <comment ref="H328" authorId="0">
      <text>
        <r>
          <rPr>
            <sz val="10"/>
            <rFont val="Arial"/>
            <family val="2"/>
          </rPr>
          <t xml:space="preserve">Type the Starting Narayana Antardasa in these cells.
Open the Group '+' symbol on the left to view th Nar-AntarDasa periods
</t>
        </r>
      </text>
    </comment>
    <comment ref="H330" authorId="0">
      <text>
        <r>
          <rPr>
            <sz val="10"/>
            <rFont val="Arial"/>
            <family val="2"/>
          </rPr>
          <t xml:space="preserve">Type the Starting Narayana Antardasa in these cells.
Open the Group '+' symbol on the left to view th Nar-AntarDasa periods
</t>
        </r>
      </text>
    </comment>
    <comment ref="H340" authorId="0">
      <text>
        <r>
          <rPr>
            <sz val="10"/>
            <rFont val="Arial"/>
            <family val="2"/>
          </rPr>
          <t xml:space="preserve">Type the Starting Narayana Antardasa in these cells.
Open the Group '+' symbol on the left to view th Nar-AntarDasa periods
</t>
        </r>
      </text>
    </comment>
    <comment ref="H342" authorId="0">
      <text>
        <r>
          <rPr>
            <sz val="10"/>
            <rFont val="Arial"/>
            <family val="2"/>
          </rPr>
          <t xml:space="preserve">Type the Starting Narayana Antardasa in these cells.
Open the Group '+' symbol on the left to view th Nar-AntarDasa periods
</t>
        </r>
      </text>
    </comment>
    <comment ref="H344" authorId="0">
      <text>
        <r>
          <rPr>
            <sz val="10"/>
            <rFont val="Arial"/>
            <family val="2"/>
          </rPr>
          <t xml:space="preserve">Type the Starting Narayana Antardasa in these cells.
Open the Group '+' symbol on the left to view th Nar-AntarDasa periods
</t>
        </r>
      </text>
    </comment>
    <comment ref="H346" authorId="0">
      <text>
        <r>
          <rPr>
            <sz val="10"/>
            <rFont val="Arial"/>
            <family val="2"/>
          </rPr>
          <t xml:space="preserve">Type the Starting Narayana Antardasa in these cells.
Open the Group '+' symbol on the left to view th Nar-AntarDasa periods
</t>
        </r>
      </text>
    </comment>
    <comment ref="H356" authorId="0">
      <text>
        <r>
          <rPr>
            <sz val="10"/>
            <rFont val="Arial"/>
            <family val="2"/>
          </rPr>
          <t xml:space="preserve">Type the Starting Narayana Antardasa in these cells.
Open the Group '+' symbol on the left to view th Nar-AntarDasa periods
</t>
        </r>
      </text>
    </comment>
    <comment ref="H358" authorId="0">
      <text>
        <r>
          <rPr>
            <sz val="10"/>
            <rFont val="Arial"/>
            <family val="2"/>
          </rPr>
          <t xml:space="preserve">Type the Starting Narayana Antardasa in these cells.
Open the Group '+' symbol on the left to view th Nar-AntarDasa periods
</t>
        </r>
      </text>
    </comment>
    <comment ref="H360" authorId="0">
      <text>
        <r>
          <rPr>
            <sz val="10"/>
            <rFont val="Arial"/>
            <family val="2"/>
          </rPr>
          <t xml:space="preserve">Type the Starting Narayana Antardasa in these cells.
Open the Group '+' symbol on the left to view th Nar-AntarDasa periods
</t>
        </r>
      </text>
    </comment>
    <comment ref="H362" authorId="0">
      <text>
        <r>
          <rPr>
            <sz val="10"/>
            <rFont val="Arial"/>
            <family val="2"/>
          </rPr>
          <t xml:space="preserve">Type the Starting Narayana Antardasa in these cells.
Open the Group '+' symbol on the left to view th Nar-AntarDasa periods
</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Varshphal (Annual Predication)
 By S.P. Gour</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H3" authorId="0">
      <text>
        <r>
          <rPr>
            <sz val="10"/>
            <rFont val="Arial"/>
            <family val="2"/>
          </rPr>
          <t xml:space="preserve">Prabhakaran, Sanjay:
</t>
        </r>
      </text>
    </comment>
    <comment ref="M3" authorId="0">
      <text>
        <r>
          <rPr>
            <sz val="10"/>
            <rFont val="Arial"/>
            <family val="2"/>
          </rPr>
          <t xml:space="preserve">Vi
Ma,Agni
T3,T11,Cat,Dhuma</t>
        </r>
      </text>
    </comment>
    <comment ref="M8" authorId="0">
      <text>
        <r>
          <rPr>
            <sz val="10"/>
            <rFont val="Arial"/>
            <family val="2"/>
          </rPr>
          <t xml:space="preserve">Ca,Le,
Ju,Pritvi
T5,T13,Lion,Simha</t>
        </r>
      </text>
    </comment>
    <comment ref="M13" authorId="0">
      <text>
        <r>
          <rPr>
            <sz val="10"/>
            <rFont val="Arial"/>
            <family val="2"/>
          </rPr>
          <t xml:space="preserve">Sg,
Mercury,Ether,
T4,T12,Dog,Dog</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BV Raman, Prashna Marga Notes.</t>
        </r>
      </text>
    </comment>
  </commentList>
</comments>
</file>

<file path=xl/sharedStrings.xml><?xml version="1.0" encoding="utf-8"?>
<sst xmlns="http://schemas.openxmlformats.org/spreadsheetml/2006/main" count="11578" uniqueCount="5168">
  <si>
    <t xml:space="preserve">C:\Users\sprabhakara2\Google Drive\charts\Family&amp;Self\Sanjay Prabhakaran</t>
  </si>
  <si>
    <t xml:space="preserve">Born in CIM Stores</t>
  </si>
  <si>
    <t xml:space="preserve">Joined SJC/SJVC</t>
  </si>
  <si>
    <t xml:space="preserve">Natal Chart</t>
  </si>
  <si>
    <t xml:space="preserve">Bought Car D16</t>
  </si>
  <si>
    <t xml:space="preserve">Marriage D9</t>
  </si>
  <si>
    <t xml:space="preserve">Date:          July 19, 1971</t>
  </si>
  <si>
    <t xml:space="preserve">Time:          9:13:10</t>
  </si>
  <si>
    <t xml:space="preserve">Time Zone:     5:30:00 (East of GMT)</t>
  </si>
  <si>
    <t xml:space="preserve">Place:         78 E 05' 05", 10 N 57' 47"</t>
  </si>
  <si>
    <t xml:space="preserve">               Karur CIM Store, India</t>
  </si>
  <si>
    <t xml:space="preserve">Altitude:      123.00 meters</t>
  </si>
  <si>
    <t xml:space="preserve">Lunar Yr-Mo:   Virodha-krit - Ashadha</t>
  </si>
  <si>
    <t xml:space="preserve">Tithi:         Krishna Dwadasi (Me) (28.19% left)</t>
  </si>
  <si>
    <t xml:space="preserve">Vedic Weekday: Monday (Mo)</t>
  </si>
  <si>
    <t xml:space="preserve">Nakshatra:     Rohini (Mo) (2.38% left)</t>
  </si>
  <si>
    <t xml:space="preserve">Yoga:          Vriddhi (Me) (9.39% left)</t>
  </si>
  <si>
    <t xml:space="preserve">Karana:        Taitula (Me) (56.39% left)</t>
  </si>
  <si>
    <t xml:space="preserve">Hora Lord:     Mars (5 min sign: Sg)</t>
  </si>
  <si>
    <t xml:space="preserve">Mahakala Hora: Jupiter (5 min sign: Aq)</t>
  </si>
  <si>
    <t xml:space="preserve">Kaala Lord:    Rahu (Mahakala: Rahu)</t>
  </si>
  <si>
    <t xml:space="preserve">Sunrise:       6:03:17</t>
  </si>
  <si>
    <t xml:space="preserve">Sunset:        18:44:17</t>
  </si>
  <si>
    <t xml:space="preserve">Janma Ghatis:  7.9117</t>
  </si>
  <si>
    <t xml:space="preserve">Ayanamsa:      23-26-39.19</t>
  </si>
  <si>
    <t xml:space="preserve">Sidereal Time: 4:40:40</t>
  </si>
  <si>
    <t xml:space="preserve">Body                    Longitude        Nakshatra Pada Rasi Navamsa</t>
  </si>
  <si>
    <t xml:space="preserve">Lagna                   16 Le 42' 41.46" PPha      2    Le   Vi</t>
  </si>
  <si>
    <t xml:space="preserve">Sun - DK                 2 Cn 23' 57.13" Puna      4    Cn   Cn</t>
  </si>
  <si>
    <t xml:space="preserve">Moon - BK               23 Ta 00' 57.40" Rohi      4    Ta   Cn</t>
  </si>
  <si>
    <t xml:space="preserve">Mars (R) - AK           28 Cp 06' 31.19" Dhan      2    Cp   Vi</t>
  </si>
  <si>
    <t xml:space="preserve">Mercury - AmK           27 Cn 07' 47.23" Asre      4    Cn   Pi</t>
  </si>
  <si>
    <t xml:space="preserve">Jupiter (R) - GK         3 Sc 11' 49.83" Visa      4    Sc   Cn</t>
  </si>
  <si>
    <t xml:space="preserve">Venus - MK              21 Ge 32' 26.17" Puna      1    Ge   Ar</t>
  </si>
  <si>
    <t xml:space="preserve">Saturn - PiK             9 Ta 53' 06.76" Krit      4    Ta   Pi</t>
  </si>
  <si>
    <t xml:space="preserve">Rahu - PK               21 Cp 58' 02.06" Srav      4    Cp   Cn</t>
  </si>
  <si>
    <t xml:space="preserve">Ketu                    21 Cn 58' 02.06" Asre      2    Cn   Cp</t>
  </si>
  <si>
    <t xml:space="preserve">Maandi                   8 Sc 13' 55.81" Anu       2    Sc   Vi</t>
  </si>
  <si>
    <t xml:space="preserve">Gulika                  19 Sc 06' 14.77" Jye       1    Sc   Sg</t>
  </si>
  <si>
    <t xml:space="preserve">Bhava Lagna             19 Le 52' 10.90" PPha      2    Le   Vi</t>
  </si>
  <si>
    <t xml:space="preserve">Hora Lagna               7 Li 20' 24.68" Swat      1    Li   Sg</t>
  </si>
  <si>
    <t xml:space="preserve">Ghati Lagna             29 Aq 45' 05.99" PBha      3    Aq   Ge</t>
  </si>
  <si>
    <t xml:space="preserve">Vighati Lagna           21 Aq 48' 32.58" PBha      1    Aq   Ar</t>
  </si>
  <si>
    <t xml:space="preserve">Varnada Lagna           16 Pi 42' 41.46" Reva      1    Pi   Aq</t>
  </si>
  <si>
    <t xml:space="preserve">Sree Lagna               8 Le 08' 31.14" Magh      3    Le   Ge</t>
  </si>
  <si>
    <t xml:space="preserve">Pranapada Lagna         21 Aq 48' 32.58" PBha      1    Aq   Ar</t>
  </si>
  <si>
    <t xml:space="preserve">Indu Lagna              23 Sc 00' 57.40" Jye       2    Sc   Cp</t>
  </si>
  <si>
    <t xml:space="preserve">Bhrigu Bindu            22 Pi 29' 29.73" Reva      2    Pi   Cp</t>
  </si>
  <si>
    <t xml:space="preserve">Dhooma                  15 Sc 43' 57.13" Anu       4    Sc   Sc</t>
  </si>
  <si>
    <t xml:space="preserve">Vyatipata               14 Le 16' 02.87" PPha      1    Le   Le</t>
  </si>
  <si>
    <t xml:space="preserve">Parivesha               14 Aq 16' 02.87" Sata      3    Aq   Aq</t>
  </si>
  <si>
    <t xml:space="preserve">Indra Chapa             15 Ta 43' 57.13" Rohi      2    Ta   Ta</t>
  </si>
  <si>
    <t xml:space="preserve">Upaketu                  2 Ge 23' 57.13" Mrig      3    Ge   Li</t>
  </si>
  <si>
    <t xml:space="preserve">Kaala                    3 Cp 37' 58.24" USha      3    Cp   Aq</t>
  </si>
  <si>
    <t xml:space="preserve">Mrityu                  16 Le 48' 09.04" PPha      2    Le   Vi</t>
  </si>
  <si>
    <t xml:space="preserve">Artha Prahara           10 Vi 40' 57.52" Hast      1    Vi   Ar</t>
  </si>
  <si>
    <t xml:space="preserve">Yama Ghantaka            4 Li 23' 46.00" Chit      4    Li   Sc</t>
  </si>
  <si>
    <t xml:space="preserve">Prana Sphuta            12 Li 39' 42.06" Swat      2    Li   Cp</t>
  </si>
  <si>
    <t xml:space="preserve">Deha Sphuta             23 Cp 13' 53.93" Srav      4    Cp   Cn</t>
  </si>
  <si>
    <t xml:space="preserve">Mrityu Sphuta           16 Sg 07' 40.49" PSha      1    Sg   Le</t>
  </si>
  <si>
    <t xml:space="preserve">Sookshma TriSphuta      22 Ar 01' 16.48" Bhar      3    Ar   Li</t>
  </si>
  <si>
    <t xml:space="preserve">Tithi Sphuta            20 Aq 37' 00.26" PBha      1    Aq   Ar</t>
  </si>
  <si>
    <t xml:space="preserve">Yoga Sphuta (Sun-Moon)  25 Le 24' 54.53" PPha      4    Le   Sc</t>
  </si>
  <si>
    <t xml:space="preserve">Rahu Tithi Sphuta       19 Li 34' 04.93" Swat      4    Li   Pi</t>
  </si>
  <si>
    <t xml:space="preserve">Kshetra Sphuta          24 Li 19' 18.41" Visa      2    Li   Ta</t>
  </si>
  <si>
    <t xml:space="preserve">Beeja Sphuta            27 Ar 08' 13.13" Krit      1    Ar   Sg</t>
  </si>
  <si>
    <t xml:space="preserve">TriSphuta               28 Ta 49' 53.62" Mrig      2    Ta   Vi</t>
  </si>
  <si>
    <t xml:space="preserve">ChatusSphuta             1 Vi 13' 50.75" UPha      2    Vi   Cp</t>
  </si>
  <si>
    <t xml:space="preserve">PanchaSphuta            23 Ge 11' 52.82" Puna      1    Ge   Ar</t>
  </si>
  <si>
    <t xml:space="preserve">Kunda                    3 Cp 37' 58.17" USha      3    Cp   Aq</t>
  </si>
  <si>
    <t xml:space="preserve">Yoga Sphuta             28 Sc 44' 54.53" Jye       4    Sc   Pi</t>
  </si>
  <si>
    <t xml:space="preserve">Avayoga Sphuta           5 Ge 24' 54.53" Mrig      4    Ge   Sc</t>
  </si>
  <si>
    <t xml:space="preserve">YogaSaham               28 Sc 44' 54.53" Jye       4    Sc   Pi</t>
  </si>
  <si>
    <t xml:space="preserve">Date Of Birth</t>
  </si>
  <si>
    <t xml:space="preserve">Days In Year</t>
  </si>
  <si>
    <t xml:space="preserve">Days</t>
  </si>
  <si>
    <t xml:space="preserve">Yellow Cells are Input Cells</t>
  </si>
  <si>
    <r>
      <rPr>
        <sz val="11"/>
        <color rgb="FF000000"/>
        <rFont val="Calibri"/>
        <family val="2"/>
        <charset val="1"/>
      </rPr>
      <t xml:space="preserve">After you do Edit;Copy Basic Calculations in Jhora. Goto the JHora Sheet and Paste in 1</t>
    </r>
    <r>
      <rPr>
        <vertAlign val="superscript"/>
        <sz val="10"/>
        <color rgb="FFFF0000"/>
        <rFont val="Arial"/>
        <family val="2"/>
        <charset val="1"/>
      </rPr>
      <t xml:space="preserve">st</t>
    </r>
    <r>
      <rPr>
        <sz val="10"/>
        <color rgb="FFFF0000"/>
        <rFont val="Arial"/>
        <family val="2"/>
        <charset val="1"/>
      </rPr>
      <t xml:space="preserve"> row 1</t>
    </r>
    <r>
      <rPr>
        <vertAlign val="superscript"/>
        <sz val="10"/>
        <color rgb="FFFF0000"/>
        <rFont val="Arial"/>
        <family val="2"/>
        <charset val="1"/>
      </rPr>
      <t xml:space="preserve">st</t>
    </r>
    <r>
      <rPr>
        <sz val="10"/>
        <color rgb="FFFF0000"/>
        <rFont val="Arial"/>
        <family val="2"/>
        <charset val="1"/>
      </rPr>
      <t xml:space="preserve"> col</t>
    </r>
  </si>
  <si>
    <t xml:space="preserve">Sphuta Deg</t>
  </si>
  <si>
    <t xml:space="preserve">Bhavan Deg</t>
  </si>
  <si>
    <t xml:space="preserve">Nakhshatra Ruler</t>
  </si>
  <si>
    <t xml:space="preserve">Avastha</t>
  </si>
  <si>
    <t xml:space="preserve">Retrograde</t>
  </si>
  <si>
    <t xml:space="preserve">Graha Tithi</t>
  </si>
  <si>
    <t xml:space="preserve">Tithi Lord</t>
  </si>
  <si>
    <t xml:space="preserve">D20Deity</t>
  </si>
  <si>
    <t xml:space="preserve">D27Deity</t>
  </si>
  <si>
    <t xml:space="preserve">D27 Position</t>
  </si>
  <si>
    <t xml:space="preserve">D150Division</t>
  </si>
  <si>
    <t xml:space="preserve">D150Index</t>
  </si>
  <si>
    <t xml:space="preserve">D150Names</t>
  </si>
  <si>
    <t xml:space="preserve">AvashtaInt1</t>
  </si>
  <si>
    <t xml:space="preserve">AvashtaInt2</t>
  </si>
  <si>
    <t xml:space="preserve">AvashtaInt3</t>
  </si>
  <si>
    <t xml:space="preserve">AvashtaInt4</t>
  </si>
  <si>
    <t xml:space="preserve">AvashtaInt5</t>
  </si>
  <si>
    <t xml:space="preserve">GrahaOrder</t>
  </si>
  <si>
    <t xml:space="preserve">MyValue</t>
  </si>
  <si>
    <t xml:space="preserve">-</t>
  </si>
  <si>
    <t xml:space="preserve">If Surya is in Sayan Avastha, the native will incur digestive deficiency, many diseases, stoutness of legs, bilious vitiation, ulcer in the anus and heart strokes; </t>
  </si>
  <si>
    <t xml:space="preserve">if in Upavesan, will be troubled by diseases, be dull-witted, not endowed with mentionable wealth, will be hard-hearted, will do unworthy acts and will steal others’ wealth;</t>
  </si>
  <si>
    <t xml:space="preserve">If Mangal is placed in Lagn and happens to be in Netrapani, there will be penury; if placed in other Bhavas, Netrapani will confer rulership of a city. </t>
  </si>
  <si>
    <t xml:space="preserve">if in Agaman, the same effects, due to his being in Gaman, will fructify; (if in Gaman, will visit the courts of kings on many occasions and Goddess Lakshmi will dwell in his abode)</t>
  </si>
  <si>
    <t xml:space="preserve">if in Upavesan, will be garrulous and very proud, will be troubled by the king and enemies and will have ulcers on the feet shanks, face and hands; </t>
  </si>
  <si>
    <t xml:space="preserve">if in Nidr, will be interested in serving others, will blame others, be heroic, garrulous and will be wandering all over the earth.</t>
  </si>
  <si>
    <t xml:space="preserve">if in Bhojan, will enjoy tastes of food, will be weak-sighted and will be fickle-minded, due to mental delusion; </t>
  </si>
  <si>
    <t xml:space="preserve">If Rahu is in Upavesan, the native will be distressed, due to ulcers, will be endowed with royal association, be highly honourable and ever devoid of financial happiness; </t>
  </si>
  <si>
    <t xml:space="preserve">if in Bhojan, will always be distressed with hunger, penury and diseases and will roam all over the earth; </t>
  </si>
  <si>
    <t xml:space="preserve">Shri Lagna</t>
  </si>
  <si>
    <t xml:space="preserve">Varnada Lagna</t>
  </si>
  <si>
    <t xml:space="preserve">Utpanna(5th) Star</t>
  </si>
  <si>
    <t xml:space="preserve">Kshema(4th) Star</t>
  </si>
  <si>
    <t xml:space="preserve">=</t>
  </si>
  <si>
    <t xml:space="preserve">Sun+Moon</t>
  </si>
  <si>
    <t xml:space="preserve">Panchanga Yoga</t>
  </si>
  <si>
    <t xml:space="preserve">Called "Yogi Point" by Sheshadri Iyer</t>
  </si>
  <si>
    <t xml:space="preserve">Ava Yoga/Yogi</t>
  </si>
  <si>
    <t xml:space="preserve">Sun+Rahu</t>
  </si>
  <si>
    <t xml:space="preserve">Sun+Saturn</t>
  </si>
  <si>
    <t xml:space="preserve">Sun+Venus</t>
  </si>
  <si>
    <t xml:space="preserve">Panchanga Tithi Number</t>
  </si>
  <si>
    <t xml:space="preserve">Vighatika Lord</t>
  </si>
  <si>
    <t xml:space="preserve">SunRise</t>
  </si>
  <si>
    <t xml:space="preserve">SunSet</t>
  </si>
  <si>
    <t xml:space="preserve">Vaara</t>
  </si>
  <si>
    <t xml:space="preserve">Mandi</t>
  </si>
  <si>
    <t xml:space="preserve">Hrs</t>
  </si>
  <si>
    <t xml:space="preserve">Ghatikas</t>
  </si>
  <si>
    <t xml:space="preserve">Day Duration</t>
  </si>
  <si>
    <t xml:space="preserve">Night Duration</t>
  </si>
  <si>
    <t xml:space="preserve">TimeSinceSunRise</t>
  </si>
  <si>
    <t xml:space="preserve">Tattva Index</t>
  </si>
  <si>
    <t xml:space="preserve">Ahargana</t>
  </si>
  <si>
    <t xml:space="preserve"> Day</t>
  </si>
  <si>
    <t xml:space="preserve">day/Night Birth</t>
  </si>
  <si>
    <t xml:space="preserve">Kali Era</t>
  </si>
  <si>
    <t xml:space="preserve">Or</t>
  </si>
  <si>
    <t xml:space="preserve">Ayanamsha</t>
  </si>
  <si>
    <t xml:space="preserve">Planet</t>
  </si>
  <si>
    <t xml:space="preserve">Longitude</t>
  </si>
  <si>
    <t xml:space="preserve">Nakshatra</t>
  </si>
  <si>
    <t xml:space="preserve">Nak Ruler</t>
  </si>
  <si>
    <t xml:space="preserve">D1</t>
  </si>
  <si>
    <t xml:space="preserve">D1#</t>
  </si>
  <si>
    <t xml:space="preserve">D3#</t>
  </si>
  <si>
    <t xml:space="preserve">D3</t>
  </si>
  <si>
    <t xml:space="preserve">D4#</t>
  </si>
  <si>
    <t xml:space="preserve">D4</t>
  </si>
  <si>
    <t xml:space="preserve">D7#</t>
  </si>
  <si>
    <t xml:space="preserve">D7</t>
  </si>
  <si>
    <t xml:space="preserve">D9#</t>
  </si>
  <si>
    <t xml:space="preserve">D9</t>
  </si>
  <si>
    <t xml:space="preserve">D10#</t>
  </si>
  <si>
    <t xml:space="preserve">D10</t>
  </si>
  <si>
    <t xml:space="preserve">D12#</t>
  </si>
  <si>
    <t xml:space="preserve">D12</t>
  </si>
  <si>
    <t xml:space="preserve">SD3</t>
  </si>
  <si>
    <t xml:space="preserve">Asc</t>
  </si>
  <si>
    <t xml:space="preserve">Sun</t>
  </si>
  <si>
    <t xml:space="preserve">Moon</t>
  </si>
  <si>
    <t xml:space="preserve">Mars</t>
  </si>
  <si>
    <t xml:space="preserve">Mercury</t>
  </si>
  <si>
    <t xml:space="preserve">Jupiter</t>
  </si>
  <si>
    <t xml:space="preserve">Venus</t>
  </si>
  <si>
    <t xml:space="preserve">Saturn</t>
  </si>
  <si>
    <t xml:space="preserve">Rahu</t>
  </si>
  <si>
    <t xml:space="preserve">Ketu</t>
  </si>
  <si>
    <t xml:space="preserve">VL</t>
  </si>
  <si>
    <t xml:space="preserve">Navamsa</t>
  </si>
  <si>
    <t xml:space="preserve">Drekkana</t>
  </si>
  <si>
    <t xml:space="preserve">*
  *
    *</t>
  </si>
  <si>
    <t xml:space="preserve">    *
  *
*</t>
  </si>
  <si>
    <t xml:space="preserve">RASI CHART</t>
  </si>
  <si>
    <t xml:space="preserve">Rashi</t>
  </si>
  <si>
    <t xml:space="preserve">Special Nakshatras From</t>
  </si>
  <si>
    <t xml:space="preserve">Nakshatra Name</t>
  </si>
  <si>
    <t xml:space="preserve">Sanskrit</t>
  </si>
  <si>
    <t xml:space="preserve">Ref:</t>
  </si>
  <si>
    <t xml:space="preserve">Number</t>
  </si>
  <si>
    <t xml:space="preserve">28 Nx</t>
  </si>
  <si>
    <t xml:space="preserve">Lords</t>
  </si>
  <si>
    <t xml:space="preserve">*</t>
  </si>
  <si>
    <t xml:space="preserve">27 Nx</t>
  </si>
  <si>
    <t xml:space="preserve">Navamsa House</t>
  </si>
  <si>
    <t xml:space="preserve">Pada</t>
  </si>
  <si>
    <t xml:space="preserve">Janma/Pritvi</t>
  </si>
  <si>
    <t xml:space="preserve">Janma</t>
  </si>
  <si>
    <t xml:space="preserve">Jaati</t>
  </si>
  <si>
    <r>
      <rPr>
        <b val="true"/>
        <sz val="14"/>
        <color rgb="FF000000"/>
        <rFont val="Arial"/>
        <family val="2"/>
        <charset val="1"/>
      </rPr>
      <t xml:space="preserve">जाति </t>
    </r>
    <r>
      <rPr>
        <b val="true"/>
        <sz val="14"/>
        <color rgb="FF000000"/>
        <rFont val="Times New Roman"/>
        <family val="1"/>
        <charset val="1"/>
      </rPr>
      <t xml:space="preserve">jāti</t>
    </r>
  </si>
  <si>
    <t xml:space="preserve">Naidhana</t>
  </si>
  <si>
    <r>
      <rPr>
        <b val="true"/>
        <sz val="14"/>
        <color rgb="FF000000"/>
        <rFont val="Arial"/>
        <family val="2"/>
        <charset val="1"/>
      </rPr>
      <t xml:space="preserve">नैधन </t>
    </r>
    <r>
      <rPr>
        <b val="true"/>
        <sz val="14"/>
        <color rgb="FF000000"/>
        <rFont val="Times New Roman"/>
        <family val="1"/>
        <charset val="1"/>
      </rPr>
      <t xml:space="preserve">naidhana</t>
    </r>
  </si>
  <si>
    <t xml:space="preserve">Mātṛi /King</t>
  </si>
  <si>
    <r>
      <rPr>
        <b val="true"/>
        <sz val="14"/>
        <color rgb="FF000000"/>
        <rFont val="Arial"/>
        <family val="2"/>
        <charset val="1"/>
      </rPr>
      <t xml:space="preserve">मतृ </t>
    </r>
    <r>
      <rPr>
        <b val="true"/>
        <sz val="14"/>
        <color rgb="FF000000"/>
        <rFont val="Times New Roman"/>
        <family val="1"/>
        <charset val="1"/>
      </rPr>
      <t xml:space="preserve">matṛ</t>
    </r>
  </si>
  <si>
    <t xml:space="preserve">Karma/Dvija/Dwijanma</t>
  </si>
  <si>
    <r>
      <rPr>
        <b val="true"/>
        <sz val="14"/>
        <color rgb="FF000000"/>
        <rFont val="Arial"/>
        <family val="2"/>
        <charset val="1"/>
      </rPr>
      <t xml:space="preserve">कर्म </t>
    </r>
    <r>
      <rPr>
        <b val="true"/>
        <sz val="14"/>
        <color rgb="FF000000"/>
        <rFont val="Times New Roman"/>
        <family val="1"/>
        <charset val="1"/>
      </rPr>
      <t xml:space="preserve">karma</t>
    </r>
  </si>
  <si>
    <t xml:space="preserve">Income??/Needs Chastity</t>
  </si>
  <si>
    <t xml:space="preserve">Desha</t>
  </si>
  <si>
    <r>
      <rPr>
        <b val="true"/>
        <sz val="14"/>
        <color rgb="FF000000"/>
        <rFont val="Arial"/>
        <family val="2"/>
        <charset val="1"/>
      </rPr>
      <t xml:space="preserve">देश </t>
    </r>
    <r>
      <rPr>
        <b val="true"/>
        <sz val="14"/>
        <color rgb="FF000000"/>
        <rFont val="Times New Roman"/>
        <family val="1"/>
        <charset val="1"/>
      </rPr>
      <t xml:space="preserve">deśa</t>
    </r>
  </si>
  <si>
    <t xml:space="preserve">Assistant/Raajya/Destiny</t>
  </si>
  <si>
    <t xml:space="preserve">राज्य rājya</t>
  </si>
  <si>
    <t xml:space="preserve">DNA??</t>
  </si>
  <si>
    <t xml:space="preserve">New Start ?? Self</t>
  </si>
  <si>
    <t xml:space="preserve">Sanghaatika/Kundalini</t>
  </si>
  <si>
    <r>
      <rPr>
        <b val="true"/>
        <sz val="14"/>
        <color rgb="FF000000"/>
        <rFont val="Arial"/>
        <family val="2"/>
        <charset val="1"/>
      </rPr>
      <t xml:space="preserve">सङ्गटिक </t>
    </r>
    <r>
      <rPr>
        <b val="true"/>
        <sz val="14"/>
        <color rgb="FF000000"/>
        <rFont val="Times New Roman"/>
        <family val="1"/>
        <charset val="1"/>
      </rPr>
      <t xml:space="preserve">saṅgāṭika</t>
    </r>
  </si>
  <si>
    <t xml:space="preserve">Chandra Ashtama (Follower)</t>
  </si>
  <si>
    <t xml:space="preserve">Ashtama Nakshatra</t>
  </si>
  <si>
    <t xml:space="preserve">Samudaayika</t>
  </si>
  <si>
    <r>
      <rPr>
        <b val="true"/>
        <sz val="14"/>
        <color rgb="FF000000"/>
        <rFont val="Arial"/>
        <family val="2"/>
        <charset val="1"/>
      </rPr>
      <t xml:space="preserve">समुदायिक </t>
    </r>
    <r>
      <rPr>
        <b val="true"/>
        <sz val="14"/>
        <color rgb="FF000000"/>
        <rFont val="Times New Roman"/>
        <family val="1"/>
        <charset val="1"/>
      </rPr>
      <t xml:space="preserve">samudāyika </t>
    </r>
  </si>
  <si>
    <t xml:space="preserve">Aadhana/Father</t>
  </si>
  <si>
    <r>
      <rPr>
        <b val="true"/>
        <sz val="14"/>
        <color rgb="FF000000"/>
        <rFont val="Arial"/>
        <family val="2"/>
        <charset val="1"/>
      </rPr>
      <t xml:space="preserve">आधन </t>
    </r>
    <r>
      <rPr>
        <b val="true"/>
        <sz val="14"/>
        <color rgb="FF000000"/>
        <rFont val="Times New Roman"/>
        <family val="1"/>
        <charset val="1"/>
      </rPr>
      <t xml:space="preserve">ādhana</t>
    </r>
  </si>
  <si>
    <t xml:space="preserve">How you write Like Ganesha Guru Word/Recollect</t>
  </si>
  <si>
    <t xml:space="preserve">Takes to Spirituality/Transformation??</t>
  </si>
  <si>
    <t xml:space="preserve">Vainashika</t>
  </si>
  <si>
    <r>
      <rPr>
        <b val="true"/>
        <sz val="14"/>
        <color rgb="FF000000"/>
        <rFont val="Arial"/>
        <family val="2"/>
        <charset val="1"/>
      </rPr>
      <t xml:space="preserve">वैनशिक </t>
    </r>
    <r>
      <rPr>
        <b val="true"/>
        <sz val="14"/>
        <color rgb="FF000000"/>
        <rFont val="Times New Roman"/>
        <family val="1"/>
        <charset val="1"/>
      </rPr>
      <t xml:space="preserve">vainaśika</t>
    </r>
  </si>
  <si>
    <t xml:space="preserve">Initiations</t>
  </si>
  <si>
    <t xml:space="preserve">Iccha Mṛityu/Sati</t>
  </si>
  <si>
    <t xml:space="preserve">Maanasa/Jaati(?)/Vayu</t>
  </si>
  <si>
    <r>
      <rPr>
        <b val="true"/>
        <sz val="14"/>
        <color rgb="FF000000"/>
        <rFont val="Arial"/>
        <family val="2"/>
        <charset val="1"/>
      </rPr>
      <t xml:space="preserve">मानस </t>
    </r>
    <r>
      <rPr>
        <b val="true"/>
        <sz val="14"/>
        <color rgb="FF000000"/>
        <rFont val="Times New Roman"/>
        <family val="1"/>
        <charset val="1"/>
      </rPr>
      <t xml:space="preserve">mānasa</t>
    </r>
  </si>
  <si>
    <t xml:space="preserve">Brahma(?)/Desha(?)/Agni</t>
  </si>
  <si>
    <t xml:space="preserve">Vishnu/Aakaasha</t>
  </si>
  <si>
    <t xml:space="preserve">Abhisheka/Jala</t>
  </si>
  <si>
    <r>
      <rPr>
        <b val="true"/>
        <sz val="14"/>
        <color rgb="FF000000"/>
        <rFont val="Arial"/>
        <family val="2"/>
        <charset val="1"/>
      </rPr>
      <t xml:space="preserve">अभिशेक </t>
    </r>
    <r>
      <rPr>
        <b val="true"/>
        <sz val="14"/>
        <color rgb="FF000000"/>
        <rFont val="Times New Roman"/>
        <family val="1"/>
        <charset val="1"/>
      </rPr>
      <t xml:space="preserve">abhiśeka</t>
    </r>
  </si>
  <si>
    <t xml:space="preserve">Special Nakshatras From Sun</t>
  </si>
  <si>
    <t xml:space="preserve">Role</t>
  </si>
  <si>
    <t xml:space="preserve">Meaning</t>
  </si>
  <si>
    <t xml:space="preserve">Nax #</t>
  </si>
  <si>
    <t xml:space="preserve">Vidyunmukha</t>
  </si>
  <si>
    <t xml:space="preserve">mouth of lightning</t>
  </si>
  <si>
    <t xml:space="preserve">Shula</t>
  </si>
  <si>
    <t xml:space="preserve">sharp and piercing</t>
  </si>
  <si>
    <t xml:space="preserve">Sannipata</t>
  </si>
  <si>
    <t xml:space="preserve">trouble creator like Saturn</t>
  </si>
  <si>
    <t xml:space="preserve">unpredictable</t>
  </si>
  <si>
    <t xml:space="preserve">Ulka</t>
  </si>
  <si>
    <t xml:space="preserve">fireball</t>
  </si>
  <si>
    <t xml:space="preserve">Kampa</t>
  </si>
  <si>
    <t xml:space="preserve">shiver</t>
  </si>
  <si>
    <t xml:space="preserve">Vajraka</t>
  </si>
  <si>
    <t xml:space="preserve">lighning</t>
  </si>
  <si>
    <t xml:space="preserve">Nirghata</t>
  </si>
  <si>
    <t xml:space="preserve">deadly</t>
  </si>
  <si>
    <t xml:space="preserve">Navatara</t>
  </si>
  <si>
    <t xml:space="preserve">Kaaraka</t>
  </si>
  <si>
    <t xml:space="preserve">#</t>
  </si>
  <si>
    <t xml:space="preserve">Ruler</t>
  </si>
  <si>
    <t xml:space="preserve">Deha</t>
  </si>
  <si>
    <t xml:space="preserve">Navatara 1</t>
  </si>
  <si>
    <t xml:space="preserve">Use 1st Level</t>
  </si>
  <si>
    <t xml:space="preserve">Manasa</t>
  </si>
  <si>
    <t xml:space="preserve">Navatara 2</t>
  </si>
  <si>
    <t xml:space="preserve">Use 2</t>
  </si>
  <si>
    <t xml:space="preserve">Atma</t>
  </si>
  <si>
    <t xml:space="preserve">Navatara 3</t>
  </si>
  <si>
    <t xml:space="preserve">Use 3</t>
  </si>
  <si>
    <t xml:space="preserve">Ruler_</t>
  </si>
  <si>
    <t xml:space="preserve">#2</t>
  </si>
  <si>
    <t xml:space="preserve">Karma</t>
  </si>
  <si>
    <t xml:space="preserve">Pita/Guru</t>
  </si>
  <si>
    <t xml:space="preserve">Sampat</t>
  </si>
  <si>
    <t xml:space="preserve">Dhana-Dhaanya</t>
  </si>
  <si>
    <t xml:space="preserve">Vivaaha</t>
  </si>
  <si>
    <t xml:space="preserve">Aaraadhana/Bhaagya</t>
  </si>
  <si>
    <t xml:space="preserve">Vipat</t>
  </si>
  <si>
    <t xml:space="preserve">Kashta-Durbhaagya</t>
  </si>
  <si>
    <t xml:space="preserve">Durbalata</t>
  </si>
  <si>
    <t xml:space="preserve">Dishaa/Patha</t>
  </si>
  <si>
    <t xml:space="preserve">Kshema/Jaati</t>
  </si>
  <si>
    <t xml:space="preserve">Aashraya-Raksha</t>
  </si>
  <si>
    <t xml:space="preserve">Suraksha</t>
  </si>
  <si>
    <t xml:space="preserve">Devaalaya/Garbha Griha</t>
  </si>
  <si>
    <t xml:space="preserve">Pratyari</t>
  </si>
  <si>
    <t xml:space="preserve">Sangharsha-Anadhar</t>
  </si>
  <si>
    <t xml:space="preserve">Chunauti/Challenge</t>
  </si>
  <si>
    <t xml:space="preserve">Kasauti/Test</t>
  </si>
  <si>
    <t xml:space="preserve">Saadhaka</t>
  </si>
  <si>
    <t xml:space="preserve">Sampurna Siddhi</t>
  </si>
  <si>
    <t xml:space="preserve">Uparjan/Produce/Earn</t>
  </si>
  <si>
    <t xml:space="preserve">Siddhi/Aushadhi</t>
  </si>
  <si>
    <t xml:space="preserve">Naidhana/Vadha</t>
  </si>
  <si>
    <t xml:space="preserve">Vadhik-Ghatak</t>
  </si>
  <si>
    <t xml:space="preserve">Malla Yuddha</t>
  </si>
  <si>
    <t xml:space="preserve">Sanyaasa/Mrityu</t>
  </si>
  <si>
    <t xml:space="preserve">Mitra</t>
  </si>
  <si>
    <t xml:space="preserve">Sahaayaka/Helper</t>
  </si>
  <si>
    <t xml:space="preserve">Saha Karmi/Co-Workger</t>
  </si>
  <si>
    <t xml:space="preserve">Sangha Bandhu/Relative</t>
  </si>
  <si>
    <t xml:space="preserve">Parama Mitra</t>
  </si>
  <si>
    <t xml:space="preserve">Samrakshaka</t>
  </si>
  <si>
    <t xml:space="preserve">Adhi Naayaka</t>
  </si>
  <si>
    <t xml:space="preserve">Raajya Abhisheka/Lakshya</t>
  </si>
  <si>
    <t xml:space="preserve">Grahas'</t>
  </si>
  <si>
    <t xml:space="preserve">Nx#</t>
  </si>
  <si>
    <t xml:space="preserve">Degree</t>
  </si>
  <si>
    <t xml:space="preserve">Pinda (sun)</t>
  </si>
  <si>
    <t xml:space="preserve">Nisarga(Moon)</t>
  </si>
  <si>
    <t xml:space="preserve">Amsha (Lagna Lord)</t>
  </si>
  <si>
    <t xml:space="preserve">Samudaya Ashtakavarga (Saturn)</t>
  </si>
  <si>
    <t xml:space="preserve">Rashmi (Mercury)</t>
  </si>
  <si>
    <t xml:space="preserve">Kaalachakra(Venus)</t>
  </si>
  <si>
    <t xml:space="preserve">BhinnaAshtakvarga (Mars)</t>
  </si>
  <si>
    <t xml:space="preserve">Nakshatraja (Jupiter)</t>
  </si>
  <si>
    <t xml:space="preserve">Graha</t>
  </si>
  <si>
    <t xml:space="preserve">Jataka</t>
  </si>
  <si>
    <t xml:space="preserve">Debility</t>
  </si>
  <si>
    <t xml:space="preserve">Distance</t>
  </si>
  <si>
    <t xml:space="preserve">Maana</t>
  </si>
  <si>
    <t xml:space="preserve">Correction</t>
  </si>
  <si>
    <t xml:space="preserve">Age-P</t>
  </si>
  <si>
    <t xml:space="preserve">Maana2</t>
  </si>
  <si>
    <t xml:space="preserve">Correction3</t>
  </si>
  <si>
    <t xml:space="preserve">Age-N</t>
  </si>
  <si>
    <t xml:space="preserve">Correction5</t>
  </si>
  <si>
    <t xml:space="preserve">Age-A</t>
  </si>
  <si>
    <t xml:space="preserve">MaanaR</t>
  </si>
  <si>
    <t xml:space="preserve">Age-R</t>
  </si>
  <si>
    <t xml:space="preserve">Factor</t>
  </si>
  <si>
    <t xml:space="preserve">Age-K</t>
  </si>
  <si>
    <t xml:space="preserve">Age-B</t>
  </si>
  <si>
    <t xml:space="preserve">Age-Nx</t>
  </si>
  <si>
    <t xml:space="preserve">Lagna</t>
  </si>
  <si>
    <t xml:space="preserve">Total</t>
  </si>
  <si>
    <t xml:space="preserve">Equate to Solar</t>
  </si>
  <si>
    <t xml:space="preserve">Year</t>
  </si>
  <si>
    <t xml:space="preserve">Ratio</t>
  </si>
  <si>
    <t xml:space="preserve">Example</t>
  </si>
  <si>
    <t xml:space="preserve">Solar</t>
  </si>
  <si>
    <t xml:space="preserve">Paksha</t>
  </si>
  <si>
    <t xml:space="preserve">Savana</t>
  </si>
  <si>
    <t xml:space="preserve">Deg*</t>
  </si>
  <si>
    <t xml:space="preserve">Sthana Bala (8)</t>
  </si>
  <si>
    <t xml:space="preserve">Dik Bala</t>
  </si>
  <si>
    <t xml:space="preserve">Kaala Bala</t>
  </si>
  <si>
    <t xml:space="preserve">Naisarga Bala</t>
  </si>
  <si>
    <t xml:space="preserve">Ayana (Ghatika L)</t>
  </si>
  <si>
    <t xml:space="preserve">Drig Bala</t>
  </si>
  <si>
    <t xml:space="preserve">Yuddha</t>
  </si>
  <si>
    <t xml:space="preserve">Cheshta Bala (7th House)</t>
  </si>
  <si>
    <t xml:space="preserve">Uccha(1) (Akaasha)</t>
  </si>
  <si>
    <t xml:space="preserve">Sapta Vargaja(5.25)
(Vaayu)</t>
  </si>
  <si>
    <t xml:space="preserve">Oja-Yugma(0.5)-Ojas/Agni</t>
  </si>
  <si>
    <t xml:space="preserve">Kendradi(1) (Jala)</t>
  </si>
  <si>
    <t xml:space="preserve">Dreshkana(0.25) (Pritvi)</t>
  </si>
  <si>
    <t xml:space="preserve">Total Staana Bala</t>
  </si>
  <si>
    <t xml:space="preserve">Natonnata(1) (Varanada Lagna)</t>
  </si>
  <si>
    <t xml:space="preserve">Paksha(1) (Lagna)</t>
  </si>
  <si>
    <t xml:space="preserve">Tribhaga(1) (Hora L)</t>
  </si>
  <si>
    <t xml:space="preserve">Horaadi</t>
  </si>
  <si>
    <t xml:space="preserve">Total Kaala</t>
  </si>
  <si>
    <t xml:space="preserve">D2</t>
  </si>
  <si>
    <t xml:space="preserve">D30</t>
  </si>
  <si>
    <t xml:space="preserve">Varsha(.25)</t>
  </si>
  <si>
    <t xml:space="preserve">Masa(.5)</t>
  </si>
  <si>
    <t xml:space="preserve">Dina(0.75)</t>
  </si>
  <si>
    <t xml:space="preserve">Hora(1)</t>
  </si>
  <si>
    <t xml:space="preserve">Total Horaadi</t>
  </si>
  <si>
    <t xml:space="preserve">Graha Guna</t>
  </si>
  <si>
    <t xml:space="preserve">Sum</t>
  </si>
  <si>
    <t xml:space="preserve">G#</t>
  </si>
  <si>
    <t xml:space="preserve">Gx</t>
  </si>
  <si>
    <t xml:space="preserve">GD9</t>
  </si>
  <si>
    <t xml:space="preserve">GD30</t>
  </si>
  <si>
    <t xml:space="preserve">Vimsottari Years</t>
  </si>
  <si>
    <t xml:space="preserve">Vimsottari Seq</t>
  </si>
  <si>
    <t xml:space="preserve">Use Forward Table?</t>
  </si>
  <si>
    <t xml:space="preserve">TRUE</t>
  </si>
  <si>
    <t xml:space="preserve">Solar Years</t>
  </si>
  <si>
    <t xml:space="preserve">Sequence</t>
  </si>
  <si>
    <t xml:space="preserve">Sol Days/Deg</t>
  </si>
  <si>
    <t xml:space="preserve">Sol Days/Min</t>
  </si>
  <si>
    <t xml:space="preserve">Sol Days/Sec</t>
  </si>
  <si>
    <t xml:space="preserve">Dasa Days/Min</t>
  </si>
  <si>
    <t xml:space="preserve">Vimsottari Calculation 1</t>
  </si>
  <si>
    <t xml:space="preserve">Moon Speed</t>
  </si>
  <si>
    <t xml:space="preserve">Dasa Sensitivity Days/Min</t>
  </si>
  <si>
    <t xml:space="preserve">Vimsottari Dasa</t>
  </si>
  <si>
    <t xml:space="preserve">Vimsottari Degree</t>
  </si>
  <si>
    <t xml:space="preserve">Starting Dasa</t>
  </si>
  <si>
    <t xml:space="preserve">Balance Of Dasa</t>
  </si>
  <si>
    <t xml:space="preserve">Dasa Past</t>
  </si>
  <si>
    <t xml:space="preserve">&lt;-Corrections Days</t>
  </si>
  <si>
    <t xml:space="preserve">Maha</t>
  </si>
  <si>
    <t xml:space="preserve">Antar</t>
  </si>
  <si>
    <t xml:space="preserve">Praty</t>
  </si>
  <si>
    <t xml:space="preserve">Suksma</t>
  </si>
  <si>
    <t xml:space="preserve">Praana</t>
  </si>
  <si>
    <t xml:space="preserve">Order</t>
  </si>
  <si>
    <t xml:space="preserve">Name</t>
  </si>
  <si>
    <t xml:space="preserve">Insert Arrow</t>
  </si>
  <si>
    <t xml:space="preserve">Maha daśā</t>
  </si>
  <si>
    <t xml:space="preserve">Solar Age</t>
  </si>
  <si>
    <t xml:space="preserve">Mark Arrow Below</t>
  </si>
  <si>
    <t xml:space="preserve">Antardasas of</t>
  </si>
  <si>
    <t xml:space="preserve">Pratyantar of</t>
  </si>
  <si>
    <t xml:space="preserve">Sukshma</t>
  </si>
  <si>
    <t xml:space="preserve">&gt;</t>
  </si>
  <si>
    <t xml:space="preserve">Kshema</t>
  </si>
  <si>
    <t xml:space="preserve">Pratyak</t>
  </si>
  <si>
    <t xml:space="preserve">Saadana</t>
  </si>
  <si>
    <t xml:space="preserve">Naidana</t>
  </si>
  <si>
    <t xml:space="preserve">Paramitra</t>
  </si>
  <si>
    <t xml:space="preserve">Duration</t>
  </si>
  <si>
    <r>
      <rPr>
        <sz val="11"/>
        <color rgb="FF000000"/>
        <rFont val="Calibri"/>
        <family val="2"/>
        <charset val="1"/>
      </rPr>
      <t xml:space="preserve">1</t>
    </r>
    <r>
      <rPr>
        <vertAlign val="superscript"/>
        <sz val="11"/>
        <color rgb="FF000000"/>
        <rFont val="Calibri"/>
        <family val="2"/>
        <charset val="1"/>
      </rPr>
      <t xml:space="preserve">st</t>
    </r>
    <r>
      <rPr>
        <sz val="11"/>
        <color rgb="FF000000"/>
        <rFont val="Calibri"/>
        <family val="2"/>
        <charset val="1"/>
      </rPr>
      <t xml:space="preserve">/4Part</t>
    </r>
  </si>
  <si>
    <r>
      <rPr>
        <sz val="11"/>
        <color rgb="FF000000"/>
        <rFont val="Calibri"/>
        <family val="2"/>
        <charset val="1"/>
      </rPr>
      <t xml:space="preserve">1</t>
    </r>
    <r>
      <rPr>
        <vertAlign val="superscript"/>
        <sz val="11"/>
        <color rgb="FF000000"/>
        <rFont val="Calibri"/>
        <family val="2"/>
        <charset val="1"/>
      </rPr>
      <t xml:space="preserve">st</t>
    </r>
    <r>
      <rPr>
        <sz val="11"/>
        <color rgb="FF000000"/>
        <rFont val="Calibri"/>
        <family val="2"/>
        <charset val="1"/>
      </rPr>
      <t xml:space="preserve"> Part</t>
    </r>
  </si>
  <si>
    <r>
      <rPr>
        <sz val="11"/>
        <color rgb="FF000000"/>
        <rFont val="Calibri"/>
        <family val="2"/>
        <charset val="1"/>
      </rPr>
      <t xml:space="preserve">2</t>
    </r>
    <r>
      <rPr>
        <vertAlign val="superscript"/>
        <sz val="11"/>
        <color rgb="FF000000"/>
        <rFont val="Calibri"/>
        <family val="2"/>
        <charset val="1"/>
      </rPr>
      <t xml:space="preserve">nd</t>
    </r>
    <r>
      <rPr>
        <sz val="11"/>
        <color rgb="FF000000"/>
        <rFont val="Calibri"/>
        <family val="2"/>
        <charset val="1"/>
      </rPr>
      <t xml:space="preserve">/4Part</t>
    </r>
  </si>
  <si>
    <r>
      <rPr>
        <sz val="11"/>
        <color rgb="FF000000"/>
        <rFont val="Calibri"/>
        <family val="2"/>
        <charset val="1"/>
      </rPr>
      <t xml:space="preserve">2</t>
    </r>
    <r>
      <rPr>
        <vertAlign val="superscript"/>
        <sz val="11"/>
        <color rgb="FF000000"/>
        <rFont val="Calibri"/>
        <family val="2"/>
        <charset val="1"/>
      </rPr>
      <t xml:space="preserve">nd</t>
    </r>
    <r>
      <rPr>
        <sz val="11"/>
        <color rgb="FF000000"/>
        <rFont val="Calibri"/>
        <family val="2"/>
        <charset val="1"/>
      </rPr>
      <t xml:space="preserve"> Part</t>
    </r>
  </si>
  <si>
    <r>
      <rPr>
        <sz val="11"/>
        <color rgb="FF000000"/>
        <rFont val="Calibri"/>
        <family val="2"/>
        <charset val="1"/>
      </rPr>
      <t xml:space="preserve">3</t>
    </r>
    <r>
      <rPr>
        <vertAlign val="superscript"/>
        <sz val="11"/>
        <color rgb="FF000000"/>
        <rFont val="Calibri"/>
        <family val="2"/>
        <charset val="1"/>
      </rPr>
      <t xml:space="preserve">rd</t>
    </r>
    <r>
      <rPr>
        <sz val="11"/>
        <color rgb="FF000000"/>
        <rFont val="Calibri"/>
        <family val="2"/>
        <charset val="1"/>
      </rPr>
      <t xml:space="preserve">/4Part</t>
    </r>
  </si>
  <si>
    <r>
      <rPr>
        <sz val="11"/>
        <color rgb="FF000000"/>
        <rFont val="Calibri"/>
        <family val="2"/>
        <charset val="1"/>
      </rPr>
      <t xml:space="preserve">3</t>
    </r>
    <r>
      <rPr>
        <vertAlign val="superscript"/>
        <sz val="11"/>
        <color rgb="FF000000"/>
        <rFont val="Calibri"/>
        <family val="2"/>
        <charset val="1"/>
      </rPr>
      <t xml:space="preserve">rd</t>
    </r>
    <r>
      <rPr>
        <sz val="11"/>
        <color rgb="FF000000"/>
        <rFont val="Calibri"/>
        <family val="2"/>
        <charset val="1"/>
      </rPr>
      <t xml:space="preserve"> Part</t>
    </r>
  </si>
  <si>
    <r>
      <rPr>
        <sz val="11"/>
        <color rgb="FF000000"/>
        <rFont val="Calibri"/>
        <family val="2"/>
        <charset val="1"/>
      </rPr>
      <t xml:space="preserve">4</t>
    </r>
    <r>
      <rPr>
        <vertAlign val="superscript"/>
        <sz val="11"/>
        <color rgb="FF000000"/>
        <rFont val="Calibri"/>
        <family val="2"/>
        <charset val="1"/>
      </rPr>
      <t xml:space="preserve">th</t>
    </r>
    <r>
      <rPr>
        <sz val="11"/>
        <color rgb="FF000000"/>
        <rFont val="Calibri"/>
        <family val="2"/>
        <charset val="1"/>
      </rPr>
      <t xml:space="preserve">/4Part</t>
    </r>
  </si>
  <si>
    <r>
      <rPr>
        <sz val="11"/>
        <color rgb="FF000000"/>
        <rFont val="Calibri"/>
        <family val="2"/>
        <charset val="1"/>
      </rPr>
      <t xml:space="preserve">4</t>
    </r>
    <r>
      <rPr>
        <vertAlign val="superscript"/>
        <sz val="11"/>
        <color rgb="FF000000"/>
        <rFont val="Calibri"/>
        <family val="2"/>
        <charset val="1"/>
      </rPr>
      <t xml:space="preserve">th</t>
    </r>
    <r>
      <rPr>
        <sz val="11"/>
        <color rgb="FF000000"/>
        <rFont val="Calibri"/>
        <family val="2"/>
        <charset val="1"/>
      </rPr>
      <t xml:space="preserve"> Part</t>
    </r>
  </si>
  <si>
    <t xml:space="preserve">Rashi Bhukti Vimshottari</t>
  </si>
  <si>
    <t xml:space="preserve">Rashi Bhukti</t>
  </si>
  <si>
    <t xml:space="preserve">Progress frwd</t>
  </si>
  <si>
    <t xml:space="preserve">Ashtakavarga of</t>
  </si>
  <si>
    <t xml:space="preserve">Start Sign</t>
  </si>
  <si>
    <t xml:space="preserve">AV Score</t>
  </si>
  <si>
    <t xml:space="preserve">Portion</t>
  </si>
  <si>
    <t xml:space="preserve">1/12</t>
  </si>
  <si>
    <t xml:space="preserve">2/12</t>
  </si>
  <si>
    <t xml:space="preserve">3/12</t>
  </si>
  <si>
    <t xml:space="preserve">4/12</t>
  </si>
  <si>
    <t xml:space="preserve">5/12</t>
  </si>
  <si>
    <t xml:space="preserve">6/12</t>
  </si>
  <si>
    <t xml:space="preserve">7/12</t>
  </si>
  <si>
    <t xml:space="preserve">8/12</t>
  </si>
  <si>
    <t xml:space="preserve">9/12</t>
  </si>
  <si>
    <t xml:space="preserve">10/12</t>
  </si>
  <si>
    <t xml:space="preserve">11/12</t>
  </si>
  <si>
    <t xml:space="preserve">12/12</t>
  </si>
  <si>
    <t xml:space="preserve">Breakup of MahaDasa</t>
  </si>
  <si>
    <t xml:space="preserve">Maha Dasa</t>
  </si>
  <si>
    <t xml:space="preserve">Antardasa/Bhukti</t>
  </si>
  <si>
    <t xml:space="preserve">Pratyantardasa</t>
  </si>
  <si>
    <t xml:space="preserve">Sookshmantara</t>
  </si>
  <si>
    <t xml:space="preserve">Praanantar</t>
  </si>
  <si>
    <t xml:space="preserve">Dehantar</t>
  </si>
  <si>
    <t xml:space="preserve">Breakup of marked "&gt;" above</t>
  </si>
  <si>
    <t xml:space="preserve">Vimshottai Factor=</t>
  </si>
  <si>
    <t xml:space="preserve">1/3 for Tribhaga Dasa</t>
  </si>
  <si>
    <t xml:space="preserve">Vimsottari Calcutions 1</t>
  </si>
  <si>
    <t xml:space="preserve">Vimsottari Calcutions 2</t>
  </si>
  <si>
    <t xml:space="preserve">Vimsottari Calcutions 3</t>
  </si>
  <si>
    <t xml:space="preserve">Vimsottari Calcutions 4</t>
  </si>
  <si>
    <t xml:space="preserve">Vimsottari Calcutions 5</t>
  </si>
  <si>
    <t xml:space="preserve">Vimshottari seed</t>
  </si>
  <si>
    <t xml:space="preserve">Calculate Retrograde?</t>
  </si>
  <si>
    <t xml:space="preserve">DaysInYear</t>
  </si>
  <si>
    <t xml:space="preserve">Birth Dasa</t>
  </si>
  <si>
    <t xml:space="preserve">Dasa</t>
  </si>
  <si>
    <t xml:space="preserve">Antar/Bhukti</t>
  </si>
  <si>
    <t xml:space="preserve">Pratyantar</t>
  </si>
  <si>
    <t xml:space="preserve">Sookshma</t>
  </si>
  <si>
    <t xml:space="preserve">On Date</t>
  </si>
  <si>
    <t xml:space="preserve">Event Remarks</t>
  </si>
  <si>
    <t xml:space="preserve">Show?</t>
  </si>
  <si>
    <t xml:space="preserve">Start Date</t>
  </si>
  <si>
    <t xml:space="preserve">End Date</t>
  </si>
  <si>
    <t xml:space="preserve">Cycle Duration Days</t>
  </si>
  <si>
    <t xml:space="preserve">%Frac Past in Cyc</t>
  </si>
  <si>
    <t xml:space="preserve">Dasa# @ Given time</t>
  </si>
  <si>
    <t xml:space="preserve">Dasa @ Given time</t>
  </si>
  <si>
    <t xml:space="preserve">Now() The current dasa</t>
  </si>
  <si>
    <t xml:space="preserve">Yoga#</t>
  </si>
  <si>
    <t xml:space="preserve">Sat</t>
  </si>
  <si>
    <t xml:space="preserve">Ve</t>
  </si>
  <si>
    <t xml:space="preserve">Ju</t>
  </si>
  <si>
    <t xml:space="preserve">Me</t>
  </si>
  <si>
    <t xml:space="preserve">Ma</t>
  </si>
  <si>
    <t xml:space="preserve">Mo</t>
  </si>
  <si>
    <t xml:space="preserve">Su</t>
  </si>
  <si>
    <t xml:space="preserve">Grahas</t>
  </si>
  <si>
    <t xml:space="preserve">Yoga Name/Results</t>
  </si>
  <si>
    <t xml:space="preserve">References</t>
  </si>
  <si>
    <t xml:space="preserve">Conjoined Grahas</t>
  </si>
  <si>
    <t xml:space="preserve">Sat2</t>
  </si>
  <si>
    <t xml:space="preserve">Column2</t>
  </si>
  <si>
    <t xml:space="preserve">Column3</t>
  </si>
  <si>
    <t xml:space="preserve">Column4</t>
  </si>
  <si>
    <t xml:space="preserve">Column5</t>
  </si>
  <si>
    <t xml:space="preserve">Column6</t>
  </si>
  <si>
    <t xml:space="preserve">Column7</t>
  </si>
  <si>
    <t xml:space="preserve">Stree Vasha, Kriya Nipuna</t>
  </si>
  <si>
    <t xml:space="preserve">JP8.1</t>
  </si>
  <si>
    <t xml:space="preserve">Count - Grahas*</t>
  </si>
  <si>
    <t xml:space="preserve">Tejasvi, Bala Satvavaan, Anrita Vaak, Paapi</t>
  </si>
  <si>
    <t xml:space="preserve">Shoora,Satkula,Dharma,Vitta,Gunavaan</t>
  </si>
  <si>
    <t xml:space="preserve">JP8.2</t>
  </si>
  <si>
    <t xml:space="preserve">Vidya,Rupa,Balanvita, Astiramati</t>
  </si>
  <si>
    <t xml:space="preserve">Dharmi,Shaastra Para, Vichitra Gunavaan</t>
  </si>
  <si>
    <t xml:space="preserve">Vagmi, Aushadhisha,</t>
  </si>
  <si>
    <t xml:space="preserve">Total Result</t>
  </si>
  <si>
    <t xml:space="preserve">GiriVana Tapasvi Sarvavandya</t>
  </si>
  <si>
    <t xml:space="preserve">JP15.36 (2)</t>
  </si>
  <si>
    <t xml:space="preserve">Shraddha Karma Para, Nripapriya, Dhani</t>
  </si>
  <si>
    <t xml:space="preserve">Saadhu Janaa Aashraya, Atimatimaan.</t>
  </si>
  <si>
    <t xml:space="preserve">JP8.3</t>
  </si>
  <si>
    <t xml:space="preserve">Tapasvi Moola Phala Ashna</t>
  </si>
  <si>
    <t xml:space="preserve">JP15.32 (3)</t>
  </si>
  <si>
    <t xml:space="preserve">Yati ValkalaBhuti Dhara</t>
  </si>
  <si>
    <t xml:space="preserve">JP15.33 (2)</t>
  </si>
  <si>
    <t xml:space="preserve">Vidya Muni Astradooshaka</t>
  </si>
  <si>
    <t xml:space="preserve">JP15.28</t>
  </si>
  <si>
    <t xml:space="preserve">Strimula Archita Bandumaan, Praangya,</t>
  </si>
  <si>
    <t xml:space="preserve">paapaatma, krivikriya kushala</t>
  </si>
  <si>
    <t xml:space="preserve">JP15.36 (1)</t>
  </si>
  <si>
    <t xml:space="preserve">Yati Valka Phala Ashna</t>
  </si>
  <si>
    <t xml:space="preserve">JP15.35 (1)</t>
  </si>
  <si>
    <t xml:space="preserve">JP15.33 (1)</t>
  </si>
  <si>
    <t xml:space="preserve">JP15.36 (4)</t>
  </si>
  <si>
    <t xml:space="preserve">Dwi Guru</t>
  </si>
  <si>
    <t xml:space="preserve">Yati Dukhita Deena</t>
  </si>
  <si>
    <t xml:space="preserve">JP15.37 (2)</t>
  </si>
  <si>
    <t xml:space="preserve">Vrati/Tapasvi Aayata Aksha</t>
  </si>
  <si>
    <t xml:space="preserve">JP15.29 (1)/JP15.39 (1)</t>
  </si>
  <si>
    <t xml:space="preserve">Praayamati(Dull), Sapatna(Enemy)Vashaga</t>
  </si>
  <si>
    <t xml:space="preserve">Kustriika, pitru dooshaka, gata dhana</t>
  </si>
  <si>
    <t xml:space="preserve">Tapasvi Shaanta</t>
  </si>
  <si>
    <t xml:space="preserve">JP15.34 (1)</t>
  </si>
  <si>
    <t xml:space="preserve">Jatadhara Valka Dharini</t>
  </si>
  <si>
    <t xml:space="preserve">JP15.38 (2)</t>
  </si>
  <si>
    <t xml:space="preserve">JP15.32 (1)</t>
  </si>
  <si>
    <t xml:space="preserve">Tapasi</t>
  </si>
  <si>
    <t xml:space="preserve">JP15.24</t>
  </si>
  <si>
    <t xml:space="preserve">Vrata</t>
  </si>
  <si>
    <t xml:space="preserve">JP15.26</t>
  </si>
  <si>
    <t xml:space="preserve">JP15.34 (2)</t>
  </si>
  <si>
    <t xml:space="preserve">JP15.37 (3)</t>
  </si>
  <si>
    <t xml:space="preserve">Vanaparya</t>
  </si>
  <si>
    <t xml:space="preserve">JP15.27</t>
  </si>
  <si>
    <t xml:space="preserve">Vrati</t>
  </si>
  <si>
    <t xml:space="preserve">JP15.29 (2)</t>
  </si>
  <si>
    <t xml:space="preserve">JP15.32 (2)</t>
  </si>
  <si>
    <t xml:space="preserve">JP15.35 (2)</t>
  </si>
  <si>
    <t xml:space="preserve">JP15.29 (3)</t>
  </si>
  <si>
    <t xml:space="preserve">JP15.36 (3)</t>
  </si>
  <si>
    <t xml:space="preserve">Yati Valka Phala Ashna (?)/GiriVana Tapasvi Sarvavandya</t>
  </si>
  <si>
    <t xml:space="preserve">JP15.35 (3)?/JP15.36 (4)</t>
  </si>
  <si>
    <t xml:space="preserve">JP15.37 (1)</t>
  </si>
  <si>
    <t xml:space="preserve">Muni Tapasvi//Tapasvi Aayata Aksha</t>
  </si>
  <si>
    <t xml:space="preserve">JP15.30 (1)//JP15.39 (2)</t>
  </si>
  <si>
    <t xml:space="preserve">Muni Tapasvi</t>
  </si>
  <si>
    <t xml:space="preserve">JP15.30 (2)</t>
  </si>
  <si>
    <t xml:space="preserve">JP15.38 (1)</t>
  </si>
  <si>
    <t xml:space="preserve">Tapasvi</t>
  </si>
  <si>
    <t xml:space="preserve">JP15.31  (1)</t>
  </si>
  <si>
    <t xml:space="preserve">JP15.31  (2)</t>
  </si>
  <si>
    <t xml:space="preserve">Gola Yoga</t>
  </si>
  <si>
    <t xml:space="preserve">BPHS Nabhasa Yoga</t>
  </si>
  <si>
    <t xml:space="preserve">Names</t>
  </si>
  <si>
    <t xml:space="preserve">Years</t>
  </si>
  <si>
    <t xml:space="preserve">Scheme/Order</t>
  </si>
  <si>
    <t xml:space="preserve">Comments</t>
  </si>
  <si>
    <t xml:space="preserve">Ruling Graha</t>
  </si>
  <si>
    <t xml:space="preserve">Vimshottari</t>
  </si>
  <si>
    <t xml:space="preserve">Kritika</t>
  </si>
  <si>
    <t xml:space="preserve">Jupiter/Moon</t>
  </si>
  <si>
    <t xml:space="preserve">9x3</t>
  </si>
  <si>
    <t xml:space="preserve">Ashtottari</t>
  </si>
  <si>
    <t xml:space="preserve">Ardra</t>
  </si>
  <si>
    <t xml:space="preserve">4Nax-3Nax Grouping चतुष्कं त्रितयं तस्मात्‌ चतुष्कं त्रितयं पुनः </t>
  </si>
  <si>
    <t xml:space="preserve">-Ketu</t>
  </si>
  <si>
    <t xml:space="preserve">EvenSum(6..)Odd(15..)</t>
  </si>
  <si>
    <t xml:space="preserve">(4,3)x4</t>
  </si>
  <si>
    <t xml:space="preserve">Hora+3,-Vim</t>
  </si>
  <si>
    <t xml:space="preserve">Vimshottari+Reverse Vimshottari Order</t>
  </si>
  <si>
    <t xml:space="preserve"> </t>
  </si>
  <si>
    <t xml:space="preserve">Shodashottari</t>
  </si>
  <si>
    <t xml:space="preserve">Pushya</t>
  </si>
  <si>
    <t xml:space="preserve">Reverse Hora Order चन्द्रहोरागते कृष्णे सूर्यहोरागते सिते।</t>
  </si>
  <si>
    <t xml:space="preserve">Rahu </t>
  </si>
  <si>
    <t xml:space="preserve">-Rahu</t>
  </si>
  <si>
    <t xml:space="preserve">SeqSum(11...)</t>
  </si>
  <si>
    <t xml:space="preserve">RHora</t>
  </si>
  <si>
    <t xml:space="preserve">11(Rudra)+1 duration</t>
  </si>
  <si>
    <t xml:space="preserve">Dwadashottari</t>
  </si>
  <si>
    <t xml:space="preserve">Revati</t>
  </si>
  <si>
    <t xml:space="preserve">शुक्रांशके प्रजातस्य विचिन्त्या द्वादशोत्तरी।</t>
  </si>
  <si>
    <t xml:space="preserve">-Venus</t>
  </si>
  <si>
    <t xml:space="preserve">OddSum(7...)</t>
  </si>
  <si>
    <t xml:space="preserve">Hora??-2</t>
  </si>
  <si>
    <t xml:space="preserve">जन्मभात्‌ पौष्णभं यावत्‌ संख्या हि वसुतष्टिता॥ २७॥
Pregnancy Order</t>
  </si>
  <si>
    <t xml:space="preserve">Panchottari</t>
  </si>
  <si>
    <t xml:space="preserve">Anuradha</t>
  </si>
  <si>
    <t xml:space="preserve">अर्कांश कर्कलग्ने पञ्चोत्तरी मता।</t>
  </si>
  <si>
    <t xml:space="preserve">-Nodes</t>
  </si>
  <si>
    <t xml:space="preserve">SeqSum(12..)</t>
  </si>
  <si>
    <t xml:space="preserve">Hora+2</t>
  </si>
  <si>
    <t xml:space="preserve">मित्रर्क्षाज्जन्मभं यावत्‌ संख्या सप्तविभाजिता॥ २९॥</t>
  </si>
  <si>
    <t xml:space="preserve">Shatabdika</t>
  </si>
  <si>
    <t xml:space="preserve">Vargottamma lagna</t>
  </si>
  <si>
    <t xml:space="preserve">FiveSeries(5,5..)</t>
  </si>
  <si>
    <t xml:space="preserve">Leo+2 and Cn+2</t>
  </si>
  <si>
    <t xml:space="preserve">Chaturashiti</t>
  </si>
  <si>
    <t xml:space="preserve">Swati</t>
  </si>
  <si>
    <r>
      <rPr>
        <sz val="10"/>
        <rFont val="Arial"/>
        <family val="2"/>
        <charset val="1"/>
      </rPr>
      <t xml:space="preserve">Weekday Order, </t>
    </r>
    <r>
      <rPr>
        <sz val="12"/>
        <rFont val="Times New Roman"/>
        <family val="1"/>
        <charset val="1"/>
      </rPr>
      <t xml:space="preserve">pavanAjjanmabhaM, 10</t>
    </r>
    <r>
      <rPr>
        <vertAlign val="superscript"/>
        <sz val="12"/>
        <rFont val="Times New Roman"/>
        <family val="1"/>
        <charset val="1"/>
      </rPr>
      <t xml:space="preserve">th</t>
    </r>
    <r>
      <rPr>
        <sz val="12"/>
        <rFont val="Times New Roman"/>
        <family val="1"/>
        <charset val="1"/>
      </rPr>
      <t xml:space="preserve"> lord in 10</t>
    </r>
    <r>
      <rPr>
        <vertAlign val="superscript"/>
        <sz val="12"/>
        <rFont val="Times New Roman"/>
        <family val="1"/>
        <charset val="1"/>
      </rPr>
      <t xml:space="preserve">th</t>
    </r>
  </si>
  <si>
    <t xml:space="preserve">12x7</t>
  </si>
  <si>
    <t xml:space="preserve">Weekday Order</t>
  </si>
  <si>
    <t xml:space="preserve">Dwisaptati</t>
  </si>
  <si>
    <t xml:space="preserve">Mula</t>
  </si>
  <si>
    <t xml:space="preserve">लग्नेशे सप्तमे यस्य लग्ने वा सप्तमाधिपे॥ ३८॥</t>
  </si>
  <si>
    <t xml:space="preserve">9x8</t>
  </si>
  <si>
    <t xml:space="preserve">मूलाज्जन्मर्क्षपर्यन्तं गणयेदष्टभिर्भजेत्‌।</t>
  </si>
  <si>
    <t xml:space="preserve">Shastihayani</t>
  </si>
  <si>
    <t xml:space="preserve">Ashvini</t>
  </si>
  <si>
    <t xml:space="preserve">यदार्को लग्नराशिस्थश्चिन्त्या षष्टिसमा तदा।</t>
  </si>
  <si>
    <t xml:space="preserve">10 for friends rest 6</t>
  </si>
  <si>
    <t xml:space="preserve">(3,4)x4</t>
  </si>
  <si>
    <t xml:space="preserve">Pāchakādi for Sun?</t>
  </si>
  <si>
    <t xml:space="preserve">दास्रात्‌ त्रयं चतुष्कं च त्रयं चेति पुनः पुनः॥ ४०॥</t>
  </si>
  <si>
    <t xml:space="preserve">Shattrimsha</t>
  </si>
  <si>
    <t xml:space="preserve">Shravan</t>
  </si>
  <si>
    <t xml:space="preserve">lagne dine.arkahorAyAM chandrahorAgate nishi </t>
  </si>
  <si>
    <t xml:space="preserve">Mercury?</t>
  </si>
  <si>
    <t xml:space="preserve">SeqSum(1…</t>
  </si>
  <si>
    <t xml:space="preserve">Friends of Jup?</t>
  </si>
  <si>
    <t xml:space="preserve">Yogini</t>
  </si>
  <si>
    <t xml:space="preserve">Mangala</t>
  </si>
  <si>
    <t xml:space="preserve">Pingala</t>
  </si>
  <si>
    <t xml:space="preserve">Dhanya</t>
  </si>
  <si>
    <t xml:space="preserve">Bhramari</t>
  </si>
  <si>
    <t xml:space="preserve">Bhadrika</t>
  </si>
  <si>
    <t xml:space="preserve">Siddha</t>
  </si>
  <si>
    <t xml:space="preserve">Sankata</t>
  </si>
  <si>
    <t xml:space="preserve">Types of Graha Rules for Nakshatra for 27 and 28 Mandala</t>
  </si>
  <si>
    <t xml:space="preserve">Ashtottari Type 1 (4,3,4...)</t>
  </si>
  <si>
    <t xml:space="preserve">Shashtihayani- Type 2 (3,4,3..)</t>
  </si>
  <si>
    <t xml:space="preserve">Ashtottari-2</t>
  </si>
  <si>
    <t xml:space="preserve">Shashtihayani-4</t>
  </si>
  <si>
    <t xml:space="preserve">Yogini-A</t>
  </si>
  <si>
    <t xml:space="preserve">ShodashottariType1</t>
  </si>
  <si>
    <t xml:space="preserve">Shodashottari-S</t>
  </si>
  <si>
    <t xml:space="preserve">Dwadashottari-S</t>
  </si>
  <si>
    <t xml:space="preserve">Shatrimsha-A</t>
  </si>
  <si>
    <t xml:space="preserve">Dwisaptati-A-Moola3Rev</t>
  </si>
  <si>
    <t xml:space="preserve">Dwisaptati-Moola4Rev</t>
  </si>
  <si>
    <t xml:space="preserve">Dwisaptati-Moola3F</t>
  </si>
  <si>
    <t xml:space="preserve">Dwisaptati-Moola4F</t>
  </si>
  <si>
    <t xml:space="preserve">Dwadashottari-Rev3F</t>
  </si>
  <si>
    <t xml:space="preserve">Start Degrees</t>
  </si>
  <si>
    <t xml:space="preserve">Aswini</t>
  </si>
  <si>
    <t xml:space="preserve">Bharani</t>
  </si>
  <si>
    <t xml:space="preserve">Krittika</t>
  </si>
  <si>
    <t xml:space="preserve">Rohini</t>
  </si>
  <si>
    <t xml:space="preserve">Mriga</t>
  </si>
  <si>
    <t xml:space="preserve">Punarvasu</t>
  </si>
  <si>
    <t xml:space="preserve">Ashlesha</t>
  </si>
  <si>
    <t xml:space="preserve">Magha</t>
  </si>
  <si>
    <t xml:space="preserve">Purva P</t>
  </si>
  <si>
    <t xml:space="preserve">Uttara P</t>
  </si>
  <si>
    <t xml:space="preserve">Hasta</t>
  </si>
  <si>
    <t xml:space="preserve">Chitra</t>
  </si>
  <si>
    <t xml:space="preserve">Vishaka</t>
  </si>
  <si>
    <t xml:space="preserve">Jyeshta</t>
  </si>
  <si>
    <t xml:space="preserve">Moola</t>
  </si>
  <si>
    <t xml:space="preserve">P. Ashada</t>
  </si>
  <si>
    <t xml:space="preserve">U. Ashada</t>
  </si>
  <si>
    <t xml:space="preserve">Abhijit</t>
  </si>
  <si>
    <t xml:space="preserve">Shravana</t>
  </si>
  <si>
    <t xml:space="preserve">Dhanishta</t>
  </si>
  <si>
    <t xml:space="preserve">Shatabhishaj</t>
  </si>
  <si>
    <t xml:space="preserve">P. Bhadra</t>
  </si>
  <si>
    <t xml:space="preserve">U. Bhadra</t>
  </si>
  <si>
    <t xml:space="preserve">Put "=Dob"</t>
  </si>
  <si>
    <t xml:space="preserve">DasaColumn</t>
  </si>
  <si>
    <t xml:space="preserve">Select from row 27</t>
  </si>
  <si>
    <t xml:space="preserve">AntarDasa for</t>
  </si>
  <si>
    <t xml:space="preserve">Pratyantara Dasa for</t>
  </si>
  <si>
    <t xml:space="preserve">AD</t>
  </si>
  <si>
    <t xml:space="preserve">Dasa Degrees</t>
  </si>
  <si>
    <t xml:space="preserve">Put "=Moon"</t>
  </si>
  <si>
    <t xml:space="preserve">Dasa Name</t>
  </si>
  <si>
    <t xml:space="preserve">Start AD Index</t>
  </si>
  <si>
    <t xml:space="preserve">Multiplier 
for Duration</t>
  </si>
  <si>
    <t xml:space="preserve">Start AD</t>
  </si>
  <si>
    <t xml:space="preserve">Compress</t>
  </si>
  <si>
    <t xml:space="preserve">Put "1" Normal</t>
  </si>
  <si>
    <t xml:space="preserve">Normal 1</t>
  </si>
  <si>
    <t xml:space="preserve">Fractions</t>
  </si>
  <si>
    <t xml:space="preserve">Year Start</t>
  </si>
  <si>
    <t xml:space="preserve">End Year</t>
  </si>
  <si>
    <t xml:space="preserve">SolYears</t>
  </si>
  <si>
    <t xml:space="preserve">Match Row</t>
  </si>
  <si>
    <t xml:space="preserve">Fraction</t>
  </si>
  <si>
    <t xml:space="preserve">Seq</t>
  </si>
  <si>
    <t xml:space="preserve">KD9</t>
  </si>
  <si>
    <t xml:space="preserve">Ayush</t>
  </si>
  <si>
    <t xml:space="preserve">D9Savya</t>
  </si>
  <si>
    <t xml:space="preserve">Savya2</t>
  </si>
  <si>
    <t xml:space="preserve">Nakshakra</t>
  </si>
  <si>
    <t xml:space="preserve">Moon=</t>
  </si>
  <si>
    <t xml:space="preserve">Ar</t>
  </si>
  <si>
    <t xml:space="preserve">A1,K1</t>
  </si>
  <si>
    <t xml:space="preserve">Ar,Sg</t>
  </si>
  <si>
    <t xml:space="preserve">S</t>
  </si>
  <si>
    <t xml:space="preserve">Ta</t>
  </si>
  <si>
    <t xml:space="preserve">Pi</t>
  </si>
  <si>
    <t xml:space="preserve">Ge</t>
  </si>
  <si>
    <t xml:space="preserve">Nx Type</t>
  </si>
  <si>
    <t xml:space="preserve">M2</t>
  </si>
  <si>
    <t xml:space="preserve">A</t>
  </si>
  <si>
    <t xml:space="preserve">Aq</t>
  </si>
  <si>
    <t xml:space="preserve">Apasavya</t>
  </si>
  <si>
    <t xml:space="preserve">Le</t>
  </si>
  <si>
    <t xml:space="preserve">Seq Type</t>
  </si>
  <si>
    <t xml:space="preserve">Cn</t>
  </si>
  <si>
    <t xml:space="preserve">A4,K4</t>
  </si>
  <si>
    <t xml:space="preserve">Cn,Pi</t>
  </si>
  <si>
    <t xml:space="preserve">Cp</t>
  </si>
  <si>
    <t xml:space="preserve">Row#</t>
  </si>
  <si>
    <t xml:space="preserve">Sg</t>
  </si>
  <si>
    <t xml:space="preserve">Sc</t>
  </si>
  <si>
    <t xml:space="preserve">Li</t>
  </si>
  <si>
    <t xml:space="preserve">Vi</t>
  </si>
  <si>
    <t xml:space="preserve">Date </t>
  </si>
  <si>
    <t xml:space="preserve">R3,A3</t>
  </si>
  <si>
    <t xml:space="preserve">Aq,Li</t>
  </si>
  <si>
    <t xml:space="preserve">Pada Deg</t>
  </si>
  <si>
    <t xml:space="preserve">B3</t>
  </si>
  <si>
    <t xml:space="preserve">Balance Deg</t>
  </si>
  <si>
    <t xml:space="preserve">Savya</t>
  </si>
  <si>
    <t xml:space="preserve">1/9 Pada</t>
  </si>
  <si>
    <t xml:space="preserve">of 1/9 Pada</t>
  </si>
  <si>
    <t xml:space="preserve">M4</t>
  </si>
  <si>
    <t xml:space="preserve">% 1/9 pad remaining</t>
  </si>
  <si>
    <t xml:space="preserve">A2,K2</t>
  </si>
  <si>
    <t xml:space="preserve">Ta,Cp</t>
  </si>
  <si>
    <t xml:space="preserve">Correcttion</t>
  </si>
  <si>
    <t xml:space="preserve">1st Dasa</t>
  </si>
  <si>
    <t xml:space="preserve">M1</t>
  </si>
  <si>
    <t xml:space="preserve">Yrs</t>
  </si>
  <si>
    <t xml:space="preserve">Chakra</t>
  </si>
  <si>
    <t xml:space="preserve">Start</t>
  </si>
  <si>
    <t xml:space="preserve">Ending</t>
  </si>
  <si>
    <t xml:space="preserve">B1</t>
  </si>
  <si>
    <t xml:space="preserve">R2,A2</t>
  </si>
  <si>
    <t xml:space="preserve">Cp,Vi</t>
  </si>
  <si>
    <t xml:space="preserve">B4</t>
  </si>
  <si>
    <t xml:space="preserve">M3</t>
  </si>
  <si>
    <t xml:space="preserve">A3,K3</t>
  </si>
  <si>
    <t xml:space="preserve">Ge,Aq</t>
  </si>
  <si>
    <t xml:space="preserve">R4,A4</t>
  </si>
  <si>
    <t xml:space="preserve">Pi,Sc</t>
  </si>
  <si>
    <t xml:space="preserve">B2</t>
  </si>
  <si>
    <t xml:space="preserve">R1,A1</t>
  </si>
  <si>
    <t xml:space="preserve">Sg,Cn</t>
  </si>
  <si>
    <t xml:space="preserve">Natal</t>
  </si>
  <si>
    <t xml:space="preserve">Transit</t>
  </si>
  <si>
    <t xml:space="preserve">Sign#</t>
  </si>
  <si>
    <t xml:space="preserve">TD1</t>
  </si>
  <si>
    <t xml:space="preserve">TD12</t>
  </si>
  <si>
    <t xml:space="preserve">Sarva</t>
  </si>
  <si>
    <t xml:space="preserve">GrahaMaana</t>
  </si>
  <si>
    <t xml:space="preserve">Sarva+L</t>
  </si>
  <si>
    <t xml:space="preserve">Sarva-L</t>
  </si>
  <si>
    <t xml:space="preserve">Graha?</t>
  </si>
  <si>
    <t xml:space="preserve">RashiMaana</t>
  </si>
  <si>
    <t xml:space="preserve">Longevity</t>
  </si>
  <si>
    <t xml:space="preserve">Trikona Shodana Selected</t>
  </si>
  <si>
    <t xml:space="preserve">&lt;-Put '0' Here in case you want to subtract the minimum from all trines, Else '1'in case you want to assign smallest to trines</t>
  </si>
  <si>
    <t xml:space="preserve">Trikona Shodana Subtraction</t>
  </si>
  <si>
    <t xml:space="preserve">Trikona Shodana Minimum</t>
  </si>
  <si>
    <t xml:space="preserve">Ekadipatya Shodhana</t>
  </si>
  <si>
    <t xml:space="preserve">Reference Table</t>
  </si>
  <si>
    <t xml:space="preserve">Reverse?</t>
  </si>
  <si>
    <t xml:space="preserve">Rashi Pinda</t>
  </si>
  <si>
    <t xml:space="preserve">RP</t>
  </si>
  <si>
    <t xml:space="preserve">Graha Pinda</t>
  </si>
  <si>
    <t xml:space="preserve">Maana-&gt;</t>
  </si>
  <si>
    <t xml:space="preserve">GP</t>
  </si>
  <si>
    <t xml:space="preserve">GP-L</t>
  </si>
  <si>
    <t xml:space="preserve">GP to Use</t>
  </si>
  <si>
    <t xml:space="preserve">Pinda Nakshatra+</t>
  </si>
  <si>
    <t xml:space="preserve">YP</t>
  </si>
  <si>
    <t xml:space="preserve">Pinda Rashi+</t>
  </si>
  <si>
    <t xml:space="preserve">Pinda Nakshatra-</t>
  </si>
  <si>
    <t xml:space="preserve">Nakshatar -4</t>
  </si>
  <si>
    <t xml:space="preserve">Transit-Natal Graha</t>
  </si>
  <si>
    <t xml:space="preserve">-----</t>
  </si>
  <si>
    <t xml:space="preserve">Min-Max</t>
  </si>
  <si>
    <t xml:space="preserve">House#</t>
  </si>
  <si>
    <t xml:space="preserve">Points</t>
  </si>
  <si>
    <t xml:space="preserve">x</t>
  </si>
  <si>
    <t xml:space="preserve">+</t>
  </si>
  <si>
    <t xml:space="preserve">'1' indicates favourable '*' indicates difficult</t>
  </si>
  <si>
    <r>
      <rPr>
        <sz val="10"/>
        <color rgb="FF000000"/>
        <rFont val="Calibri"/>
        <family val="2"/>
        <charset val="1"/>
      </rPr>
      <t xml:space="preserve">'1' indicates favourable '*' indicates difficult </t>
    </r>
    <r>
      <rPr>
        <b val="true"/>
        <sz val="10"/>
        <color rgb="FF000000"/>
        <rFont val="Calibri"/>
        <family val="2"/>
        <charset val="1"/>
      </rPr>
      <t xml:space="preserve">Verify with BPHS original shloka above table</t>
    </r>
  </si>
  <si>
    <t xml:space="preserve">Sarva2</t>
  </si>
  <si>
    <t xml:space="preserve">TriShod</t>
  </si>
  <si>
    <t xml:space="preserve">EkadiS</t>
  </si>
  <si>
    <t xml:space="preserve">Table of Vedha</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</si>
  <si>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</si>
  <si>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</si>
  <si>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</si>
  <si>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</si>
  <si>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</si>
  <si>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</si>
  <si>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</si>
  <si>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</si>
  <si>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</si>
  <si>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</si>
  <si>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</si>
  <si>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</si>
  <si>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Merc</t>
  </si>
  <si>
    <t xml:space="preserve">Jup</t>
  </si>
  <si>
    <t xml:space="preserve">Ven</t>
  </si>
  <si>
    <t xml:space="preserve">Kakshya</t>
  </si>
  <si>
    <t xml:space="preserve">Degree St</t>
  </si>
  <si>
    <t xml:space="preserve">End</t>
  </si>
  <si>
    <t xml:space="preserve">Graha Information</t>
  </si>
  <si>
    <t xml:space="preserve">Direction</t>
  </si>
  <si>
    <t xml:space="preserve">Direction Surya Mantra</t>
  </si>
  <si>
    <t xml:space="preserve">Exaltion</t>
  </si>
  <si>
    <t xml:space="preserve">Exaltation</t>
  </si>
  <si>
    <t xml:space="preserve">House</t>
  </si>
  <si>
    <t xml:space="preserve">debilitation</t>
  </si>
  <si>
    <t xml:space="preserve">Daily Avg Speed (MJUS)
/Day</t>
  </si>
  <si>
    <t xml:space="preserve">Speed (Wiki) in Days
(Sidereal)</t>
  </si>
  <si>
    <t xml:space="preserve">Revolution 
in MahaYuga</t>
  </si>
  <si>
    <t xml:space="preserve">Graha Māna </t>
  </si>
  <si>
    <t xml:space="preserve">Moolatrikone</t>
  </si>
  <si>
    <t xml:space="preserve">GrahaWeekdayOrder</t>
  </si>
  <si>
    <t xml:space="preserve">GrahaShayanaadiGunanka</t>
  </si>
  <si>
    <t xml:space="preserve">Combustion SS IX.6,7,8</t>
  </si>
  <si>
    <t xml:space="preserve">Mean Motion (BVRaman</t>
  </si>
  <si>
    <t xml:space="preserve">Modern Mean Motion (Wiki</t>
  </si>
  <si>
    <t xml:space="preserve">Sapta Swara (per </t>
  </si>
  <si>
    <t xml:space="preserve">Janma tithi</t>
  </si>
  <si>
    <t xml:space="preserve">Janma Nakshatra</t>
  </si>
  <si>
    <t xml:space="preserve">East</t>
  </si>
  <si>
    <t xml:space="preserve">Om Suryaya Namah</t>
  </si>
  <si>
    <t xml:space="preserve">1 Trimsamsha</t>
  </si>
  <si>
    <r>
      <rPr>
        <sz val="9"/>
        <color rgb="FF000000"/>
        <rFont val="Arial Unicode MS"/>
        <family val="2"/>
        <charset val="1"/>
      </rPr>
      <t xml:space="preserve">Shadja (</t>
    </r>
    <r>
      <rPr>
        <sz val="9"/>
        <color rgb="FF000000"/>
        <rFont val="Noto Sans Devanagari"/>
        <family val="2"/>
        <charset val="1"/>
      </rPr>
      <t xml:space="preserve">षड्ज</t>
    </r>
    <r>
      <rPr>
        <sz val="9"/>
        <color rgb="FF000000"/>
        <rFont val="Arial Unicode MS"/>
        <family val="2"/>
        <charset val="1"/>
      </rPr>
      <t xml:space="preserve">)creator of six</t>
    </r>
  </si>
  <si>
    <t xml:space="preserve">Saptami</t>
  </si>
  <si>
    <t xml:space="preserve">North-West</t>
  </si>
  <si>
    <t xml:space="preserve">Om Mitraya Namah</t>
  </si>
  <si>
    <t xml:space="preserve">1 Nakshatra</t>
  </si>
  <si>
    <r>
      <rPr>
        <sz val="9"/>
        <color rgb="FF000000"/>
        <rFont val="Arial Unicode MS"/>
        <family val="2"/>
        <charset val="1"/>
      </rPr>
      <t xml:space="preserve">Panchama (</t>
    </r>
    <r>
      <rPr>
        <sz val="9"/>
        <color rgb="FF000000"/>
        <rFont val="Noto Sans Devanagari"/>
        <family val="2"/>
        <charset val="1"/>
      </rPr>
      <t xml:space="preserve">पञ्चम</t>
    </r>
    <r>
      <rPr>
        <sz val="9"/>
        <color rgb="FF000000"/>
        <rFont val="Arial Unicode MS"/>
        <family val="2"/>
        <charset val="1"/>
      </rPr>
      <t xml:space="preserve">) fifth</t>
    </r>
  </si>
  <si>
    <t xml:space="preserve">chaturdashi</t>
  </si>
  <si>
    <t xml:space="preserve">South</t>
  </si>
  <si>
    <t xml:space="preserve">Om Vivaswanam Namah</t>
  </si>
  <si>
    <t xml:space="preserve">1 Shashtiamsha</t>
  </si>
  <si>
    <r>
      <rPr>
        <sz val="9"/>
        <color rgb="FF000000"/>
        <rFont val="Arial Unicode MS"/>
        <family val="2"/>
        <charset val="1"/>
      </rPr>
      <t xml:space="preserve">Madhyama (</t>
    </r>
    <r>
      <rPr>
        <sz val="9"/>
        <color rgb="FF000000"/>
        <rFont val="Noto Sans Devanagari"/>
        <family val="2"/>
        <charset val="1"/>
      </rPr>
      <t xml:space="preserve">मध्यम</t>
    </r>
    <r>
      <rPr>
        <sz val="9"/>
        <color rgb="FF000000"/>
        <rFont val="Arial Unicode MS"/>
        <family val="2"/>
        <charset val="1"/>
      </rPr>
      <t xml:space="preserve">) middle</t>
    </r>
  </si>
  <si>
    <t xml:space="preserve">Dashami</t>
  </si>
  <si>
    <t xml:space="preserve">UttaraAshada</t>
  </si>
  <si>
    <t xml:space="preserve">North</t>
  </si>
  <si>
    <t xml:space="preserve">Om Adityaya Namah</t>
  </si>
  <si>
    <t xml:space="preserve">1 Saptamsha</t>
  </si>
  <si>
    <t xml:space="preserve">14(R),12(F)</t>
  </si>
  <si>
    <r>
      <rPr>
        <sz val="9"/>
        <color rgb="FF000000"/>
        <rFont val="Arial Unicode MS"/>
        <family val="2"/>
        <charset val="1"/>
      </rPr>
      <t xml:space="preserve">Rishabha (</t>
    </r>
    <r>
      <rPr>
        <sz val="9"/>
        <color rgb="FF000000"/>
        <rFont val="Noto Sans Devanagari"/>
        <family val="2"/>
        <charset val="1"/>
      </rPr>
      <t xml:space="preserve">ऋषभ</t>
    </r>
    <r>
      <rPr>
        <sz val="9"/>
        <color rgb="FF000000"/>
        <rFont val="Arial Unicode MS"/>
        <family val="2"/>
        <charset val="1"/>
      </rPr>
      <t xml:space="preserve">) bull</t>
    </r>
  </si>
  <si>
    <t xml:space="preserve">Dwadashi</t>
  </si>
  <si>
    <t xml:space="preserve">North-East</t>
  </si>
  <si>
    <t xml:space="preserve">Om Vishnave Namah</t>
  </si>
  <si>
    <t xml:space="preserve">1/2 Nadiamsha</t>
  </si>
  <si>
    <r>
      <rPr>
        <sz val="9"/>
        <color rgb="FF000000"/>
        <rFont val="Arial Unicode MS"/>
        <family val="2"/>
        <charset val="1"/>
      </rPr>
      <t xml:space="preserve">Dhaivata (</t>
    </r>
    <r>
      <rPr>
        <sz val="9"/>
        <color rgb="FF000000"/>
        <rFont val="Noto Sans Devanagari"/>
        <family val="2"/>
        <charset val="1"/>
      </rPr>
      <t xml:space="preserve">धैवत</t>
    </r>
    <r>
      <rPr>
        <sz val="9"/>
        <color rgb="FF000000"/>
        <rFont val="Arial Unicode MS"/>
        <family val="2"/>
        <charset val="1"/>
      </rPr>
      <t xml:space="preserve">)  earth</t>
    </r>
  </si>
  <si>
    <t xml:space="preserve">Ekadashi</t>
  </si>
  <si>
    <t xml:space="preserve">UttaraPhalguni</t>
  </si>
  <si>
    <t xml:space="preserve">South-East</t>
  </si>
  <si>
    <t xml:space="preserve">Om Ravaye Namah</t>
  </si>
  <si>
    <t xml:space="preserve">1 Vimsamsha</t>
  </si>
  <si>
    <t xml:space="preserve">8(E),10(W)</t>
  </si>
  <si>
    <r>
      <rPr>
        <sz val="9"/>
        <color rgb="FF000000"/>
        <rFont val="Arial Unicode MS"/>
        <family val="2"/>
        <charset val="1"/>
      </rPr>
      <t xml:space="preserve">Gandhara (</t>
    </r>
    <r>
      <rPr>
        <sz val="9"/>
        <color rgb="FF000000"/>
        <rFont val="Noto Sans Devanagari"/>
        <family val="2"/>
        <charset val="1"/>
      </rPr>
      <t xml:space="preserve">गान्धार</t>
    </r>
    <r>
      <rPr>
        <sz val="9"/>
        <color rgb="FF000000"/>
        <rFont val="Arial Unicode MS"/>
        <family val="2"/>
        <charset val="1"/>
      </rPr>
      <t xml:space="preserve">) sky</t>
    </r>
  </si>
  <si>
    <t xml:space="preserve">Navami</t>
  </si>
  <si>
    <t xml:space="preserve">Jyestha</t>
  </si>
  <si>
    <t xml:space="preserve">West</t>
  </si>
  <si>
    <t xml:space="preserve">Om Varunaya Namah</t>
  </si>
  <si>
    <t xml:space="preserve">1/4 Nadiamsha</t>
  </si>
  <si>
    <r>
      <rPr>
        <sz val="9"/>
        <color rgb="FF000000"/>
        <rFont val="Arial Unicode MS"/>
        <family val="2"/>
        <charset val="1"/>
      </rPr>
      <t xml:space="preserve">Nishadam (</t>
    </r>
    <r>
      <rPr>
        <sz val="9"/>
        <color rgb="FF000000"/>
        <rFont val="Noto Sans Devanagari"/>
        <family val="2"/>
        <charset val="1"/>
      </rPr>
      <t xml:space="preserve">निषाद</t>
    </r>
    <r>
      <rPr>
        <sz val="9"/>
        <color rgb="FF000000"/>
        <rFont val="Arial Unicode MS"/>
        <family val="2"/>
        <charset val="1"/>
      </rPr>
      <t xml:space="preserve">) hunter</t>
    </r>
  </si>
  <si>
    <t xml:space="preserve">Asthami</t>
  </si>
  <si>
    <t xml:space="preserve">South-West</t>
  </si>
  <si>
    <t xml:space="preserve">Om Bhagaya Namah</t>
  </si>
  <si>
    <t xml:space="preserve">1/3 Nadiamsha</t>
  </si>
  <si>
    <t xml:space="preserve">Poornima</t>
  </si>
  <si>
    <t xml:space="preserve">Vertical</t>
  </si>
  <si>
    <t xml:space="preserve">Om Bhaskaraya Namah</t>
  </si>
  <si>
    <t xml:space="preserve">Amavasya</t>
  </si>
  <si>
    <t xml:space="preserve">VimTotal=</t>
  </si>
  <si>
    <t xml:space="preserve">Sign/Rasi</t>
  </si>
  <si>
    <t xml:space="preserve">Rasi Symbol</t>
  </si>
  <si>
    <t xml:space="preserve">Deg</t>
  </si>
  <si>
    <t xml:space="preserve">Tattwa</t>
  </si>
  <si>
    <t xml:space="preserve">Yuga</t>
  </si>
  <si>
    <t xml:space="preserve">Type</t>
  </si>
  <si>
    <t xml:space="preserve">Mantra</t>
  </si>
  <si>
    <t xml:space="preserve">Strength</t>
  </si>
  <si>
    <t xml:space="preserve">Lord</t>
  </si>
  <si>
    <t xml:space="preserve">Name1</t>
  </si>
  <si>
    <t xml:space="preserve">Alternate Name2</t>
  </si>
  <si>
    <t xml:space="preserve">Aditya</t>
  </si>
  <si>
    <t xml:space="preserve">Aditya Others</t>
  </si>
  <si>
    <t xml:space="preserve">River</t>
  </si>
  <si>
    <t xml:space="preserve">Rashi māna </t>
  </si>
  <si>
    <t xml:space="preserve">Yoni</t>
  </si>
  <si>
    <t xml:space="preserve">Terrible Grahas</t>
  </si>
  <si>
    <t xml:space="preserve">Sanskrit  Months</t>
  </si>
  <si>
    <t xml:space="preserve">Season</t>
  </si>
  <si>
    <t xml:space="preserve">Column11</t>
  </si>
  <si>
    <t xml:space="preserve">Column12</t>
  </si>
  <si>
    <t xml:space="preserve">Column13</t>
  </si>
  <si>
    <t xml:space="preserve">Aries</t>
  </si>
  <si>
    <t xml:space="preserve">Agni</t>
  </si>
  <si>
    <t xml:space="preserve">Kreta</t>
  </si>
  <si>
    <t xml:space="preserve">Movable/Chara</t>
  </si>
  <si>
    <t xml:space="preserve">क्रिय</t>
  </si>
  <si>
    <t xml:space="preserve">kriya</t>
  </si>
  <si>
    <t xml:space="preserve">dhātā</t>
  </si>
  <si>
    <t xml:space="preserve">dhatṛ , savitṛ</t>
  </si>
  <si>
    <t xml:space="preserve">Ganga</t>
  </si>
  <si>
    <t xml:space="preserve">Animals</t>
  </si>
  <si>
    <t xml:space="preserve">Maadhava</t>
  </si>
  <si>
    <t xml:space="preserve">Vasanta</t>
  </si>
  <si>
    <t xml:space="preserve">Taurus</t>
  </si>
  <si>
    <t xml:space="preserve">Prithvi</t>
  </si>
  <si>
    <t xml:space="preserve">Kali</t>
  </si>
  <si>
    <t xml:space="preserve">Fixed/Sthira</t>
  </si>
  <si>
    <t xml:space="preserve">Om Vasudevaya Namah</t>
  </si>
  <si>
    <t xml:space="preserve">तावुरि</t>
  </si>
  <si>
    <t xml:space="preserve">tāvuri</t>
  </si>
  <si>
    <t xml:space="preserve">aryamā</t>
  </si>
  <si>
    <t xml:space="preserve">sūrya</t>
  </si>
  <si>
    <t xml:space="preserve">Reva</t>
  </si>
  <si>
    <t xml:space="preserve">Shukra</t>
  </si>
  <si>
    <t xml:space="preserve">Griishma</t>
  </si>
  <si>
    <t xml:space="preserve">Gemini</t>
  </si>
  <si>
    <t xml:space="preserve">Vayu</t>
  </si>
  <si>
    <t xml:space="preserve">Dwapara</t>
  </si>
  <si>
    <t xml:space="preserve">Common/Dwiswa</t>
  </si>
  <si>
    <t xml:space="preserve">Om Keshavaya Namah</t>
  </si>
  <si>
    <t xml:space="preserve">जितुम</t>
  </si>
  <si>
    <t xml:space="preserve">jituma</t>
  </si>
  <si>
    <t xml:space="preserve">mitra</t>
  </si>
  <si>
    <t xml:space="preserve">ravi</t>
  </si>
  <si>
    <t xml:space="preserve">Sarasvati</t>
  </si>
  <si>
    <t xml:space="preserve">Shuchi</t>
  </si>
  <si>
    <t xml:space="preserve">Cancer</t>
  </si>
  <si>
    <t xml:space="preserve">Jalam</t>
  </si>
  <si>
    <t xml:space="preserve">Treta</t>
  </si>
  <si>
    <t xml:space="preserve">Om Radha-Krishnaya Namah</t>
  </si>
  <si>
    <t xml:space="preserve">कुलीर</t>
  </si>
  <si>
    <t xml:space="preserve">kulīra</t>
  </si>
  <si>
    <t xml:space="preserve">varuṇa</t>
  </si>
  <si>
    <t xml:space="preserve">aruna</t>
  </si>
  <si>
    <t xml:space="preserve">Yamuna</t>
  </si>
  <si>
    <t xml:space="preserve">Reptiles</t>
  </si>
  <si>
    <t xml:space="preserve">Nabha</t>
  </si>
  <si>
    <t xml:space="preserve">Varsha</t>
  </si>
  <si>
    <t xml:space="preserve">Leo</t>
  </si>
  <si>
    <t xml:space="preserve">Om Hariharaya Balamukundaya 
Namah</t>
  </si>
  <si>
    <t xml:space="preserve">लेय</t>
  </si>
  <si>
    <t xml:space="preserve">leya</t>
  </si>
  <si>
    <t xml:space="preserve">indra</t>
  </si>
  <si>
    <t xml:space="preserve">śakra</t>
  </si>
  <si>
    <t xml:space="preserve">Godavari</t>
  </si>
  <si>
    <t xml:space="preserve">Nabhasya</t>
  </si>
  <si>
    <t xml:space="preserve">Virgo</t>
  </si>
  <si>
    <t xml:space="preserve">Om Hrim Pitambaraya Paramatmane 
Namah</t>
  </si>
  <si>
    <t xml:space="preserve">पाथोन</t>
  </si>
  <si>
    <t xml:space="preserve">pāthona</t>
  </si>
  <si>
    <t xml:space="preserve">vivasvān</t>
  </si>
  <si>
    <t xml:space="preserve">manu</t>
  </si>
  <si>
    <t xml:space="preserve">Krishnaveni(Krishna)</t>
  </si>
  <si>
    <t xml:space="preserve">Humans</t>
  </si>
  <si>
    <t xml:space="preserve">Isha</t>
  </si>
  <si>
    <t xml:space="preserve">Sharada</t>
  </si>
  <si>
    <t xml:space="preserve">Libra</t>
  </si>
  <si>
    <t xml:space="preserve">Om Sri Ram Dasrathaye Namah</t>
  </si>
  <si>
    <t xml:space="preserve">जूक</t>
  </si>
  <si>
    <t xml:space="preserve">jūka</t>
  </si>
  <si>
    <t xml:space="preserve">puśa</t>
  </si>
  <si>
    <t xml:space="preserve">bhāskara</t>
  </si>
  <si>
    <t xml:space="preserve">kaaveri</t>
  </si>
  <si>
    <t xml:space="preserve">Urja</t>
  </si>
  <si>
    <t xml:space="preserve">Scorpio</t>
  </si>
  <si>
    <t xml:space="preserve">Om Narayanaya Namah
Om Naraya Namah</t>
  </si>
  <si>
    <t xml:space="preserve">Mars/Ketu</t>
  </si>
  <si>
    <t xml:space="preserve">कौर्पि</t>
  </si>
  <si>
    <t xml:space="preserve">kaurpi</t>
  </si>
  <si>
    <t xml:space="preserve">parjanya</t>
  </si>
  <si>
    <t xml:space="preserve">dhūti</t>
  </si>
  <si>
    <t xml:space="preserve">Bhimaradhi (Bhima)</t>
  </si>
  <si>
    <t xml:space="preserve">Saha</t>
  </si>
  <si>
    <t xml:space="preserve">Hemanta</t>
  </si>
  <si>
    <t xml:space="preserve">Sagitarius</t>
  </si>
  <si>
    <t xml:space="preserve">Om Hrim Shrim Krim Dharani Dharaya
 Namah</t>
  </si>
  <si>
    <t xml:space="preserve">तौक्षिक</t>
  </si>
  <si>
    <t xml:space="preserve">taukṣika</t>
  </si>
  <si>
    <t xml:space="preserve">anśumān</t>
  </si>
  <si>
    <t xml:space="preserve">aṁśa , yama</t>
  </si>
  <si>
    <t xml:space="preserve">Pushkara vahini (Brahma Putra)</t>
  </si>
  <si>
    <t xml:space="preserve">Sahasya</t>
  </si>
  <si>
    <t xml:space="preserve">Capricorn</t>
  </si>
  <si>
    <t xml:space="preserve">Om Shrim Vatsalaya Namah</t>
  </si>
  <si>
    <t xml:space="preserve">आकोकेर</t>
  </si>
  <si>
    <t xml:space="preserve">ākokera</t>
  </si>
  <si>
    <t xml:space="preserve">bhaga</t>
  </si>
  <si>
    <t xml:space="preserve">dakśa</t>
  </si>
  <si>
    <t xml:space="preserve">Tunga (Tunga Bhadra)</t>
  </si>
  <si>
    <t xml:space="preserve">Birds/Animals</t>
  </si>
  <si>
    <t xml:space="preserve">Tapa</t>
  </si>
  <si>
    <t xml:space="preserve">Shishira</t>
  </si>
  <si>
    <t xml:space="preserve">Aquarius</t>
  </si>
  <si>
    <t xml:space="preserve">Om Shrim Upendraya Achyutaya
 Namah
Om Klim Govinda-Gopalaya Namah</t>
  </si>
  <si>
    <t xml:space="preserve">Saturn/Rahu</t>
  </si>
  <si>
    <t xml:space="preserve">ह्रिद्रोग</t>
  </si>
  <si>
    <t xml:space="preserve">hridroga</t>
  </si>
  <si>
    <t xml:space="preserve">tvaṣta</t>
  </si>
  <si>
    <t xml:space="preserve">tvaṣṭṛ</t>
  </si>
  <si>
    <t xml:space="preserve">Sindhu (Indus)</t>
  </si>
  <si>
    <t xml:space="preserve">Tapasya</t>
  </si>
  <si>
    <t xml:space="preserve">Pisces</t>
  </si>
  <si>
    <t xml:space="preserve">Om Krim Rathanga-Chakraya Namah</t>
  </si>
  <si>
    <t xml:space="preserve">अन्त्यभं</t>
  </si>
  <si>
    <t xml:space="preserve">antyabhaṁ</t>
  </si>
  <si>
    <t xml:space="preserve">viśṇu</t>
  </si>
  <si>
    <t xml:space="preserve">saha</t>
  </si>
  <si>
    <t xml:space="preserve">Vranitaa</t>
  </si>
  <si>
    <t xml:space="preserve">Birds</t>
  </si>
  <si>
    <t xml:space="preserve">Madhu</t>
  </si>
  <si>
    <t xml:space="preserve">© Pt. Sanjay Rath</t>
  </si>
  <si>
    <t xml:space="preserve">Bhava Number</t>
  </si>
  <si>
    <t xml:space="preserve">Sanskrit Name</t>
  </si>
  <si>
    <t xml:space="preserve">Strength (LP)</t>
  </si>
  <si>
    <t xml:space="preserve">Navakkari</t>
  </si>
  <si>
    <t xml:space="preserve">Signifies</t>
  </si>
  <si>
    <t xml:space="preserve">What We….</t>
  </si>
  <si>
    <t xml:space="preserve">At Work</t>
  </si>
  <si>
    <t xml:space="preserve">House (Business)</t>
  </si>
  <si>
    <t xml:space="preserve">Lord (Business)</t>
  </si>
  <si>
    <t xml:space="preserve">House(Jobs)</t>
  </si>
  <si>
    <t xml:space="preserve">Lords(Jobs)</t>
  </si>
  <si>
    <t xml:space="preserve">Deva praśna</t>
  </si>
  <si>
    <t xml:space="preserve">Rāja praśna- Coronation</t>
  </si>
  <si>
    <t xml:space="preserve">Rāja praśna-Rāja bhāgya</t>
  </si>
  <si>
    <t xml:space="preserve">Rāja praśna-National chart</t>
  </si>
  <si>
    <t xml:space="preserve">Charakāraka &amp; bhāva</t>
  </si>
  <si>
    <t xml:space="preserve">Nashta Prashna</t>
  </si>
  <si>
    <t xml:space="preserve">Posture</t>
  </si>
  <si>
    <t xml:space="preserve">Transliteration</t>
  </si>
  <si>
    <t xml:space="preserve">Translation</t>
  </si>
  <si>
    <t xml:space="preserve">Body Part</t>
  </si>
  <si>
    <t xml:space="preserve">1st Dreshkana</t>
  </si>
  <si>
    <t xml:space="preserve">2nd Drekkana</t>
  </si>
  <si>
    <t xml:space="preserve">3rd Drekkana</t>
  </si>
  <si>
    <t xml:space="preserve">Bhojana Prashna</t>
  </si>
  <si>
    <t xml:space="preserve">Suratha Prashna</t>
  </si>
  <si>
    <t xml:space="preserve">Punya</t>
  </si>
  <si>
    <t xml:space="preserve">tanu</t>
  </si>
  <si>
    <t xml:space="preserve">तनु</t>
  </si>
  <si>
    <t xml:space="preserve">ॐ सौं क्लीं</t>
  </si>
  <si>
    <t xml:space="preserve">Ideals, Principles</t>
  </si>
  <si>
    <t xml:space="preserve">What we are</t>
  </si>
  <si>
    <t xml:space="preserve">Reputation</t>
  </si>
  <si>
    <t xml:space="preserve">Self, Fame</t>
  </si>
  <si>
    <t xml:space="preserve">Attitude to Business and work, motives</t>
  </si>
  <si>
    <t xml:space="preserve">Self,Fame</t>
  </si>
  <si>
    <t xml:space="preserve">Attitude to work, motives</t>
  </si>
  <si>
    <t xml:space="preserve">Deity, well being &amp; satisfaction, temple building and idol, alter, picture etc.</t>
  </si>
  <si>
    <t xml:space="preserve">The King</t>
  </si>
  <si>
    <t xml:space="preserve">The nation, constitution, ideals</t>
  </si>
  <si>
    <t xml:space="preserve">Ātmakāraka</t>
  </si>
  <si>
    <t xml:space="preserve">Standing</t>
  </si>
  <si>
    <t xml:space="preserve">Pratibimbadana</t>
  </si>
  <si>
    <t xml:space="preserve">Gift of idol or picture</t>
  </si>
  <si>
    <t xml:space="preserve">Sheersha</t>
  </si>
  <si>
    <t xml:space="preserve">Shiro</t>
  </si>
  <si>
    <t xml:space="preserve">kaṇṭha</t>
  </si>
  <si>
    <t xml:space="preserve">vasti</t>
  </si>
  <si>
    <t xml:space="preserve">Eater</t>
  </si>
  <si>
    <t xml:space="preserve">Duration atma in bhu lok</t>
  </si>
  <si>
    <t xml:space="preserve">dhanaṁ </t>
  </si>
  <si>
    <t xml:space="preserve">धनं </t>
  </si>
  <si>
    <t xml:space="preserve">हौं</t>
  </si>
  <si>
    <t xml:space="preserve">Wealth. Resources</t>
  </si>
  <si>
    <t xml:space="preserve">What we own</t>
  </si>
  <si>
    <t xml:space="preserve">Finance</t>
  </si>
  <si>
    <t xml:space="preserve">Investments</t>
  </si>
  <si>
    <t xml:space="preserve">Sources of Investments</t>
  </si>
  <si>
    <t xml:space="preserve">Resouces</t>
  </si>
  <si>
    <t xml:space="preserve">Group</t>
  </si>
  <si>
    <t xml:space="preserve">Wealth, income, treasure, guardians</t>
  </si>
  <si>
    <t xml:space="preserve">Treasury</t>
  </si>
  <si>
    <t xml:space="preserve">Prince &amp; princess</t>
  </si>
  <si>
    <t xml:space="preserve">Wealth, treasury, currency</t>
  </si>
  <si>
    <t xml:space="preserve">Dārākāraka</t>
  </si>
  <si>
    <t xml:space="preserve">Riding</t>
  </si>
  <si>
    <t xml:space="preserve">Japa</t>
  </si>
  <si>
    <t xml:space="preserve">Mantra Japa</t>
  </si>
  <si>
    <t xml:space="preserve">Anana</t>
  </si>
  <si>
    <t xml:space="preserve">Netra</t>
  </si>
  <si>
    <t xml:space="preserve">amsa</t>
  </si>
  <si>
    <t xml:space="preserve">liṅga</t>
  </si>
  <si>
    <t xml:space="preserve">Plates/Leaves</t>
  </si>
  <si>
    <t xml:space="preserve">sahaja</t>
  </si>
  <si>
    <t xml:space="preserve">सहज</t>
  </si>
  <si>
    <t xml:space="preserve">क्रीं</t>
  </si>
  <si>
    <t xml:space="preserve">Enterprise, Leave, Vacation</t>
  </si>
  <si>
    <t xml:space="preserve">Time to Think</t>
  </si>
  <si>
    <t xml:space="preserve">Enterprise</t>
  </si>
  <si>
    <t xml:space="preserve">Agreements, Communications</t>
  </si>
  <si>
    <t xml:space="preserve">Short Journey, Transport</t>
  </si>
  <si>
    <t xml:space="preserve">Journeys</t>
  </si>
  <si>
    <t xml:space="preserve">Leave, Holiday</t>
  </si>
  <si>
    <t xml:space="preserve">Temple servants, Offerings (to deity)</t>
  </si>
  <si>
    <t xml:space="preserve">Armed forces &amp; their chief</t>
  </si>
  <si>
    <t xml:space="preserve">Armed forces &amp; their chief, servants</t>
  </si>
  <si>
    <t xml:space="preserve">Bhrātṛkāraka</t>
  </si>
  <si>
    <t xml:space="preserve">Sitting (on throne with spouse)</t>
  </si>
  <si>
    <t xml:space="preserve">Pooja</t>
  </si>
  <si>
    <t xml:space="preserve">Worship </t>
  </si>
  <si>
    <t xml:space="preserve">Baahu</t>
  </si>
  <si>
    <t xml:space="preserve">karṇa</t>
  </si>
  <si>
    <t xml:space="preserve">bhuja</t>
  </si>
  <si>
    <t xml:space="preserve">guda</t>
  </si>
  <si>
    <t xml:space="preserve">Bhakshya(Snacks/Side Dish)</t>
  </si>
  <si>
    <t xml:space="preserve">bandhu</t>
  </si>
  <si>
    <t xml:space="preserve">बन्धु</t>
  </si>
  <si>
    <t xml:space="preserve">गौं</t>
  </si>
  <si>
    <t xml:space="preserve">Work environment or area</t>
  </si>
  <si>
    <t xml:space="preserve">Where we work</t>
  </si>
  <si>
    <t xml:space="preserve">Office</t>
  </si>
  <si>
    <t xml:space="preserve">Property, Office</t>
  </si>
  <si>
    <t xml:space="preserve">Personal Secretary</t>
  </si>
  <si>
    <t xml:space="preserve">Lands, property, vehicles</t>
  </si>
  <si>
    <t xml:space="preserve">Vehicles, property</t>
  </si>
  <si>
    <t xml:space="preserve">Vehicles &amp; followers</t>
  </si>
  <si>
    <t xml:space="preserve">Mātṛkāraka</t>
  </si>
  <si>
    <t xml:space="preserve">Sleeping</t>
  </si>
  <si>
    <t xml:space="preserve">Dhama</t>
  </si>
  <si>
    <t xml:space="preserve">Renovation of temple.</t>
  </si>
  <si>
    <t xml:space="preserve">Hrid</t>
  </si>
  <si>
    <t xml:space="preserve">naasika</t>
  </si>
  <si>
    <t xml:space="preserve">pārśva</t>
  </si>
  <si>
    <t xml:space="preserve">muṣkā</t>
  </si>
  <si>
    <t xml:space="preserve">Drinks and also Host</t>
  </si>
  <si>
    <t xml:space="preserve">putra</t>
  </si>
  <si>
    <t xml:space="preserve">पुत्र</t>
  </si>
  <si>
    <t xml:space="preserve">ऐं</t>
  </si>
  <si>
    <t xml:space="preserve">Knowledge, Subordinate</t>
  </si>
  <si>
    <t xml:space="preserve">What we know</t>
  </si>
  <si>
    <t xml:space="preserve">Power</t>
  </si>
  <si>
    <t xml:space="preserve">All Employees</t>
  </si>
  <si>
    <t xml:space="preserve">Immediate Subordinates</t>
  </si>
  <si>
    <t xml:space="preserve">Promotion, Power</t>
  </si>
  <si>
    <t xml:space="preserve">Juniors, Subordinates</t>
  </si>
  <si>
    <t xml:space="preserve">Divine presence and the symbols, idols, etc.</t>
  </si>
  <si>
    <t xml:space="preserve">Ministers, advisers</t>
  </si>
  <si>
    <t xml:space="preserve">Palace</t>
  </si>
  <si>
    <t xml:space="preserve">Ministers, Officials wielding delegated powers</t>
  </si>
  <si>
    <t xml:space="preserve">Putrakāraka</t>
  </si>
  <si>
    <t xml:space="preserve">Santarpana</t>
  </si>
  <si>
    <t xml:space="preserve">Presentation of oil/gifts, clothes etc.</t>
  </si>
  <si>
    <t xml:space="preserve">Kroda</t>
  </si>
  <si>
    <t xml:space="preserve">kapola</t>
  </si>
  <si>
    <t xml:space="preserve">hṛdaya</t>
  </si>
  <si>
    <t xml:space="preserve">jānū </t>
  </si>
  <si>
    <t xml:space="preserve">Server</t>
  </si>
  <si>
    <t xml:space="preserve">ari</t>
  </si>
  <si>
    <t xml:space="preserve">अरि</t>
  </si>
  <si>
    <t xml:space="preserve">ह्रीं</t>
  </si>
  <si>
    <t xml:space="preserve">Service,Staff, jobs</t>
  </si>
  <si>
    <t xml:space="preserve">Who to work for</t>
  </si>
  <si>
    <t xml:space="preserve">Labor</t>
  </si>
  <si>
    <t xml:space="preserve">Staff Functions</t>
  </si>
  <si>
    <t xml:space="preserve">Enemies causing damage</t>
  </si>
  <si>
    <t xml:space="preserve">Staff support</t>
  </si>
  <si>
    <t xml:space="preserve">Pollution, enemies, thieves</t>
  </si>
  <si>
    <t xml:space="preserve">Enemies, thieves</t>
  </si>
  <si>
    <t xml:space="preserve">Wife(s)</t>
  </si>
  <si>
    <t xml:space="preserve">Enemies, disease</t>
  </si>
  <si>
    <t xml:space="preserve">Jñātikāraka</t>
  </si>
  <si>
    <t xml:space="preserve">Thief</t>
  </si>
  <si>
    <t xml:space="preserve">Walking</t>
  </si>
  <si>
    <t xml:space="preserve">Prathikara Bali</t>
  </si>
  <si>
    <t xml:space="preserve">Remedial offerings &amp; dedication</t>
  </si>
  <si>
    <t xml:space="preserve">Kati</t>
  </si>
  <si>
    <t xml:space="preserve">Hanu</t>
  </si>
  <si>
    <t xml:space="preserve">kroḍa</t>
  </si>
  <si>
    <t xml:space="preserve">jaṃgha</t>
  </si>
  <si>
    <t xml:space="preserve">upadamsa(Appetizer/Taster)</t>
  </si>
  <si>
    <t xml:space="preserve">Shadripu</t>
  </si>
  <si>
    <t xml:space="preserve">yuvatī</t>
  </si>
  <si>
    <t xml:space="preserve">युवती</t>
  </si>
  <si>
    <t xml:space="preserve">श्रीं</t>
  </si>
  <si>
    <t xml:space="preserve">Business Partner, Self Employment</t>
  </si>
  <si>
    <t xml:space="preserve">Who to work with</t>
  </si>
  <si>
    <t xml:space="preserve">Business</t>
  </si>
  <si>
    <t xml:space="preserve">Business, Trade, Commerce</t>
  </si>
  <si>
    <t xml:space="preserve">Partners</t>
  </si>
  <si>
    <t xml:space="preserve">Colleagues</t>
  </si>
  <si>
    <t xml:space="preserve">PR at Work</t>
  </si>
  <si>
    <t xml:space="preserve">People, worshippers, ornaments</t>
  </si>
  <si>
    <t xml:space="preserve">War manoeuvre</t>
  </si>
  <si>
    <t xml:space="preserve">Advisers &amp; preceptors</t>
  </si>
  <si>
    <t xml:space="preserve">Public</t>
  </si>
  <si>
    <t xml:space="preserve">Dancing</t>
  </si>
  <si>
    <t xml:space="preserve">Nritya</t>
  </si>
  <si>
    <t xml:space="preserve">Dances  to be performed for deity</t>
  </si>
  <si>
    <t xml:space="preserve">Basti</t>
  </si>
  <si>
    <t xml:space="preserve">Mukha</t>
  </si>
  <si>
    <t xml:space="preserve">nābhi</t>
  </si>
  <si>
    <t xml:space="preserve">pāda</t>
  </si>
  <si>
    <t xml:space="preserve">seka dravya' or the appetisers</t>
  </si>
  <si>
    <t xml:space="preserve">Dvara:Rebirth place</t>
  </si>
  <si>
    <t xml:space="preserve">randhra</t>
  </si>
  <si>
    <t xml:space="preserve">रन्ध्र</t>
  </si>
  <si>
    <t xml:space="preserve">Retirements, loans, insurance</t>
  </si>
  <si>
    <t xml:space="preserve">When to stop</t>
  </si>
  <si>
    <t xml:space="preserve">Retire</t>
  </si>
  <si>
    <t xml:space="preserve">Loans, Debts</t>
  </si>
  <si>
    <t xml:space="preserve">Unforseen troubles, Insurance Claim</t>
  </si>
  <si>
    <t xml:space="preserve">Retirement, Job Loss</t>
  </si>
  <si>
    <t xml:space="preserve">Unforseen Troubles</t>
  </si>
  <si>
    <t xml:space="preserve">Offerings (by people), good or evil</t>
  </si>
  <si>
    <t xml:space="preserve">Life of government</t>
  </si>
  <si>
    <t xml:space="preserve">Subjects</t>
  </si>
  <si>
    <t xml:space="preserve">Donations, aid, life of nation</t>
  </si>
  <si>
    <t xml:space="preserve">Bhoota Bali or Pooja</t>
  </si>
  <si>
    <t xml:space="preserve">Worship of the Tatwa </t>
  </si>
  <si>
    <t xml:space="preserve">Guhya</t>
  </si>
  <si>
    <t xml:space="preserve">Quality and defects in food</t>
  </si>
  <si>
    <t xml:space="preserve">Paapa: Rebirth</t>
  </si>
  <si>
    <t xml:space="preserve">dharma</t>
  </si>
  <si>
    <t xml:space="preserve">धर्म</t>
  </si>
  <si>
    <t xml:space="preserve">Guide, Boss, teacher</t>
  </si>
  <si>
    <t xml:space="preserve">Who to listen to </t>
  </si>
  <si>
    <t xml:space="preserve">Guide</t>
  </si>
  <si>
    <t xml:space="preserve">Government, Laws, 
Iternational (World)</t>
  </si>
  <si>
    <t xml:space="preserve">Adviser, Guides, Consultant</t>
  </si>
  <si>
    <t xml:space="preserve">The Boss</t>
  </si>
  <si>
    <t xml:space="preserve">Adviser, Guides</t>
  </si>
  <si>
    <t xml:space="preserve">Authorities and merits</t>
  </si>
  <si>
    <t xml:space="preserve">Policy and attitude</t>
  </si>
  <si>
    <t xml:space="preserve">Pitṛkāraka &amp; Bhrātṛkāraka</t>
  </si>
  <si>
    <t xml:space="preserve">Devopasana</t>
  </si>
  <si>
    <t xml:space="preserve">Worship of Dharma Devata</t>
  </si>
  <si>
    <t xml:space="preserve">Uru</t>
  </si>
  <si>
    <t xml:space="preserve">Company while eating</t>
  </si>
  <si>
    <t xml:space="preserve">karma</t>
  </si>
  <si>
    <t xml:space="preserve">कर्म</t>
  </si>
  <si>
    <t xml:space="preserve">Status, Success, the work</t>
  </si>
  <si>
    <t xml:space="preserve">Work Definition</t>
  </si>
  <si>
    <t xml:space="preserve">Status</t>
  </si>
  <si>
    <t xml:space="preserve">Chairman, Leaders</t>
  </si>
  <si>
    <t xml:space="preserve">Personal Success</t>
  </si>
  <si>
    <t xml:space="preserve">Company</t>
  </si>
  <si>
    <t xml:space="preserve">Daily ceremonies, festivals etc.</t>
  </si>
  <si>
    <t xml:space="preserve">Administration</t>
  </si>
  <si>
    <t xml:space="preserve">President, Prime minister and Administration</t>
  </si>
  <si>
    <t xml:space="preserve">Amātyakāraka</t>
  </si>
  <si>
    <t xml:space="preserve">Crawling </t>
  </si>
  <si>
    <t xml:space="preserve">Danti-Skanda Bali or Pooja</t>
  </si>
  <si>
    <t xml:space="preserve">Bali Karma or Pooja for Ganesha (or Subramanya/ Kartikeya)</t>
  </si>
  <si>
    <t xml:space="preserve">Janu</t>
  </si>
  <si>
    <t xml:space="preserve">Quantity of Food</t>
  </si>
  <si>
    <t xml:space="preserve">Karma: Total</t>
  </si>
  <si>
    <t xml:space="preserve">lābha</t>
  </si>
  <si>
    <t xml:space="preserve">लाभ</t>
  </si>
  <si>
    <t xml:space="preserve">Colleagues, friends, resources</t>
  </si>
  <si>
    <t xml:space="preserve">Who will support</t>
  </si>
  <si>
    <t xml:space="preserve">Resources</t>
  </si>
  <si>
    <t xml:space="preserve">Gains, Profit</t>
  </si>
  <si>
    <t xml:space="preserve">Satisfaction and Friends</t>
  </si>
  <si>
    <t xml:space="preserve">Friends in group</t>
  </si>
  <si>
    <t xml:space="preserve">Training and development</t>
  </si>
  <si>
    <t xml:space="preserve">Merit, prosperity, income</t>
  </si>
  <si>
    <t xml:space="preserve">Gains, income</t>
  </si>
  <si>
    <t xml:space="preserve">Sitting  (Yogic Posture is generally indicated.)</t>
  </si>
  <si>
    <t xml:space="preserve">Tarpana</t>
  </si>
  <si>
    <t xml:space="preserve">Ritual offerings &amp; Dedication</t>
  </si>
  <si>
    <t xml:space="preserve">Jangha</t>
  </si>
  <si>
    <t xml:space="preserve">Conversions during</t>
  </si>
  <si>
    <t xml:space="preserve">vyaya</t>
  </si>
  <si>
    <t xml:space="preserve">व्यय</t>
  </si>
  <si>
    <t xml:space="preserve">Expenses, foreign, freedom</t>
  </si>
  <si>
    <t xml:space="preserve">Our Responsibility</t>
  </si>
  <si>
    <t xml:space="preserve">Liabilities</t>
  </si>
  <si>
    <t xml:space="preserve">Expenditure, Losses</t>
  </si>
  <si>
    <t xml:space="preserve">Secret Enemies</t>
  </si>
  <si>
    <t xml:space="preserve">Secret Enemies in group</t>
  </si>
  <si>
    <t xml:space="preserve">Mistakes and inability</t>
  </si>
  <si>
    <t xml:space="preserve">Expenditure, waste, āchārya, tāntrika, priest</t>
  </si>
  <si>
    <t xml:space="preserve">Losses, expenditure</t>
  </si>
  <si>
    <t xml:space="preserve">--None--</t>
  </si>
  <si>
    <t xml:space="preserve">Gitam-Vadya</t>
  </si>
  <si>
    <t xml:space="preserve">No affliction. (But music &amp; song may be offered).</t>
  </si>
  <si>
    <t xml:space="preserve">Carana</t>
  </si>
  <si>
    <t xml:space="preserve">Rest after the meals</t>
  </si>
  <si>
    <t xml:space="preserve">Moksha:Thoughts during death?</t>
  </si>
  <si>
    <t xml:space="preserve">Nakshatra Info</t>
  </si>
  <si>
    <t xml:space="preserve">Nakshatra Size=</t>
  </si>
  <si>
    <t xml:space="preserve">Degrees</t>
  </si>
  <si>
    <t xml:space="preserve">Duration in 24 Hrs</t>
  </si>
  <si>
    <t xml:space="preserve">Shiva Nakshatra Purusha</t>
  </si>
  <si>
    <t xml:space="preserve">Seq27</t>
  </si>
  <si>
    <t xml:space="preserve">Other Names</t>
  </si>
  <si>
    <t xml:space="preserve">Sign(s)</t>
  </si>
  <si>
    <t xml:space="preserve">Tatva Group</t>
  </si>
  <si>
    <t xml:space="preserve">Tatva</t>
  </si>
  <si>
    <t xml:space="preserve">Andhaadi</t>
  </si>
  <si>
    <t xml:space="preserve">Adhomukhaadi/Sight</t>
  </si>
  <si>
    <t xml:space="preserve">Guna(8)</t>
  </si>
  <si>
    <t xml:space="preserve">Gana(9)</t>
  </si>
  <si>
    <t xml:space="preserve">Symbol</t>
  </si>
  <si>
    <t xml:space="preserve">Symbol2</t>
  </si>
  <si>
    <t xml:space="preserve">Sex*</t>
  </si>
  <si>
    <t xml:space="preserve">Animal</t>
  </si>
  <si>
    <t xml:space="preserve">Deity</t>
  </si>
  <si>
    <t xml:space="preserve">Rajju</t>
  </si>
  <si>
    <t xml:space="preserve">Prakruti</t>
  </si>
  <si>
    <t xml:space="preserve">Varna</t>
  </si>
  <si>
    <t xml:space="preserve">Phonemes</t>
  </si>
  <si>
    <t xml:space="preserve">Akshara</t>
  </si>
  <si>
    <t xml:space="preserve">Gotra(25)</t>
  </si>
  <si>
    <t xml:space="preserve">DoshaX8</t>
  </si>
  <si>
    <t xml:space="preserve">Pada1</t>
  </si>
  <si>
    <t xml:space="preserve">Pada2</t>
  </si>
  <si>
    <t xml:space="preserve">Pada3</t>
  </si>
  <si>
    <t xml:space="preserve">Pada4</t>
  </si>
  <si>
    <t xml:space="preserve">Yoga</t>
  </si>
  <si>
    <t xml:space="preserve">Astronomical Name</t>
  </si>
  <si>
    <t xml:space="preserve">0:Gh:Vg</t>
  </si>
  <si>
    <t xml:space="preserve">PROFESSIONS, ARTICLES ETC. SIGNIFIED</t>
  </si>
  <si>
    <t xml:space="preserve">PanchaPakshiShuklaP (Prashna Marga)</t>
  </si>
  <si>
    <t xml:space="preserve">PanchaPakshiKrishnaP</t>
  </si>
  <si>
    <t xml:space="preserve">Sanjya chakra</t>
  </si>
  <si>
    <t xml:space="preserve">Paata Chakra</t>
  </si>
  <si>
    <t xml:space="preserve">Paata (Up,Mr,Ka, Sa)</t>
  </si>
  <si>
    <t xml:space="preserve">Body Parts (Kamkoti.org)</t>
  </si>
  <si>
    <t xml:space="preserve">Visha</t>
  </si>
  <si>
    <t xml:space="preserve">Amrit</t>
  </si>
  <si>
    <t xml:space="preserve">Mrityu</t>
  </si>
  <si>
    <t xml:space="preserve">Ushna-sikha Start</t>
  </si>
  <si>
    <t xml:space="preserve">Ushna-sikha End</t>
  </si>
  <si>
    <t xml:space="preserve">Pada 1</t>
  </si>
  <si>
    <t xml:space="preserve">Pada 2</t>
  </si>
  <si>
    <t xml:space="preserve">Pada 3</t>
  </si>
  <si>
    <t xml:space="preserve">Pada 4</t>
  </si>
  <si>
    <t xml:space="preserve">Shiva Names</t>
  </si>
  <si>
    <t xml:space="preserve">Tree</t>
  </si>
  <si>
    <t xml:space="preserve">ChandraAshtama</t>
  </si>
  <si>
    <t xml:space="preserve">Ekanakshatra dosha</t>
  </si>
  <si>
    <r>
      <rPr>
        <b val="true"/>
        <sz val="11"/>
        <color rgb="FF000000"/>
        <rFont val="Calibri"/>
        <family val="2"/>
        <charset val="1"/>
      </rPr>
      <t xml:space="preserve">27 </t>
    </r>
    <r>
      <rPr>
        <b val="true"/>
        <sz val="11"/>
        <color rgb="FF000000"/>
        <rFont val="Noto Sans Arabic UI"/>
        <family val="2"/>
        <charset val="1"/>
      </rPr>
      <t xml:space="preserve">நட்சத்திர தேவதை</t>
    </r>
    <r>
      <rPr>
        <b val="true"/>
        <sz val="11"/>
        <color rgb="FF000000"/>
        <rFont val="Calibri"/>
        <family val="2"/>
        <charset val="1"/>
      </rPr>
      <t xml:space="preserve">(website in tamil)</t>
    </r>
  </si>
  <si>
    <r>
      <rPr>
        <sz val="9"/>
        <color rgb="FFC9211E"/>
        <rFont val="Arial Unicode MS"/>
        <family val="2"/>
        <charset val="1"/>
      </rPr>
      <t xml:space="preserve">27 </t>
    </r>
    <r>
      <rPr>
        <sz val="9"/>
        <color rgb="FFC9211E"/>
        <rFont val="Noto Sans Devanagari"/>
        <family val="2"/>
        <charset val="1"/>
      </rPr>
      <t xml:space="preserve">நட்சத்திர அதிதேவதை</t>
    </r>
  </si>
  <si>
    <t xml:space="preserve">Ashvayuja</t>
  </si>
  <si>
    <t xml:space="preserve">Aries/Mesha</t>
  </si>
  <si>
    <t xml:space="preserve">Pritvi</t>
  </si>
  <si>
    <t xml:space="preserve">Manda-Slow</t>
  </si>
  <si>
    <t xml:space="preserve">Tiryangmukha/Ahead</t>
  </si>
  <si>
    <t xml:space="preserve">Tama</t>
  </si>
  <si>
    <t xml:space="preserve">Deva</t>
  </si>
  <si>
    <t xml:space="preserve">Dharma</t>
  </si>
  <si>
    <t xml:space="preserve">Horse Head</t>
  </si>
  <si>
    <t xml:space="preserve">Male</t>
  </si>
  <si>
    <t xml:space="preserve">Horse</t>
  </si>
  <si>
    <t xml:space="preserve">Aswinidevatas    </t>
  </si>
  <si>
    <t xml:space="preserve">Pada/Feet</t>
  </si>
  <si>
    <t xml:space="preserve">Srishti</t>
  </si>
  <si>
    <t xml:space="preserve">Brahman</t>
  </si>
  <si>
    <t xml:space="preserve">chu che cho laa</t>
  </si>
  <si>
    <t xml:space="preserve">चु चे चो ला</t>
  </si>
  <si>
    <t xml:space="preserve">Marichi</t>
  </si>
  <si>
    <t xml:space="preserve">Vata</t>
  </si>
  <si>
    <t xml:space="preserve">Pitta</t>
  </si>
  <si>
    <t xml:space="preserve">Kapha</t>
  </si>
  <si>
    <t xml:space="preserve">Beta Arietis</t>
  </si>
  <si>
    <t xml:space="preserve">Army general, physician, trader, hunter, servant or one dealing with horses, horse thief, stable keeper, jockey etc.</t>
  </si>
  <si>
    <t xml:space="preserve">Vulture/Bhaaranda</t>
  </si>
  <si>
    <t xml:space="preserve">Peacock</t>
  </si>
  <si>
    <t xml:space="preserve">Kshipra/Laghu(Jupiter)</t>
  </si>
  <si>
    <t xml:space="preserve">Tuesday</t>
  </si>
  <si>
    <t xml:space="preserve">Upper foot</t>
  </si>
  <si>
    <t xml:space="preserve">Horses rider, having horses</t>
  </si>
  <si>
    <t xml:space="preserve">Childish</t>
  </si>
  <si>
    <t xml:space="preserve">Fortunate</t>
  </si>
  <si>
    <t xml:space="preserve">Enjoyer, Long Life</t>
  </si>
  <si>
    <t xml:space="preserve">kaṇḍendudhara</t>
  </si>
  <si>
    <t xml:space="preserve">Strychnos nux-vomica,(Strychnine),Kanjiram/ Yetti/ Etti/ Kuchala</t>
  </si>
  <si>
    <t xml:space="preserve">For Rohini, Arudra, Magha, Hastha, Visaka, Sravana, Uttrabhadrashada, Revathi - Can be Excellent compatible for same Nakshtra.
For Pura (Purvaphulguni) , Ashwini, Kritrika, Mirgasira, Punarvasu, Pusa, Uttraphulguni, Chitra, Anuradha, Uttarshada - Can be Medium Compatible for same Nakshtra.
Bharani, Ashlesha, Swathi, Jyesta, Mula, Dhanshta, Sadabishak, Purvabhadrapada should be avoided for compatibility</t>
  </si>
  <si>
    <r>
      <rPr>
        <sz val="11"/>
        <color rgb="FF000000"/>
        <rFont val="Calibri"/>
        <family val="2"/>
        <charset val="1"/>
      </rPr>
      <t xml:space="preserve">1. </t>
    </r>
    <r>
      <rPr>
        <sz val="11"/>
        <color rgb="FF000000"/>
        <rFont val="Noto Sans Arabic UI"/>
        <family val="2"/>
        <charset val="1"/>
      </rPr>
      <t xml:space="preserve">அஸ்வினி – சரஸ்வதி</t>
    </r>
  </si>
  <si>
    <r>
      <rPr>
        <sz val="11"/>
        <color rgb="FF000000"/>
        <rFont val="Calibri"/>
        <family val="2"/>
        <charset val="1"/>
      </rPr>
      <t xml:space="preserve">1. </t>
    </r>
    <r>
      <rPr>
        <sz val="11"/>
        <color rgb="FF000000"/>
        <rFont val="Noto Sans Arabic UI"/>
        <family val="2"/>
        <charset val="1"/>
      </rPr>
      <t xml:space="preserve">அஸ்வினி – அஸ்வினி தேவர்கள்</t>
    </r>
  </si>
  <si>
    <t xml:space="preserve">Apa Barani</t>
  </si>
  <si>
    <t xml:space="preserve">Vaayu</t>
  </si>
  <si>
    <t xml:space="preserve">Kaana-one eyed</t>
  </si>
  <si>
    <t xml:space="preserve">Adhomukha/Down</t>
  </si>
  <si>
    <t xml:space="preserve">Raja</t>
  </si>
  <si>
    <t xml:space="preserve">Manushya</t>
  </si>
  <si>
    <t xml:space="preserve">Artha</t>
  </si>
  <si>
    <t xml:space="preserve">Elephant</t>
  </si>
  <si>
    <t xml:space="preserve">Female/Male</t>
  </si>
  <si>
    <t xml:space="preserve">Yamaraj          </t>
  </si>
  <si>
    <t xml:space="preserve">Kati/Hip</t>
  </si>
  <si>
    <t xml:space="preserve">Stithi</t>
  </si>
  <si>
    <t xml:space="preserve">Kshatriya</t>
  </si>
  <si>
    <t xml:space="preserve">lii luu le lo</t>
  </si>
  <si>
    <t xml:space="preserve">ली लू ले लो</t>
  </si>
  <si>
    <t xml:space="preserve">Vashishtha</t>
  </si>
  <si>
    <t xml:space="preserve">35 Arietis</t>
  </si>
  <si>
    <t xml:space="preserve">Butcher, Non-vegetarian food preparation/ eating, cruel actions like killing and torture, menial jobs, crematorium/ burial related jobs.</t>
  </si>
  <si>
    <t xml:space="preserve">Ugra/Krura(Mars)</t>
  </si>
  <si>
    <t xml:space="preserve">Kaana</t>
  </si>
  <si>
    <t xml:space="preserve">Under Foot/Soles</t>
  </si>
  <si>
    <t xml:space="preserve">Carrying, Bringing,  Wearing, Nourishing from root Bhar</t>
  </si>
  <si>
    <t xml:space="preserve">Sacrificing</t>
  </si>
  <si>
    <t xml:space="preserve">Happy, Rich</t>
  </si>
  <si>
    <t xml:space="preserve">Cruel Deeds</t>
  </si>
  <si>
    <t xml:space="preserve">Poverty</t>
  </si>
  <si>
    <t xml:space="preserve">vṛṣāṅka</t>
  </si>
  <si>
    <t xml:space="preserve">Phyllanthus emblica/ Emblica officinalis,(Indian Gooseberry/ Amla),Nelli/ Perunelli/ Aavali/ Amla/ Amalaki</t>
  </si>
  <si>
    <r>
      <rPr>
        <sz val="11"/>
        <color rgb="FF000000"/>
        <rFont val="Calibri"/>
        <family val="2"/>
        <charset val="1"/>
      </rPr>
      <t xml:space="preserve">2. </t>
    </r>
    <r>
      <rPr>
        <sz val="11"/>
        <color rgb="FF000000"/>
        <rFont val="Noto Sans Arabic UI"/>
        <family val="2"/>
        <charset val="1"/>
      </rPr>
      <t xml:space="preserve">பரணி – துர்க்கை</t>
    </r>
  </si>
  <si>
    <r>
      <rPr>
        <sz val="11"/>
        <color rgb="FF000000"/>
        <rFont val="Calibri"/>
        <family val="2"/>
        <charset val="1"/>
      </rPr>
      <t xml:space="preserve">2. </t>
    </r>
    <r>
      <rPr>
        <sz val="11"/>
        <color rgb="FF000000"/>
        <rFont val="Noto Sans Arabic UI"/>
        <family val="2"/>
        <charset val="1"/>
      </rPr>
      <t xml:space="preserve">பரணி – எமன்</t>
    </r>
  </si>
  <si>
    <t xml:space="preserve">Krithigai</t>
  </si>
  <si>
    <t xml:space="preserve">Aries/Taurus</t>
  </si>
  <si>
    <t xml:space="preserve">Akaasha</t>
  </si>
  <si>
    <t xml:space="preserve">Sulochana-Birght eyed</t>
  </si>
  <si>
    <t xml:space="preserve">Rakshasa</t>
  </si>
  <si>
    <t xml:space="preserve">Kama</t>
  </si>
  <si>
    <t xml:space="preserve">Razor</t>
  </si>
  <si>
    <t xml:space="preserve">fire flame</t>
  </si>
  <si>
    <t xml:space="preserve">Sheep</t>
  </si>
  <si>
    <t xml:space="preserve">Agni             </t>
  </si>
  <si>
    <t xml:space="preserve">Kukshi/Navel</t>
  </si>
  <si>
    <t xml:space="preserve">Laya</t>
  </si>
  <si>
    <t xml:space="preserve">Vaishya</t>
  </si>
  <si>
    <t xml:space="preserve">a ii uu ai </t>
  </si>
  <si>
    <t xml:space="preserve">अ ई ऊ ऐ </t>
  </si>
  <si>
    <t xml:space="preserve">Aïgiras</t>
  </si>
  <si>
    <t xml:space="preserve">Kapha/Sleshma</t>
  </si>
  <si>
    <t xml:space="preserve">Eta Tauri</t>
  </si>
  <si>
    <t xml:space="preserve">Priests Scholars of traditional lore &amp; mantras, commentators, gold miners, barber, potter, Brahmins (intellectual professions), astrologers.</t>
  </si>
  <si>
    <t xml:space="preserve">Sadharana/Mishra(Merc)</t>
  </si>
  <si>
    <t xml:space="preserve">Sama</t>
  </si>
  <si>
    <t xml:space="preserve">Head</t>
  </si>
  <si>
    <t xml:space="preserve">Krita=Cut, Divide, Surrounded, Attired</t>
  </si>
  <si>
    <t xml:space="preserve">Radiant</t>
  </si>
  <si>
    <t xml:space="preserve">Spiritual Knowledge</t>
  </si>
  <si>
    <t xml:space="preserve">Grief</t>
  </si>
  <si>
    <t xml:space="preserve">Long Life, Sons</t>
  </si>
  <si>
    <t xml:space="preserve">kṛttivāsa</t>
  </si>
  <si>
    <t xml:space="preserve">Ficus glomerata/ Ficus racemosa,(Cluster Fig/ Country Fig/ Fig),Athi/ Ambar/ Udumbara/ Gular</t>
  </si>
  <si>
    <r>
      <rPr>
        <sz val="11"/>
        <color rgb="FF000000"/>
        <rFont val="Calibri"/>
        <family val="2"/>
        <charset val="1"/>
      </rPr>
      <t xml:space="preserve">3. </t>
    </r>
    <r>
      <rPr>
        <sz val="11"/>
        <color rgb="FF000000"/>
        <rFont val="Noto Sans Arabic UI"/>
        <family val="2"/>
        <charset val="1"/>
      </rPr>
      <t xml:space="preserve">கார்த்திகை – அக்னி</t>
    </r>
  </si>
  <si>
    <t xml:space="preserve">Tau</t>
  </si>
  <si>
    <t xml:space="preserve">Andha-Blind</t>
  </si>
  <si>
    <t xml:space="preserve">Urdhvamukha/UP</t>
  </si>
  <si>
    <t xml:space="preserve">Moksha</t>
  </si>
  <si>
    <t xml:space="preserve">Chariot</t>
  </si>
  <si>
    <t xml:space="preserve">Serpent</t>
  </si>
  <si>
    <t xml:space="preserve">Brahma           </t>
  </si>
  <si>
    <t xml:space="preserve">Kantha/Neck</t>
  </si>
  <si>
    <t xml:space="preserve">Shudra</t>
  </si>
  <si>
    <t xml:space="preserve">o vaa vii vuu</t>
  </si>
  <si>
    <t xml:space="preserve">ओ वा वी वू</t>
  </si>
  <si>
    <t xml:space="preserve">Atri</t>
  </si>
  <si>
    <t xml:space="preserve">Alderban</t>
  </si>
  <si>
    <t xml:space="preserve">Politician/ King, Businessman, Industrialist, Beauty parlor ,Ascetic, entertainment, agriculture, Cows &amp; quadrupeds, Water dwelling being</t>
  </si>
  <si>
    <t xml:space="preserve">Sthira/Dhruva(Sun)</t>
  </si>
  <si>
    <t xml:space="preserve">Utpaata</t>
  </si>
  <si>
    <t xml:space="preserve">Wednesday</t>
  </si>
  <si>
    <t xml:space="preserve">Forehead</t>
  </si>
  <si>
    <t xml:space="preserve">Red Cow daughter of Surabhi, </t>
  </si>
  <si>
    <t xml:space="preserve">Prosperous</t>
  </si>
  <si>
    <t xml:space="preserve">Many Evils</t>
  </si>
  <si>
    <t xml:space="preserve">Timid</t>
  </si>
  <si>
    <t xml:space="preserve">Truthful</t>
  </si>
  <si>
    <t xml:space="preserve">vācaspati</t>
  </si>
  <si>
    <t xml:space="preserve">Eugenia Jaambolana/ Syzygium cuminii,(Jamun/ Black Plum),Naval/ Jambhali/ Perunjaval</t>
  </si>
  <si>
    <r>
      <rPr>
        <sz val="11"/>
        <color rgb="FF000000"/>
        <rFont val="Calibri"/>
        <family val="2"/>
        <charset val="1"/>
      </rPr>
      <t xml:space="preserve">4. </t>
    </r>
    <r>
      <rPr>
        <sz val="11"/>
        <color rgb="FF000000"/>
        <rFont val="Noto Sans Arabic UI"/>
        <family val="2"/>
        <charset val="1"/>
      </rPr>
      <t xml:space="preserve">ரோகிணி – பிரம்மன்</t>
    </r>
  </si>
  <si>
    <r>
      <rPr>
        <sz val="11"/>
        <color rgb="FF000000"/>
        <rFont val="Calibri"/>
        <family val="2"/>
        <charset val="1"/>
      </rPr>
      <t xml:space="preserve">4. </t>
    </r>
    <r>
      <rPr>
        <sz val="11"/>
        <color rgb="FF000000"/>
        <rFont val="Noto Sans Arabic UI"/>
        <family val="2"/>
        <charset val="1"/>
      </rPr>
      <t xml:space="preserve">ரோகிணி – பிரஜாபதி</t>
    </r>
  </si>
  <si>
    <t xml:space="preserve">Mrigashira</t>
  </si>
  <si>
    <t xml:space="preserve">Invakaa, Mrigaseersham</t>
  </si>
  <si>
    <t xml:space="preserve">Tau/Gem</t>
  </si>
  <si>
    <t xml:space="preserve">Jala</t>
  </si>
  <si>
    <t xml:space="preserve">Deer Head</t>
  </si>
  <si>
    <t xml:space="preserve">Form of Cats Foot?</t>
  </si>
  <si>
    <t xml:space="preserve">Female/Herm</t>
  </si>
  <si>
    <t xml:space="preserve">Moon             </t>
  </si>
  <si>
    <t xml:space="preserve">Shiro/Head</t>
  </si>
  <si>
    <t xml:space="preserve">Anulomaja</t>
  </si>
  <si>
    <t xml:space="preserve">ve vo ka ki</t>
  </si>
  <si>
    <t xml:space="preserve">वे वो क कि</t>
  </si>
  <si>
    <t xml:space="preserve">Pulastya</t>
  </si>
  <si>
    <t xml:space="preserve">Lambda Orionis</t>
  </si>
  <si>
    <t xml:space="preserve">Garments, Perfumes, Products of wet lands, flowers, mango, sapphire &amp; gems, hunters, forest dwellers, loafer, postman, singer, brewery</t>
  </si>
  <si>
    <t xml:space="preserve">Mridhu/Maitra(Venus)</t>
  </si>
  <si>
    <t xml:space="preserve">Eye Brows</t>
  </si>
  <si>
    <t xml:space="preserve">Having Antelope Head</t>
  </si>
  <si>
    <t xml:space="preserve">Kingly</t>
  </si>
  <si>
    <t xml:space="preserve">Enjoyer</t>
  </si>
  <si>
    <t xml:space="preserve">Wealth, Grains</t>
  </si>
  <si>
    <t xml:space="preserve">daśānana bhairava</t>
  </si>
  <si>
    <t xml:space="preserve">Acacia catechu/ Diospyros ebunum,(Cutch Tree/ Milmesha/ Ebony),Karingali/ Karungali/ Kher</t>
  </si>
  <si>
    <r>
      <rPr>
        <sz val="11"/>
        <color rgb="FF000000"/>
        <rFont val="Calibri"/>
        <family val="2"/>
        <charset val="1"/>
      </rPr>
      <t xml:space="preserve">5. </t>
    </r>
    <r>
      <rPr>
        <sz val="11"/>
        <color rgb="FF000000"/>
        <rFont val="Noto Sans Arabic UI"/>
        <family val="2"/>
        <charset val="1"/>
      </rPr>
      <t xml:space="preserve">மிருகசீரிஷம் – சந்திரன்</t>
    </r>
  </si>
  <si>
    <t xml:space="preserve">baahoo, Thiruvaadhirai,Aarudra</t>
  </si>
  <si>
    <t xml:space="preserve">Gem</t>
  </si>
  <si>
    <t xml:space="preserve">Head/Precious Stone</t>
  </si>
  <si>
    <t xml:space="preserve">Lotus, Gem</t>
  </si>
  <si>
    <t xml:space="preserve">Female</t>
  </si>
  <si>
    <t xml:space="preserve">Dog</t>
  </si>
  <si>
    <t xml:space="preserve">Rudra            </t>
  </si>
  <si>
    <t xml:space="preserve">Kantha</t>
  </si>
  <si>
    <t xml:space="preserve">Pratilomaja</t>
  </si>
  <si>
    <t xml:space="preserve">kuu gha ~Na Cha </t>
  </si>
  <si>
    <t xml:space="preserve">कू घ ङ छ </t>
  </si>
  <si>
    <t xml:space="preserve">Pulaha</t>
  </si>
  <si>
    <t xml:space="preserve">SouthEast</t>
  </si>
  <si>
    <t xml:space="preserve">Alpha Orionis</t>
  </si>
  <si>
    <t xml:space="preserve">Prostitution/ laxity of morals, professional liars, cheats, captivation of animals, backstabbing, creating enmity, black magic, Criminals.</t>
  </si>
  <si>
    <t xml:space="preserve">Owl/Pingala</t>
  </si>
  <si>
    <t xml:space="preserve">Cock</t>
  </si>
  <si>
    <t xml:space="preserve">Theexana/Daruna(Saturn)</t>
  </si>
  <si>
    <t xml:space="preserve">Eyes</t>
  </si>
  <si>
    <t xml:space="preserve">Fresh, Moist, </t>
  </si>
  <si>
    <t xml:space="preserve">Spendthrift</t>
  </si>
  <si>
    <t xml:space="preserve">Short Life</t>
  </si>
  <si>
    <t xml:space="preserve">yudhiṣṭira</t>
  </si>
  <si>
    <t xml:space="preserve">Diospyros melanoxylon/ Ptero carpus santalinus/ Aquillaria agallocha,(Cashmere Tree/ Long Pepper/ Red Sandal),Kari /Kumbil/ Karai/ Thippilli/ Agar/ Krushnagus/ Agalichandanum/ Akil/ Sen Santhanam/ Aguru</t>
  </si>
  <si>
    <r>
      <rPr>
        <sz val="11"/>
        <color rgb="FF000000"/>
        <rFont val="Calibri"/>
        <family val="2"/>
        <charset val="1"/>
      </rPr>
      <t xml:space="preserve">6. </t>
    </r>
    <r>
      <rPr>
        <sz val="11"/>
        <color rgb="FF000000"/>
        <rFont val="Noto Sans Arabic UI"/>
        <family val="2"/>
        <charset val="1"/>
      </rPr>
      <t xml:space="preserve">திருவாதிரை – பரமசிவன்</t>
    </r>
  </si>
  <si>
    <r>
      <rPr>
        <sz val="11"/>
        <color rgb="FF000000"/>
        <rFont val="Calibri"/>
        <family val="2"/>
        <charset val="1"/>
      </rPr>
      <t xml:space="preserve">6. </t>
    </r>
    <r>
      <rPr>
        <sz val="11"/>
        <color rgb="FF000000"/>
        <rFont val="Noto Sans Arabic UI"/>
        <family val="2"/>
        <charset val="1"/>
      </rPr>
      <t xml:space="preserve">திருவாதிரை – ருத்ரன்</t>
    </r>
  </si>
  <si>
    <t xml:space="preserve">Punarpoosam </t>
  </si>
  <si>
    <t xml:space="preserve">Gem/Can</t>
  </si>
  <si>
    <t xml:space="preserve">Satva</t>
  </si>
  <si>
    <t xml:space="preserve">Bow</t>
  </si>
  <si>
    <t xml:space="preserve">Cat</t>
  </si>
  <si>
    <t xml:space="preserve">Aditi            </t>
  </si>
  <si>
    <t xml:space="preserve">Kukshi</t>
  </si>
  <si>
    <t xml:space="preserve">ke ko haa hi</t>
  </si>
  <si>
    <t xml:space="preserve">के को हा हि</t>
  </si>
  <si>
    <t xml:space="preserve">Kratu</t>
  </si>
  <si>
    <t xml:space="preserve">Beta Geminorium</t>
  </si>
  <si>
    <t xml:space="preserve">Professions valuing truth, Charity, Intelligent work, Work bringing fame &amp; wealth, banker, Officer, skilled worker</t>
  </si>
  <si>
    <t xml:space="preserve">Chara/Chala(Moon)</t>
  </si>
  <si>
    <t xml:space="preserve">Nose</t>
  </si>
  <si>
    <t xml:space="preserve">Restoring good, Beginning of Wealth/Light</t>
  </si>
  <si>
    <t xml:space="preserve">Happy</t>
  </si>
  <si>
    <t xml:space="preserve">Learned</t>
  </si>
  <si>
    <t xml:space="preserve">Sickly</t>
  </si>
  <si>
    <t xml:space="preserve">Untruth</t>
  </si>
  <si>
    <t xml:space="preserve">pūṣadantavināśa</t>
  </si>
  <si>
    <t xml:space="preserve">Bambusa vulgais/ Bamboosa arundinorea,(Bamboo),Mula/ Moongil/ Velu</t>
  </si>
  <si>
    <r>
      <rPr>
        <sz val="11"/>
        <color rgb="FF000000"/>
        <rFont val="Calibri"/>
        <family val="2"/>
        <charset val="1"/>
      </rPr>
      <t xml:space="preserve">7. </t>
    </r>
    <r>
      <rPr>
        <sz val="11"/>
        <color rgb="FF000000"/>
        <rFont val="Noto Sans Arabic UI"/>
        <family val="2"/>
        <charset val="1"/>
      </rPr>
      <t xml:space="preserve">புனர்பூசம் – அதிதி</t>
    </r>
  </si>
  <si>
    <t xml:space="preserve">tishya, Poosam</t>
  </si>
  <si>
    <t xml:space="preserve">Can</t>
  </si>
  <si>
    <t xml:space="preserve">Flower,Cow Udders</t>
  </si>
  <si>
    <t xml:space="preserve">Arrow</t>
  </si>
  <si>
    <t xml:space="preserve">Guru             </t>
  </si>
  <si>
    <t xml:space="preserve">huu he ho Daa </t>
  </si>
  <si>
    <t xml:space="preserve">हू हे हो डा </t>
  </si>
  <si>
    <t xml:space="preserve">Delta Cancri</t>
  </si>
  <si>
    <t xml:space="preserve">Rice, Wheat, Sugar/sweets, fishermen, water tanks, canals, Politician/ King, Physical exercise</t>
  </si>
  <si>
    <t xml:space="preserve">Thursday</t>
  </si>
  <si>
    <t xml:space="preserve">Face</t>
  </si>
  <si>
    <t xml:space="preserve">Nourishment, Blossom, flower, Best of anything, </t>
  </si>
  <si>
    <t xml:space="preserve">Long life</t>
  </si>
  <si>
    <t xml:space="preserve">Intelligent</t>
  </si>
  <si>
    <t xml:space="preserve">sarvadarśa</t>
  </si>
  <si>
    <t xml:space="preserve">Ficus religiosa,(Sacred Fig/ Peepal/ Ficus),Arayal/ Arasamaram/ Pimpal/ Pipal/ Aal</t>
  </si>
  <si>
    <r>
      <rPr>
        <sz val="11"/>
        <color rgb="FF000000"/>
        <rFont val="Calibri"/>
        <family val="2"/>
        <charset val="1"/>
      </rPr>
      <t xml:space="preserve">8. </t>
    </r>
    <r>
      <rPr>
        <sz val="11"/>
        <color rgb="FF000000"/>
        <rFont val="Noto Sans Arabic UI"/>
        <family val="2"/>
        <charset val="1"/>
      </rPr>
      <t xml:space="preserve">பூசம் – பிருகஸ்பதி</t>
    </r>
  </si>
  <si>
    <r>
      <rPr>
        <sz val="11"/>
        <color rgb="FF000000"/>
        <rFont val="Calibri"/>
        <family val="2"/>
        <charset val="1"/>
      </rPr>
      <t xml:space="preserve">8. </t>
    </r>
    <r>
      <rPr>
        <sz val="11"/>
        <color rgb="FF000000"/>
        <rFont val="Noto Sans Arabic UI"/>
        <family val="2"/>
        <charset val="1"/>
      </rPr>
      <t xml:space="preserve">பூசம் – குரு</t>
    </r>
  </si>
  <si>
    <t xml:space="preserve">Aayilyam</t>
  </si>
  <si>
    <t xml:space="preserve">Male/Female</t>
  </si>
  <si>
    <t xml:space="preserve">Sarpa (Rahu)     </t>
  </si>
  <si>
    <t xml:space="preserve">Di Duu De Dii </t>
  </si>
  <si>
    <t xml:space="preserve">डि डू डे डी </t>
  </si>
  <si>
    <t xml:space="preserve">Alpha Hydroe</t>
  </si>
  <si>
    <t xml:space="preserve">Skilled artisan, herbs, fruits, Medicine, Sorcery, thief, poison, reptiles, insects and worms. Copy or Repeating something.</t>
  </si>
  <si>
    <t xml:space="preserve">Ears</t>
  </si>
  <si>
    <t xml:space="preserve">ashl=bad,coarse ; esha = gliding,seeking, </t>
  </si>
  <si>
    <t xml:space="preserve">Childless</t>
  </si>
  <si>
    <t xml:space="preserve">Servitude</t>
  </si>
  <si>
    <t xml:space="preserve">tryambaka</t>
  </si>
  <si>
    <t xml:space="preserve">Calophyllum indophyllum/ Mesua ferrea,(Messua Tree/ Alexandrian Laurel/ Beauty Leaf Poon),Punna /Punnai/ Nagapoo/ Naagchafa/ Nagkeshar/ Nahar</t>
  </si>
  <si>
    <r>
      <rPr>
        <sz val="11"/>
        <color rgb="FF000000"/>
        <rFont val="Calibri"/>
        <family val="2"/>
        <charset val="1"/>
      </rPr>
      <t xml:space="preserve">9. </t>
    </r>
    <r>
      <rPr>
        <sz val="11"/>
        <color rgb="FF000000"/>
        <rFont val="Noto Sans Arabic UI"/>
        <family val="2"/>
        <charset val="1"/>
      </rPr>
      <t xml:space="preserve">ஆயில்யம் – ஆதிசேஷன்</t>
    </r>
  </si>
  <si>
    <r>
      <rPr>
        <sz val="11"/>
        <color rgb="FF000000"/>
        <rFont val="Calibri"/>
        <family val="2"/>
        <charset val="1"/>
      </rPr>
      <t xml:space="preserve">9. </t>
    </r>
    <r>
      <rPr>
        <sz val="11"/>
        <color rgb="FF000000"/>
        <rFont val="Noto Sans Arabic UI"/>
        <family val="2"/>
        <charset val="1"/>
      </rPr>
      <t xml:space="preserve">ஆயில்யம் – சர்ப்பம்</t>
    </r>
  </si>
  <si>
    <t xml:space="preserve">Magam</t>
  </si>
  <si>
    <t xml:space="preserve">Palanquin</t>
  </si>
  <si>
    <t xml:space="preserve">Plough</t>
  </si>
  <si>
    <t xml:space="preserve">Rat</t>
  </si>
  <si>
    <t xml:space="preserve">Pitrs            </t>
  </si>
  <si>
    <t xml:space="preserve">maa mii muu me </t>
  </si>
  <si>
    <t xml:space="preserve">मा मी मू मे </t>
  </si>
  <si>
    <t xml:space="preserve">Regulus</t>
  </si>
  <si>
    <t xml:space="preserve">Rice merchants, Non-veg food, Large business, Male chauvinist, Civil engineering, all works in mountainous regions</t>
  </si>
  <si>
    <t xml:space="preserve">Lips and Chin</t>
  </si>
  <si>
    <t xml:space="preserve">Gift, Power, Wealth, </t>
  </si>
  <si>
    <t xml:space="preserve">No Funeral</t>
  </si>
  <si>
    <t xml:space="preserve">Sons</t>
  </si>
  <si>
    <t xml:space="preserve">Deadly Disease</t>
  </si>
  <si>
    <t xml:space="preserve">Scholar</t>
  </si>
  <si>
    <t xml:space="preserve">dhakāra</t>
  </si>
  <si>
    <t xml:space="preserve">Ficus benghalensis,(Banyan Tree/ Indian Fig),Peral/ Alamaram/ Vatt/ Bargad</t>
  </si>
  <si>
    <r>
      <rPr>
        <sz val="11"/>
        <color rgb="FF000000"/>
        <rFont val="Calibri"/>
        <family val="2"/>
        <charset val="1"/>
      </rPr>
      <t xml:space="preserve">10. </t>
    </r>
    <r>
      <rPr>
        <sz val="11"/>
        <color rgb="FF000000"/>
        <rFont val="Noto Sans Arabic UI"/>
        <family val="2"/>
        <charset val="1"/>
      </rPr>
      <t xml:space="preserve">மகம் – சுக்கிரன்</t>
    </r>
  </si>
  <si>
    <r>
      <rPr>
        <sz val="11"/>
        <color rgb="FF000000"/>
        <rFont val="Calibri"/>
        <family val="2"/>
        <charset val="1"/>
      </rPr>
      <t xml:space="preserve">10. </t>
    </r>
    <r>
      <rPr>
        <sz val="11"/>
        <color rgb="FF000000"/>
        <rFont val="Noto Sans Arabic UI"/>
        <family val="2"/>
        <charset val="1"/>
      </rPr>
      <t xml:space="preserve">மகம் – பித்ருக்கள்</t>
    </r>
  </si>
  <si>
    <t xml:space="preserve">Purva Phalguni</t>
  </si>
  <si>
    <t xml:space="preserve">Pooram, pubba</t>
  </si>
  <si>
    <t xml:space="preserve">Front Legs of cot</t>
  </si>
  <si>
    <t xml:space="preserve">Front Legs of Marriage Bed</t>
  </si>
  <si>
    <t xml:space="preserve">Bhaga (Siva)     </t>
  </si>
  <si>
    <t xml:space="preserve">mo Taa Tii Tu</t>
  </si>
  <si>
    <t xml:space="preserve">मो टा टी टु</t>
  </si>
  <si>
    <t xml:space="preserve">Delta Leonis</t>
  </si>
  <si>
    <t xml:space="preserve">Dance, Movie, Fashion, entertainment, Music, Painting, Money exchange, Fried food, Salt, Honey, light oils etc.</t>
  </si>
  <si>
    <t xml:space="preserve">Right Hand</t>
  </si>
  <si>
    <t xml:space="preserve">Reddish, Small, Weak, uprofittable, Vanity,?</t>
  </si>
  <si>
    <t xml:space="preserve">Skillfull</t>
  </si>
  <si>
    <t xml:space="preserve">Righteous</t>
  </si>
  <si>
    <t xml:space="preserve">Cruel</t>
  </si>
  <si>
    <t xml:space="preserve">Short life</t>
  </si>
  <si>
    <t xml:space="preserve">somadhārā</t>
  </si>
  <si>
    <t xml:space="preserve">Butea monosperma,(Flame of the Forest/ Parrot Tree),Plasu/ Chamata/ Palas/ Khakda/ Modugu/ Murikku/ Parasu/ Polash/ Desuka Jhad/ Dhak/ Chalcha</t>
  </si>
  <si>
    <r>
      <rPr>
        <sz val="11"/>
        <color rgb="FF000000"/>
        <rFont val="Calibri"/>
        <family val="2"/>
        <charset val="1"/>
      </rPr>
      <t xml:space="preserve">11. </t>
    </r>
    <r>
      <rPr>
        <sz val="11"/>
        <color rgb="FF000000"/>
        <rFont val="Noto Sans Arabic UI"/>
        <family val="2"/>
        <charset val="1"/>
      </rPr>
      <t xml:space="preserve">பூரம் – பார்வதி</t>
    </r>
  </si>
  <si>
    <r>
      <rPr>
        <sz val="11"/>
        <color rgb="FF000000"/>
        <rFont val="Calibri"/>
        <family val="2"/>
        <charset val="1"/>
      </rPr>
      <t xml:space="preserve">11. </t>
    </r>
    <r>
      <rPr>
        <sz val="11"/>
        <color rgb="FF000000"/>
        <rFont val="Noto Sans Arabic UI"/>
        <family val="2"/>
        <charset val="1"/>
      </rPr>
      <t xml:space="preserve">பூரம் – அர்யமான்</t>
    </r>
  </si>
  <si>
    <t xml:space="preserve">Uttara Phalguni</t>
  </si>
  <si>
    <t xml:space="preserve">Uttaram</t>
  </si>
  <si>
    <t xml:space="preserve">Leo/Vir</t>
  </si>
  <si>
    <t xml:space="preserve">Back legs of cot</t>
  </si>
  <si>
    <t xml:space="preserve">Back Legs of Marriage Bed</t>
  </si>
  <si>
    <t xml:space="preserve">Cow</t>
  </si>
  <si>
    <t xml:space="preserve">Aryaman          </t>
  </si>
  <si>
    <t xml:space="preserve">Te To paa pi</t>
  </si>
  <si>
    <t xml:space="preserve">टे टो पा पि</t>
  </si>
  <si>
    <t xml:space="preserve">Beta Leonis</t>
  </si>
  <si>
    <t xml:space="preserve">Lawyer, Judge, Charity, Vedic knowledge, Finance for trade, Treasury, Government service, social service</t>
  </si>
  <si>
    <t xml:space="preserve">Crow/kaaka</t>
  </si>
  <si>
    <t xml:space="preserve">Crow</t>
  </si>
  <si>
    <t xml:space="preserve">Friday</t>
  </si>
  <si>
    <t xml:space="preserve">Left Hand</t>
  </si>
  <si>
    <t xml:space="preserve">Emperor</t>
  </si>
  <si>
    <t xml:space="preserve">Success</t>
  </si>
  <si>
    <t xml:space="preserve">Righteous, just</t>
  </si>
  <si>
    <t xml:space="preserve">gaṅgādhara</t>
  </si>
  <si>
    <t xml:space="preserve">Ficus tinctoria/ Nerium indicum/ Ficus arnottiana,(Indian Laurel/ Rose Laurel/ Indian Cleaner),Ithi/ Itti/ Arali/ Payari</t>
  </si>
  <si>
    <r>
      <rPr>
        <sz val="11"/>
        <color rgb="FF000000"/>
        <rFont val="Calibri"/>
        <family val="2"/>
        <charset val="1"/>
      </rPr>
      <t xml:space="preserve">12. </t>
    </r>
    <r>
      <rPr>
        <sz val="11"/>
        <color rgb="FF000000"/>
        <rFont val="Noto Sans Arabic UI"/>
        <family val="2"/>
        <charset val="1"/>
      </rPr>
      <t xml:space="preserve">உத்திரம் – சூரியன்</t>
    </r>
  </si>
  <si>
    <r>
      <rPr>
        <sz val="11"/>
        <color rgb="FF000000"/>
        <rFont val="Calibri"/>
        <family val="2"/>
        <charset val="1"/>
      </rPr>
      <t xml:space="preserve">12. </t>
    </r>
    <r>
      <rPr>
        <sz val="11"/>
        <color rgb="FF000000"/>
        <rFont val="Noto Sans Arabic UI"/>
        <family val="2"/>
        <charset val="1"/>
      </rPr>
      <t xml:space="preserve">உத்திரம் – பேகன் </t>
    </r>
    <r>
      <rPr>
        <sz val="11"/>
        <color rgb="FF000000"/>
        <rFont val="Calibri"/>
        <family val="2"/>
        <charset val="1"/>
      </rPr>
      <t xml:space="preserve">(Bhaga)</t>
    </r>
  </si>
  <si>
    <t xml:space="preserve">Hastham</t>
  </si>
  <si>
    <t xml:space="preserve">Vir</t>
  </si>
  <si>
    <t xml:space="preserve">Palm</t>
  </si>
  <si>
    <t xml:space="preserve">Hand</t>
  </si>
  <si>
    <t xml:space="preserve">Buffalo</t>
  </si>
  <si>
    <t xml:space="preserve">Savitr (Sun)     </t>
  </si>
  <si>
    <t xml:space="preserve">puu pa Na Tha</t>
  </si>
  <si>
    <t xml:space="preserve">पू प ण ठ</t>
  </si>
  <si>
    <t xml:space="preserve">SouthWest</t>
  </si>
  <si>
    <t xml:space="preserve">Delta Corvi</t>
  </si>
  <si>
    <t xml:space="preserve">Shares, speculation, gambling, thief, traditional knowledge, painting, catching,training &amp; riding elephants.</t>
  </si>
  <si>
    <t xml:space="preserve">Hand/Fingers</t>
  </si>
  <si>
    <t xml:space="preserve">Hand, Elephant Trunk, Holding</t>
  </si>
  <si>
    <t xml:space="preserve">Heroic</t>
  </si>
  <si>
    <t xml:space="preserve">Wealthy</t>
  </si>
  <si>
    <t xml:space="preserve">sāmbhaśiva</t>
  </si>
  <si>
    <t xml:space="preserve">Spondias pinnata / Azadirachta indica/ Jasminum grandiflorum,(Hog Plum/ Neem/ Royal Jasmine / Azadirachta indica/ Jasminum grandiflorum),Ambazham/ Marima/ Nalini/ Kaatuma/ Velam/ Chameli/ Mulla/ Mullai</t>
  </si>
  <si>
    <r>
      <rPr>
        <sz val="11"/>
        <color rgb="FF000000"/>
        <rFont val="Calibri"/>
        <family val="2"/>
        <charset val="1"/>
      </rPr>
      <t xml:space="preserve">13. </t>
    </r>
    <r>
      <rPr>
        <sz val="11"/>
        <color rgb="FF000000"/>
        <rFont val="Noto Sans Arabic UI"/>
        <family val="2"/>
        <charset val="1"/>
      </rPr>
      <t xml:space="preserve">ஹஸ்தம் – துர்தேவதை</t>
    </r>
  </si>
  <si>
    <r>
      <rPr>
        <sz val="11"/>
        <color rgb="FF000000"/>
        <rFont val="Calibri"/>
        <family val="2"/>
        <charset val="1"/>
      </rPr>
      <t xml:space="preserve">13. </t>
    </r>
    <r>
      <rPr>
        <sz val="11"/>
        <color rgb="FF000000"/>
        <rFont val="Noto Sans Arabic UI"/>
        <family val="2"/>
        <charset val="1"/>
      </rPr>
      <t xml:space="preserve">ஹஸ்தம் – துவஷ்டா </t>
    </r>
    <r>
      <rPr>
        <sz val="11"/>
        <color rgb="FF000000"/>
        <rFont val="Calibri"/>
        <family val="2"/>
        <charset val="1"/>
      </rPr>
      <t xml:space="preserve">(Savitur)</t>
    </r>
  </si>
  <si>
    <t xml:space="preserve">Chithirai</t>
  </si>
  <si>
    <t xml:space="preserve">Vir/Lib</t>
  </si>
  <si>
    <t xml:space="preserve">Pearl</t>
  </si>
  <si>
    <t xml:space="preserve">Tiger</t>
  </si>
  <si>
    <t xml:space="preserve">Tvastr          </t>
  </si>
  <si>
    <t xml:space="preserve">pe pii raa rii</t>
  </si>
  <si>
    <t xml:space="preserve">पे पी रा री</t>
  </si>
  <si>
    <t xml:space="preserve">Spica Virginis</t>
  </si>
  <si>
    <t xml:space="preserve">Interior decoration, architecture, Diamond jewellery, incense &amp; perfumes,mathematics, computers, ENT specialist, weaving &amp;spinning</t>
  </si>
  <si>
    <t xml:space="preserve">Neck</t>
  </si>
  <si>
    <t xml:space="preserve">Bright, Clear, Conspicuous, Excellent, Spotted, Beautiful</t>
  </si>
  <si>
    <t xml:space="preserve">Artist</t>
  </si>
  <si>
    <t xml:space="preserve">śankara</t>
  </si>
  <si>
    <t xml:space="preserve">Aegle marmelos,(Beal Tree/ Bengal Quince/ Stone Apple/ Wood Apple),Koovalam/ Vilvam/ Bel/ Bilvam/ Bilwa/</t>
  </si>
  <si>
    <r>
      <rPr>
        <sz val="11"/>
        <color rgb="FF000000"/>
        <rFont val="Calibri"/>
        <family val="2"/>
        <charset val="1"/>
      </rPr>
      <t xml:space="preserve">14. </t>
    </r>
    <r>
      <rPr>
        <sz val="11"/>
        <color rgb="FF000000"/>
        <rFont val="Noto Sans Arabic UI"/>
        <family val="2"/>
        <charset val="1"/>
      </rPr>
      <t xml:space="preserve">சித்திரை – விஸ்வகர்மா</t>
    </r>
  </si>
  <si>
    <r>
      <rPr>
        <sz val="11"/>
        <color rgb="FF000000"/>
        <rFont val="Calibri"/>
        <family val="2"/>
        <charset val="1"/>
      </rPr>
      <t xml:space="preserve">14. </t>
    </r>
    <r>
      <rPr>
        <sz val="11"/>
        <color rgb="FF000000"/>
        <rFont val="Noto Sans Arabic UI"/>
        <family val="2"/>
        <charset val="1"/>
      </rPr>
      <t xml:space="preserve">சித்திரை – துவஷ்டா</t>
    </r>
  </si>
  <si>
    <t xml:space="preserve">Nishtyaa</t>
  </si>
  <si>
    <t xml:space="preserve">Lib</t>
  </si>
  <si>
    <t xml:space="preserve">Sapphire</t>
  </si>
  <si>
    <t xml:space="preserve">Wheat Sprout, Like Kumkum</t>
  </si>
  <si>
    <t xml:space="preserve">Vayu             </t>
  </si>
  <si>
    <t xml:space="preserve">ruu re ro taa</t>
  </si>
  <si>
    <t xml:space="preserve">रू रे रो ता</t>
  </si>
  <si>
    <t xml:space="preserve">Arcturus Vayu</t>
  </si>
  <si>
    <t xml:space="preserve">Aeroplanes, Deer, horses &amp; similar animals, Vegeatables, Merchant, Birth control,Music Prayer panchami thithi and svaathi nakshatram. </t>
  </si>
  <si>
    <t xml:space="preserve">chest</t>
  </si>
  <si>
    <t xml:space="preserve">Having good taste</t>
  </si>
  <si>
    <t xml:space="preserve">Charitable</t>
  </si>
  <si>
    <t xml:space="preserve">bhīma</t>
  </si>
  <si>
    <t xml:space="preserve">Terminalia arjuna/ Lagerstroemia speciosa,(Arjuna Tree / Queen's Flower),Maruthu/ Neermaruthu/ Marutham/ Jarul/ Arjun</t>
  </si>
  <si>
    <r>
      <rPr>
        <sz val="11"/>
        <color rgb="FF000000"/>
        <rFont val="Calibri"/>
        <family val="2"/>
        <charset val="1"/>
      </rPr>
      <t xml:space="preserve">15. </t>
    </r>
    <r>
      <rPr>
        <sz val="11"/>
        <color rgb="FF000000"/>
        <rFont val="Noto Sans Arabic UI"/>
        <family val="2"/>
        <charset val="1"/>
      </rPr>
      <t xml:space="preserve">சுவாதி – வாயு</t>
    </r>
  </si>
  <si>
    <t xml:space="preserve">Vishakha</t>
  </si>
  <si>
    <t xml:space="preserve">Visaakam</t>
  </si>
  <si>
    <t xml:space="preserve">Lib/Sco</t>
  </si>
  <si>
    <t xml:space="preserve">Potters Wheel</t>
  </si>
  <si>
    <t xml:space="preserve">Torana (Triump Arch)</t>
  </si>
  <si>
    <t xml:space="preserve">Indra And Agni   </t>
  </si>
  <si>
    <t xml:space="preserve">tii tuu te to</t>
  </si>
  <si>
    <t xml:space="preserve">ती तू ते तो</t>
  </si>
  <si>
    <t xml:space="preserve">Alpha Libroe</t>
  </si>
  <si>
    <t xml:space="preserve">Gram, Businessmen, learned &amp; skilled in handling fire, engineering.</t>
  </si>
  <si>
    <t xml:space="preserve">Saturday</t>
  </si>
  <si>
    <t xml:space="preserve">Breast</t>
  </si>
  <si>
    <t xml:space="preserve">Branched (Well Branched?), Arched</t>
  </si>
  <si>
    <t xml:space="preserve">Justice</t>
  </si>
  <si>
    <t xml:space="preserve">Polity, Policy</t>
  </si>
  <si>
    <t xml:space="preserve">trinetraya</t>
  </si>
  <si>
    <t xml:space="preserve">Feronia elephantum/ Feronia limonia/ Mesua ferrea/ Limonia acidissima,(Governor's Plum/ Wood Apple/ Ceylon Ironwood/ Indian rose chestnut),Dadhipala/ Vayamkatha/ Vilamaram/ Kaith/ Naagkeshar/ Nahar</t>
  </si>
  <si>
    <r>
      <rPr>
        <sz val="11"/>
        <color rgb="FFC9211E"/>
        <rFont val="Calibri"/>
        <family val="2"/>
        <charset val="1"/>
      </rPr>
      <t xml:space="preserve">16. </t>
    </r>
    <r>
      <rPr>
        <sz val="11"/>
        <color rgb="FFC9211E"/>
        <rFont val="Noto Sans Arabic UI"/>
        <family val="2"/>
        <charset val="1"/>
      </rPr>
      <t xml:space="preserve">விசாகம் – இந்திரன்</t>
    </r>
  </si>
  <si>
    <r>
      <rPr>
        <sz val="11"/>
        <color rgb="FFC9211E"/>
        <rFont val="Calibri"/>
        <family val="2"/>
        <charset val="1"/>
      </rPr>
      <t xml:space="preserve">16. </t>
    </r>
    <r>
      <rPr>
        <sz val="11"/>
        <color rgb="FFC9211E"/>
        <rFont val="Noto Sans Arabic UI"/>
        <family val="2"/>
        <charset val="1"/>
      </rPr>
      <t xml:space="preserve">விசாகம் – இந்திரன் </t>
    </r>
    <r>
      <rPr>
        <sz val="11"/>
        <color rgb="FFC9211E"/>
        <rFont val="Calibri"/>
        <family val="2"/>
        <charset val="1"/>
      </rPr>
      <t xml:space="preserve">(Indra-Agni)</t>
    </r>
  </si>
  <si>
    <t xml:space="preserve">Anusham</t>
  </si>
  <si>
    <t xml:space="preserve">Sco</t>
  </si>
  <si>
    <t xml:space="preserve">Umbrella</t>
  </si>
  <si>
    <t xml:space="preserve">Lotus</t>
  </si>
  <si>
    <t xml:space="preserve">Hare</t>
  </si>
  <si>
    <t xml:space="preserve">Mitra (Sun)      </t>
  </si>
  <si>
    <t xml:space="preserve">naa nii nuu ne</t>
  </si>
  <si>
    <t xml:space="preserve">ना नी नू ने</t>
  </si>
  <si>
    <t xml:space="preserve">Delta Scorpio</t>
  </si>
  <si>
    <t xml:space="preserve">Sports, Games, Devoted to saints, Foreign visits (Foreign service, exports, imports etc) Vehicles (manufacture, repair ,use)</t>
  </si>
  <si>
    <t xml:space="preserve">Owl</t>
  </si>
  <si>
    <t xml:space="preserve">Stomach</t>
  </si>
  <si>
    <t xml:space="preserve">anu=Next, Subordinate, Small Radha=Success, Prosperity, (Lakshmi like in Radha Krishna)</t>
  </si>
  <si>
    <t xml:space="preserve">Fierce</t>
  </si>
  <si>
    <t xml:space="preserve">Bad Background</t>
  </si>
  <si>
    <t xml:space="preserve">anangahara</t>
  </si>
  <si>
    <t xml:space="preserve">Mimusops elengi/ Mesua ferrea,(Bullet Wood Tree),Elanji/ Magizh/ Magizham/ Maulshree/ Naagkeshar</t>
  </si>
  <si>
    <r>
      <rPr>
        <sz val="11"/>
        <color rgb="FF000000"/>
        <rFont val="Calibri"/>
        <family val="2"/>
        <charset val="1"/>
      </rPr>
      <t xml:space="preserve">17. </t>
    </r>
    <r>
      <rPr>
        <sz val="11"/>
        <color rgb="FF000000"/>
        <rFont val="Noto Sans Arabic UI"/>
        <family val="2"/>
        <charset val="1"/>
      </rPr>
      <t xml:space="preserve">அனுஷம் – மித்ரன்</t>
    </r>
  </si>
  <si>
    <t xml:space="preserve">Jyeshtha</t>
  </si>
  <si>
    <t xml:space="preserve">Kettai </t>
  </si>
  <si>
    <t xml:space="preserve">Circle, Boars Tusk</t>
  </si>
  <si>
    <t xml:space="preserve">Shakra (Indra)   </t>
  </si>
  <si>
    <t xml:space="preserve">no yaa yii yuu</t>
  </si>
  <si>
    <t xml:space="preserve">नो या यी यू</t>
  </si>
  <si>
    <t xml:space="preserve">Antares Indra</t>
  </si>
  <si>
    <t xml:space="preserve">Warriors, Kings, Army generals and powerful bureaucrats, Wealth</t>
  </si>
  <si>
    <t xml:space="preserve">Right Trunk</t>
  </si>
  <si>
    <t xml:space="preserve">Excellent, Eldest</t>
  </si>
  <si>
    <t xml:space="preserve">surajyeṣṭha</t>
  </si>
  <si>
    <t xml:space="preserve">Aporusa lindleyana/ Calammus rotang/ Connatus wightii,(Bodh Tree/ Stunted Jack),Vetti/ Pachotti/ Kuttipala/ Prayan/ Sambar</t>
  </si>
  <si>
    <r>
      <rPr>
        <sz val="11"/>
        <color rgb="FF000000"/>
        <rFont val="Calibri"/>
        <family val="2"/>
        <charset val="1"/>
      </rPr>
      <t xml:space="preserve">18. </t>
    </r>
    <r>
      <rPr>
        <sz val="11"/>
        <color rgb="FF000000"/>
        <rFont val="Noto Sans Arabic UI"/>
        <family val="2"/>
        <charset val="1"/>
      </rPr>
      <t xml:space="preserve">கேட்டை – இந்திரன்</t>
    </r>
  </si>
  <si>
    <t xml:space="preserve">Vicrita, Moolabarhani, Moolam</t>
  </si>
  <si>
    <t xml:space="preserve">Sag</t>
  </si>
  <si>
    <t xml:space="preserve">Crouching Lion</t>
  </si>
  <si>
    <t xml:space="preserve">Male/HERMAPHRODITE</t>
  </si>
  <si>
    <t xml:space="preserve">Nirrti           </t>
  </si>
  <si>
    <t xml:space="preserve">ye yo bhaa bhii</t>
  </si>
  <si>
    <t xml:space="preserve">ये यो भा भी</t>
  </si>
  <si>
    <t xml:space="preserve">North West</t>
  </si>
  <si>
    <t xml:space="preserve">Lambda Scorpio</t>
  </si>
  <si>
    <t xml:space="preserve">Medicine, Doctor, Dacoit, Seller of herbs,fruits, flowers,seeds etc. Criminal mind.</t>
  </si>
  <si>
    <t xml:space="preserve">Left Trunk</t>
  </si>
  <si>
    <t xml:space="preserve">Root, Base, Origin</t>
  </si>
  <si>
    <t xml:space="preserve">Sacrifice</t>
  </si>
  <si>
    <t xml:space="preserve">Friends</t>
  </si>
  <si>
    <t xml:space="preserve">Lordly</t>
  </si>
  <si>
    <t xml:space="preserve">dānākhya</t>
  </si>
  <si>
    <t xml:space="preserve">Boswellia serrata/ Mangiferus indicus/ Shorea robusta/ Hardwickia binate,(White Dammar/ Hardwickia/ Mango Tree/ Sal Tree),Kunthirikkam/ Veluthakunthirikom/ Acha/ Anjan/ Mamaram/ Raal/ Sal/ Shala/ Ashvakarna/</t>
  </si>
  <si>
    <r>
      <rPr>
        <sz val="11"/>
        <color rgb="FF000000"/>
        <rFont val="Calibri"/>
        <family val="2"/>
        <charset val="1"/>
      </rPr>
      <t xml:space="preserve">19. </t>
    </r>
    <r>
      <rPr>
        <sz val="11"/>
        <color rgb="FF000000"/>
        <rFont val="Noto Sans Arabic UI"/>
        <family val="2"/>
        <charset val="1"/>
      </rPr>
      <t xml:space="preserve">மூலம் – அசுரர்</t>
    </r>
  </si>
  <si>
    <r>
      <rPr>
        <sz val="11"/>
        <color rgb="FF000000"/>
        <rFont val="Calibri"/>
        <family val="2"/>
        <charset val="1"/>
      </rPr>
      <t xml:space="preserve">19. </t>
    </r>
    <r>
      <rPr>
        <sz val="11"/>
        <color rgb="FF000000"/>
        <rFont val="Noto Sans Arabic UI"/>
        <family val="2"/>
        <charset val="1"/>
      </rPr>
      <t xml:space="preserve">மூலம் – நிருதி</t>
    </r>
  </si>
  <si>
    <t xml:space="preserve">Purva Ashadha</t>
  </si>
  <si>
    <t xml:space="preserve">Pooraadam</t>
  </si>
  <si>
    <t xml:space="preserve">Front of square</t>
  </si>
  <si>
    <t xml:space="preserve">Hand Fan</t>
  </si>
  <si>
    <t xml:space="preserve">Monkey</t>
  </si>
  <si>
    <t xml:space="preserve">Apah (Water)     </t>
  </si>
  <si>
    <t xml:space="preserve">bhuu ghaa phaa Dhaa </t>
  </si>
  <si>
    <t xml:space="preserve">भू घा फा ढा </t>
  </si>
  <si>
    <t xml:space="preserve">Delta Sagittari</t>
  </si>
  <si>
    <t xml:space="preserve">Builds dams,canals etc. or any activity related to water. Fisherman, sailor, honest profession.</t>
  </si>
  <si>
    <t xml:space="preserve">Sunday</t>
  </si>
  <si>
    <t xml:space="preserve">Back</t>
  </si>
  <si>
    <t xml:space="preserve"> not to be overcome , invincible</t>
  </si>
  <si>
    <t xml:space="preserve">Good Human</t>
  </si>
  <si>
    <t xml:space="preserve">Eloquent</t>
  </si>
  <si>
    <t xml:space="preserve">gouriśankara</t>
  </si>
  <si>
    <t xml:space="preserve">Salix tetraspeama/ Tinos pora cardifodia/ Calamus pseudo-tenuis,(Fish Poison Tree/ Tinospora),Aattupala/ Aatrupalai/ Samudrakai/ Vanchikodi/ Vet</t>
  </si>
  <si>
    <r>
      <rPr>
        <sz val="11"/>
        <color rgb="FF000000"/>
        <rFont val="Calibri"/>
        <family val="2"/>
        <charset val="1"/>
      </rPr>
      <t xml:space="preserve">20. </t>
    </r>
    <r>
      <rPr>
        <sz val="11"/>
        <color rgb="FF000000"/>
        <rFont val="Noto Sans Arabic UI"/>
        <family val="2"/>
        <charset val="1"/>
      </rPr>
      <t xml:space="preserve">பூராடம் – வருணன் </t>
    </r>
    <r>
      <rPr>
        <sz val="11"/>
        <color rgb="FF000000"/>
        <rFont val="Calibri"/>
        <family val="2"/>
        <charset val="1"/>
      </rPr>
      <t xml:space="preserve">(Jala)</t>
    </r>
  </si>
  <si>
    <r>
      <rPr>
        <sz val="11"/>
        <color rgb="FFC9211E"/>
        <rFont val="Calibri"/>
        <family val="2"/>
        <charset val="1"/>
      </rPr>
      <t xml:space="preserve">20. </t>
    </r>
    <r>
      <rPr>
        <sz val="11"/>
        <color rgb="FFC9211E"/>
        <rFont val="Noto Sans Arabic UI"/>
        <family val="2"/>
        <charset val="1"/>
      </rPr>
      <t xml:space="preserve">பூராடம் – விச்வதேவா</t>
    </r>
  </si>
  <si>
    <t xml:space="preserve">Uttara Ashadha</t>
  </si>
  <si>
    <t xml:space="preserve">Uttaraadam </t>
  </si>
  <si>
    <t xml:space="preserve">Sag/Cap</t>
  </si>
  <si>
    <t xml:space="preserve">Back of square</t>
  </si>
  <si>
    <t xml:space="preserve">Elephant Tusk</t>
  </si>
  <si>
    <t xml:space="preserve">Mongoose</t>
  </si>
  <si>
    <t xml:space="preserve">Visvadevas       </t>
  </si>
  <si>
    <t xml:space="preserve">bhe bhii jaa jii </t>
  </si>
  <si>
    <t xml:space="preserve">भे भी जा जी </t>
  </si>
  <si>
    <t xml:space="preserve">Sigma sagittari</t>
  </si>
  <si>
    <t xml:space="preserve">Wrestling, Boxing etc; catches &amp; rides elephants, horses (vehicles nowadays), astrologer, battle strategist, pleasure resorts, enjoyment etc</t>
  </si>
  <si>
    <t xml:space="preserve">Waist</t>
  </si>
  <si>
    <t xml:space="preserve">Inimical to all</t>
  </si>
  <si>
    <t xml:space="preserve">Honour</t>
  </si>
  <si>
    <t xml:space="preserve">Religious</t>
  </si>
  <si>
    <t xml:space="preserve">umākānta</t>
  </si>
  <si>
    <t xml:space="preserve">Artocarpus heterophyllus/ Autocarpus cummunis,(Jack Fruit Tree/ Bread Fruit),Plavu/ Pila/ Pala/ Sakkai Pala/ Phanas</t>
  </si>
  <si>
    <r>
      <rPr>
        <sz val="11"/>
        <color rgb="FF000000"/>
        <rFont val="Calibri"/>
        <family val="2"/>
        <charset val="1"/>
      </rPr>
      <t xml:space="preserve">21. </t>
    </r>
    <r>
      <rPr>
        <sz val="11"/>
        <color rgb="FF000000"/>
        <rFont val="Noto Sans Arabic UI"/>
        <family val="2"/>
        <charset val="1"/>
      </rPr>
      <t xml:space="preserve">உத்திராடம் – கணபதி</t>
    </r>
  </si>
  <si>
    <r>
      <rPr>
        <sz val="11"/>
        <color rgb="FF000000"/>
        <rFont val="Calibri"/>
        <family val="2"/>
        <charset val="1"/>
      </rPr>
      <t xml:space="preserve">21. </t>
    </r>
    <r>
      <rPr>
        <sz val="11"/>
        <color rgb="FF000000"/>
        <rFont val="Noto Sans Arabic UI"/>
        <family val="2"/>
        <charset val="1"/>
      </rPr>
      <t xml:space="preserve">உத்திராடம் – பிரம்மன்</t>
    </r>
  </si>
  <si>
    <t xml:space="preserve">Cap</t>
  </si>
  <si>
    <t xml:space="preserve">ju je jo kha</t>
  </si>
  <si>
    <t xml:space="preserve">जु जे जो  ख</t>
  </si>
  <si>
    <t xml:space="preserve">victorious , conquest </t>
  </si>
  <si>
    <t xml:space="preserve">Shronaa, Thiruvonam</t>
  </si>
  <si>
    <t xml:space="preserve">Manas</t>
  </si>
  <si>
    <t xml:space="preserve">Visnu            </t>
  </si>
  <si>
    <t xml:space="preserve">khii khu khe kho</t>
  </si>
  <si>
    <t xml:space="preserve">खी खु खे खो</t>
  </si>
  <si>
    <t xml:space="preserve">Alpha Aquiloe</t>
  </si>
  <si>
    <t xml:space="preserve">Hard work, high spirited work, Religion and spiritualism, true. In the negative, expert cheat , pickpocket.</t>
  </si>
  <si>
    <t xml:space="preserve">Sex organs</t>
  </si>
  <si>
    <t xml:space="preserve">the act of hearing,that which is heard</t>
  </si>
  <si>
    <t xml:space="preserve">High honour</t>
  </si>
  <si>
    <t xml:space="preserve">Virtuous</t>
  </si>
  <si>
    <t xml:space="preserve">kapāla</t>
  </si>
  <si>
    <t xml:space="preserve">Calotropis procera/ Calotropis gigantea,(Gigantic Swallow/ Swallow Wort),Erukku/ Vellerukku/ Rui</t>
  </si>
  <si>
    <r>
      <rPr>
        <sz val="11"/>
        <color rgb="FF000000"/>
        <rFont val="Calibri"/>
        <family val="2"/>
        <charset val="1"/>
      </rPr>
      <t xml:space="preserve">22. </t>
    </r>
    <r>
      <rPr>
        <sz val="11"/>
        <color rgb="FF000000"/>
        <rFont val="Noto Sans Arabic UI"/>
        <family val="2"/>
        <charset val="1"/>
      </rPr>
      <t xml:space="preserve">திருவோணம் –விஷ்ணு</t>
    </r>
  </si>
  <si>
    <r>
      <rPr>
        <sz val="11"/>
        <color rgb="FF000000"/>
        <rFont val="Calibri"/>
        <family val="2"/>
        <charset val="1"/>
      </rPr>
      <t xml:space="preserve">22. </t>
    </r>
    <r>
      <rPr>
        <sz val="11"/>
        <color rgb="FF000000"/>
        <rFont val="Noto Sans Arabic UI"/>
        <family val="2"/>
        <charset val="1"/>
      </rPr>
      <t xml:space="preserve">திருவோணம் – விஷ்ணு</t>
    </r>
  </si>
  <si>
    <t xml:space="preserve">Dhanistha</t>
  </si>
  <si>
    <t xml:space="preserve">Avittam,Shravishta</t>
  </si>
  <si>
    <t xml:space="preserve">Cap/Aqu</t>
  </si>
  <si>
    <t xml:space="preserve">Drum/Flute</t>
  </si>
  <si>
    <t xml:space="preserve">Drum</t>
  </si>
  <si>
    <t xml:space="preserve">Lion</t>
  </si>
  <si>
    <t xml:space="preserve">Vasana (Indra)   </t>
  </si>
  <si>
    <t xml:space="preserve">gaa go guu ge</t>
  </si>
  <si>
    <t xml:space="preserve">गा गो गू गे</t>
  </si>
  <si>
    <t xml:space="preserve">Beta Delphinum</t>
  </si>
  <si>
    <t xml:space="preserve">Eunuch, Impersonal work, detatched , Charity, Women, Senses etc.</t>
  </si>
  <si>
    <r>
      <rPr>
        <sz val="9"/>
        <color rgb="FF000000"/>
        <rFont val="Arial Unicode MS"/>
        <family val="2"/>
        <charset val="1"/>
      </rPr>
      <t xml:space="preserve">Eagle/ </t>
    </r>
    <r>
      <rPr>
        <sz val="9"/>
        <color rgb="FF000000"/>
        <rFont val="Noto Sans Devanagari"/>
        <family val="2"/>
        <charset val="1"/>
      </rPr>
      <t xml:space="preserve">भारण्ड</t>
    </r>
  </si>
  <si>
    <t xml:space="preserve">Monday</t>
  </si>
  <si>
    <t xml:space="preserve">Anus</t>
  </si>
  <si>
    <t xml:space="preserve">very rich (Dhan + Ishta)</t>
  </si>
  <si>
    <t xml:space="preserve">Reputed Scholar</t>
  </si>
  <si>
    <t xml:space="preserve">Great spouce</t>
  </si>
  <si>
    <t xml:space="preserve">sadyojāta</t>
  </si>
  <si>
    <t xml:space="preserve">Moringa oleifera/ Prosopis cinenaria/ Prosepsis speciosa/ Prosopis julifl ora,(Indian Gum Tree/ Indian Mesquit/ Kejari),Muringa/ Paarampu/ Muringai/ Vanni/ Vilaytikikar/ Shashi</t>
  </si>
  <si>
    <r>
      <rPr>
        <sz val="11"/>
        <color rgb="FF000000"/>
        <rFont val="Calibri"/>
        <family val="2"/>
        <charset val="1"/>
      </rPr>
      <t xml:space="preserve">23. </t>
    </r>
    <r>
      <rPr>
        <sz val="11"/>
        <color rgb="FF000000"/>
        <rFont val="Noto Sans Arabic UI"/>
        <family val="2"/>
        <charset val="1"/>
      </rPr>
      <t xml:space="preserve">அவிட்டம் – வசுக்கள்</t>
    </r>
  </si>
  <si>
    <r>
      <rPr>
        <sz val="11"/>
        <color rgb="FF000000"/>
        <rFont val="Calibri"/>
        <family val="2"/>
        <charset val="1"/>
      </rPr>
      <t xml:space="preserve">23. </t>
    </r>
    <r>
      <rPr>
        <sz val="11"/>
        <color rgb="FF000000"/>
        <rFont val="Noto Sans Arabic UI"/>
        <family val="2"/>
        <charset val="1"/>
      </rPr>
      <t xml:space="preserve">அவிட்டம் – வசு</t>
    </r>
  </si>
  <si>
    <t xml:space="preserve">Satabishak</t>
  </si>
  <si>
    <t xml:space="preserve">Sadhayam</t>
  </si>
  <si>
    <t xml:space="preserve">Aqu</t>
  </si>
  <si>
    <t xml:space="preserve">Flower</t>
  </si>
  <si>
    <t xml:space="preserve">Circle</t>
  </si>
  <si>
    <t xml:space="preserve">Varuna           </t>
  </si>
  <si>
    <t xml:space="preserve">go saa sii suu</t>
  </si>
  <si>
    <t xml:space="preserve">गो सा सी सू</t>
  </si>
  <si>
    <t xml:space="preserve">Lambda Aquarius</t>
  </si>
  <si>
    <t xml:space="preserve">Ropes,nets, fishing, animals, oysters, dyer, hunter, brewery, killing birds etc.Adi Deva is Sri Yama</t>
  </si>
  <si>
    <t xml:space="preserve">Right Thigh</t>
  </si>
  <si>
    <t xml:space="preserve">requiring a hundred physicians</t>
  </si>
  <si>
    <t xml:space="preserve">vāmadeva</t>
  </si>
  <si>
    <t xml:space="preserve">Anthocephalus cadambu/ Mitragyna parvifl ora/ Neolamarckia cadamba,(Kadam Tree/ Indian Oak),Kadambu/ Kadambam/ Katampu/ Valanch</t>
  </si>
  <si>
    <r>
      <rPr>
        <sz val="11"/>
        <color rgb="FFC9211E"/>
        <rFont val="Calibri"/>
        <family val="2"/>
        <charset val="1"/>
      </rPr>
      <t xml:space="preserve">24. </t>
    </r>
    <r>
      <rPr>
        <sz val="11"/>
        <color rgb="FFC9211E"/>
        <rFont val="Noto Sans Arabic UI"/>
        <family val="2"/>
        <charset val="1"/>
      </rPr>
      <t xml:space="preserve">சதயம் – யமன்</t>
    </r>
  </si>
  <si>
    <r>
      <rPr>
        <sz val="11"/>
        <color rgb="FF000000"/>
        <rFont val="Calibri"/>
        <family val="2"/>
        <charset val="1"/>
      </rPr>
      <t xml:space="preserve">24. </t>
    </r>
    <r>
      <rPr>
        <sz val="11"/>
        <color rgb="FF000000"/>
        <rFont val="Noto Sans Arabic UI"/>
        <family val="2"/>
        <charset val="1"/>
      </rPr>
      <t xml:space="preserve">சதயம் – வருணன்</t>
    </r>
  </si>
  <si>
    <t xml:space="preserve">Purva Bhadrapad</t>
  </si>
  <si>
    <t xml:space="preserve">Poorataadhi,Poorva Proshtapada</t>
  </si>
  <si>
    <t xml:space="preserve">Aqu/Pis</t>
  </si>
  <si>
    <t xml:space="preserve">Front legs of cot</t>
  </si>
  <si>
    <t xml:space="preserve">Front Legs of Death Bed</t>
  </si>
  <si>
    <t xml:space="preserve">Ajapad</t>
  </si>
  <si>
    <t xml:space="preserve">se so da dii</t>
  </si>
  <si>
    <t xml:space="preserve">से सो द दी</t>
  </si>
  <si>
    <t xml:space="preserve">Alpha Pegasi</t>
  </si>
  <si>
    <t xml:space="preserve">Shepherd, menial work, cruel actions, disinterested, boxing, wrestling etc. stealing</t>
  </si>
  <si>
    <t xml:space="preserve">Left Thigh</t>
  </si>
  <si>
    <t xml:space="preserve">Best Feet, Auspicious Feet, Proshta means bench, stool, Standing below</t>
  </si>
  <si>
    <t xml:space="preserve">Valorous</t>
  </si>
  <si>
    <t xml:space="preserve">Brilliance</t>
  </si>
  <si>
    <t xml:space="preserve">ajaikapāda</t>
  </si>
  <si>
    <t xml:space="preserve">Gluta travancorica,(Shenduruni in Tamil),Thenmavu</t>
  </si>
  <si>
    <r>
      <rPr>
        <sz val="11"/>
        <color rgb="FFC9211E"/>
        <rFont val="Calibri"/>
        <family val="2"/>
        <charset val="1"/>
      </rPr>
      <t xml:space="preserve">25. </t>
    </r>
    <r>
      <rPr>
        <sz val="11"/>
        <color rgb="FFC9211E"/>
        <rFont val="Noto Sans Arabic UI"/>
        <family val="2"/>
        <charset val="1"/>
      </rPr>
      <t xml:space="preserve">பூராட்டாதி – குபேரன்</t>
    </r>
  </si>
  <si>
    <r>
      <rPr>
        <sz val="11"/>
        <color rgb="FF000000"/>
        <rFont val="Calibri"/>
        <family val="2"/>
        <charset val="1"/>
      </rPr>
      <t xml:space="preserve">25. </t>
    </r>
    <r>
      <rPr>
        <sz val="11"/>
        <color rgb="FF000000"/>
        <rFont val="Noto Sans Arabic UI"/>
        <family val="2"/>
        <charset val="1"/>
      </rPr>
      <t xml:space="preserve">பூராட்டாதி – அஜயகாபதா</t>
    </r>
  </si>
  <si>
    <t xml:space="preserve">Uttara Bhadrapad</t>
  </si>
  <si>
    <t xml:space="preserve">Uttarataadhi,Uttara Proshtapada</t>
  </si>
  <si>
    <t xml:space="preserve">Pis</t>
  </si>
  <si>
    <t xml:space="preserve">Back legs of cot, (Cow)</t>
  </si>
  <si>
    <t xml:space="preserve">Back Legs of Death Bed</t>
  </si>
  <si>
    <t xml:space="preserve">Ahirbudhnya      </t>
  </si>
  <si>
    <t xml:space="preserve">duu tha jha ~na</t>
  </si>
  <si>
    <t xml:space="preserve">दू थ झ ञ</t>
  </si>
  <si>
    <t xml:space="preserve">Gama Pegasi</t>
  </si>
  <si>
    <t xml:space="preserve">Brahmin, performing austerities and religious ceremonies, wealthy, ascetics or kings, study of Vedas &amp; traditional literature.</t>
  </si>
  <si>
    <t xml:space="preserve">Sheens</t>
  </si>
  <si>
    <t xml:space="preserve">khaṭvāṅgadhara</t>
  </si>
  <si>
    <t xml:space="preserve">Azadirachta indica,(Margosa Tree/ Neem),Aryaveppu/ Veppu/ Vembu/ Kadu nimbi</t>
  </si>
  <si>
    <r>
      <rPr>
        <sz val="11"/>
        <color rgb="FFC9211E"/>
        <rFont val="Calibri"/>
        <family val="2"/>
        <charset val="1"/>
      </rPr>
      <t xml:space="preserve">26. </t>
    </r>
    <r>
      <rPr>
        <sz val="11"/>
        <color rgb="FFC9211E"/>
        <rFont val="Noto Sans Arabic UI"/>
        <family val="2"/>
        <charset val="1"/>
      </rPr>
      <t xml:space="preserve">உத்திரட்டாதி – காமதேனு</t>
    </r>
  </si>
  <si>
    <r>
      <rPr>
        <sz val="11"/>
        <color rgb="FF000000"/>
        <rFont val="Calibri"/>
        <family val="2"/>
        <charset val="1"/>
      </rPr>
      <t xml:space="preserve">26. </t>
    </r>
    <r>
      <rPr>
        <sz val="11"/>
        <color rgb="FF000000"/>
        <rFont val="Noto Sans Arabic UI"/>
        <family val="2"/>
        <charset val="1"/>
      </rPr>
      <t xml:space="preserve">உத்திரட்டாதி – அஹிர்புதன்யா</t>
    </r>
  </si>
  <si>
    <t xml:space="preserve">Fish</t>
  </si>
  <si>
    <t xml:space="preserve">Pusan            </t>
  </si>
  <si>
    <t xml:space="preserve">de do caa cii</t>
  </si>
  <si>
    <t xml:space="preserve">दे दो चा ची</t>
  </si>
  <si>
    <t xml:space="preserve">Zeta Piscum</t>
  </si>
  <si>
    <t xml:space="preserve">Lotus and other plants in water, fruits, flowers, wealth from sea, jewels and stones, sailor, businessman.</t>
  </si>
  <si>
    <t xml:space="preserve">Ankles</t>
  </si>
  <si>
    <t xml:space="preserve">Wealthy, Brilliant, As in Cows and Waters</t>
  </si>
  <si>
    <t xml:space="preserve">Spiritual Wisdom</t>
  </si>
  <si>
    <t xml:space="preserve">Victorious</t>
  </si>
  <si>
    <t xml:space="preserve">Greiving</t>
  </si>
  <si>
    <t xml:space="preserve">rudra</t>
  </si>
  <si>
    <t xml:space="preserve">Mahua,Madhuca longifolia/ Maduca indica,(Indian Butter Tree/ Maduca),Eluppa/ Iluppai/ Moha</t>
  </si>
  <si>
    <r>
      <rPr>
        <sz val="11"/>
        <color rgb="FF000000"/>
        <rFont val="Calibri"/>
        <family val="2"/>
        <charset val="1"/>
      </rPr>
      <t xml:space="preserve">27. </t>
    </r>
    <r>
      <rPr>
        <sz val="11"/>
        <color rgb="FF000000"/>
        <rFont val="Noto Sans Arabic UI"/>
        <family val="2"/>
        <charset val="1"/>
      </rPr>
      <t xml:space="preserve">ரேவதி – சனி</t>
    </r>
  </si>
  <si>
    <r>
      <rPr>
        <sz val="11"/>
        <color rgb="FF000000"/>
        <rFont val="Calibri"/>
        <family val="2"/>
        <charset val="1"/>
      </rPr>
      <t xml:space="preserve">27. </t>
    </r>
    <r>
      <rPr>
        <sz val="11"/>
        <color rgb="FF000000"/>
        <rFont val="Noto Sans Arabic UI"/>
        <family val="2"/>
        <charset val="1"/>
      </rPr>
      <t xml:space="preserve">ரேவதி – பூஷா</t>
    </r>
  </si>
  <si>
    <t xml:space="preserve">* Different opinions</t>
  </si>
  <si>
    <r>
      <rPr>
        <sz val="9"/>
        <color rgb="FF000000"/>
        <rFont val="Arial Unicode MS"/>
        <family val="2"/>
        <charset val="1"/>
      </rPr>
      <t xml:space="preserve">Tithi/</t>
    </r>
    <r>
      <rPr>
        <sz val="9"/>
        <color rgb="FF000000"/>
        <rFont val="Noto Sans Devanagari"/>
        <family val="2"/>
        <charset val="1"/>
      </rPr>
      <t xml:space="preserve">तिथि</t>
    </r>
  </si>
  <si>
    <t xml:space="preserve">Dagdha/Burnt</t>
  </si>
  <si>
    <t xml:space="preserve">Dagdha Graha</t>
  </si>
  <si>
    <t xml:space="preserve"> Tatwa(CPVA-73)</t>
  </si>
  <si>
    <t xml:space="preserve">Group (BrNx49)</t>
  </si>
  <si>
    <t xml:space="preserve">Deity(Muhurtha Chintamani)</t>
  </si>
  <si>
    <t xml:space="preserve">Varahamihira</t>
  </si>
  <si>
    <t xml:space="preserve">Lady</t>
  </si>
  <si>
    <t xml:space="preserve">Srath</t>
  </si>
  <si>
    <t xml:space="preserve">Festivals</t>
  </si>
  <si>
    <t xml:space="preserve">Krishna Karana1</t>
  </si>
  <si>
    <t xml:space="preserve">Krishna Karana2</t>
  </si>
  <si>
    <t xml:space="preserve">Shukla Karana1</t>
  </si>
  <si>
    <t xml:space="preserve">Shukla Karana2</t>
  </si>
  <si>
    <t xml:space="preserve">Suitable Activities (BVR)</t>
  </si>
  <si>
    <t xml:space="preserve">pūrṇā</t>
  </si>
  <si>
    <t xml:space="preserve">Akaasha/Jupiter</t>
  </si>
  <si>
    <t xml:space="preserve">Vayu (Saturn/Rahu)</t>
  </si>
  <si>
    <t xml:space="preserve">Shashi</t>
  </si>
  <si>
    <t xml:space="preserve">Vishvadeva</t>
  </si>
  <si>
    <t xml:space="preserve">Hastini</t>
  </si>
  <si>
    <t xml:space="preserve">Chatushpada</t>
  </si>
  <si>
    <t xml:space="preserve">Naaga</t>
  </si>
  <si>
    <t xml:space="preserve">Pumsavana, Treatment of Veneral Disease</t>
  </si>
  <si>
    <t xml:space="preserve">Prathami</t>
  </si>
  <si>
    <t xml:space="preserve">Libra,Capricorn</t>
  </si>
  <si>
    <t xml:space="preserve">Venus,Saturn</t>
  </si>
  <si>
    <r>
      <rPr>
        <sz val="9"/>
        <color rgb="FF000000"/>
        <rFont val="Arial Unicode MS"/>
        <family val="2"/>
        <charset val="1"/>
      </rPr>
      <t xml:space="preserve">nandā/</t>
    </r>
    <r>
      <rPr>
        <sz val="9"/>
        <color rgb="FF000000"/>
        <rFont val="Noto Sans Devanagari"/>
        <family val="2"/>
        <charset val="1"/>
      </rPr>
      <t xml:space="preserve">नन्दा </t>
    </r>
  </si>
  <si>
    <t xml:space="preserve">Jala/Venus</t>
  </si>
  <si>
    <t xml:space="preserve">Agni (Sun/Mars)</t>
  </si>
  <si>
    <t xml:space="preserve">Kamalaja (Rohini)</t>
  </si>
  <si>
    <t xml:space="preserve">Padmini</t>
  </si>
  <si>
    <t xml:space="preserve">Pratipada is like birth</t>
  </si>
  <si>
    <t xml:space="preserve">Kimstugna</t>
  </si>
  <si>
    <t xml:space="preserve">Bava</t>
  </si>
  <si>
    <t xml:space="preserve">Baalava</t>
  </si>
  <si>
    <t xml:space="preserve">Kaulava</t>
  </si>
  <si>
    <t xml:space="preserve">Prepare Medicines, Upanyanam (K1)</t>
  </si>
  <si>
    <t xml:space="preserve">Dwitiya</t>
  </si>
  <si>
    <t xml:space="preserve">Sagittarius, Pisces</t>
  </si>
  <si>
    <r>
      <rPr>
        <sz val="9"/>
        <color rgb="FF000000"/>
        <rFont val="Arial Unicode MS"/>
        <family val="2"/>
        <charset val="1"/>
      </rPr>
      <t xml:space="preserve">bhadrā/</t>
    </r>
    <r>
      <rPr>
        <sz val="9"/>
        <color rgb="FF000000"/>
        <rFont val="Noto Sans Devanagari"/>
        <family val="2"/>
        <charset val="1"/>
      </rPr>
      <t xml:space="preserve">भद्रा</t>
    </r>
  </si>
  <si>
    <t xml:space="preserve">Pritvi/Mercury</t>
  </si>
  <si>
    <t xml:space="preserve">Pritvi (Mercury/Lagna)</t>
  </si>
  <si>
    <t xml:space="preserve">Brahma</t>
  </si>
  <si>
    <t xml:space="preserve">Vidhatri (rohini)</t>
  </si>
  <si>
    <t xml:space="preserve">Dwiteeya is like sustenance in this world</t>
  </si>
  <si>
    <t xml:space="preserve">Taitula</t>
  </si>
  <si>
    <t xml:space="preserve">Garija</t>
  </si>
  <si>
    <t xml:space="preserve">Chowlam,Upanayanam, Marriage,Foundation,Journeys, Electing Heads of state,Installing Diety,Lotteries and Competetions,</t>
  </si>
  <si>
    <t xml:space="preserve">Tritiya</t>
  </si>
  <si>
    <t xml:space="preserve">Leo, Capricorn</t>
  </si>
  <si>
    <t xml:space="preserve">Sun, Saturn</t>
  </si>
  <si>
    <r>
      <rPr>
        <sz val="9"/>
        <color rgb="FF000000"/>
        <rFont val="Arial Unicode MS"/>
        <family val="2"/>
        <charset val="1"/>
      </rPr>
      <t xml:space="preserve">jayā</t>
    </r>
    <r>
      <rPr>
        <sz val="9"/>
        <color rgb="FF000000"/>
        <rFont val="Noto Sans Devanagari"/>
        <family val="2"/>
        <charset val="1"/>
      </rPr>
      <t xml:space="preserve">जया </t>
    </r>
  </si>
  <si>
    <t xml:space="preserve">Agni/Mars</t>
  </si>
  <si>
    <t xml:space="preserve">Akasha (Jupiter/Ketu)</t>
  </si>
  <si>
    <t xml:space="preserve">Gauri</t>
  </si>
  <si>
    <t xml:space="preserve">Hari (Vishnu)</t>
  </si>
  <si>
    <t xml:space="preserve">Shankini</t>
  </si>
  <si>
    <t xml:space="preserve">Truteeya is like the end.</t>
  </si>
  <si>
    <t xml:space="preserve">Vanija</t>
  </si>
  <si>
    <t xml:space="preserve">Vishti</t>
  </si>
  <si>
    <t xml:space="preserve">Chaturti</t>
  </si>
  <si>
    <t xml:space="preserve">Taurus, Aquarius</t>
  </si>
  <si>
    <r>
      <rPr>
        <sz val="9"/>
        <color rgb="FF000000"/>
        <rFont val="Arial Unicode MS"/>
        <family val="2"/>
        <charset val="1"/>
      </rPr>
      <t xml:space="preserve">riktā/</t>
    </r>
    <r>
      <rPr>
        <sz val="9"/>
        <color rgb="FF000000"/>
        <rFont val="Noto Sans Devanagari"/>
        <family val="2"/>
        <charset val="1"/>
      </rPr>
      <t xml:space="preserve">रिक्ता </t>
    </r>
  </si>
  <si>
    <t xml:space="preserve">Vayu/Saturn</t>
  </si>
  <si>
    <t xml:space="preserve">Jala (Venus/Moon)</t>
  </si>
  <si>
    <t xml:space="preserve">Ganesha</t>
  </si>
  <si>
    <t xml:space="preserve">Yama</t>
  </si>
  <si>
    <t xml:space="preserve">Pooja's begin from the fourth with Ganapati, </t>
  </si>
  <si>
    <t xml:space="preserve">Panchami</t>
  </si>
  <si>
    <t xml:space="preserve">Gemini, Virgo</t>
  </si>
  <si>
    <r>
      <rPr>
        <sz val="9"/>
        <color rgb="FF000000"/>
        <rFont val="Arial Unicode MS"/>
        <family val="2"/>
        <charset val="1"/>
      </rPr>
      <t xml:space="preserve">pūrṇā/</t>
    </r>
    <r>
      <rPr>
        <sz val="9"/>
        <color rgb="FF000000"/>
        <rFont val="Noto Sans Devanagari"/>
        <family val="2"/>
        <charset val="1"/>
      </rPr>
      <t xml:space="preserve">पूर्णा </t>
    </r>
  </si>
  <si>
    <t xml:space="preserve">Shashaanka (The Moon)</t>
  </si>
  <si>
    <t xml:space="preserve"> then we worship Bharati (Saraswati) or Sri</t>
  </si>
  <si>
    <t xml:space="preserve">Shashti</t>
  </si>
  <si>
    <t xml:space="preserve">Aries, Leo</t>
  </si>
  <si>
    <t xml:space="preserve">nandā</t>
  </si>
  <si>
    <t xml:space="preserve">Guha</t>
  </si>
  <si>
    <t xml:space="preserve">Subramanya (Karthikeya)</t>
  </si>
  <si>
    <t xml:space="preserve">Chitrini</t>
  </si>
  <si>
    <t xml:space="preserve"> we progress to Kartikeya and other warrior Gods and Goddesses on Shasti including Naga</t>
  </si>
  <si>
    <t xml:space="preserve">Cancer, Sagittarius</t>
  </si>
  <si>
    <t xml:space="preserve">Moon, Jupiter</t>
  </si>
  <si>
    <t xml:space="preserve">bhadrā</t>
  </si>
  <si>
    <t xml:space="preserve">Ravi</t>
  </si>
  <si>
    <t xml:space="preserve">Indra</t>
  </si>
  <si>
    <t xml:space="preserve">Then the desire for well being dawns and the Sun is worshipped on Saptami</t>
  </si>
  <si>
    <t xml:space="preserve">Ashtami</t>
  </si>
  <si>
    <t xml:space="preserve">jayā</t>
  </si>
  <si>
    <t xml:space="preserve">Rudra/Shiva</t>
  </si>
  <si>
    <t xml:space="preserve">Vasu (Ashta Vasavas)</t>
  </si>
  <si>
    <t xml:space="preserve">Astami is for Bali Karma</t>
  </si>
  <si>
    <t xml:space="preserve">Leo, Scorpio</t>
  </si>
  <si>
    <t xml:space="preserve">Sun,Mars</t>
  </si>
  <si>
    <t xml:space="preserve">riktā</t>
  </si>
  <si>
    <t xml:space="preserve">Durga</t>
  </si>
  <si>
    <t xml:space="preserve">Bhujaga (Serpent)</t>
  </si>
  <si>
    <t xml:space="preserve"> and Navami for the Dharma Devata led by SRI RAM</t>
  </si>
  <si>
    <t xml:space="preserve">Dasami</t>
  </si>
  <si>
    <t xml:space="preserve">Antaka</t>
  </si>
  <si>
    <t xml:space="preserve"> Dasami is for the Devi and other such strengths that give us success</t>
  </si>
  <si>
    <t xml:space="preserve">Visvedeva</t>
  </si>
  <si>
    <t xml:space="preserve">Isha (Siva)</t>
  </si>
  <si>
    <t xml:space="preserve">Ekadasi is to pray for world peace after the war of dasami is over</t>
  </si>
  <si>
    <t xml:space="preserve">Hari</t>
  </si>
  <si>
    <t xml:space="preserve">Savitri (form of Sun)</t>
  </si>
  <si>
    <t xml:space="preserve"> Dwadasi is for progress that follows peace and </t>
  </si>
  <si>
    <t xml:space="preserve">Trayodashi</t>
  </si>
  <si>
    <t xml:space="preserve">Taurus, Leo</t>
  </si>
  <si>
    <t xml:space="preserve">Venus,Sun</t>
  </si>
  <si>
    <t xml:space="preserve">Manmatha</t>
  </si>
  <si>
    <t xml:space="preserve">Manmatha (Cupid)</t>
  </si>
  <si>
    <t xml:space="preserve">Trayodasi is for wealth that follows peace and progress</t>
  </si>
  <si>
    <t xml:space="preserve">Chaturdashi</t>
  </si>
  <si>
    <t xml:space="preserve">Pisces, Gemini, Virgo, Sagittarius</t>
  </si>
  <si>
    <t xml:space="preserve">Shiva</t>
  </si>
  <si>
    <t xml:space="preserve">Chaturdasi is to save us from the sins that we make after wealth has come</t>
  </si>
  <si>
    <t xml:space="preserve">Anatha Chaturdsahi (S14Bhadra, Last day in Ganesh Chaturthi), Narka Chaturdashi(K14karthik, Kali, A day before diwali) </t>
  </si>
  <si>
    <t xml:space="preserve">Shakuni</t>
  </si>
  <si>
    <t xml:space="preserve">Poornima is to pray for Mukti after realising that all this was but a Drama for our understanding. So say HARI OM TAT SAT</t>
  </si>
  <si>
    <t xml:space="preserve">Yoga Names</t>
  </si>
  <si>
    <t xml:space="preserve">Yoga Nakshatra</t>
  </si>
  <si>
    <t xml:space="preserve">Yogi Lord</t>
  </si>
  <si>
    <t xml:space="preserve">Diety(Jyotish Jagat)</t>
  </si>
  <si>
    <t xml:space="preserve">Rashi Lord</t>
  </si>
  <si>
    <t xml:space="preserve">AvaYogi 15th</t>
  </si>
  <si>
    <t xml:space="preserve">AvaYogi Lord (Yogi+186.66)</t>
  </si>
  <si>
    <t xml:space="preserve">Notes</t>
  </si>
  <si>
    <t xml:space="preserve">Vishkambha</t>
  </si>
  <si>
    <t xml:space="preserve">WellSustained, Obstruct, Diameter,Diagonal,Strong Beam,the bolt or bar of a door,the supporting beam or pillar of a house</t>
  </si>
  <si>
    <t xml:space="preserve">There are 5 yogas (a) Vishkumbha (b) Atigandha (c) Dhriti (d) Vaidhriti (e) Vyaghata where Duplicate Yogi &amp; Avayogi planet are the same planets which are Moon, Mercury, Venus, Mars &amp; Jupiter respectively. They shall behave as Neutral</t>
  </si>
  <si>
    <t xml:space="preserve">Prīti</t>
  </si>
  <si>
    <t xml:space="preserve">Joy/Love</t>
  </si>
  <si>
    <t xml:space="preserve">Vishnu</t>
  </si>
  <si>
    <t xml:space="preserve">Āyushmān</t>
  </si>
  <si>
    <t xml:space="preserve">Life possessing</t>
  </si>
  <si>
    <t xml:space="preserve">Chandra/Soma</t>
  </si>
  <si>
    <t xml:space="preserve">Saubhāgya</t>
  </si>
  <si>
    <t xml:space="preserve">Good fortune</t>
  </si>
  <si>
    <t xml:space="preserve">Shobhana</t>
  </si>
  <si>
    <t xml:space="preserve">Splendid/Beautiful</t>
  </si>
  <si>
    <t xml:space="preserve">Brihaspati</t>
  </si>
  <si>
    <t xml:space="preserve">Sun/Merc</t>
  </si>
  <si>
    <t xml:space="preserve">Atigaṇḍa</t>
  </si>
  <si>
    <t xml:space="preserve">Excessive Joint</t>
  </si>
  <si>
    <t xml:space="preserve">Chandrama</t>
  </si>
  <si>
    <t xml:space="preserve">Sukarman</t>
  </si>
  <si>
    <t xml:space="preserve">Good Work</t>
  </si>
  <si>
    <t xml:space="preserve">Indra/*Sukarma*/, </t>
  </si>
  <si>
    <t xml:space="preserve">Merc/Venus</t>
  </si>
  <si>
    <t xml:space="preserve">Dhriti</t>
  </si>
  <si>
    <t xml:space="preserve">Holding/Resolution</t>
  </si>
  <si>
    <t xml:space="preserve">Sarpa/*Shoola*/ </t>
  </si>
  <si>
    <t xml:space="preserve">Shūla</t>
  </si>
  <si>
    <t xml:space="preserve">Spike</t>
  </si>
  <si>
    <t xml:space="preserve">Venus/Mars</t>
  </si>
  <si>
    <t xml:space="preserve">Gaṇḍa</t>
  </si>
  <si>
    <t xml:space="preserve">Joint/Neck/Cheeks</t>
  </si>
  <si>
    <t xml:space="preserve">Vriddhi</t>
  </si>
  <si>
    <t xml:space="preserve">Increase</t>
  </si>
  <si>
    <t xml:space="preserve">Surya</t>
  </si>
  <si>
    <t xml:space="preserve">Dhruva</t>
  </si>
  <si>
    <t xml:space="preserve">Immovable</t>
  </si>
  <si>
    <t xml:space="preserve">Bhumi</t>
  </si>
  <si>
    <t xml:space="preserve">Vyāghāta</t>
  </si>
  <si>
    <t xml:space="preserve">constant  vindictivenessBeating,</t>
  </si>
  <si>
    <t xml:space="preserve">Harshana</t>
  </si>
  <si>
    <t xml:space="preserve">Thrilling with joy</t>
  </si>
  <si>
    <t xml:space="preserve">Bhaga</t>
  </si>
  <si>
    <t xml:space="preserve">Jupiter/Saturn</t>
  </si>
  <si>
    <t xml:space="preserve">Vajra</t>
  </si>
  <si>
    <t xml:space="preserve">Thunderbolt</t>
  </si>
  <si>
    <t xml:space="preserve">Varuna</t>
  </si>
  <si>
    <t xml:space="preserve">Siddhi</t>
  </si>
  <si>
    <t xml:space="preserve">Accomplishment</t>
  </si>
  <si>
    <t xml:space="preserve">Vyatīpāta</t>
  </si>
  <si>
    <t xml:space="preserve">Calamity, Reverses in Life</t>
  </si>
  <si>
    <t xml:space="preserve">Rudra </t>
  </si>
  <si>
    <t xml:space="preserve">Ref SS 11.2</t>
  </si>
  <si>
    <t xml:space="preserve">Varigha/Variiyas</t>
  </si>
  <si>
    <t xml:space="preserve">Best</t>
  </si>
  <si>
    <t xml:space="preserve">Kubera</t>
  </si>
  <si>
    <t xml:space="preserve">Parigha</t>
  </si>
  <si>
    <t xml:space="preserve">Obstacles in Life, Iron Locking Bar</t>
  </si>
  <si>
    <t xml:space="preserve">Vishwakarma</t>
  </si>
  <si>
    <t xml:space="preserve">Saturn/Jupiter</t>
  </si>
  <si>
    <t xml:space="preserve">Benevolent</t>
  </si>
  <si>
    <t xml:space="preserve">Accomplished</t>
  </si>
  <si>
    <t xml:space="preserve">Karthikeya</t>
  </si>
  <si>
    <t xml:space="preserve">Sādhya</t>
  </si>
  <si>
    <t xml:space="preserve">To be Mastered</t>
  </si>
  <si>
    <t xml:space="preserve">Saavitri</t>
  </si>
  <si>
    <t xml:space="preserve">Shubha</t>
  </si>
  <si>
    <t xml:space="preserve">Auspicious</t>
  </si>
  <si>
    <t xml:space="preserve">Lakshmi</t>
  </si>
  <si>
    <t xml:space="preserve">Mars/Venus</t>
  </si>
  <si>
    <t xml:space="preserve">Shukla</t>
  </si>
  <si>
    <t xml:space="preserve">Impulsive, Bright, Spontaneous</t>
  </si>
  <si>
    <t xml:space="preserve">Parvati</t>
  </si>
  <si>
    <t xml:space="preserve">Brāhma</t>
  </si>
  <si>
    <t xml:space="preserve">Evolution, Intellectual,</t>
  </si>
  <si>
    <t xml:space="preserve">AshwiniKumara</t>
  </si>
  <si>
    <t xml:space="preserve">Venus/Merc</t>
  </si>
  <si>
    <t xml:space="preserve">Māhendra</t>
  </si>
  <si>
    <t xml:space="preserve">Leadership, Belonging to Indra, </t>
  </si>
  <si>
    <t xml:space="preserve">Pitra</t>
  </si>
  <si>
    <t xml:space="preserve">Vaidhriti</t>
  </si>
  <si>
    <t xml:space="preserve">Supportless</t>
  </si>
  <si>
    <t xml:space="preserve">Diti</t>
  </si>
  <si>
    <t xml:space="preserve">Mercury/Moon</t>
  </si>
  <si>
    <t xml:space="preserve">Ref SS 11.1</t>
  </si>
  <si>
    <t xml:space="preserve">VaaraTable</t>
  </si>
  <si>
    <t xml:space="preserve">Diety</t>
  </si>
  <si>
    <t xml:space="preserve">DurMuhurtham Start Time (Lasts 1Mu)</t>
  </si>
  <si>
    <t xml:space="preserve">DurMuhurtham Start Time (Lasts 1Mu)2</t>
  </si>
  <si>
    <t xml:space="preserve">Kaarthikeya</t>
  </si>
  <si>
    <t xml:space="preserve">Kaala</t>
  </si>
  <si>
    <t xml:space="preserve">KaranaTable</t>
  </si>
  <si>
    <t xml:space="preserve">करण</t>
  </si>
  <si>
    <t xml:space="preserve">karaṇa</t>
  </si>
  <si>
    <t xml:space="preserve">Tithi</t>
  </si>
  <si>
    <t xml:space="preserve">Other Spellings</t>
  </si>
  <si>
    <t xml:space="preserve">Devaata/MuhurtaKalpadruma/Vashishta  Samhit</t>
  </si>
  <si>
    <t xml:space="preserve">बव</t>
  </si>
  <si>
    <t xml:space="preserve">bava</t>
  </si>
  <si>
    <t xml:space="preserve">S1,S5,S8,S12,PU,K4,K7,K11</t>
  </si>
  <si>
    <r>
      <rPr>
        <sz val="9"/>
        <color rgb="FF000000"/>
        <rFont val="Noto Sans Devanagari"/>
        <family val="2"/>
        <charset val="1"/>
      </rPr>
      <t xml:space="preserve">वव </t>
    </r>
    <r>
      <rPr>
        <sz val="9"/>
        <color rgb="FF000000"/>
        <rFont val="Arial Unicode MS"/>
        <family val="2"/>
        <charset val="1"/>
      </rPr>
      <t xml:space="preserve">(vava)</t>
    </r>
  </si>
  <si>
    <t xml:space="preserve">बालव</t>
  </si>
  <si>
    <t xml:space="preserve">bālava</t>
  </si>
  <si>
    <t xml:space="preserve">S2,S5,S9,S12,K1,K4,K8,K11</t>
  </si>
  <si>
    <t xml:space="preserve">Brahma/Vidhata</t>
  </si>
  <si>
    <t xml:space="preserve">कौलव</t>
  </si>
  <si>
    <t xml:space="preserve">kaulava</t>
  </si>
  <si>
    <t xml:space="preserve">S2,S6,S9,S13,K1,K5,K8,K12</t>
  </si>
  <si>
    <t xml:space="preserve">Surya/Mitra</t>
  </si>
  <si>
    <t xml:space="preserve">तैतिल</t>
  </si>
  <si>
    <t xml:space="preserve">taitila</t>
  </si>
  <si>
    <t xml:space="preserve">S3,S6,S10,S13,K2,K5,K9,K12</t>
  </si>
  <si>
    <t xml:space="preserve">Aryama</t>
  </si>
  <si>
    <t xml:space="preserve">गरज</t>
  </si>
  <si>
    <t xml:space="preserve">garaja</t>
  </si>
  <si>
    <t xml:space="preserve">S3,S7,S10,S14,K2,K6,K9,K13</t>
  </si>
  <si>
    <t xml:space="preserve">Garija, gaja</t>
  </si>
  <si>
    <t xml:space="preserve">Bhu</t>
  </si>
  <si>
    <t xml:space="preserve">वणिज</t>
  </si>
  <si>
    <t xml:space="preserve">vaṇija</t>
  </si>
  <si>
    <t xml:space="preserve">S4,S7,S11,S14,K3,K6,K10,K13</t>
  </si>
  <si>
    <t xml:space="preserve">विष्टि</t>
  </si>
  <si>
    <t xml:space="preserve">viṣṭi</t>
  </si>
  <si>
    <t xml:space="preserve">S4,S8,S11,PU,K3,K7,K10,K14</t>
  </si>
  <si>
    <t xml:space="preserve">शकुन</t>
  </si>
  <si>
    <t xml:space="preserve">śakuna</t>
  </si>
  <si>
    <t xml:space="preserve">Lagna Lord - Rahu</t>
  </si>
  <si>
    <t xml:space="preserve">K14</t>
  </si>
  <si>
    <t xml:space="preserve">shakuni</t>
  </si>
  <si>
    <t xml:space="preserve">चतुष्पद</t>
  </si>
  <si>
    <t xml:space="preserve">catuṣpada</t>
  </si>
  <si>
    <t xml:space="preserve">4th Lord - Rahu</t>
  </si>
  <si>
    <t xml:space="preserve">Amavaysa</t>
  </si>
  <si>
    <t xml:space="preserve">Rudra</t>
  </si>
  <si>
    <t xml:space="preserve">नागव</t>
  </si>
  <si>
    <t xml:space="preserve">nāgava</t>
  </si>
  <si>
    <t xml:space="preserve">7th Lord - Ketu</t>
  </si>
  <si>
    <t xml:space="preserve">naaga</t>
  </si>
  <si>
    <t xml:space="preserve">Sarpa</t>
  </si>
  <si>
    <t xml:space="preserve">किंस्तुघ्न</t>
  </si>
  <si>
    <t xml:space="preserve">kiṁstughna</t>
  </si>
  <si>
    <t xml:space="preserve">10th Lord - Ketu</t>
  </si>
  <si>
    <t xml:space="preserve">S1</t>
  </si>
  <si>
    <t xml:space="preserve">Pavana</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</si>
  <si>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</si>
  <si>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</si>
  <si>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</si>
  <si>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</si>
  <si>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</si>
  <si>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</si>
  <si>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</si>
  <si>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</si>
  <si>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</si>
  <si>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</si>
  <si>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</si>
  <si>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</si>
  <si>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</si>
  <si>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</si>
  <si>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</si>
  <si>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</si>
  <si>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</si>
  <si>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</si>
  <si>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</si>
  <si>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</si>
  <si>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</si>
  <si>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</si>
  <si>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35</t>
  </si>
  <si>
    <t xml:space="preserve">36</t>
  </si>
  <si>
    <t xml:space="preserve">37</t>
  </si>
  <si>
    <t xml:space="preserve">38</t>
  </si>
  <si>
    <t xml:space="preserve">39</t>
  </si>
  <si>
    <t xml:space="preserve">40</t>
  </si>
  <si>
    <t xml:space="preserve">41</t>
  </si>
  <si>
    <t xml:space="preserve">42</t>
  </si>
  <si>
    <t xml:space="preserve">43</t>
  </si>
  <si>
    <t xml:space="preserve">44</t>
  </si>
  <si>
    <t xml:space="preserve">45</t>
  </si>
  <si>
    <t xml:space="preserve">46</t>
  </si>
  <si>
    <t xml:space="preserve">47</t>
  </si>
  <si>
    <t xml:space="preserve">48</t>
  </si>
  <si>
    <t xml:space="preserve">49</t>
  </si>
  <si>
    <t xml:space="preserve">50</t>
  </si>
  <si>
    <t xml:space="preserve">varanamala</t>
  </si>
  <si>
    <t xml:space="preserve">अ</t>
  </si>
  <si>
    <t xml:space="preserve">आ</t>
  </si>
  <si>
    <t xml:space="preserve">इ</t>
  </si>
  <si>
    <t xml:space="preserve">ई</t>
  </si>
  <si>
    <t xml:space="preserve">उ</t>
  </si>
  <si>
    <t xml:space="preserve">ऊ</t>
  </si>
  <si>
    <t xml:space="preserve">ऋ</t>
  </si>
  <si>
    <t xml:space="preserve">ऌ</t>
  </si>
  <si>
    <t xml:space="preserve">ए</t>
  </si>
  <si>
    <t xml:space="preserve">ऐ</t>
  </si>
  <si>
    <t xml:space="preserve">ओ</t>
  </si>
  <si>
    <t xml:space="preserve">औ</t>
  </si>
  <si>
    <t xml:space="preserve">अः</t>
  </si>
  <si>
    <t xml:space="preserve">क</t>
  </si>
  <si>
    <t xml:space="preserve">ख</t>
  </si>
  <si>
    <t xml:space="preserve">ग</t>
  </si>
  <si>
    <t xml:space="preserve">घ</t>
  </si>
  <si>
    <t xml:space="preserve">ङ</t>
  </si>
  <si>
    <t xml:space="preserve">च</t>
  </si>
  <si>
    <t xml:space="preserve">ज</t>
  </si>
  <si>
    <t xml:space="preserve">झ</t>
  </si>
  <si>
    <t xml:space="preserve">ञ</t>
  </si>
  <si>
    <t xml:space="preserve">ट</t>
  </si>
  <si>
    <t xml:space="preserve">ठ</t>
  </si>
  <si>
    <t xml:space="preserve">ड</t>
  </si>
  <si>
    <t xml:space="preserve">ढ</t>
  </si>
  <si>
    <t xml:space="preserve">ण</t>
  </si>
  <si>
    <t xml:space="preserve">त</t>
  </si>
  <si>
    <t xml:space="preserve">थ</t>
  </si>
  <si>
    <t xml:space="preserve">द</t>
  </si>
  <si>
    <t xml:space="preserve">ध</t>
  </si>
  <si>
    <t xml:space="preserve">न</t>
  </si>
  <si>
    <t xml:space="preserve">प</t>
  </si>
  <si>
    <t xml:space="preserve">फ</t>
  </si>
  <si>
    <t xml:space="preserve">ब</t>
  </si>
  <si>
    <t xml:space="preserve">भ</t>
  </si>
  <si>
    <t xml:space="preserve">म</t>
  </si>
  <si>
    <t xml:space="preserve">य</t>
  </si>
  <si>
    <t xml:space="preserve">र</t>
  </si>
  <si>
    <t xml:space="preserve">ल</t>
  </si>
  <si>
    <t xml:space="preserve">व</t>
  </si>
  <si>
    <t xml:space="preserve">श</t>
  </si>
  <si>
    <t xml:space="preserve">ष</t>
  </si>
  <si>
    <t xml:space="preserve">स</t>
  </si>
  <si>
    <t xml:space="preserve">ह</t>
  </si>
  <si>
    <t xml:space="preserve">क्ष</t>
  </si>
  <si>
    <t xml:space="preserve">Roman</t>
  </si>
  <si>
    <t xml:space="preserve">a</t>
  </si>
  <si>
    <t xml:space="preserve">ā</t>
  </si>
  <si>
    <t xml:space="preserve">i</t>
  </si>
  <si>
    <t xml:space="preserve">ī</t>
  </si>
  <si>
    <t xml:space="preserve">u</t>
  </si>
  <si>
    <t xml:space="preserve">ū</t>
  </si>
  <si>
    <t xml:space="preserve">ṛ</t>
  </si>
  <si>
    <t xml:space="preserve">ṛi</t>
  </si>
  <si>
    <t xml:space="preserve">ḷ</t>
  </si>
  <si>
    <t xml:space="preserve">ḷi</t>
  </si>
  <si>
    <t xml:space="preserve">e</t>
  </si>
  <si>
    <t xml:space="preserve">ai</t>
  </si>
  <si>
    <t xml:space="preserve">o</t>
  </si>
  <si>
    <t xml:space="preserve">au</t>
  </si>
  <si>
    <t xml:space="preserve">aṁ</t>
  </si>
  <si>
    <t xml:space="preserve">aḥ</t>
  </si>
  <si>
    <t xml:space="preserve">ka</t>
  </si>
  <si>
    <t xml:space="preserve">kha</t>
  </si>
  <si>
    <t xml:space="preserve">ga</t>
  </si>
  <si>
    <t xml:space="preserve">gha</t>
  </si>
  <si>
    <t xml:space="preserve">ṅa</t>
  </si>
  <si>
    <t xml:space="preserve">ca</t>
  </si>
  <si>
    <t xml:space="preserve">ja</t>
  </si>
  <si>
    <t xml:space="preserve">jha</t>
  </si>
  <si>
    <t xml:space="preserve">ña</t>
  </si>
  <si>
    <t xml:space="preserve">ṭa</t>
  </si>
  <si>
    <t xml:space="preserve">ṭha</t>
  </si>
  <si>
    <t xml:space="preserve">ḍa</t>
  </si>
  <si>
    <t xml:space="preserve">ḍha</t>
  </si>
  <si>
    <t xml:space="preserve">ṇa</t>
  </si>
  <si>
    <t xml:space="preserve">ta</t>
  </si>
  <si>
    <t xml:space="preserve">tha</t>
  </si>
  <si>
    <t xml:space="preserve">da</t>
  </si>
  <si>
    <t xml:space="preserve">dha</t>
  </si>
  <si>
    <t xml:space="preserve">na</t>
  </si>
  <si>
    <t xml:space="preserve">pa</t>
  </si>
  <si>
    <t xml:space="preserve">pha</t>
  </si>
  <si>
    <t xml:space="preserve">ba</t>
  </si>
  <si>
    <t xml:space="preserve">bha</t>
  </si>
  <si>
    <t xml:space="preserve">ma</t>
  </si>
  <si>
    <t xml:space="preserve">ya</t>
  </si>
  <si>
    <t xml:space="preserve">ra</t>
  </si>
  <si>
    <t xml:space="preserve">la</t>
  </si>
  <si>
    <t xml:space="preserve">va</t>
  </si>
  <si>
    <t xml:space="preserve">śa</t>
  </si>
  <si>
    <t xml:space="preserve">ṣa</t>
  </si>
  <si>
    <t xml:space="preserve">sa</t>
  </si>
  <si>
    <t xml:space="preserve">ha</t>
  </si>
  <si>
    <t xml:space="preserve">kṣa</t>
  </si>
  <si>
    <t xml:space="preserve">Katapayadi</t>
  </si>
  <si>
    <t xml:space="preserve">Column1</t>
  </si>
  <si>
    <t xml:space="preserve">Column8</t>
  </si>
  <si>
    <t xml:space="preserve">Column9</t>
  </si>
  <si>
    <t xml:space="preserve">Column10</t>
  </si>
  <si>
    <t xml:space="preserve">Column14</t>
  </si>
  <si>
    <t xml:space="preserve">Column15</t>
  </si>
  <si>
    <r>
      <rPr>
        <sz val="11"/>
        <color rgb="FF000000"/>
        <rFont val="Noto Sans Devanagari"/>
        <family val="2"/>
        <charset val="1"/>
      </rPr>
      <t xml:space="preserve">क्ष</t>
    </r>
    <r>
      <rPr>
        <sz val="11"/>
        <color rgb="FF000000"/>
        <rFont val="Arial Unicode MS"/>
        <family val="2"/>
        <charset val="1"/>
      </rPr>
      <t xml:space="preserve">?</t>
    </r>
  </si>
  <si>
    <t xml:space="preserve">kṣa?</t>
  </si>
  <si>
    <t xml:space="preserve">9?</t>
  </si>
  <si>
    <t xml:space="preserve">Akathaha</t>
  </si>
  <si>
    <t xml:space="preserve">akathaha Chakra</t>
  </si>
  <si>
    <t xml:space="preserve">C1</t>
  </si>
  <si>
    <t xml:space="preserve">C2</t>
  </si>
  <si>
    <t xml:space="preserve">C3</t>
  </si>
  <si>
    <t xml:space="preserve">C4</t>
  </si>
  <si>
    <t xml:space="preserve">a ka tha ha </t>
  </si>
  <si>
    <t xml:space="preserve">U ca pha</t>
  </si>
  <si>
    <t xml:space="preserve">A kha da la</t>
  </si>
  <si>
    <t xml:space="preserve">u ~Na pa</t>
  </si>
  <si>
    <t xml:space="preserve">R1</t>
  </si>
  <si>
    <t xml:space="preserve">o Da va </t>
  </si>
  <si>
    <t xml:space="preserve">L^i jha ma</t>
  </si>
  <si>
    <t xml:space="preserve">aH Dha sha</t>
  </si>
  <si>
    <t xml:space="preserve"> L^I ~na ya</t>
  </si>
  <si>
    <t xml:space="preserve">R2</t>
  </si>
  <si>
    <t xml:space="preserve">I gha na</t>
  </si>
  <si>
    <t xml:space="preserve">R^i Cha ba</t>
  </si>
  <si>
    <t xml:space="preserve">i ga dha</t>
  </si>
  <si>
    <t xml:space="preserve">R^I ja bha</t>
  </si>
  <si>
    <t xml:space="preserve">R3</t>
  </si>
  <si>
    <t xml:space="preserve">au ta sa</t>
  </si>
  <si>
    <t xml:space="preserve">ai Tha la</t>
  </si>
  <si>
    <t xml:space="preserve">aM Na Sha</t>
  </si>
  <si>
    <t xml:space="preserve">e Ta ra</t>
  </si>
  <si>
    <t xml:space="preserve">R4</t>
  </si>
  <si>
    <t xml:space="preserve">अकथह</t>
  </si>
  <si>
    <t xml:space="preserve">अ क थ ह</t>
  </si>
  <si>
    <t xml:space="preserve">उ ङ प</t>
  </si>
  <si>
    <t xml:space="preserve">आ ख द</t>
  </si>
  <si>
    <t xml:space="preserve">ऊ च फ</t>
  </si>
  <si>
    <t xml:space="preserve">a ka tha ha</t>
  </si>
  <si>
    <t xml:space="preserve">u ṅa pa</t>
  </si>
  <si>
    <t xml:space="preserve">ā kha da</t>
  </si>
  <si>
    <t xml:space="preserve">ū ca pha</t>
  </si>
  <si>
    <t xml:space="preserve">ओ ड व</t>
  </si>
  <si>
    <t xml:space="preserve">ऌ झ म</t>
  </si>
  <si>
    <t xml:space="preserve">औ ढ श</t>
  </si>
  <si>
    <t xml:space="preserve">ॡ ञ य</t>
  </si>
  <si>
    <t xml:space="preserve">o ḍa va</t>
  </si>
  <si>
    <t xml:space="preserve">ḷ jha ma</t>
  </si>
  <si>
    <t xml:space="preserve">au ḍha śa</t>
  </si>
  <si>
    <t xml:space="preserve">ḹ ña ya</t>
  </si>
  <si>
    <t xml:space="preserve">ई घ न</t>
  </si>
  <si>
    <t xml:space="preserve">ॠ ज भ</t>
  </si>
  <si>
    <t xml:space="preserve">इ ग ध</t>
  </si>
  <si>
    <t xml:space="preserve">ऋ छ ब</t>
  </si>
  <si>
    <t xml:space="preserve">ī gha na</t>
  </si>
  <si>
    <t xml:space="preserve">ṝ ja bha</t>
  </si>
  <si>
    <t xml:space="preserve">ṛ cha ba</t>
  </si>
  <si>
    <t xml:space="preserve">अः त स</t>
  </si>
  <si>
    <t xml:space="preserve">ऐ ठ ल</t>
  </si>
  <si>
    <t xml:space="preserve">अं ण ष</t>
  </si>
  <si>
    <t xml:space="preserve">ए ट र</t>
  </si>
  <si>
    <t xml:space="preserve">aḥ ta sa</t>
  </si>
  <si>
    <t xml:space="preserve">ai ṭha la</t>
  </si>
  <si>
    <t xml:space="preserve">aṁ ṇa ṣa</t>
  </si>
  <si>
    <t xml:space="preserve">e ṭa ra</t>
  </si>
  <si>
    <t xml:space="preserve">Earth</t>
  </si>
  <si>
    <t xml:space="preserve">Water</t>
  </si>
  <si>
    <t xml:space="preserve">Fire</t>
  </si>
  <si>
    <t xml:space="preserve">Air</t>
  </si>
  <si>
    <t xml:space="preserve">Ether</t>
  </si>
  <si>
    <t xml:space="preserve">Kuta</t>
  </si>
  <si>
    <t xml:space="preserve">Definition</t>
  </si>
  <si>
    <t xml:space="preserve">Promote</t>
  </si>
  <si>
    <t xml:space="preserve">Example Points</t>
  </si>
  <si>
    <t xml:space="preserve">Nadi</t>
  </si>
  <si>
    <t xml:space="preserve">nadi must be different. Also consider Nakshatra Pada Nadi</t>
  </si>
  <si>
    <t xml:space="preserve">Benific Rahu/Ketu, Promote  physiological and to a certain extent hereditary factors.</t>
  </si>
  <si>
    <t xml:space="preserve">Magha-Hasta</t>
  </si>
  <si>
    <t xml:space="preserve">Rasi Kuta</t>
  </si>
  <si>
    <t xml:space="preserve">boy should not be 2,3,4,5,6,8 from girl</t>
  </si>
  <si>
    <t xml:space="preserve">growth of family, +ve Mars; Gives  longevity , Happiness, Wealth, Enjoyment, Progeny</t>
  </si>
  <si>
    <t xml:space="preserve">Gana Kutam</t>
  </si>
  <si>
    <t xml:space="preserve">Female better than male Gana</t>
  </si>
  <si>
    <t xml:space="preserve">wealth, +Saturn</t>
  </si>
  <si>
    <t xml:space="preserve">Graha Maitri/Rasyadhipathi </t>
  </si>
  <si>
    <t xml:space="preserve">Consider lord of Rashi (Use Lagna)</t>
  </si>
  <si>
    <t xml:space="preserve">Sun +ve, Prosperity in Corns etc Mental attitude..</t>
  </si>
  <si>
    <t xml:space="preserve">opposite sex and same animal</t>
  </si>
  <si>
    <t xml:space="preserve">Good Children, +Venus</t>
  </si>
  <si>
    <t xml:space="preserve">Dina Kuta</t>
  </si>
  <si>
    <t xml:space="preserve">Avoid Janma,3rd (Vipat), 5th (Pratyak) or 7th (Naidhana) from the Janma Nakshatra of the woman. Worst is Naidhana. </t>
  </si>
  <si>
    <t xml:space="preserve">good luck; +Merc (Daily Matching)</t>
  </si>
  <si>
    <t xml:space="preserve">Vashya</t>
  </si>
  <si>
    <t xml:space="preserve">Girl Aries - Leo and Scorpio are amenable. 
For Taurus - Cancer and Libra; 
for Gemini - Virgo; 
for Caner - Scorpio and Sagittarius; 
for Leo - Capricorn and Virgo; 
for Scorpio - Cancer; 
for Sagittarius - Pisces; 
for Capricorn - Aries and Aquarius; 
for Aquarius - Aries; and 
for Pisces - Capricorn. </t>
  </si>
  <si>
    <t xml:space="preserve">development of posterity, +Jupiter Gives Attraction.</t>
  </si>
  <si>
    <t xml:space="preserve">Same business/professional inclinations.Same Education. If both not educated or keen on profession use the Nakshatra Varna. Girl Man higher caste (profession). But Pratiloma only with Pratiloma</t>
  </si>
  <si>
    <t xml:space="preserve">Moon +ve, Profession </t>
  </si>
  <si>
    <t xml:space="preserve">Mahendra</t>
  </si>
  <si>
    <t xml:space="preserve">the boy counted from that of the girl should be the 4th, 7th, 10th, 13th, 16th, 19th, 22nd or 25th. This combination promotes well being and longevity of the couple.Another:Count from the bride's star to the groom's asterism. If it be 4th, 7th, or 10th in any round it would be beneficial to the groom. Generally the groom's star is expected to be distant from the bride's. On the other hand, if the bride's star be the 4th from the groom's star, it should be termed Mahendra. If it be the 7th from the boy's Nakshatra, it would be called Upendra. The results of these two Yogas are in order (1) Increase of wealth and corn; and (2) birth of sons and daughters. The reader may note here that according to the Dina-type of agreement the 7th star is to be rejected, whereas according to the Mahendra it is acceptable. It shouldn't, however, be construed that the authorities make contradictory statements. As the contexts are different, there is no contradiction. For, in the 2nd and 3rd rounds the 7th star becomes the 6th and the 25th, which brings about what is called Stri-dirgha and so they reduce the flow more and more."(M. Ramakrishna Bhat. Essentials of Horary Astrology, page 138.) </t>
  </si>
  <si>
    <t xml:space="preserve">Indra is for Raja Yoga?
</t>
  </si>
  <si>
    <t xml:space="preserve">NA</t>
  </si>
  <si>
    <t xml:space="preserve">Stree Deergha (Dirgha).</t>
  </si>
  <si>
    <t xml:space="preserve">The boy's constellation should be beyond the 9th from that of the girl. According to some authorities the distance should be more than 7 nakshatras. Already Taken in consideration if Rasi Kuta is present</t>
  </si>
  <si>
    <t xml:space="preserve">promotes welfare</t>
  </si>
  <si>
    <t xml:space="preserve">Rajju Dosha</t>
  </si>
  <si>
    <t xml:space="preserve">Rajju should not be same or same MOD3 value MOD3=2 worst </t>
  </si>
  <si>
    <t xml:space="preserve">inclines to felicity, great happiness in married life and immunity from widowhood;</t>
  </si>
  <si>
    <t xml:space="preserve">Vedhai Dosha</t>
  </si>
  <si>
    <t xml:space="preserve">As-Jy, Bh-Anu  etc. Vedha present if Rajju is there</t>
  </si>
  <si>
    <t xml:space="preserve">many sons</t>
  </si>
  <si>
    <t xml:space="preserve">Ghataka</t>
  </si>
  <si>
    <t xml:space="preserve">Refer Ghataka Table.</t>
  </si>
  <si>
    <t xml:space="preserve">Prevent Violence</t>
  </si>
  <si>
    <t xml:space="preserve">Number kuta must agree &gt;=5 </t>
  </si>
  <si>
    <t xml:space="preserve">and total points&gt;=26 (8+7+6+5)</t>
  </si>
  <si>
    <t xml:space="preserve">Kuta Max 36</t>
  </si>
  <si>
    <t xml:space="preserve">Term of Life</t>
  </si>
  <si>
    <t xml:space="preserve">if signs are:</t>
  </si>
  <si>
    <t xml:space="preserve">or signs are:</t>
  </si>
  <si>
    <t xml:space="preserve">Lifespan</t>
  </si>
  <si>
    <t xml:space="preserve">Alpayu (short)</t>
  </si>
  <si>
    <t xml:space="preserve">C, D</t>
  </si>
  <si>
    <t xml:space="preserve">S, S</t>
  </si>
  <si>
    <t xml:space="preserve">&lt; 32</t>
  </si>
  <si>
    <t xml:space="preserve">Madhyayu (middle)</t>
  </si>
  <si>
    <t xml:space="preserve">C, S</t>
  </si>
  <si>
    <t xml:space="preserve">D, D</t>
  </si>
  <si>
    <t xml:space="preserve">&lt; 64</t>
  </si>
  <si>
    <t xml:space="preserve">Purnayu (long)</t>
  </si>
  <si>
    <t xml:space="preserve">C, C</t>
  </si>
  <si>
    <t xml:space="preserve">D, S</t>
  </si>
  <si>
    <t xml:space="preserve">&gt; 64</t>
  </si>
  <si>
    <t xml:space="preserve">(a) lagna lord and 8th lord</t>
  </si>
  <si>
    <t xml:space="preserve">(b) Moon and Saturn (not Moon and lagna as Siva wrote)</t>
  </si>
  <si>
    <t xml:space="preserve">(c) lagna and horalagna</t>
  </si>
  <si>
    <t xml:space="preserve">lagna and horalagna pair dominates 
if the all three factors give three different answers</t>
  </si>
  <si>
    <t xml:space="preserve"> </t>
  </si>
  <si>
    <t xml:space="preserve">D20Deities</t>
  </si>
  <si>
    <t xml:space="preserve">D20Deities2</t>
  </si>
  <si>
    <t xml:space="preserve">D27 Deities</t>
  </si>
  <si>
    <t xml:space="preserve">D27 Deities2</t>
  </si>
  <si>
    <t xml:space="preserve">Nakshatra Phonemes</t>
  </si>
  <si>
    <t xml:space="preserve">Month Names</t>
  </si>
  <si>
    <t xml:space="preserve">Month Duration</t>
  </si>
  <si>
    <t xml:space="preserve">Ashtottari-Ruler</t>
  </si>
  <si>
    <t xml:space="preserve">28 Nax Names</t>
  </si>
  <si>
    <t xml:space="preserve">28 Nax Start</t>
  </si>
  <si>
    <t xml:space="preserve">AVASTHA NAME</t>
  </si>
  <si>
    <t xml:space="preserve">MEANING</t>
  </si>
  <si>
    <t xml:space="preserve">Graha Order</t>
  </si>
  <si>
    <t xml:space="preserve">Number Assignment</t>
  </si>
  <si>
    <t xml:space="preserve">Vimshottari Order</t>
  </si>
  <si>
    <t xml:space="preserve">Vimshottari graha years</t>
  </si>
  <si>
    <t xml:space="preserve">D150Deities</t>
  </si>
  <si>
    <t xml:space="preserve">D150Degrees</t>
  </si>
  <si>
    <t xml:space="preserve">D60Index</t>
  </si>
  <si>
    <t xml:space="preserve">D60English</t>
  </si>
  <si>
    <t xml:space="preserve">D60Meaning</t>
  </si>
  <si>
    <t xml:space="preserve">D60Sanskrit</t>
  </si>
  <si>
    <t xml:space="preserve">Month (Tamil)</t>
  </si>
  <si>
    <t xml:space="preserve">Month (Transliteration)</t>
  </si>
  <si>
    <t xml:space="preserve">Sanskrit Name *</t>
  </si>
  <si>
    <t xml:space="preserve">Gregorian Cal</t>
  </si>
  <si>
    <t xml:space="preserve">D24 Deities</t>
  </si>
  <si>
    <t xml:space="preserve">Meanigng</t>
  </si>
  <si>
    <t xml:space="preserve">kālī</t>
  </si>
  <si>
    <t xml:space="preserve">काली</t>
  </si>
  <si>
    <t xml:space="preserve">dasra </t>
  </si>
  <si>
    <t xml:space="preserve">दस्र</t>
  </si>
  <si>
    <t xml:space="preserve">Chaitra </t>
  </si>
  <si>
    <t xml:space="preserve">March-April</t>
  </si>
  <si>
    <t xml:space="preserve">Ashwini</t>
  </si>
  <si>
    <t xml:space="preserve">Sayana</t>
  </si>
  <si>
    <t xml:space="preserve">Lyingdown,resting</t>
  </si>
  <si>
    <t xml:space="preserve">वसुधा</t>
  </si>
  <si>
    <t xml:space="preserve">vasudhā</t>
  </si>
  <si>
    <t xml:space="preserve">ghora </t>
  </si>
  <si>
    <t xml:space="preserve">terrible</t>
  </si>
  <si>
    <t xml:space="preserve">घोर</t>
  </si>
  <si>
    <t xml:space="preserve">சித்திரை</t>
  </si>
  <si>
    <t xml:space="preserve">Cittirai</t>
  </si>
  <si>
    <t xml:space="preserve">Chaitra</t>
  </si>
  <si>
    <t xml:space="preserve">mid-April to mid-May</t>
  </si>
  <si>
    <t xml:space="preserve">skanda</t>
  </si>
  <si>
    <t xml:space="preserve">gaurī</t>
  </si>
  <si>
    <t xml:space="preserve">गौरी</t>
  </si>
  <si>
    <t xml:space="preserve">yama </t>
  </si>
  <si>
    <t xml:space="preserve">यम </t>
  </si>
  <si>
    <t xml:space="preserve">Vaishakh </t>
  </si>
  <si>
    <t xml:space="preserve">April-May</t>
  </si>
  <si>
    <t xml:space="preserve">Upavesana</t>
  </si>
  <si>
    <t xml:space="preserve">Sittingdown</t>
  </si>
  <si>
    <t xml:space="preserve">वैष्णवी</t>
  </si>
  <si>
    <t xml:space="preserve">vaiṣṇavī</t>
  </si>
  <si>
    <t xml:space="preserve">rAxasha </t>
  </si>
  <si>
    <t xml:space="preserve">demon</t>
  </si>
  <si>
    <t xml:space="preserve">राक्षश </t>
  </si>
  <si>
    <t xml:space="preserve">வைகாசி</t>
  </si>
  <si>
    <t xml:space="preserve">Vaikāci</t>
  </si>
  <si>
    <t xml:space="preserve">Vaisākha</t>
  </si>
  <si>
    <t xml:space="preserve">mid-May to mid-June</t>
  </si>
  <si>
    <t xml:space="preserve">paraśudhara</t>
  </si>
  <si>
    <r>
      <rPr>
        <sz val="9"/>
        <color rgb="FF000000"/>
        <rFont val="Noto Sans Devanagari"/>
        <family val="2"/>
        <charset val="1"/>
      </rPr>
      <t xml:space="preserve">जया</t>
    </r>
    <r>
      <rPr>
        <sz val="9"/>
        <color rgb="FF000000"/>
        <rFont val="Arial Unicode MS"/>
        <family val="2"/>
        <charset val="1"/>
      </rPr>
      <t xml:space="preserve">+</t>
    </r>
  </si>
  <si>
    <t xml:space="preserve">vahni </t>
  </si>
  <si>
    <t xml:space="preserve">वह्नि </t>
  </si>
  <si>
    <t xml:space="preserve">Jyeshta </t>
  </si>
  <si>
    <t xml:space="preserve">May-June </t>
  </si>
  <si>
    <t xml:space="preserve">Netrapaani</t>
  </si>
  <si>
    <t xml:space="preserve">Eyesandhands</t>
  </si>
  <si>
    <t xml:space="preserve">ब्रह्मी</t>
  </si>
  <si>
    <t xml:space="preserve">brahmī</t>
  </si>
  <si>
    <t xml:space="preserve">deva </t>
  </si>
  <si>
    <t xml:space="preserve">onewhoisfulloflight</t>
  </si>
  <si>
    <t xml:space="preserve">देव </t>
  </si>
  <si>
    <t xml:space="preserve">ஆனி</t>
  </si>
  <si>
    <t xml:space="preserve">Āni</t>
  </si>
  <si>
    <t xml:space="preserve">Jyaishtha</t>
  </si>
  <si>
    <t xml:space="preserve">mid-June to mid-July</t>
  </si>
  <si>
    <t xml:space="preserve">anala</t>
  </si>
  <si>
    <t xml:space="preserve">lakṣmī</t>
  </si>
  <si>
    <t xml:space="preserve">लक्ष्मी</t>
  </si>
  <si>
    <t xml:space="preserve">pitāmaha </t>
  </si>
  <si>
    <t xml:space="preserve">पितामह </t>
  </si>
  <si>
    <t xml:space="preserve">Aashaadh </t>
  </si>
  <si>
    <t xml:space="preserve">June-July</t>
  </si>
  <si>
    <t xml:space="preserve">Prakaasana</t>
  </si>
  <si>
    <t xml:space="preserve">Shining</t>
  </si>
  <si>
    <t xml:space="preserve">कालकूटा</t>
  </si>
  <si>
    <t xml:space="preserve">kālakūṭā</t>
  </si>
  <si>
    <t xml:space="preserve"> kubera</t>
  </si>
  <si>
    <t xml:space="preserve">godofwealth</t>
  </si>
  <si>
    <t xml:space="preserve">कुबेर </t>
  </si>
  <si>
    <t xml:space="preserve">ஆடி</t>
  </si>
  <si>
    <t xml:space="preserve">Āṭi</t>
  </si>
  <si>
    <t xml:space="preserve">Āshāḍha</t>
  </si>
  <si>
    <t xml:space="preserve">mid-July to mid-August</t>
  </si>
  <si>
    <t xml:space="preserve">viśvakarmā</t>
  </si>
  <si>
    <t xml:space="preserve">All Creator</t>
  </si>
  <si>
    <t xml:space="preserve">vijayā</t>
  </si>
  <si>
    <t xml:space="preserve">विजया</t>
  </si>
  <si>
    <t xml:space="preserve">candra </t>
  </si>
  <si>
    <t xml:space="preserve">चन्द्र </t>
  </si>
  <si>
    <t xml:space="preserve">Sharaavan </t>
  </si>
  <si>
    <t xml:space="preserve">July-August </t>
  </si>
  <si>
    <t xml:space="preserve">Gamana</t>
  </si>
  <si>
    <t xml:space="preserve">Going(onthemove)</t>
  </si>
  <si>
    <t xml:space="preserve">शांकरी</t>
  </si>
  <si>
    <t xml:space="preserve">śāṁkarī</t>
  </si>
  <si>
    <t xml:space="preserve"> yaksha</t>
  </si>
  <si>
    <t xml:space="preserve">divinesinger</t>
  </si>
  <si>
    <t xml:space="preserve">यक्ष </t>
  </si>
  <si>
    <t xml:space="preserve">ஆவணி</t>
  </si>
  <si>
    <t xml:space="preserve">Āvaṇi</t>
  </si>
  <si>
    <t xml:space="preserve">Shrāvaṇa</t>
  </si>
  <si>
    <t xml:space="preserve">mid-August to mid-September</t>
  </si>
  <si>
    <t xml:space="preserve">Bestower</t>
  </si>
  <si>
    <t xml:space="preserve">vimalā</t>
  </si>
  <si>
    <t xml:space="preserve">विमला</t>
  </si>
  <si>
    <t xml:space="preserve">iśa </t>
  </si>
  <si>
    <t xml:space="preserve">इश </t>
  </si>
  <si>
    <t xml:space="preserve">Bhadrapad </t>
  </si>
  <si>
    <t xml:space="preserve">Aug-Sept</t>
  </si>
  <si>
    <t xml:space="preserve">Aagamana</t>
  </si>
  <si>
    <t xml:space="preserve">Coming,returning</t>
  </si>
  <si>
    <t xml:space="preserve">सुधाकरी</t>
  </si>
  <si>
    <t xml:space="preserve">sudhākarī</t>
  </si>
  <si>
    <t xml:space="preserve">kinnara</t>
  </si>
  <si>
    <t xml:space="preserve">deformedman(iamnotsure)</t>
  </si>
  <si>
    <t xml:space="preserve">किन्नर </t>
  </si>
  <si>
    <t xml:space="preserve">புரட்டாசி</t>
  </si>
  <si>
    <t xml:space="preserve">Puraṭṭāci</t>
  </si>
  <si>
    <t xml:space="preserve">Bhādrapada/Prauṣṭhapada</t>
  </si>
  <si>
    <t xml:space="preserve">mid-September to mid-October</t>
  </si>
  <si>
    <t xml:space="preserve">Protector of Contracts</t>
  </si>
  <si>
    <t xml:space="preserve">satī</t>
  </si>
  <si>
    <t xml:space="preserve">सती</t>
  </si>
  <si>
    <t xml:space="preserve">aditi </t>
  </si>
  <si>
    <t xml:space="preserve">अदिति </t>
  </si>
  <si>
    <t xml:space="preserve">Ashwin </t>
  </si>
  <si>
    <t xml:space="preserve">September-October </t>
  </si>
  <si>
    <t xml:space="preserve">Sabhaa</t>
  </si>
  <si>
    <t xml:space="preserve">(Sabhaavasati)Beingatanassembly</t>
  </si>
  <si>
    <t xml:space="preserve">समा</t>
  </si>
  <si>
    <t xml:space="preserve">samā</t>
  </si>
  <si>
    <t xml:space="preserve">bhraṣṭa </t>
  </si>
  <si>
    <t xml:space="preserve">fallen</t>
  </si>
  <si>
    <t xml:space="preserve">भ्रष्ट </t>
  </si>
  <si>
    <t xml:space="preserve">ஐப்பசி</t>
  </si>
  <si>
    <t xml:space="preserve">Aippaci</t>
  </si>
  <si>
    <t xml:space="preserve">Ashwina/Ashvayuja</t>
  </si>
  <si>
    <t xml:space="preserve">mid-October to mid-November</t>
  </si>
  <si>
    <t xml:space="preserve">maya</t>
  </si>
  <si>
    <t xml:space="preserve">tārā</t>
  </si>
  <si>
    <t xml:space="preserve">तारा</t>
  </si>
  <si>
    <t xml:space="preserve">jīva </t>
  </si>
  <si>
    <t xml:space="preserve">जीव </t>
  </si>
  <si>
    <t xml:space="preserve">Kaartik </t>
  </si>
  <si>
    <t xml:space="preserve">Oct-November.</t>
  </si>
  <si>
    <t xml:space="preserve">Aagama</t>
  </si>
  <si>
    <t xml:space="preserve">Coming/Acquiring</t>
  </si>
  <si>
    <t xml:space="preserve">सौम्या</t>
  </si>
  <si>
    <t xml:space="preserve">saumyā</t>
  </si>
  <si>
    <t xml:space="preserve"> kulagna</t>
  </si>
  <si>
    <t xml:space="preserve">personwillruinfamily</t>
  </si>
  <si>
    <t xml:space="preserve">कुलघ्न </t>
  </si>
  <si>
    <t xml:space="preserve">கார்த்திகை</t>
  </si>
  <si>
    <t xml:space="preserve">Kārttikai</t>
  </si>
  <si>
    <t xml:space="preserve">Kārttika</t>
  </si>
  <si>
    <t xml:space="preserve">mid-November to mid-December</t>
  </si>
  <si>
    <t xml:space="preserve">antaka</t>
  </si>
  <si>
    <t xml:space="preserve">Yama, Destroyer</t>
  </si>
  <si>
    <t xml:space="preserve">jvālāmukhī</t>
  </si>
  <si>
    <t xml:space="preserve">ज्वालामुखी</t>
  </si>
  <si>
    <t xml:space="preserve">ahi </t>
  </si>
  <si>
    <t xml:space="preserve">अहि </t>
  </si>
  <si>
    <t xml:space="preserve">Margasheersh </t>
  </si>
  <si>
    <t xml:space="preserve">Nov-Dec</t>
  </si>
  <si>
    <t xml:space="preserve">Bhojana</t>
  </si>
  <si>
    <t xml:space="preserve">Eating</t>
  </si>
  <si>
    <t xml:space="preserve">सुरा</t>
  </si>
  <si>
    <t xml:space="preserve">surā</t>
  </si>
  <si>
    <t xml:space="preserve">garala</t>
  </si>
  <si>
    <t xml:space="preserve">poison</t>
  </si>
  <si>
    <t xml:space="preserve">गरल </t>
  </si>
  <si>
    <t xml:space="preserve">மார்கழி</t>
  </si>
  <si>
    <t xml:space="preserve">Mārkazhi</t>
  </si>
  <si>
    <t xml:space="preserve">Mārgaṣīrṣa</t>
  </si>
  <si>
    <t xml:space="preserve">mid-December to mid-January</t>
  </si>
  <si>
    <t xml:space="preserve">vṛshadhvajā</t>
  </si>
  <si>
    <r>
      <rPr>
        <sz val="9"/>
        <color rgb="FF000000"/>
        <rFont val="Arial Unicode MS"/>
        <family val="2"/>
        <charset val="1"/>
      </rPr>
      <t xml:space="preserve">Bull as symbol (Or a mouse or rat (cf. </t>
    </r>
    <r>
      <rPr>
        <sz val="9"/>
        <color rgb="FF000000"/>
        <rFont val="Noto Sans Devanagari"/>
        <family val="2"/>
        <charset val="1"/>
      </rPr>
      <t xml:space="preserve">व्</t>
    </r>
    <r>
      <rPr>
        <sz val="9"/>
        <color rgb="FF000000"/>
        <rFont val="Arial Unicode MS"/>
        <family val="2"/>
        <charset val="1"/>
      </rPr>
      <t xml:space="preserve">/</t>
    </r>
    <r>
      <rPr>
        <sz val="9"/>
        <color rgb="FF000000"/>
        <rFont val="Noto Sans Devanagari"/>
        <family val="2"/>
        <charset val="1"/>
      </rPr>
      <t xml:space="preserve">ऋश </t>
    </r>
    <r>
      <rPr>
        <sz val="9"/>
        <color rgb="FF000000"/>
        <rFont val="Arial Unicode MS"/>
        <family val="2"/>
        <charset val="1"/>
      </rPr>
      <t xml:space="preserve">?)</t>
    </r>
  </si>
  <si>
    <t xml:space="preserve">śvetā</t>
  </si>
  <si>
    <t xml:space="preserve">श्वेता</t>
  </si>
  <si>
    <t xml:space="preserve">pitaro </t>
  </si>
  <si>
    <t xml:space="preserve">पितरो </t>
  </si>
  <si>
    <t xml:space="preserve">Pushya </t>
  </si>
  <si>
    <t xml:space="preserve">Dec-Jan </t>
  </si>
  <si>
    <t xml:space="preserve">Nriyalipsaa</t>
  </si>
  <si>
    <t xml:space="preserve">Longingtodance</t>
  </si>
  <si>
    <t xml:space="preserve">माया</t>
  </si>
  <si>
    <t xml:space="preserve">māyā</t>
  </si>
  <si>
    <t xml:space="preserve">vahni</t>
  </si>
  <si>
    <t xml:space="preserve">fire</t>
  </si>
  <si>
    <t xml:space="preserve">தை</t>
  </si>
  <si>
    <t xml:space="preserve">Tai</t>
  </si>
  <si>
    <t xml:space="preserve">Pausha/Taiṣya</t>
  </si>
  <si>
    <t xml:space="preserve">mid-January to mid-February</t>
  </si>
  <si>
    <t xml:space="preserve">govinda</t>
  </si>
  <si>
    <t xml:space="preserve">lalitā</t>
  </si>
  <si>
    <t xml:space="preserve">ललिता</t>
  </si>
  <si>
    <t xml:space="preserve">bhaga </t>
  </si>
  <si>
    <t xml:space="preserve">भग</t>
  </si>
  <si>
    <t xml:space="preserve">Magha </t>
  </si>
  <si>
    <t xml:space="preserve">Jan-February</t>
  </si>
  <si>
    <t xml:space="preserve">P. Phalguni</t>
  </si>
  <si>
    <t xml:space="preserve">Kautuka</t>
  </si>
  <si>
    <t xml:space="preserve">Beingeager</t>
  </si>
  <si>
    <t xml:space="preserve">मनोहरा</t>
  </si>
  <si>
    <t xml:space="preserve">manoharā</t>
  </si>
  <si>
    <t xml:space="preserve"> maya</t>
  </si>
  <si>
    <t xml:space="preserve">deciet</t>
  </si>
  <si>
    <t xml:space="preserve">माया </t>
  </si>
  <si>
    <t xml:space="preserve">மாசி</t>
  </si>
  <si>
    <t xml:space="preserve">Māci</t>
  </si>
  <si>
    <t xml:space="preserve">Māgha</t>
  </si>
  <si>
    <t xml:space="preserve">mid-February to mid-March</t>
  </si>
  <si>
    <t xml:space="preserve">madana</t>
  </si>
  <si>
    <t xml:space="preserve">Lover, Bee</t>
  </si>
  <si>
    <t xml:space="preserve">bagalāmukhī</t>
  </si>
  <si>
    <t xml:space="preserve">बगलामुखी</t>
  </si>
  <si>
    <t xml:space="preserve">aryama </t>
  </si>
  <si>
    <t xml:space="preserve">अर्यम </t>
  </si>
  <si>
    <t xml:space="preserve">Phalgun </t>
  </si>
  <si>
    <t xml:space="preserve">Feb-Mar</t>
  </si>
  <si>
    <t xml:space="preserve">U. Phalguni</t>
  </si>
  <si>
    <t xml:space="preserve">Nidraa</t>
  </si>
  <si>
    <t xml:space="preserve">माध्वी</t>
  </si>
  <si>
    <t xml:space="preserve">mādhvī</t>
  </si>
  <si>
    <t xml:space="preserve"> pureeshaka</t>
  </si>
  <si>
    <t xml:space="preserve">dirty</t>
  </si>
  <si>
    <t xml:space="preserve">पुरीषक </t>
  </si>
  <si>
    <t xml:space="preserve">பங்குனி</t>
  </si>
  <si>
    <t xml:space="preserve">Paṅkuni</t>
  </si>
  <si>
    <t xml:space="preserve">Phalguna</t>
  </si>
  <si>
    <t xml:space="preserve">mid-March to mid-April</t>
  </si>
  <si>
    <t xml:space="preserve">Terrible</t>
  </si>
  <si>
    <t xml:space="preserve">pratyaṅgirā</t>
  </si>
  <si>
    <t xml:space="preserve">प्रत्यङ्गिरा</t>
  </si>
  <si>
    <t xml:space="preserve">arka </t>
  </si>
  <si>
    <t xml:space="preserve">अर्क </t>
  </si>
  <si>
    <t xml:space="preserve">मञ्जुस्वना</t>
  </si>
  <si>
    <t xml:space="preserve">mañjusvanā</t>
  </si>
  <si>
    <t xml:space="preserve">apampati</t>
  </si>
  <si>
    <t xml:space="preserve">raingod(varuna)</t>
  </si>
  <si>
    <t xml:space="preserve">अपाम्पति </t>
  </si>
  <si>
    <t xml:space="preserve">śacī</t>
  </si>
  <si>
    <t xml:space="preserve">शची</t>
  </si>
  <si>
    <t xml:space="preserve">tvaṣṭṛ </t>
  </si>
  <si>
    <t xml:space="preserve">त्वष्टृ </t>
  </si>
  <si>
    <t xml:space="preserve">घोरा</t>
  </si>
  <si>
    <t xml:space="preserve">ghorā</t>
  </si>
  <si>
    <t xml:space="preserve">marut</t>
  </si>
  <si>
    <t xml:space="preserve">windgod</t>
  </si>
  <si>
    <t xml:space="preserve">मरुत </t>
  </si>
  <si>
    <t xml:space="preserve">raudrī</t>
  </si>
  <si>
    <t xml:space="preserve">रौद्री</t>
  </si>
  <si>
    <t xml:space="preserve">maruta </t>
  </si>
  <si>
    <t xml:space="preserve">कुंभिनी</t>
  </si>
  <si>
    <t xml:space="preserve">kuṁbhinī</t>
  </si>
  <si>
    <t xml:space="preserve">kaala</t>
  </si>
  <si>
    <t xml:space="preserve">time</t>
  </si>
  <si>
    <t xml:space="preserve">काल </t>
  </si>
  <si>
    <t xml:space="preserve">bhavānī</t>
  </si>
  <si>
    <t xml:space="preserve">भवानी</t>
  </si>
  <si>
    <t xml:space="preserve">śakrāgni </t>
  </si>
  <si>
    <t xml:space="preserve">शक्राग्नि </t>
  </si>
  <si>
    <t xml:space="preserve">कुटिला</t>
  </si>
  <si>
    <t xml:space="preserve">kuṭilā</t>
  </si>
  <si>
    <t xml:space="preserve">sarpa</t>
  </si>
  <si>
    <t xml:space="preserve">snake,veryvicious</t>
  </si>
  <si>
    <t xml:space="preserve">सर्प </t>
  </si>
  <si>
    <t xml:space="preserve">varadā</t>
  </si>
  <si>
    <t xml:space="preserve">वरदा</t>
  </si>
  <si>
    <t xml:space="preserve">mitra </t>
  </si>
  <si>
    <t xml:space="preserve">मित्र </t>
  </si>
  <si>
    <t xml:space="preserve">प्रभा</t>
  </si>
  <si>
    <t xml:space="preserve">prabhā</t>
  </si>
  <si>
    <t xml:space="preserve">amirta</t>
  </si>
  <si>
    <t xml:space="preserve">nectar</t>
  </si>
  <si>
    <t xml:space="preserve">अमृत </t>
  </si>
  <si>
    <t xml:space="preserve">जया</t>
  </si>
  <si>
    <t xml:space="preserve">vāsava </t>
  </si>
  <si>
    <t xml:space="preserve">वासव </t>
  </si>
  <si>
    <t xml:space="preserve">परा</t>
  </si>
  <si>
    <t xml:space="preserve">parā</t>
  </si>
  <si>
    <t xml:space="preserve">indu</t>
  </si>
  <si>
    <t xml:space="preserve">moon</t>
  </si>
  <si>
    <t xml:space="preserve">इन्दुक </t>
  </si>
  <si>
    <t xml:space="preserve">tripurā</t>
  </si>
  <si>
    <t xml:space="preserve">त्रिपुरा</t>
  </si>
  <si>
    <t xml:space="preserve">nirṛti </t>
  </si>
  <si>
    <t xml:space="preserve">निरृति </t>
  </si>
  <si>
    <t xml:space="preserve">पयस्विनी</t>
  </si>
  <si>
    <t xml:space="preserve">payasvinī</t>
  </si>
  <si>
    <t xml:space="preserve">mrdu</t>
  </si>
  <si>
    <t xml:space="preserve">soft</t>
  </si>
  <si>
    <t xml:space="preserve">मृदु </t>
  </si>
  <si>
    <t xml:space="preserve">sumukhī</t>
  </si>
  <si>
    <t xml:space="preserve">सुमुखी</t>
  </si>
  <si>
    <t xml:space="preserve">udaka </t>
  </si>
  <si>
    <t xml:space="preserve">उदक </t>
  </si>
  <si>
    <t xml:space="preserve">माला</t>
  </si>
  <si>
    <t xml:space="preserve">mālā</t>
  </si>
  <si>
    <t xml:space="preserve">komala</t>
  </si>
  <si>
    <t xml:space="preserve">tender</t>
  </si>
  <si>
    <t xml:space="preserve">कोमल </t>
  </si>
  <si>
    <t xml:space="preserve">dayā</t>
  </si>
  <si>
    <t xml:space="preserve">दया</t>
  </si>
  <si>
    <t xml:space="preserve">viśve aja </t>
  </si>
  <si>
    <t xml:space="preserve">विश्वे अज </t>
  </si>
  <si>
    <t xml:space="preserve">जगती</t>
  </si>
  <si>
    <t xml:space="preserve">jagatī</t>
  </si>
  <si>
    <t xml:space="preserve">heramba</t>
  </si>
  <si>
    <t xml:space="preserve">vinayaka</t>
  </si>
  <si>
    <t xml:space="preserve">हेरम्ब </t>
  </si>
  <si>
    <t xml:space="preserve">medhā</t>
  </si>
  <si>
    <t xml:space="preserve">मेधा</t>
  </si>
  <si>
    <t xml:space="preserve">govinda </t>
  </si>
  <si>
    <t xml:space="preserve">गोविन्द </t>
  </si>
  <si>
    <t xml:space="preserve">जु जे जो ख</t>
  </si>
  <si>
    <t xml:space="preserve">Abhjit</t>
  </si>
  <si>
    <t xml:space="preserve">जर्झरा</t>
  </si>
  <si>
    <t xml:space="preserve">jarjharā</t>
  </si>
  <si>
    <t xml:space="preserve">brahma</t>
  </si>
  <si>
    <t xml:space="preserve">universalfather</t>
  </si>
  <si>
    <t xml:space="preserve">ब्रह्म </t>
  </si>
  <si>
    <t xml:space="preserve">chinnaśīrṣā</t>
  </si>
  <si>
    <t xml:space="preserve">छिन्नशीर्षा</t>
  </si>
  <si>
    <t xml:space="preserve">vasava </t>
  </si>
  <si>
    <t xml:space="preserve">वसव</t>
  </si>
  <si>
    <t xml:space="preserve">Sravana</t>
  </si>
  <si>
    <t xml:space="preserve">ध्रुवा</t>
  </si>
  <si>
    <t xml:space="preserve">dhruvā</t>
  </si>
  <si>
    <t xml:space="preserve">vishnu</t>
  </si>
  <si>
    <t xml:space="preserve">oneofthehindutrinity</t>
  </si>
  <si>
    <t xml:space="preserve">विष्णु </t>
  </si>
  <si>
    <t xml:space="preserve">piśācinī</t>
  </si>
  <si>
    <t xml:space="preserve">पिशाचिनी</t>
  </si>
  <si>
    <t xml:space="preserve">ambupa </t>
  </si>
  <si>
    <t xml:space="preserve">अम्बुप </t>
  </si>
  <si>
    <t xml:space="preserve">मुसला</t>
  </si>
  <si>
    <t xml:space="preserve">musalā</t>
  </si>
  <si>
    <t xml:space="preserve">maheswara</t>
  </si>
  <si>
    <t xml:space="preserve">anotherdeityofhindutrinity</t>
  </si>
  <si>
    <t xml:space="preserve">महेश्वरा </t>
  </si>
  <si>
    <t xml:space="preserve">dhūmāvatī</t>
  </si>
  <si>
    <t xml:space="preserve">धूमावती</t>
  </si>
  <si>
    <t xml:space="preserve">ajapād </t>
  </si>
  <si>
    <t xml:space="preserve">अजपाद् </t>
  </si>
  <si>
    <t xml:space="preserve">मुद्गरा</t>
  </si>
  <si>
    <t xml:space="preserve">mudgarā</t>
  </si>
  <si>
    <t xml:space="preserve">deva</t>
  </si>
  <si>
    <t xml:space="preserve">enjoyment</t>
  </si>
  <si>
    <t xml:space="preserve">mātaṅgī</t>
  </si>
  <si>
    <t xml:space="preserve">मातङ्गी</t>
  </si>
  <si>
    <t xml:space="preserve">ahirbudhnya </t>
  </si>
  <si>
    <t xml:space="preserve">अहिर्बुध्न्य</t>
  </si>
  <si>
    <t xml:space="preserve">पाशा</t>
  </si>
  <si>
    <t xml:space="preserve">pāśā</t>
  </si>
  <si>
    <t xml:space="preserve">ardra</t>
  </si>
  <si>
    <t xml:space="preserve">moist</t>
  </si>
  <si>
    <t xml:space="preserve">आर्द्र </t>
  </si>
  <si>
    <t xml:space="preserve">bālā</t>
  </si>
  <si>
    <t xml:space="preserve">बाला</t>
  </si>
  <si>
    <t xml:space="preserve">pūṣā </t>
  </si>
  <si>
    <t xml:space="preserve">पूषा </t>
  </si>
  <si>
    <t xml:space="preserve">चंपका</t>
  </si>
  <si>
    <t xml:space="preserve">caṁpakā</t>
  </si>
  <si>
    <t xml:space="preserve">kalinasa</t>
  </si>
  <si>
    <t xml:space="preserve">destruction of strife</t>
  </si>
  <si>
    <t xml:space="preserve">कलिनाशश </t>
  </si>
  <si>
    <t xml:space="preserve">भद्रा</t>
  </si>
  <si>
    <t xml:space="preserve">दामका</t>
  </si>
  <si>
    <t xml:space="preserve">dāmakā</t>
  </si>
  <si>
    <t xml:space="preserve">kshiteesa</t>
  </si>
  <si>
    <t xml:space="preserve">rulerofearth</t>
  </si>
  <si>
    <t xml:space="preserve">क्षितीश </t>
  </si>
  <si>
    <t xml:space="preserve">aruṇā</t>
  </si>
  <si>
    <t xml:space="preserve">अरुणा</t>
  </si>
  <si>
    <t xml:space="preserve">मही</t>
  </si>
  <si>
    <t xml:space="preserve">mahī</t>
  </si>
  <si>
    <t xml:space="preserve">kamalakara</t>
  </si>
  <si>
    <t xml:space="preserve">pondfulloflotus</t>
  </si>
  <si>
    <t xml:space="preserve">कमलाकर </t>
  </si>
  <si>
    <t xml:space="preserve">analā</t>
  </si>
  <si>
    <t xml:space="preserve">अनला</t>
  </si>
  <si>
    <t xml:space="preserve">कलुषा</t>
  </si>
  <si>
    <t xml:space="preserve">kaluṣā</t>
  </si>
  <si>
    <t xml:space="preserve">gulika</t>
  </si>
  <si>
    <t xml:space="preserve">saturn'sson</t>
  </si>
  <si>
    <t xml:space="preserve">गुलिक </t>
  </si>
  <si>
    <t xml:space="preserve">piṅgalā</t>
  </si>
  <si>
    <t xml:space="preserve">पिङ्गला</t>
  </si>
  <si>
    <t xml:space="preserve">कमला</t>
  </si>
  <si>
    <t xml:space="preserve">kamalā</t>
  </si>
  <si>
    <t xml:space="preserve">mrtyu</t>
  </si>
  <si>
    <t xml:space="preserve">death</t>
  </si>
  <si>
    <t xml:space="preserve">मृत्यु </t>
  </si>
  <si>
    <t xml:space="preserve">chucchukā</t>
  </si>
  <si>
    <t xml:space="preserve">छुच्छुका</t>
  </si>
  <si>
    <t xml:space="preserve">कान्ता</t>
  </si>
  <si>
    <t xml:space="preserve">kāntā</t>
  </si>
  <si>
    <t xml:space="preserve">kala</t>
  </si>
  <si>
    <t xml:space="preserve">timegod</t>
  </si>
  <si>
    <t xml:space="preserve">काला</t>
  </si>
  <si>
    <t xml:space="preserve">kālā</t>
  </si>
  <si>
    <t xml:space="preserve">daavagni</t>
  </si>
  <si>
    <t xml:space="preserve">forestfire</t>
  </si>
  <si>
    <t xml:space="preserve">दावाग्नि </t>
  </si>
  <si>
    <t xml:space="preserve">vārāhī</t>
  </si>
  <si>
    <t xml:space="preserve">वाराही</t>
  </si>
  <si>
    <t xml:space="preserve">करिकरा</t>
  </si>
  <si>
    <t xml:space="preserve">karikarā</t>
  </si>
  <si>
    <t xml:space="preserve">ghora</t>
  </si>
  <si>
    <t xml:space="preserve">घोर </t>
  </si>
  <si>
    <t xml:space="preserve">क्षमा</t>
  </si>
  <si>
    <t xml:space="preserve">kṣamā</t>
  </si>
  <si>
    <t xml:space="preserve"> yama</t>
  </si>
  <si>
    <t xml:space="preserve">deathpersonified</t>
  </si>
  <si>
    <t xml:space="preserve">sitā</t>
  </si>
  <si>
    <t xml:space="preserve">सिता</t>
  </si>
  <si>
    <t xml:space="preserve">दुर्धरा</t>
  </si>
  <si>
    <t xml:space="preserve">durdharā</t>
  </si>
  <si>
    <t xml:space="preserve">kantaka</t>
  </si>
  <si>
    <t xml:space="preserve">thorn</t>
  </si>
  <si>
    <t xml:space="preserve">कण्टक </t>
  </si>
  <si>
    <t xml:space="preserve">bhuvaneśī</t>
  </si>
  <si>
    <t xml:space="preserve">भुवनेशी</t>
  </si>
  <si>
    <t xml:space="preserve">दुर्भगा</t>
  </si>
  <si>
    <t xml:space="preserve">durbhagā</t>
  </si>
  <si>
    <t xml:space="preserve">sudha</t>
  </si>
  <si>
    <t xml:space="preserve">nector</t>
  </si>
  <si>
    <t xml:space="preserve">सुधा </t>
  </si>
  <si>
    <t xml:space="preserve">bhairavī</t>
  </si>
  <si>
    <t xml:space="preserve">भैरवी</t>
  </si>
  <si>
    <t xml:space="preserve">विश्वा</t>
  </si>
  <si>
    <t xml:space="preserve">viśvā</t>
  </si>
  <si>
    <t xml:space="preserve">maṅgalā</t>
  </si>
  <si>
    <t xml:space="preserve">मङ्गला</t>
  </si>
  <si>
    <t xml:space="preserve">विशीर्णा</t>
  </si>
  <si>
    <t xml:space="preserve">viśīrṇā</t>
  </si>
  <si>
    <t xml:space="preserve">poornachandra</t>
  </si>
  <si>
    <t xml:space="preserve">fullofeffulgence</t>
  </si>
  <si>
    <t xml:space="preserve">पूर्णनिशाकर </t>
  </si>
  <si>
    <t xml:space="preserve">aparājitā</t>
  </si>
  <si>
    <t xml:space="preserve">अपराजिता</t>
  </si>
  <si>
    <t xml:space="preserve">विकटा</t>
  </si>
  <si>
    <t xml:space="preserve">vikaṭā</t>
  </si>
  <si>
    <t xml:space="preserve">visha dagdha</t>
  </si>
  <si>
    <t xml:space="preserve">venomconsuming</t>
  </si>
  <si>
    <t xml:space="preserve">विषदग्ध </t>
  </si>
  <si>
    <t xml:space="preserve">अविला</t>
  </si>
  <si>
    <t xml:space="preserve">avilā</t>
  </si>
  <si>
    <t xml:space="preserve">kulanaasa</t>
  </si>
  <si>
    <t xml:space="preserve">ruinsthefamily</t>
  </si>
  <si>
    <t xml:space="preserve">कुलान्त </t>
  </si>
  <si>
    <t xml:space="preserve">विप्रभा</t>
  </si>
  <si>
    <t xml:space="preserve">viprabhā</t>
  </si>
  <si>
    <t xml:space="preserve">vamsakshya</t>
  </si>
  <si>
    <t xml:space="preserve">descendantsnotgrowing</t>
  </si>
  <si>
    <t xml:space="preserve">वंशक्षय </t>
  </si>
  <si>
    <t xml:space="preserve">सुखदा</t>
  </si>
  <si>
    <t xml:space="preserve">sukhadā</t>
  </si>
  <si>
    <t xml:space="preserve">utpaata</t>
  </si>
  <si>
    <t xml:space="preserve">calamity</t>
  </si>
  <si>
    <t xml:space="preserve">उत्पात </t>
  </si>
  <si>
    <t xml:space="preserve">स्निग्धा</t>
  </si>
  <si>
    <t xml:space="preserve">snigdhā</t>
  </si>
  <si>
    <t xml:space="preserve">सोदरा</t>
  </si>
  <si>
    <t xml:space="preserve">sodarā</t>
  </si>
  <si>
    <t xml:space="preserve">soumya</t>
  </si>
  <si>
    <t xml:space="preserve">pleasing</t>
  </si>
  <si>
    <t xml:space="preserve">सौम्य </t>
  </si>
  <si>
    <t xml:space="preserve">सुरसुन्दरी</t>
  </si>
  <si>
    <t xml:space="preserve">surasundarī</t>
  </si>
  <si>
    <t xml:space="preserve">अमृतप्लविनी</t>
  </si>
  <si>
    <t xml:space="preserve">amṛtaplavinī</t>
  </si>
  <si>
    <t xml:space="preserve">seetala</t>
  </si>
  <si>
    <t xml:space="preserve">cold</t>
  </si>
  <si>
    <t xml:space="preserve">शीतल </t>
  </si>
  <si>
    <t xml:space="preserve">काळा</t>
  </si>
  <si>
    <t xml:space="preserve">kāḻā</t>
  </si>
  <si>
    <t xml:space="preserve">karaladhamstra</t>
  </si>
  <si>
    <t xml:space="preserve">hardandferociouslook</t>
  </si>
  <si>
    <t xml:space="preserve">करालदंष्ट्र </t>
  </si>
  <si>
    <t xml:space="preserve">कामधुक्</t>
  </si>
  <si>
    <t xml:space="preserve">kāmadhuk</t>
  </si>
  <si>
    <t xml:space="preserve">chandramukhi</t>
  </si>
  <si>
    <t xml:space="preserve">moonfaced</t>
  </si>
  <si>
    <t xml:space="preserve">करवीरणी</t>
  </si>
  <si>
    <t xml:space="preserve">karavīraṇī</t>
  </si>
  <si>
    <t xml:space="preserve">praveena</t>
  </si>
  <si>
    <t xml:space="preserve">wellversed</t>
  </si>
  <si>
    <t xml:space="preserve">प्रवीण </t>
  </si>
  <si>
    <t xml:space="preserve">गह्वरा</t>
  </si>
  <si>
    <t xml:space="preserve">gahvarā</t>
  </si>
  <si>
    <t xml:space="preserve">kaala pavaka</t>
  </si>
  <si>
    <t xml:space="preserve">destructivefireattheendoftheworld</t>
  </si>
  <si>
    <t xml:space="preserve">कालपावकः </t>
  </si>
  <si>
    <t xml:space="preserve">कुन्दिनी</t>
  </si>
  <si>
    <t xml:space="preserve">kundinī</t>
  </si>
  <si>
    <t xml:space="preserve">dhandayutha</t>
  </si>
  <si>
    <t xml:space="preserve">thestaffheldbytheascetic</t>
  </si>
  <si>
    <t xml:space="preserve">दण्डभृ </t>
  </si>
  <si>
    <t xml:space="preserve">रौद्रा</t>
  </si>
  <si>
    <t xml:space="preserve">raudrā</t>
  </si>
  <si>
    <t xml:space="preserve">nirmala</t>
  </si>
  <si>
    <t xml:space="preserve">spotless</t>
  </si>
  <si>
    <t xml:space="preserve">निर्मल </t>
  </si>
  <si>
    <t xml:space="preserve">विषाख्या</t>
  </si>
  <si>
    <t xml:space="preserve">viṣākhyā</t>
  </si>
  <si>
    <t xml:space="preserve">विषनाशिनी</t>
  </si>
  <si>
    <t xml:space="preserve">viṣanāśinī</t>
  </si>
  <si>
    <t xml:space="preserve">kroora</t>
  </si>
  <si>
    <t xml:space="preserve">cruel</t>
  </si>
  <si>
    <t xml:space="preserve">क्रूर </t>
  </si>
  <si>
    <t xml:space="preserve">निर्मदा</t>
  </si>
  <si>
    <t xml:space="preserve">nirmadā</t>
  </si>
  <si>
    <t xml:space="preserve">atiseetala</t>
  </si>
  <si>
    <t xml:space="preserve">toocold</t>
  </si>
  <si>
    <t xml:space="preserve">अतिशीतल </t>
  </si>
  <si>
    <t xml:space="preserve">शीतला</t>
  </si>
  <si>
    <t xml:space="preserve">śītalā</t>
  </si>
  <si>
    <t xml:space="preserve">amrita</t>
  </si>
  <si>
    <t xml:space="preserve">निम्ना</t>
  </si>
  <si>
    <t xml:space="preserve">nimnā</t>
  </si>
  <si>
    <t xml:space="preserve">payodhi</t>
  </si>
  <si>
    <t xml:space="preserve">ocean</t>
  </si>
  <si>
    <t xml:space="preserve">पयोधि </t>
  </si>
  <si>
    <t xml:space="preserve">प्रीता</t>
  </si>
  <si>
    <t xml:space="preserve">prītā</t>
  </si>
  <si>
    <t xml:space="preserve">brahmna</t>
  </si>
  <si>
    <t xml:space="preserve">wanderer</t>
  </si>
  <si>
    <t xml:space="preserve">भ्रमण </t>
  </si>
  <si>
    <t xml:space="preserve">प्रियवर्धिनी</t>
  </si>
  <si>
    <t xml:space="preserve">priyavardhinī</t>
  </si>
  <si>
    <t xml:space="preserve">chandrarekha</t>
  </si>
  <si>
    <t xml:space="preserve">streaksofthemoon</t>
  </si>
  <si>
    <t xml:space="preserve">चन्द्ररेखा </t>
  </si>
  <si>
    <t xml:space="preserve">मानघ्ना</t>
  </si>
  <si>
    <t xml:space="preserve">mānaghnā</t>
  </si>
  <si>
    <t xml:space="preserve">चित्रा</t>
  </si>
  <si>
    <t xml:space="preserve">citrā</t>
  </si>
  <si>
    <r>
      <rPr>
        <sz val="11"/>
        <color rgb="FF000000"/>
        <rFont val="Arial"/>
        <family val="2"/>
        <charset val="1"/>
      </rPr>
      <t xml:space="preserve">चिमिणी </t>
    </r>
    <r>
      <rPr>
        <sz val="11"/>
        <color rgb="FF000000"/>
        <rFont val="Calibri"/>
        <family val="2"/>
        <charset val="1"/>
      </rPr>
      <t xml:space="preserve">(</t>
    </r>
    <r>
      <rPr>
        <sz val="11"/>
        <color rgb="FF000000"/>
        <rFont val="Arial"/>
        <family val="2"/>
        <charset val="1"/>
      </rPr>
      <t xml:space="preserve">चित्रिणी</t>
    </r>
    <r>
      <rPr>
        <sz val="11"/>
        <color rgb="FF000000"/>
        <rFont val="Calibri"/>
        <family val="2"/>
        <charset val="1"/>
      </rPr>
      <t xml:space="preserve">)</t>
    </r>
  </si>
  <si>
    <t xml:space="preserve">cimiṇī (citriṇī)</t>
  </si>
  <si>
    <t xml:space="preserve">चिरंजीविनी</t>
  </si>
  <si>
    <t xml:space="preserve">ciraṁjīvinī</t>
  </si>
  <si>
    <t xml:space="preserve">भूपा</t>
  </si>
  <si>
    <t xml:space="preserve">bhūpā</t>
  </si>
  <si>
    <t xml:space="preserve">गदहरा</t>
  </si>
  <si>
    <t xml:space="preserve">gadaharā</t>
  </si>
  <si>
    <t xml:space="preserve">नाळा</t>
  </si>
  <si>
    <t xml:space="preserve">nāḻā</t>
  </si>
  <si>
    <t xml:space="preserve">नलिनी</t>
  </si>
  <si>
    <t xml:space="preserve">nalinī</t>
  </si>
  <si>
    <t xml:space="preserve">निर्मला</t>
  </si>
  <si>
    <t xml:space="preserve">nirmalā</t>
  </si>
  <si>
    <t xml:space="preserve">नदी</t>
  </si>
  <si>
    <t xml:space="preserve">nadī</t>
  </si>
  <si>
    <t xml:space="preserve">सुधामृतांशुः</t>
  </si>
  <si>
    <t xml:space="preserve">sudhāmṛtāṁśuḥ</t>
  </si>
  <si>
    <t xml:space="preserve">कलुषांकुरा</t>
  </si>
  <si>
    <t xml:space="preserve">kaluṣāṁkurā</t>
  </si>
  <si>
    <t xml:space="preserve">त्रैलोक्यमोहनकरी</t>
  </si>
  <si>
    <t xml:space="preserve">trailokyamohanakarī</t>
  </si>
  <si>
    <t xml:space="preserve">महामारी</t>
  </si>
  <si>
    <t xml:space="preserve">mahāmārī</t>
  </si>
  <si>
    <t xml:space="preserve">सुशीतला</t>
  </si>
  <si>
    <t xml:space="preserve">suśītalā</t>
  </si>
  <si>
    <t xml:space="preserve">सुप्रभा</t>
  </si>
  <si>
    <t xml:space="preserve">suprabhā</t>
  </si>
  <si>
    <t xml:space="preserve">शोभा</t>
  </si>
  <si>
    <t xml:space="preserve">śobhā</t>
  </si>
  <si>
    <t xml:space="preserve">शोभना</t>
  </si>
  <si>
    <t xml:space="preserve">śobhanā</t>
  </si>
  <si>
    <t xml:space="preserve">शिवदा</t>
  </si>
  <si>
    <t xml:space="preserve">śivadā</t>
  </si>
  <si>
    <t xml:space="preserve">शिवा</t>
  </si>
  <si>
    <t xml:space="preserve">śivā</t>
  </si>
  <si>
    <t xml:space="preserve">बला</t>
  </si>
  <si>
    <t xml:space="preserve">balā</t>
  </si>
  <si>
    <t xml:space="preserve">ज्वाला</t>
  </si>
  <si>
    <t xml:space="preserve">jvālā</t>
  </si>
  <si>
    <t xml:space="preserve">गदा</t>
  </si>
  <si>
    <t xml:space="preserve">gadā</t>
  </si>
  <si>
    <t xml:space="preserve">गाधा</t>
  </si>
  <si>
    <t xml:space="preserve">gādhā</t>
  </si>
  <si>
    <t xml:space="preserve">नूतना</t>
  </si>
  <si>
    <t xml:space="preserve">nūtanā</t>
  </si>
  <si>
    <t xml:space="preserve">सुमनोहरा</t>
  </si>
  <si>
    <t xml:space="preserve">sumanoharā</t>
  </si>
  <si>
    <r>
      <rPr>
        <sz val="11"/>
        <color rgb="FFFF0000"/>
        <rFont val="Arial"/>
        <family val="2"/>
        <charset val="1"/>
      </rPr>
      <t xml:space="preserve">सोमबल्ली </t>
    </r>
    <r>
      <rPr>
        <sz val="11"/>
        <color rgb="FFFF0000"/>
        <rFont val="Calibri"/>
        <family val="2"/>
        <charset val="1"/>
      </rPr>
      <t xml:space="preserve">( </t>
    </r>
    <r>
      <rPr>
        <sz val="11"/>
        <color rgb="FFFF0000"/>
        <rFont val="Arial"/>
        <family val="2"/>
        <charset val="1"/>
      </rPr>
      <t xml:space="preserve">स्मोवल्ली </t>
    </r>
    <r>
      <rPr>
        <sz val="11"/>
        <color rgb="FFFF0000"/>
        <rFont val="Calibri"/>
        <family val="2"/>
        <charset val="1"/>
      </rPr>
      <t xml:space="preserve">)</t>
    </r>
  </si>
  <si>
    <t xml:space="preserve">somaballī ( smovallī )</t>
  </si>
  <si>
    <t xml:space="preserve">सोमलता</t>
  </si>
  <si>
    <t xml:space="preserve">somalatā</t>
  </si>
  <si>
    <t xml:space="preserve">मंगला</t>
  </si>
  <si>
    <t xml:space="preserve">maṁgalā</t>
  </si>
  <si>
    <t xml:space="preserve">मुद्रिका</t>
  </si>
  <si>
    <t xml:space="preserve">mudrikā</t>
  </si>
  <si>
    <t xml:space="preserve">क्षुधा</t>
  </si>
  <si>
    <t xml:space="preserve">kṣudhā</t>
  </si>
  <si>
    <t xml:space="preserve">मोक्षापवर्गा</t>
  </si>
  <si>
    <t xml:space="preserve">mokṣāpavargā</t>
  </si>
  <si>
    <r>
      <rPr>
        <sz val="11"/>
        <color rgb="FFFF0000"/>
        <rFont val="Arial"/>
        <family val="2"/>
        <charset val="1"/>
      </rPr>
      <t xml:space="preserve">बलया </t>
    </r>
    <r>
      <rPr>
        <sz val="11"/>
        <color rgb="FFFF0000"/>
        <rFont val="Calibri"/>
        <family val="2"/>
        <charset val="1"/>
      </rPr>
      <t xml:space="preserve">( </t>
    </r>
    <r>
      <rPr>
        <sz val="11"/>
        <color rgb="FFFF0000"/>
        <rFont val="Arial"/>
        <family val="2"/>
        <charset val="1"/>
      </rPr>
      <t xml:space="preserve">वलया </t>
    </r>
    <r>
      <rPr>
        <sz val="11"/>
        <color rgb="FFFF0000"/>
        <rFont val="Calibri"/>
        <family val="2"/>
        <charset val="1"/>
      </rPr>
      <t xml:space="preserve">)</t>
    </r>
  </si>
  <si>
    <t xml:space="preserve">balayā ( valayā )</t>
  </si>
  <si>
    <t xml:space="preserve">नवनीता</t>
  </si>
  <si>
    <t xml:space="preserve">navanītā</t>
  </si>
  <si>
    <r>
      <rPr>
        <sz val="11"/>
        <color rgb="FFFF0000"/>
        <rFont val="Arial"/>
        <family val="2"/>
        <charset val="1"/>
      </rPr>
      <t xml:space="preserve">निशाकरी </t>
    </r>
    <r>
      <rPr>
        <sz val="11"/>
        <color rgb="FFFF0000"/>
        <rFont val="Calibri"/>
        <family val="2"/>
        <charset val="1"/>
      </rPr>
      <t xml:space="preserve">( </t>
    </r>
    <r>
      <rPr>
        <sz val="11"/>
        <color rgb="FFFF0000"/>
        <rFont val="Arial"/>
        <family val="2"/>
        <charset val="1"/>
      </rPr>
      <t xml:space="preserve">निशाचरी </t>
    </r>
    <r>
      <rPr>
        <sz val="11"/>
        <color rgb="FFFF0000"/>
        <rFont val="Calibri"/>
        <family val="2"/>
        <charset val="1"/>
      </rPr>
      <t xml:space="preserve">)</t>
    </r>
  </si>
  <si>
    <t xml:space="preserve">niśākarī ( niśācarī )</t>
  </si>
  <si>
    <t xml:space="preserve">निवृत्ति</t>
  </si>
  <si>
    <t xml:space="preserve">nivṛtti</t>
  </si>
  <si>
    <t xml:space="preserve">निगदा</t>
  </si>
  <si>
    <t xml:space="preserve">nigadā</t>
  </si>
  <si>
    <t xml:space="preserve">सारा</t>
  </si>
  <si>
    <t xml:space="preserve">sārā</t>
  </si>
  <si>
    <t xml:space="preserve">सङ्गीता</t>
  </si>
  <si>
    <t xml:space="preserve">saṅgītā</t>
  </si>
  <si>
    <t xml:space="preserve">सामदा</t>
  </si>
  <si>
    <t xml:space="preserve">sāmadā</t>
  </si>
  <si>
    <r>
      <rPr>
        <sz val="11"/>
        <color rgb="FFFF0000"/>
        <rFont val="Arial"/>
        <family val="2"/>
        <charset val="1"/>
      </rPr>
      <t xml:space="preserve">सभा </t>
    </r>
    <r>
      <rPr>
        <sz val="11"/>
        <color rgb="FFFF0000"/>
        <rFont val="Calibri"/>
        <family val="2"/>
        <charset val="1"/>
      </rPr>
      <t xml:space="preserve">( </t>
    </r>
    <r>
      <rPr>
        <sz val="11"/>
        <color rgb="FFFF0000"/>
        <rFont val="Arial"/>
        <family val="2"/>
        <charset val="1"/>
      </rPr>
      <t xml:space="preserve">समा </t>
    </r>
    <r>
      <rPr>
        <sz val="11"/>
        <color rgb="FFFF0000"/>
        <rFont val="Calibri"/>
        <family val="2"/>
        <charset val="1"/>
      </rPr>
      <t xml:space="preserve">)</t>
    </r>
  </si>
  <si>
    <t xml:space="preserve">sabhā ( samā )</t>
  </si>
  <si>
    <t xml:space="preserve">विश्वंभरा</t>
  </si>
  <si>
    <t xml:space="preserve">viśvaṁbharā</t>
  </si>
  <si>
    <t xml:space="preserve">कुमारी</t>
  </si>
  <si>
    <t xml:space="preserve">kumārī</t>
  </si>
  <si>
    <t xml:space="preserve">कोकिला</t>
  </si>
  <si>
    <t xml:space="preserve">kokilā</t>
  </si>
  <si>
    <t xml:space="preserve">कुञ्जराकृतिः</t>
  </si>
  <si>
    <t xml:space="preserve">kuñjarākṛtiḥ</t>
  </si>
  <si>
    <t xml:space="preserve">ऐंद्रा</t>
  </si>
  <si>
    <t xml:space="preserve">aiṁdrā</t>
  </si>
  <si>
    <t xml:space="preserve">स्वाहा</t>
  </si>
  <si>
    <t xml:space="preserve">svāhā</t>
  </si>
  <si>
    <t xml:space="preserve">स्वरा</t>
  </si>
  <si>
    <t xml:space="preserve">svarā</t>
  </si>
  <si>
    <t xml:space="preserve">ब्रह्मिः</t>
  </si>
  <si>
    <t xml:space="preserve">brahmiḥ</t>
  </si>
  <si>
    <t xml:space="preserve">रक्षजलाप्लवा</t>
  </si>
  <si>
    <t xml:space="preserve">rakṣajalāplavā</t>
  </si>
  <si>
    <t xml:space="preserve">वारुणी</t>
  </si>
  <si>
    <t xml:space="preserve">vāruṇī</t>
  </si>
  <si>
    <t xml:space="preserve">मदिरा</t>
  </si>
  <si>
    <t xml:space="preserve">madirā</t>
  </si>
  <si>
    <t xml:space="preserve">मैत्री</t>
  </si>
  <si>
    <t xml:space="preserve">maitrī</t>
  </si>
  <si>
    <t xml:space="preserve">हारिणी</t>
  </si>
  <si>
    <t xml:space="preserve">hāriṇī</t>
  </si>
  <si>
    <t xml:space="preserve">हरिणी</t>
  </si>
  <si>
    <t xml:space="preserve">hariṇī</t>
  </si>
  <si>
    <t xml:space="preserve">मरुत्</t>
  </si>
  <si>
    <t xml:space="preserve">धनञ्जया</t>
  </si>
  <si>
    <t xml:space="preserve">dhanañjayā</t>
  </si>
  <si>
    <t xml:space="preserve">धनकरी</t>
  </si>
  <si>
    <t xml:space="preserve">dhanakarī</t>
  </si>
  <si>
    <t xml:space="preserve">धनदा</t>
  </si>
  <si>
    <t xml:space="preserve">dhanadā</t>
  </si>
  <si>
    <t xml:space="preserve">कच्छपा</t>
  </si>
  <si>
    <t xml:space="preserve">kacchapā</t>
  </si>
  <si>
    <t xml:space="preserve">अंबुजा</t>
  </si>
  <si>
    <t xml:space="preserve">aṁbujā</t>
  </si>
  <si>
    <t xml:space="preserve">मांशानी</t>
  </si>
  <si>
    <t xml:space="preserve">māṁśānī</t>
  </si>
  <si>
    <t xml:space="preserve">शूलिनी</t>
  </si>
  <si>
    <t xml:space="preserve">śūlinī</t>
  </si>
  <si>
    <t xml:space="preserve">शिवकरी</t>
  </si>
  <si>
    <t xml:space="preserve">śivakarī</t>
  </si>
  <si>
    <t xml:space="preserve">कला</t>
  </si>
  <si>
    <t xml:space="preserve">kalā</t>
  </si>
  <si>
    <t xml:space="preserve">कुन्दा</t>
  </si>
  <si>
    <t xml:space="preserve">kundā</t>
  </si>
  <si>
    <t xml:space="preserve">मुकुन्दा</t>
  </si>
  <si>
    <t xml:space="preserve">mukundā</t>
  </si>
  <si>
    <t xml:space="preserve">भरता</t>
  </si>
  <si>
    <t xml:space="preserve">bharatā</t>
  </si>
  <si>
    <t xml:space="preserve">हसिता</t>
  </si>
  <si>
    <t xml:space="preserve">hasitā</t>
  </si>
  <si>
    <t xml:space="preserve">कदली</t>
  </si>
  <si>
    <t xml:space="preserve">kadalī</t>
  </si>
  <si>
    <t xml:space="preserve">स्मरा</t>
  </si>
  <si>
    <t xml:space="preserve">smarā</t>
  </si>
  <si>
    <t xml:space="preserve">कन्दला</t>
  </si>
  <si>
    <t xml:space="preserve">kandalā</t>
  </si>
  <si>
    <t xml:space="preserve">पापा</t>
  </si>
  <si>
    <t xml:space="preserve">pāpā</t>
  </si>
  <si>
    <t xml:space="preserve">कामिनी</t>
  </si>
  <si>
    <t xml:space="preserve">kāminī</t>
  </si>
  <si>
    <t xml:space="preserve">कलशोद्भवा</t>
  </si>
  <si>
    <t xml:space="preserve">kalaśodbhavā</t>
  </si>
  <si>
    <t xml:space="preserve">वीरप्रसू</t>
  </si>
  <si>
    <t xml:space="preserve">vīraprasū</t>
  </si>
  <si>
    <r>
      <rPr>
        <sz val="11"/>
        <color rgb="FFFF0000"/>
        <rFont val="Arial"/>
        <family val="2"/>
        <charset val="1"/>
      </rPr>
      <t xml:space="preserve">सङ्गरा </t>
    </r>
    <r>
      <rPr>
        <sz val="11"/>
        <color rgb="FFFF0000"/>
        <rFont val="Calibri"/>
        <family val="2"/>
        <charset val="1"/>
      </rPr>
      <t xml:space="preserve">( </t>
    </r>
    <r>
      <rPr>
        <sz val="11"/>
        <color rgb="FFFF0000"/>
        <rFont val="Arial"/>
        <family val="2"/>
        <charset val="1"/>
      </rPr>
      <t xml:space="preserve">सङ्गदा </t>
    </r>
    <r>
      <rPr>
        <sz val="11"/>
        <color rgb="FFFF0000"/>
        <rFont val="Calibri"/>
        <family val="2"/>
        <charset val="1"/>
      </rPr>
      <t xml:space="preserve">)</t>
    </r>
  </si>
  <si>
    <t xml:space="preserve">saṅgarā ( saṅgadā )</t>
  </si>
  <si>
    <t xml:space="preserve">शतयज्ञा</t>
  </si>
  <si>
    <t xml:space="preserve">śatayajñā</t>
  </si>
  <si>
    <t xml:space="preserve">शतावरी</t>
  </si>
  <si>
    <t xml:space="preserve">śatāvarī</t>
  </si>
  <si>
    <t xml:space="preserve">प्रह्वी</t>
  </si>
  <si>
    <t xml:space="preserve">prahvī</t>
  </si>
  <si>
    <t xml:space="preserve">पाटलिनी</t>
  </si>
  <si>
    <t xml:space="preserve">pāṭalinī</t>
  </si>
  <si>
    <t xml:space="preserve">नागा</t>
  </si>
  <si>
    <t xml:space="preserve">nāgā</t>
  </si>
  <si>
    <t xml:space="preserve">पंकजा</t>
  </si>
  <si>
    <t xml:space="preserve">paṁkajā</t>
  </si>
  <si>
    <t xml:space="preserve">परमेश्वरी</t>
  </si>
  <si>
    <t xml:space="preserve">parameśvarī</t>
  </si>
  <si>
    <t xml:space="preserve">Räsi</t>
  </si>
  <si>
    <t xml:space="preserve">Moon </t>
  </si>
  <si>
    <t xml:space="preserve">Day</t>
  </si>
  <si>
    <t xml:space="preserve">Näksatra</t>
  </si>
  <si>
    <t xml:space="preserve">Col.  1</t>
  </si>
  <si>
    <t xml:space="preserve">3A</t>
  </si>
  <si>
    <t xml:space="preserve">Lagna-1
Same Sex</t>
  </si>
  <si>
    <t xml:space="preserve">Lagna-2
Opposite sex</t>
  </si>
  <si>
    <t xml:space="preserve">Nanda</t>
  </si>
  <si>
    <t xml:space="preserve">Sasti</t>
  </si>
  <si>
    <t xml:space="preserve">Maghä</t>
  </si>
  <si>
    <t xml:space="preserve">Pürna</t>
  </si>
  <si>
    <t xml:space="preserve">Caturthi</t>
  </si>
  <si>
    <t xml:space="preserve">Hastä</t>
  </si>
  <si>
    <t xml:space="preserve">Bhadra</t>
  </si>
  <si>
    <t xml:space="preserve">Swäti</t>
  </si>
  <si>
    <t xml:space="preserve">Anurädhä</t>
  </si>
  <si>
    <t xml:space="preserve">Jaya</t>
  </si>
  <si>
    <t xml:space="preserve">Mülä</t>
  </si>
  <si>
    <t xml:space="preserve">Astami</t>
  </si>
  <si>
    <t xml:space="preserve">Srävana</t>
  </si>
  <si>
    <t xml:space="preserve">Sagittarius</t>
  </si>
  <si>
    <t xml:space="preserve">RIkta</t>
  </si>
  <si>
    <t xml:space="preserve">Dvädasi</t>
  </si>
  <si>
    <t xml:space="preserve">Satabhisäj</t>
  </si>
  <si>
    <t xml:space="preserve">Dvijä(bharaṇī)</t>
  </si>
  <si>
    <t xml:space="preserve">Aslesa</t>
  </si>
  <si>
    <t xml:space="preserve">रशि</t>
  </si>
  <si>
    <t xml:space="preserve">मेश</t>
  </si>
  <si>
    <t xml:space="preserve">वृशभ</t>
  </si>
  <si>
    <t xml:space="preserve">मिथुन</t>
  </si>
  <si>
    <t xml:space="preserve">कर्क</t>
  </si>
  <si>
    <t xml:space="preserve">सिम्ह</t>
  </si>
  <si>
    <t xml:space="preserve">कन्य</t>
  </si>
  <si>
    <t xml:space="preserve">तुला</t>
  </si>
  <si>
    <t xml:space="preserve">वृश्चिक</t>
  </si>
  <si>
    <t xml:space="preserve">धनु</t>
  </si>
  <si>
    <t xml:space="preserve">मकर</t>
  </si>
  <si>
    <t xml:space="preserve">कुम्भ</t>
  </si>
  <si>
    <t xml:space="preserve">मीन</t>
  </si>
  <si>
    <t xml:space="preserve">raśi</t>
  </si>
  <si>
    <t xml:space="preserve">meśa</t>
  </si>
  <si>
    <t xml:space="preserve">vṛśabha</t>
  </si>
  <si>
    <t xml:space="preserve">mithuna</t>
  </si>
  <si>
    <t xml:space="preserve">karka</t>
  </si>
  <si>
    <t xml:space="preserve">simha</t>
  </si>
  <si>
    <t xml:space="preserve">kanya</t>
  </si>
  <si>
    <t xml:space="preserve">tulā</t>
  </si>
  <si>
    <t xml:space="preserve">vṛścika</t>
  </si>
  <si>
    <t xml:space="preserve">dhanu</t>
  </si>
  <si>
    <t xml:space="preserve">makara</t>
  </si>
  <si>
    <t xml:space="preserve">kumbha</t>
  </si>
  <si>
    <t xml:space="preserve">meena</t>
  </si>
  <si>
    <r>
      <rPr>
        <sz val="11"/>
        <color rgb="FF000000"/>
        <rFont val="Noto Sans Devanagari"/>
        <family val="2"/>
        <charset val="1"/>
      </rPr>
      <t xml:space="preserve">घात</t>
    </r>
    <r>
      <rPr>
        <sz val="11"/>
        <color rgb="FF000000"/>
        <rFont val="Calibri"/>
        <family val="2"/>
        <charset val="1"/>
      </rPr>
      <t xml:space="preserve">-</t>
    </r>
    <r>
      <rPr>
        <sz val="11"/>
        <color rgb="FF000000"/>
        <rFont val="Noto Sans Devanagari"/>
        <family val="2"/>
        <charset val="1"/>
      </rPr>
      <t xml:space="preserve">मास</t>
    </r>
  </si>
  <si>
    <t xml:space="preserve">कर्थिक</t>
  </si>
  <si>
    <t xml:space="preserve">मगसर</t>
  </si>
  <si>
    <t xml:space="preserve">आषाढ</t>
  </si>
  <si>
    <t xml:space="preserve">पौष</t>
  </si>
  <si>
    <t xml:space="preserve">ज्येष्ठ</t>
  </si>
  <si>
    <t xml:space="preserve">भाद्र</t>
  </si>
  <si>
    <t xml:space="preserve">माघ</t>
  </si>
  <si>
    <t xml:space="preserve">आश्विन</t>
  </si>
  <si>
    <t xml:space="preserve">श्रावण</t>
  </si>
  <si>
    <t xml:space="preserve">वैशाख</t>
  </si>
  <si>
    <t xml:space="preserve">चैत्र</t>
  </si>
  <si>
    <t xml:space="preserve">फाल्गुन</t>
  </si>
  <si>
    <t xml:space="preserve">ghāta-māsa</t>
  </si>
  <si>
    <t xml:space="preserve">karthika</t>
  </si>
  <si>
    <t xml:space="preserve">magasara</t>
  </si>
  <si>
    <t xml:space="preserve">āṣāḍha</t>
  </si>
  <si>
    <t xml:space="preserve">pauṣa</t>
  </si>
  <si>
    <t xml:space="preserve">jyeṣṭha</t>
  </si>
  <si>
    <t xml:space="preserve">bhādra</t>
  </si>
  <si>
    <t xml:space="preserve">māgha</t>
  </si>
  <si>
    <t xml:space="preserve">āśvina</t>
  </si>
  <si>
    <t xml:space="preserve">śrāvaṇa</t>
  </si>
  <si>
    <t xml:space="preserve">vaiśākha</t>
  </si>
  <si>
    <t xml:space="preserve">caitra</t>
  </si>
  <si>
    <t xml:space="preserve">phālguna</t>
  </si>
  <si>
    <r>
      <rPr>
        <sz val="11"/>
        <color rgb="FF000000"/>
        <rFont val="Noto Sans Devanagari"/>
        <family val="2"/>
        <charset val="1"/>
      </rPr>
      <t xml:space="preserve">घात</t>
    </r>
    <r>
      <rPr>
        <sz val="11"/>
        <color rgb="FF000000"/>
        <rFont val="Calibri"/>
        <family val="2"/>
        <charset val="1"/>
      </rPr>
      <t xml:space="preserve">-</t>
    </r>
    <r>
      <rPr>
        <sz val="11"/>
        <color rgb="FF000000"/>
        <rFont val="Noto Sans Devanagari"/>
        <family val="2"/>
        <charset val="1"/>
      </rPr>
      <t xml:space="preserve">तिथि</t>
    </r>
  </si>
  <si>
    <t xml:space="preserve">ghāta-tithi</t>
  </si>
  <si>
    <t xml:space="preserve">Purna</t>
  </si>
  <si>
    <t xml:space="preserve">Rikta</t>
  </si>
  <si>
    <r>
      <rPr>
        <sz val="11"/>
        <color rgb="FF000000"/>
        <rFont val="Noto Sans Devanagari"/>
        <family val="2"/>
        <charset val="1"/>
      </rPr>
      <t xml:space="preserve">घात</t>
    </r>
    <r>
      <rPr>
        <sz val="11"/>
        <color rgb="FF000000"/>
        <rFont val="Calibri"/>
        <family val="2"/>
        <charset val="1"/>
      </rPr>
      <t xml:space="preserve">-</t>
    </r>
    <r>
      <rPr>
        <sz val="11"/>
        <color rgb="FF000000"/>
        <rFont val="Noto Sans Devanagari"/>
        <family val="2"/>
        <charset val="1"/>
      </rPr>
      <t xml:space="preserve">वार</t>
    </r>
  </si>
  <si>
    <t xml:space="preserve">रविवार</t>
  </si>
  <si>
    <t xml:space="preserve">शनिवार</t>
  </si>
  <si>
    <t xml:space="preserve">सोमवार</t>
  </si>
  <si>
    <t xml:space="preserve">बुधवार</t>
  </si>
  <si>
    <t xml:space="preserve">गुरुवार</t>
  </si>
  <si>
    <t xml:space="preserve">शुक्रवार</t>
  </si>
  <si>
    <t xml:space="preserve">मंगलवार</t>
  </si>
  <si>
    <t xml:space="preserve">ghāta-vāra</t>
  </si>
  <si>
    <t xml:space="preserve">ravivāra</t>
  </si>
  <si>
    <t xml:space="preserve">śanivāra</t>
  </si>
  <si>
    <t xml:space="preserve">somavāra</t>
  </si>
  <si>
    <t xml:space="preserve">budhavāra</t>
  </si>
  <si>
    <t xml:space="preserve">guruvāra</t>
  </si>
  <si>
    <t xml:space="preserve">śukravāra</t>
  </si>
  <si>
    <t xml:space="preserve">maṁgalavāra</t>
  </si>
  <si>
    <r>
      <rPr>
        <sz val="11"/>
        <color rgb="FF000000"/>
        <rFont val="Noto Sans Devanagari"/>
        <family val="2"/>
        <charset val="1"/>
      </rPr>
      <t xml:space="preserve">घात</t>
    </r>
    <r>
      <rPr>
        <sz val="11"/>
        <color rgb="FF000000"/>
        <rFont val="Calibri"/>
        <family val="2"/>
        <charset val="1"/>
      </rPr>
      <t xml:space="preserve">-</t>
    </r>
    <r>
      <rPr>
        <sz val="11"/>
        <color rgb="FF000000"/>
        <rFont val="Noto Sans Devanagari"/>
        <family val="2"/>
        <charset val="1"/>
      </rPr>
      <t xml:space="preserve">नक्षत्र</t>
    </r>
  </si>
  <si>
    <t xml:space="preserve">मघा</t>
  </si>
  <si>
    <t xml:space="preserve">हस्त</t>
  </si>
  <si>
    <t xml:space="preserve">स्वाति</t>
  </si>
  <si>
    <t xml:space="preserve">अनुराधा</t>
  </si>
  <si>
    <t xml:space="preserve">मूल</t>
  </si>
  <si>
    <t xml:space="preserve">श्रवण</t>
  </si>
  <si>
    <t xml:space="preserve">शतभिषा</t>
  </si>
  <si>
    <t xml:space="preserve">रेवती</t>
  </si>
  <si>
    <t xml:space="preserve">भरणी</t>
  </si>
  <si>
    <t xml:space="preserve">रोहिणी</t>
  </si>
  <si>
    <t xml:space="preserve">आर्द्रा</t>
  </si>
  <si>
    <t xml:space="preserve">अश्लेषा</t>
  </si>
  <si>
    <t xml:space="preserve">ghāta-nakṣatra</t>
  </si>
  <si>
    <t xml:space="preserve">maghā</t>
  </si>
  <si>
    <t xml:space="preserve">hasta</t>
  </si>
  <si>
    <t xml:space="preserve">svāti</t>
  </si>
  <si>
    <t xml:space="preserve">anurādhā</t>
  </si>
  <si>
    <t xml:space="preserve">mūla</t>
  </si>
  <si>
    <t xml:space="preserve">śravaṇa</t>
  </si>
  <si>
    <t xml:space="preserve">śatabhiṣā</t>
  </si>
  <si>
    <t xml:space="preserve">revatī</t>
  </si>
  <si>
    <t xml:space="preserve">bharaṇī</t>
  </si>
  <si>
    <t xml:space="preserve">rohiṇī</t>
  </si>
  <si>
    <t xml:space="preserve">ārdrā</t>
  </si>
  <si>
    <t xml:space="preserve">aśleṣā</t>
  </si>
  <si>
    <r>
      <rPr>
        <sz val="11"/>
        <color rgb="FF000000"/>
        <rFont val="Noto Sans Devanagari"/>
        <family val="2"/>
        <charset val="1"/>
      </rPr>
      <t xml:space="preserve">घात</t>
    </r>
    <r>
      <rPr>
        <sz val="11"/>
        <color rgb="FF000000"/>
        <rFont val="Calibri"/>
        <family val="2"/>
        <charset val="1"/>
      </rPr>
      <t xml:space="preserve">-</t>
    </r>
    <r>
      <rPr>
        <sz val="11"/>
        <color rgb="FF000000"/>
        <rFont val="Noto Sans Devanagari"/>
        <family val="2"/>
        <charset val="1"/>
      </rPr>
      <t xml:space="preserve">योग</t>
    </r>
  </si>
  <si>
    <t xml:space="preserve">विष्कुंभ</t>
  </si>
  <si>
    <t xml:space="preserve">शुक्ल</t>
  </si>
  <si>
    <t xml:space="preserve">परिघ</t>
  </si>
  <si>
    <t xml:space="preserve">व्याघात</t>
  </si>
  <si>
    <t xml:space="preserve">धृति</t>
  </si>
  <si>
    <t xml:space="preserve">व्यतीपात</t>
  </si>
  <si>
    <t xml:space="preserve">वज्र</t>
  </si>
  <si>
    <t xml:space="preserve">वैधृति</t>
  </si>
  <si>
    <t xml:space="preserve">गंड</t>
  </si>
  <si>
    <t xml:space="preserve">ghāta-yoga</t>
  </si>
  <si>
    <t xml:space="preserve">viṣkuṁbha</t>
  </si>
  <si>
    <t xml:space="preserve">śukla</t>
  </si>
  <si>
    <t xml:space="preserve">parigha</t>
  </si>
  <si>
    <t xml:space="preserve">vyāghāta</t>
  </si>
  <si>
    <t xml:space="preserve">dhṛti</t>
  </si>
  <si>
    <t xml:space="preserve">vyatīpāta</t>
  </si>
  <si>
    <t xml:space="preserve">vajra</t>
  </si>
  <si>
    <t xml:space="preserve">vaidhṛti</t>
  </si>
  <si>
    <t xml:space="preserve">gaṁḍa</t>
  </si>
  <si>
    <r>
      <rPr>
        <sz val="11"/>
        <color rgb="FF000000"/>
        <rFont val="Noto Sans Devanagari"/>
        <family val="2"/>
        <charset val="1"/>
      </rPr>
      <t xml:space="preserve">घात</t>
    </r>
    <r>
      <rPr>
        <sz val="11"/>
        <color rgb="FF000000"/>
        <rFont val="Calibri"/>
        <family val="2"/>
        <charset val="1"/>
      </rPr>
      <t xml:space="preserve">-</t>
    </r>
    <r>
      <rPr>
        <sz val="11"/>
        <color rgb="FF000000"/>
        <rFont val="Noto Sans Devanagari"/>
        <family val="2"/>
        <charset val="1"/>
      </rPr>
      <t xml:space="preserve">करण</t>
    </r>
  </si>
  <si>
    <t xml:space="preserve">शकुनि</t>
  </si>
  <si>
    <t xml:space="preserve">नाग</t>
  </si>
  <si>
    <t xml:space="preserve">गर</t>
  </si>
  <si>
    <t xml:space="preserve">चतुष्पाद</t>
  </si>
  <si>
    <t xml:space="preserve">ghāta-karaṇa</t>
  </si>
  <si>
    <t xml:space="preserve">śakuni</t>
  </si>
  <si>
    <t xml:space="preserve">nāga</t>
  </si>
  <si>
    <t xml:space="preserve">gara</t>
  </si>
  <si>
    <t xml:space="preserve">catuṣpāda</t>
  </si>
  <si>
    <t xml:space="preserve">प्रहर</t>
  </si>
  <si>
    <t xml:space="preserve">prahara</t>
  </si>
  <si>
    <r>
      <rPr>
        <sz val="11"/>
        <color rgb="FF000000"/>
        <rFont val="Noto Sans Devanagari"/>
        <family val="2"/>
        <charset val="1"/>
      </rPr>
      <t xml:space="preserve">पुरुश</t>
    </r>
    <r>
      <rPr>
        <sz val="11"/>
        <color rgb="FF000000"/>
        <rFont val="Calibri"/>
        <family val="2"/>
        <charset val="1"/>
      </rPr>
      <t xml:space="preserve">-</t>
    </r>
    <r>
      <rPr>
        <sz val="11"/>
        <color rgb="FF000000"/>
        <rFont val="Noto Sans Devanagari"/>
        <family val="2"/>
        <charset val="1"/>
      </rPr>
      <t xml:space="preserve">घात</t>
    </r>
    <r>
      <rPr>
        <sz val="11"/>
        <color rgb="FF000000"/>
        <rFont val="Calibri"/>
        <family val="2"/>
        <charset val="1"/>
      </rPr>
      <t xml:space="preserve">-</t>
    </r>
    <r>
      <rPr>
        <sz val="11"/>
        <color rgb="FF000000"/>
        <rFont val="Noto Sans Devanagari"/>
        <family val="2"/>
        <charset val="1"/>
      </rPr>
      <t xml:space="preserve">चन्द्र</t>
    </r>
  </si>
  <si>
    <t xml:space="preserve">मेष</t>
  </si>
  <si>
    <t xml:space="preserve">कन्या</t>
  </si>
  <si>
    <t xml:space="preserve">सिंह</t>
  </si>
  <si>
    <t xml:space="preserve">वृषभ</t>
  </si>
  <si>
    <t xml:space="preserve">कुंभ</t>
  </si>
  <si>
    <t xml:space="preserve">puruśa-ghāta-candra</t>
  </si>
  <si>
    <t xml:space="preserve">meṣa</t>
  </si>
  <si>
    <t xml:space="preserve">kanyā</t>
  </si>
  <si>
    <t xml:space="preserve">siṁha</t>
  </si>
  <si>
    <t xml:space="preserve">vṛṣabha</t>
  </si>
  <si>
    <t xml:space="preserve">kuṁbha</t>
  </si>
  <si>
    <r>
      <rPr>
        <sz val="11"/>
        <color rgb="FF000000"/>
        <rFont val="Noto Sans Devanagari"/>
        <family val="2"/>
        <charset val="1"/>
      </rPr>
      <t xml:space="preserve">स्त्री</t>
    </r>
    <r>
      <rPr>
        <sz val="11"/>
        <color rgb="FF000000"/>
        <rFont val="Calibri"/>
        <family val="2"/>
        <charset val="1"/>
      </rPr>
      <t xml:space="preserve">-</t>
    </r>
    <r>
      <rPr>
        <sz val="11"/>
        <color rgb="FF000000"/>
        <rFont val="Noto Sans Devanagari"/>
        <family val="2"/>
        <charset val="1"/>
      </rPr>
      <t xml:space="preserve">घात</t>
    </r>
    <r>
      <rPr>
        <sz val="11"/>
        <color rgb="FF000000"/>
        <rFont val="Calibri"/>
        <family val="2"/>
        <charset val="1"/>
      </rPr>
      <t xml:space="preserve">-</t>
    </r>
    <r>
      <rPr>
        <sz val="11"/>
        <color rgb="FF000000"/>
        <rFont val="Noto Sans Devanagari"/>
        <family val="2"/>
        <charset val="1"/>
      </rPr>
      <t xml:space="preserve">चन्द्र</t>
    </r>
  </si>
  <si>
    <t xml:space="preserve">strī-ghāta-candra</t>
  </si>
  <si>
    <t xml:space="preserve">Ruling
Planet</t>
  </si>
  <si>
    <t xml:space="preserve">Simple</t>
  </si>
  <si>
    <t xml:space="preserve">Syllable</t>
  </si>
  <si>
    <t xml:space="preserve">Mystical Meaning</t>
  </si>
  <si>
    <t xml:space="preserve">SUN</t>
  </si>
  <si>
    <t xml:space="preserve">Vowels</t>
  </si>
  <si>
    <t xml:space="preserve">Guttural Short</t>
  </si>
  <si>
    <r>
      <rPr>
        <sz val="9"/>
        <rFont val="Noto Sans Devanagari"/>
        <family val="2"/>
        <charset val="1"/>
      </rPr>
      <t xml:space="preserve">अ </t>
    </r>
    <r>
      <rPr>
        <sz val="9"/>
        <rFont val="Arial Unicode MS"/>
        <family val="2"/>
        <charset val="1"/>
      </rPr>
      <t xml:space="preserve">a</t>
    </r>
  </si>
  <si>
    <r>
      <rPr>
        <i val="true"/>
        <sz val="8"/>
        <rFont val="Verdana"/>
        <family val="2"/>
        <charset val="1"/>
      </rPr>
      <t xml:space="preserve">Raksha</t>
    </r>
    <r>
      <rPr>
        <sz val="8"/>
        <rFont val="Verdana"/>
        <family val="2"/>
        <charset val="1"/>
      </rPr>
      <t xml:space="preserve"> Beeja for protection; Imperishable; unity of mind and soul; Symbolizes Omniscient Brahma. Initiator of Pranava (AUM)</t>
    </r>
  </si>
  <si>
    <t xml:space="preserve">Guttural Long</t>
  </si>
  <si>
    <r>
      <rPr>
        <sz val="9"/>
        <rFont val="Noto Sans Devanagari"/>
        <family val="2"/>
        <charset val="1"/>
      </rPr>
      <t xml:space="preserve">आ </t>
    </r>
    <r>
      <rPr>
        <sz val="9"/>
        <rFont val="Arial Unicode MS"/>
        <family val="2"/>
        <charset val="1"/>
      </rPr>
      <t xml:space="preserve">ā</t>
    </r>
  </si>
  <si>
    <r>
      <rPr>
        <sz val="8"/>
        <rFont val="Verdana"/>
        <family val="2"/>
        <charset val="1"/>
      </rPr>
      <t xml:space="preserve">Supreme power, brilliance, creator of </t>
    </r>
    <r>
      <rPr>
        <i val="true"/>
        <sz val="8"/>
        <rFont val="Verdana"/>
        <family val="2"/>
        <charset val="1"/>
      </rPr>
      <t xml:space="preserve">Vagdevi</t>
    </r>
    <r>
      <rPr>
        <sz val="8"/>
        <rFont val="Verdana"/>
        <family val="2"/>
        <charset val="1"/>
      </rPr>
      <t xml:space="preserve"> Beeja (enhances speech).</t>
    </r>
  </si>
  <si>
    <t xml:space="preserve">Palatal Short</t>
  </si>
  <si>
    <r>
      <rPr>
        <sz val="9"/>
        <rFont val="Noto Sans Devanagari"/>
        <family val="2"/>
        <charset val="1"/>
      </rPr>
      <t xml:space="preserve">इ </t>
    </r>
    <r>
      <rPr>
        <sz val="9"/>
        <rFont val="Arial Unicode MS"/>
        <family val="2"/>
        <charset val="1"/>
      </rPr>
      <t xml:space="preserve">i</t>
    </r>
  </si>
  <si>
    <r>
      <rPr>
        <sz val="8"/>
        <rFont val="Verdana"/>
        <family val="2"/>
        <charset val="1"/>
      </rPr>
      <t xml:space="preserve">Bestows Nectar; imparts knowledge; </t>
    </r>
    <r>
      <rPr>
        <i val="true"/>
        <sz val="8"/>
        <rFont val="Verdana"/>
        <family val="2"/>
        <charset val="1"/>
      </rPr>
      <t xml:space="preserve">Sthambhak</t>
    </r>
    <r>
      <rPr>
        <sz val="8"/>
        <rFont val="Verdana"/>
        <family val="2"/>
        <charset val="1"/>
      </rPr>
      <t xml:space="preserve"> (arresting evils); infatuating, Armed for eradicating black magic etc. </t>
    </r>
  </si>
  <si>
    <t xml:space="preserve">Palatal Long</t>
  </si>
  <si>
    <r>
      <rPr>
        <sz val="9"/>
        <rFont val="Noto Sans Devanagari"/>
        <family val="2"/>
        <charset val="1"/>
      </rPr>
      <t xml:space="preserve">ई </t>
    </r>
    <r>
      <rPr>
        <sz val="9"/>
        <rFont val="Arial Unicode MS"/>
        <family val="2"/>
        <charset val="1"/>
      </rPr>
      <t xml:space="preserve">ī</t>
    </r>
  </si>
  <si>
    <t xml:space="preserve">Labial Short</t>
  </si>
  <si>
    <r>
      <rPr>
        <sz val="9"/>
        <rFont val="Noto Sans Devanagari"/>
        <family val="2"/>
        <charset val="1"/>
      </rPr>
      <t xml:space="preserve">उ </t>
    </r>
    <r>
      <rPr>
        <sz val="9"/>
        <rFont val="Arial Unicode MS"/>
        <family val="2"/>
        <charset val="1"/>
      </rPr>
      <t xml:space="preserve">u</t>
    </r>
  </si>
  <si>
    <r>
      <rPr>
        <sz val="8"/>
        <rFont val="Verdana"/>
        <family val="2"/>
        <charset val="1"/>
      </rPr>
      <t xml:space="preserve">The seed of </t>
    </r>
    <r>
      <rPr>
        <i val="true"/>
        <sz val="8"/>
        <rFont val="Verdana"/>
        <family val="2"/>
        <charset val="1"/>
      </rPr>
      <t xml:space="preserve">Uccahatan </t>
    </r>
    <r>
      <rPr>
        <sz val="8"/>
        <rFont val="Verdana"/>
        <family val="2"/>
        <charset val="1"/>
      </rPr>
      <t xml:space="preserve">(infatuation) bestows supreme power to attain any desire. Symbolizes Omnipresent Viñëu and the middle of the Pranava.</t>
    </r>
  </si>
  <si>
    <t xml:space="preserve">Labial Long</t>
  </si>
  <si>
    <r>
      <rPr>
        <sz val="9"/>
        <rFont val="Noto Sans Devanagari"/>
        <family val="2"/>
        <charset val="1"/>
      </rPr>
      <t xml:space="preserve">ऊ </t>
    </r>
    <r>
      <rPr>
        <sz val="9"/>
        <rFont val="Arial Unicode MS"/>
        <family val="2"/>
        <charset val="1"/>
      </rPr>
      <t xml:space="preserve">ū</t>
    </r>
  </si>
  <si>
    <t xml:space="preserve">Retroflex Short </t>
  </si>
  <si>
    <r>
      <rPr>
        <sz val="9"/>
        <rFont val="Noto Sans Devanagari"/>
        <family val="2"/>
        <charset val="1"/>
      </rPr>
      <t xml:space="preserve">ऋ </t>
    </r>
    <r>
      <rPr>
        <sz val="9"/>
        <rFont val="Arial Unicode MS"/>
        <family val="2"/>
        <charset val="1"/>
      </rPr>
      <t xml:space="preserve">ṛ</t>
    </r>
  </si>
  <si>
    <t xml:space="preserve">Bestows Mantra Siddhi as it refers to the Seer or Rishi, Success in all good and righteous works.</t>
  </si>
  <si>
    <t xml:space="preserve">Retroflex Long</t>
  </si>
  <si>
    <r>
      <rPr>
        <sz val="9"/>
        <rFont val="Noto Sans Devanagari"/>
        <family val="2"/>
        <charset val="1"/>
      </rPr>
      <t xml:space="preserve">ॠ </t>
    </r>
    <r>
      <rPr>
        <sz val="9"/>
        <rFont val="Arial Unicode MS"/>
        <family val="2"/>
        <charset val="1"/>
      </rPr>
      <t xml:space="preserve">ṝ</t>
    </r>
  </si>
  <si>
    <t xml:space="preserve">Dental Short</t>
  </si>
  <si>
    <r>
      <rPr>
        <sz val="9"/>
        <rFont val="Noto Sans Devanagari"/>
        <family val="2"/>
        <charset val="1"/>
      </rPr>
      <t xml:space="preserve">ऌ </t>
    </r>
    <r>
      <rPr>
        <sz val="9"/>
        <rFont val="Arial Unicode MS"/>
        <family val="2"/>
        <charset val="1"/>
      </rPr>
      <t xml:space="preserve">ḷ</t>
    </r>
  </si>
  <si>
    <t xml:space="preserve">Preaches truth, inventor of speech, cause for the origin of Lakshmi Beeja; responsible for salvation.</t>
  </si>
  <si>
    <t xml:space="preserve">Dental Long</t>
  </si>
  <si>
    <r>
      <rPr>
        <sz val="9"/>
        <rFont val="Noto Sans Devanagari"/>
        <family val="2"/>
        <charset val="1"/>
      </rPr>
      <t xml:space="preserve">ॡ </t>
    </r>
    <r>
      <rPr>
        <sz val="9"/>
        <rFont val="Arial Unicode MS"/>
        <family val="2"/>
        <charset val="1"/>
      </rPr>
      <t xml:space="preserve">ḹ</t>
    </r>
  </si>
  <si>
    <t xml:space="preserve">Diphthongs</t>
  </si>
  <si>
    <r>
      <rPr>
        <sz val="9"/>
        <rFont val="Noto Sans Devanagari"/>
        <family val="2"/>
        <charset val="1"/>
      </rPr>
      <t xml:space="preserve">ए </t>
    </r>
    <r>
      <rPr>
        <sz val="9"/>
        <rFont val="Arial Unicode MS"/>
        <family val="2"/>
        <charset val="1"/>
      </rPr>
      <t xml:space="preserve">e</t>
    </r>
  </si>
  <si>
    <t xml:space="preserve">Saraswati Beeja; The origin of Jala Beeja (Seed of water); Giver of Vidya (Knowledge) &amp; Siddhi (Success in good actions); Ends enmity and court cases i.e. establishes justice</t>
  </si>
  <si>
    <r>
      <rPr>
        <sz val="9"/>
        <rFont val="Noto Sans Devanagari"/>
        <family val="2"/>
        <charset val="1"/>
      </rPr>
      <t xml:space="preserve">ऐ </t>
    </r>
    <r>
      <rPr>
        <sz val="9"/>
        <rFont val="Arial Unicode MS"/>
        <family val="2"/>
        <charset val="1"/>
      </rPr>
      <t xml:space="preserve">ai</t>
    </r>
  </si>
  <si>
    <r>
      <rPr>
        <sz val="9"/>
        <rFont val="Noto Sans Devanagari"/>
        <family val="2"/>
        <charset val="1"/>
      </rPr>
      <t xml:space="preserve">ओ </t>
    </r>
    <r>
      <rPr>
        <sz val="9"/>
        <rFont val="Arial Unicode MS"/>
        <family val="2"/>
        <charset val="1"/>
      </rPr>
      <t xml:space="preserve">o</t>
    </r>
  </si>
  <si>
    <t xml:space="preserve">Sublime, Worships Viñëu &amp; Lakshmi; youthful; Used for other Beeja with specific objective attainment.</t>
  </si>
  <si>
    <r>
      <rPr>
        <sz val="9"/>
        <rFont val="Noto Sans Devanagari"/>
        <family val="2"/>
        <charset val="1"/>
      </rPr>
      <t xml:space="preserve">औ </t>
    </r>
    <r>
      <rPr>
        <sz val="9"/>
        <rFont val="Arial Unicode MS"/>
        <family val="2"/>
        <charset val="1"/>
      </rPr>
      <t xml:space="preserve">au</t>
    </r>
  </si>
  <si>
    <r>
      <rPr>
        <sz val="8"/>
        <rFont val="Verdana"/>
        <family val="2"/>
        <charset val="1"/>
      </rPr>
      <t xml:space="preserve">Powerful </t>
    </r>
    <r>
      <rPr>
        <i val="true"/>
        <sz val="8"/>
        <rFont val="Verdana"/>
        <family val="2"/>
        <charset val="1"/>
      </rPr>
      <t xml:space="preserve">Maran</t>
    </r>
    <r>
      <rPr>
        <sz val="8"/>
        <rFont val="Verdana"/>
        <family val="2"/>
        <charset val="1"/>
      </rPr>
      <t xml:space="preserve"> (destructions) and </t>
    </r>
    <r>
      <rPr>
        <i val="true"/>
        <sz val="8"/>
        <rFont val="Verdana"/>
        <family val="2"/>
        <charset val="1"/>
      </rPr>
      <t xml:space="preserve">Ucchhatan</t>
    </r>
    <r>
      <rPr>
        <sz val="8"/>
        <rFont val="Verdana"/>
        <family val="2"/>
        <charset val="1"/>
      </rPr>
      <t xml:space="preserve"> (infatuation) Beeja, bestows of auspicious results quickly;</t>
    </r>
  </si>
  <si>
    <t xml:space="preserve">Consonants</t>
  </si>
  <si>
    <t xml:space="preserve">Anuswara</t>
  </si>
  <si>
    <r>
      <rPr>
        <sz val="9"/>
        <rFont val="Noto Sans Devanagari"/>
        <family val="2"/>
        <charset val="1"/>
      </rPr>
      <t xml:space="preserve">अं </t>
    </r>
    <r>
      <rPr>
        <sz val="9"/>
        <rFont val="Arial Unicode MS"/>
        <family val="2"/>
        <charset val="1"/>
      </rPr>
      <t xml:space="preserve">aṁ</t>
    </r>
  </si>
  <si>
    <t xml:space="preserve">Bestows faith-the natural Guru Mantra; creates peace, knowledge and represents Godhead.</t>
  </si>
  <si>
    <t xml:space="preserve">Visarga</t>
  </si>
  <si>
    <r>
      <rPr>
        <sz val="9"/>
        <rFont val="Noto Sans Devanagari"/>
        <family val="2"/>
        <charset val="1"/>
      </rPr>
      <t xml:space="preserve">अः </t>
    </r>
    <r>
      <rPr>
        <sz val="9"/>
        <rFont val="Arial Unicode MS"/>
        <family val="2"/>
        <charset val="1"/>
      </rPr>
      <t xml:space="preserve">aḥ</t>
    </r>
  </si>
  <si>
    <t xml:space="preserve">Shanti Beeja, Grants boons </t>
  </si>
  <si>
    <t xml:space="preserve">MARS</t>
  </si>
  <si>
    <t xml:space="preserve">Guttural Consonants</t>
  </si>
  <si>
    <t xml:space="preserve">Unvoiced</t>
  </si>
  <si>
    <r>
      <rPr>
        <sz val="9"/>
        <rFont val="Noto Sans Devanagari"/>
        <family val="2"/>
        <charset val="1"/>
      </rPr>
      <t xml:space="preserve">क </t>
    </r>
    <r>
      <rPr>
        <sz val="9"/>
        <rFont val="Arial Unicode MS"/>
        <family val="2"/>
        <charset val="1"/>
      </rPr>
      <t xml:space="preserve">ka</t>
    </r>
  </si>
  <si>
    <r>
      <rPr>
        <sz val="8"/>
        <rFont val="Verdana"/>
        <family val="2"/>
        <charset val="1"/>
      </rPr>
      <t xml:space="preserve">Brahma Akshara; grants fame &amp; unparalleled knowledge; Fulfiller of all desires as </t>
    </r>
    <r>
      <rPr>
        <i val="true"/>
        <sz val="8"/>
        <rFont val="Verdana"/>
        <family val="2"/>
        <charset val="1"/>
      </rPr>
      <t xml:space="preserve">Kama</t>
    </r>
    <r>
      <rPr>
        <sz val="8"/>
        <rFont val="Verdana"/>
        <family val="2"/>
        <charset val="1"/>
      </rPr>
      <t xml:space="preserve"> or Krishna Beeja (</t>
    </r>
    <r>
      <rPr>
        <i val="true"/>
        <sz val="8"/>
        <rFont val="Verdana"/>
        <family val="2"/>
        <charset val="1"/>
      </rPr>
      <t xml:space="preserve">Kleem</t>
    </r>
    <r>
      <rPr>
        <sz val="8"/>
        <rFont val="Verdana"/>
        <family val="2"/>
        <charset val="1"/>
      </rPr>
      <t xml:space="preserve">).</t>
    </r>
  </si>
  <si>
    <t xml:space="preserve">Unvoiced aspirate</t>
  </si>
  <si>
    <r>
      <rPr>
        <sz val="9"/>
        <rFont val="Noto Sans Devanagari"/>
        <family val="2"/>
        <charset val="1"/>
      </rPr>
      <t xml:space="preserve">ख </t>
    </r>
    <r>
      <rPr>
        <sz val="9"/>
        <rFont val="Arial Unicode MS"/>
        <family val="2"/>
        <charset val="1"/>
      </rPr>
      <t xml:space="preserve">kha </t>
    </r>
  </si>
  <si>
    <t xml:space="preserve">Aakasha Beeja; Gives success &amp; mastery of Tantra; considered akin to Kalp Vriksha i.e. the wish fulfilling tree.</t>
  </si>
  <si>
    <t xml:space="preserve">Voiced</t>
  </si>
  <si>
    <r>
      <rPr>
        <sz val="9"/>
        <rFont val="Noto Sans Devanagari"/>
        <family val="2"/>
        <charset val="1"/>
      </rPr>
      <t xml:space="preserve">ग </t>
    </r>
    <r>
      <rPr>
        <sz val="9"/>
        <rFont val="Arial Unicode MS"/>
        <family val="2"/>
        <charset val="1"/>
      </rPr>
      <t xml:space="preserve">ga </t>
    </r>
  </si>
  <si>
    <t xml:space="preserve">Works towards Pranava and Maya Beeja and is the Ganesha Beeja.</t>
  </si>
  <si>
    <t xml:space="preserve">Voiced aspirate</t>
  </si>
  <si>
    <r>
      <rPr>
        <sz val="9"/>
        <rFont val="Noto Sans Devanagari"/>
        <family val="2"/>
        <charset val="1"/>
      </rPr>
      <t xml:space="preserve">घ </t>
    </r>
    <r>
      <rPr>
        <sz val="9"/>
        <rFont val="Arial Unicode MS"/>
        <family val="2"/>
        <charset val="1"/>
      </rPr>
      <t xml:space="preserve">gha</t>
    </r>
  </si>
  <si>
    <r>
      <rPr>
        <i val="true"/>
        <sz val="8"/>
        <rFont val="Verdana"/>
        <family val="2"/>
        <charset val="1"/>
      </rPr>
      <t xml:space="preserve">Sthamban</t>
    </r>
    <r>
      <rPr>
        <sz val="8"/>
        <rFont val="Verdana"/>
        <family val="2"/>
        <charset val="1"/>
      </rPr>
      <t xml:space="preserve"> Beeja; remover of impediments, creator of Mohan Beeja.</t>
    </r>
  </si>
  <si>
    <t xml:space="preserve">Nasal</t>
  </si>
  <si>
    <r>
      <rPr>
        <sz val="9"/>
        <rFont val="Noto Sans Devanagari"/>
        <family val="2"/>
        <charset val="1"/>
      </rPr>
      <t xml:space="preserve">ङ </t>
    </r>
    <r>
      <rPr>
        <sz val="9"/>
        <rFont val="Arial Unicode MS"/>
        <family val="2"/>
        <charset val="1"/>
      </rPr>
      <t xml:space="preserve">ṅa</t>
    </r>
  </si>
  <si>
    <r>
      <rPr>
        <sz val="8"/>
        <rFont val="Verdana"/>
        <family val="2"/>
        <charset val="1"/>
      </rPr>
      <t xml:space="preserve">Destroyer of enemies. Creator of </t>
    </r>
    <r>
      <rPr>
        <i val="true"/>
        <sz val="8"/>
        <rFont val="Verdana"/>
        <family val="2"/>
        <charset val="1"/>
      </rPr>
      <t xml:space="preserve">Vidveshan</t>
    </r>
    <r>
      <rPr>
        <sz val="8"/>
        <rFont val="Verdana"/>
        <family val="2"/>
        <charset val="1"/>
      </rPr>
      <t xml:space="preserve"> (Causing differences) Beeja. Used for worshipping Narada.</t>
    </r>
  </si>
  <si>
    <t xml:space="preserve">VENUS</t>
  </si>
  <si>
    <t xml:space="preserve">Palatal Consonants</t>
  </si>
  <si>
    <r>
      <rPr>
        <sz val="9"/>
        <rFont val="Noto Sans Devanagari"/>
        <family val="2"/>
        <charset val="1"/>
      </rPr>
      <t xml:space="preserve">च </t>
    </r>
    <r>
      <rPr>
        <sz val="9"/>
        <rFont val="Arial Unicode MS"/>
        <family val="2"/>
        <charset val="1"/>
      </rPr>
      <t xml:space="preserve">ca</t>
    </r>
  </si>
  <si>
    <t xml:space="preserve">Manasa Siddhi; Creator of Uccahhatan Beeja,</t>
  </si>
  <si>
    <r>
      <rPr>
        <sz val="9"/>
        <rFont val="Noto Sans Devanagari"/>
        <family val="2"/>
        <charset val="1"/>
      </rPr>
      <t xml:space="preserve">छ </t>
    </r>
    <r>
      <rPr>
        <sz val="9"/>
        <rFont val="Arial Unicode MS"/>
        <family val="2"/>
        <charset val="1"/>
      </rPr>
      <t xml:space="preserve">cha</t>
    </r>
  </si>
  <si>
    <r>
      <rPr>
        <sz val="8"/>
        <rFont val="Verdana"/>
        <family val="2"/>
        <charset val="1"/>
      </rPr>
      <t xml:space="preserve">Creator of Aap Beeja, cause of death, </t>
    </r>
    <r>
      <rPr>
        <i val="true"/>
        <sz val="8"/>
        <rFont val="Verdana"/>
        <family val="2"/>
        <charset val="1"/>
      </rPr>
      <t xml:space="preserve">Chhaya</t>
    </r>
    <r>
      <rPr>
        <sz val="8"/>
        <rFont val="Verdana"/>
        <family val="2"/>
        <charset val="1"/>
      </rPr>
      <t xml:space="preserve"> the shadowy wife of the Sun God.</t>
    </r>
  </si>
  <si>
    <r>
      <rPr>
        <sz val="9"/>
        <rFont val="Noto Sans Devanagari"/>
        <family val="2"/>
        <charset val="1"/>
      </rPr>
      <t xml:space="preserve">ज </t>
    </r>
    <r>
      <rPr>
        <sz val="9"/>
        <rFont val="Arial Unicode MS"/>
        <family val="2"/>
        <charset val="1"/>
      </rPr>
      <t xml:space="preserve">ja</t>
    </r>
  </si>
  <si>
    <t xml:space="preserve">Invokes inner protection; destroyer of mental and physical sufferings, Mritunjaya Beeja (Jum).</t>
  </si>
  <si>
    <r>
      <rPr>
        <sz val="9"/>
        <rFont val="Noto Sans Devanagari"/>
        <family val="2"/>
        <charset val="1"/>
      </rPr>
      <t xml:space="preserve">झ </t>
    </r>
    <r>
      <rPr>
        <sz val="9"/>
        <rFont val="Arial Unicode MS"/>
        <family val="2"/>
        <charset val="1"/>
      </rPr>
      <t xml:space="preserve">jha</t>
    </r>
  </si>
  <si>
    <t xml:space="preserve">Instantly removes black magic and evils. </t>
  </si>
  <si>
    <r>
      <rPr>
        <sz val="9"/>
        <rFont val="Noto Sans Devanagari"/>
        <family val="2"/>
        <charset val="1"/>
      </rPr>
      <t xml:space="preserve">ञ </t>
    </r>
    <r>
      <rPr>
        <sz val="9"/>
        <rFont val="Arial Unicode MS"/>
        <family val="2"/>
        <charset val="1"/>
      </rPr>
      <t xml:space="preserve">ña</t>
    </r>
  </si>
  <si>
    <t xml:space="preserve">Used in Infatuation</t>
  </si>
  <si>
    <t xml:space="preserve">MERCURY</t>
  </si>
  <si>
    <t xml:space="preserve">Retroflex Consonants</t>
  </si>
  <si>
    <r>
      <rPr>
        <sz val="9"/>
        <rFont val="Noto Sans Devanagari"/>
        <family val="2"/>
        <charset val="1"/>
      </rPr>
      <t xml:space="preserve">ट </t>
    </r>
    <r>
      <rPr>
        <sz val="9"/>
        <rFont val="Arial Unicode MS"/>
        <family val="2"/>
        <charset val="1"/>
      </rPr>
      <t xml:space="preserve">ṭa</t>
    </r>
  </si>
  <si>
    <r>
      <rPr>
        <sz val="8"/>
        <rFont val="Verdana"/>
        <family val="2"/>
        <charset val="1"/>
      </rPr>
      <t xml:space="preserve">Bahri Beeja, </t>
    </r>
    <r>
      <rPr>
        <i val="true"/>
        <sz val="8"/>
        <rFont val="Verdana"/>
        <family val="2"/>
        <charset val="1"/>
      </rPr>
      <t xml:space="preserve">Beeja</t>
    </r>
    <r>
      <rPr>
        <sz val="8"/>
        <rFont val="Verdana"/>
        <family val="2"/>
        <charset val="1"/>
      </rPr>
      <t xml:space="preserve"> for fire sacrifice. Used in Ucchatan Tantra for Hanuman.</t>
    </r>
  </si>
  <si>
    <r>
      <rPr>
        <sz val="9"/>
        <rFont val="Noto Sans Devanagari"/>
        <family val="2"/>
        <charset val="1"/>
      </rPr>
      <t xml:space="preserve">ठ </t>
    </r>
    <r>
      <rPr>
        <sz val="9"/>
        <rFont val="Arial Unicode MS"/>
        <family val="2"/>
        <charset val="1"/>
      </rPr>
      <t xml:space="preserve">ṭha</t>
    </r>
  </si>
  <si>
    <t xml:space="preserve">Used in Dhoomavati Beeja, doer of cruel and evil deeds; violent, </t>
  </si>
  <si>
    <r>
      <rPr>
        <sz val="9"/>
        <rFont val="Noto Sans Devanagari"/>
        <family val="2"/>
        <charset val="1"/>
      </rPr>
      <t xml:space="preserve">ड </t>
    </r>
    <r>
      <rPr>
        <sz val="9"/>
        <rFont val="Arial Unicode MS"/>
        <family val="2"/>
        <charset val="1"/>
      </rPr>
      <t xml:space="preserve">ḍa</t>
    </r>
  </si>
  <si>
    <t xml:space="preserve">Judicious &amp; auspicious</t>
  </si>
  <si>
    <r>
      <rPr>
        <sz val="9"/>
        <rFont val="Noto Sans Devanagari"/>
        <family val="2"/>
        <charset val="1"/>
      </rPr>
      <t xml:space="preserve">ढ </t>
    </r>
    <r>
      <rPr>
        <sz val="9"/>
        <rFont val="Arial Unicode MS"/>
        <family val="2"/>
        <charset val="1"/>
      </rPr>
      <t xml:space="preserve">ḍha</t>
    </r>
  </si>
  <si>
    <t xml:space="preserve">Maran Beeja, creates disturbances.</t>
  </si>
  <si>
    <r>
      <rPr>
        <sz val="9"/>
        <rFont val="Noto Sans Devanagari"/>
        <family val="2"/>
        <charset val="1"/>
      </rPr>
      <t xml:space="preserve">ण </t>
    </r>
    <r>
      <rPr>
        <sz val="9"/>
        <rFont val="Arial Unicode MS"/>
        <family val="2"/>
        <charset val="1"/>
      </rPr>
      <t xml:space="preserve">ṇa</t>
    </r>
  </si>
  <si>
    <t xml:space="preserve">Bestows peace &amp; all Siddhi’s.</t>
  </si>
  <si>
    <t xml:space="preserve">JUPITER</t>
  </si>
  <si>
    <t xml:space="preserve">Dental Consonants</t>
  </si>
  <si>
    <r>
      <rPr>
        <sz val="9"/>
        <rFont val="Noto Sans Devanagari"/>
        <family val="2"/>
        <charset val="1"/>
      </rPr>
      <t xml:space="preserve">त </t>
    </r>
    <r>
      <rPr>
        <sz val="9"/>
        <rFont val="Arial Unicode MS"/>
        <family val="2"/>
        <charset val="1"/>
      </rPr>
      <t xml:space="preserve">ta</t>
    </r>
  </si>
  <si>
    <t xml:space="preserve">Attractive, innovator of power, accomplisher of things capable of achieving Sarva Siddhi in combination with Saraswatha Beeja.</t>
  </si>
  <si>
    <r>
      <rPr>
        <sz val="9"/>
        <rFont val="Noto Sans Devanagari"/>
        <family val="2"/>
        <charset val="1"/>
      </rPr>
      <t xml:space="preserve">थ </t>
    </r>
    <r>
      <rPr>
        <sz val="9"/>
        <rFont val="Arial Unicode MS"/>
        <family val="2"/>
        <charset val="1"/>
      </rPr>
      <t xml:space="preserve">tha</t>
    </r>
  </si>
  <si>
    <t xml:space="preserve">Accomplisher of good task, friend of Lakshmi Beeja capable of infatuation in combination with other Beeja.</t>
  </si>
  <si>
    <r>
      <rPr>
        <sz val="9"/>
        <rFont val="Noto Sans Devanagari"/>
        <family val="2"/>
        <charset val="1"/>
      </rPr>
      <t xml:space="preserve">द </t>
    </r>
    <r>
      <rPr>
        <sz val="9"/>
        <rFont val="Arial Unicode MS"/>
        <family val="2"/>
        <charset val="1"/>
      </rPr>
      <t xml:space="preserve">da</t>
    </r>
  </si>
  <si>
    <r>
      <rPr>
        <sz val="8"/>
        <rFont val="Verdana"/>
        <family val="2"/>
        <charset val="1"/>
      </rPr>
      <t xml:space="preserve">Destroys Karma Yoga and self control</t>
    </r>
    <r>
      <rPr>
        <sz val="8"/>
        <rFont val="URW Palladio IT"/>
        <family val="0"/>
        <charset val="1"/>
      </rPr>
      <t xml:space="preserve"> The three important lessons of Brahma for the three types of Nakshatra based on which the planets get their </t>
    </r>
    <r>
      <rPr>
        <i val="true"/>
        <sz val="8"/>
        <rFont val="URW Palladio IT"/>
        <family val="0"/>
        <charset val="1"/>
      </rPr>
      <t xml:space="preserve">Gana</t>
    </r>
    <r>
      <rPr>
        <sz val="8"/>
        <rFont val="URW Palladio IT"/>
        <family val="0"/>
        <charset val="1"/>
      </rPr>
      <t xml:space="preserve"> (i.e. Deva, Nara and Rakshas Gana) are with DA Akshara as </t>
    </r>
    <r>
      <rPr>
        <b val="true"/>
        <sz val="8"/>
        <rFont val="URW Palladio IT"/>
        <family val="0"/>
        <charset val="1"/>
      </rPr>
      <t xml:space="preserve">Damaya</t>
    </r>
    <r>
      <rPr>
        <sz val="8"/>
        <rFont val="URW Palladio IT"/>
        <family val="0"/>
        <charset val="1"/>
      </rPr>
      <t xml:space="preserve"> (Self Control as the Deva Gana are always enjoying in gay abandon) </t>
    </r>
    <r>
      <rPr>
        <b val="true"/>
        <sz val="8"/>
        <rFont val="URW Palladio IT"/>
        <family val="0"/>
        <charset val="1"/>
      </rPr>
      <t xml:space="preserve">Daana</t>
    </r>
    <r>
      <rPr>
        <sz val="8"/>
        <rFont val="URW Palladio IT"/>
        <family val="0"/>
        <charset val="1"/>
      </rPr>
      <t xml:space="preserve"> (Donate/ Give as </t>
    </r>
    <r>
      <rPr>
        <i val="true"/>
        <sz val="8"/>
        <rFont val="URW Palladio IT"/>
        <family val="0"/>
        <charset val="1"/>
      </rPr>
      <t xml:space="preserve">Manusya or Nara Gana</t>
    </r>
    <r>
      <rPr>
        <sz val="8"/>
        <rFont val="URW Palladio IT"/>
        <family val="0"/>
        <charset val="1"/>
      </rPr>
      <t xml:space="preserve"> are Greedy) and </t>
    </r>
    <r>
      <rPr>
        <b val="true"/>
        <sz val="8"/>
        <rFont val="URW Palladio IT"/>
        <family val="0"/>
        <charset val="1"/>
      </rPr>
      <t xml:space="preserve">Daya</t>
    </r>
    <r>
      <rPr>
        <sz val="8"/>
        <rFont val="URW Palladio IT"/>
        <family val="0"/>
        <charset val="1"/>
      </rPr>
      <t xml:space="preserve"> (Be Merciful as the Rakshas Gana are cruel by nature).</t>
    </r>
    <r>
      <rPr>
        <sz val="8"/>
        <rFont val="Verdana"/>
        <family val="2"/>
        <charset val="1"/>
      </rPr>
      <t xml:space="preserve">, </t>
    </r>
    <r>
      <rPr>
        <i val="true"/>
        <sz val="8"/>
        <rFont val="Verdana"/>
        <family val="2"/>
        <charset val="1"/>
      </rPr>
      <t xml:space="preserve">Sukra</t>
    </r>
    <r>
      <rPr>
        <sz val="8"/>
        <rFont val="Verdana"/>
        <family val="2"/>
        <charset val="1"/>
      </rPr>
      <t xml:space="preserve"> (Desire) Beeja.</t>
    </r>
  </si>
  <si>
    <r>
      <rPr>
        <sz val="9"/>
        <rFont val="Noto Sans Devanagari"/>
        <family val="2"/>
        <charset val="1"/>
      </rPr>
      <t xml:space="preserve">ध </t>
    </r>
    <r>
      <rPr>
        <sz val="9"/>
        <rFont val="Arial Unicode MS"/>
        <family val="2"/>
        <charset val="1"/>
      </rPr>
      <t xml:space="preserve">dha</t>
    </r>
  </si>
  <si>
    <t xml:space="preserve">Helper of Shreem and Kleem Beeja; a friend indeed; producer of Maaya Beeja.</t>
  </si>
  <si>
    <r>
      <rPr>
        <sz val="9"/>
        <rFont val="Noto Sans Devanagari"/>
        <family val="2"/>
        <charset val="1"/>
      </rPr>
      <t xml:space="preserve">न </t>
    </r>
    <r>
      <rPr>
        <sz val="9"/>
        <rFont val="Arial Unicode MS"/>
        <family val="2"/>
        <charset val="1"/>
      </rPr>
      <t xml:space="preserve">na</t>
    </r>
  </si>
  <si>
    <t xml:space="preserve">Indicator of will – power, mind purifier, creator of five elements (Tathwas).</t>
  </si>
  <si>
    <t xml:space="preserve">SATURN</t>
  </si>
  <si>
    <t xml:space="preserve">Labial Consonants</t>
  </si>
  <si>
    <r>
      <rPr>
        <sz val="9"/>
        <rFont val="Noto Sans Devanagari"/>
        <family val="2"/>
        <charset val="1"/>
      </rPr>
      <t xml:space="preserve">प </t>
    </r>
    <r>
      <rPr>
        <sz val="9"/>
        <rFont val="Arial Unicode MS"/>
        <family val="2"/>
        <charset val="1"/>
      </rPr>
      <t xml:space="preserve">pa</t>
    </r>
  </si>
  <si>
    <t xml:space="preserve">A friend coming for the help of the mind to reach salvation.</t>
  </si>
  <si>
    <r>
      <rPr>
        <sz val="9"/>
        <rFont val="Noto Sans Devanagari"/>
        <family val="2"/>
        <charset val="1"/>
      </rPr>
      <t xml:space="preserve">फ </t>
    </r>
    <r>
      <rPr>
        <sz val="9"/>
        <rFont val="Arial Unicode MS"/>
        <family val="2"/>
        <charset val="1"/>
      </rPr>
      <t xml:space="preserve">pha</t>
    </r>
  </si>
  <si>
    <r>
      <rPr>
        <sz val="8"/>
        <rFont val="Verdana"/>
        <family val="2"/>
        <charset val="1"/>
      </rPr>
      <t xml:space="preserve">Kartaveeryarjuna Beeja; Agni Astra (Weapon of Fire); used in </t>
    </r>
    <r>
      <rPr>
        <i val="true"/>
        <sz val="8"/>
        <rFont val="Verdana"/>
        <family val="2"/>
        <charset val="1"/>
      </rPr>
      <t xml:space="preserve">Ucchatan</t>
    </r>
    <r>
      <rPr>
        <sz val="8"/>
        <rFont val="Verdana"/>
        <family val="2"/>
        <charset val="1"/>
      </rPr>
      <t xml:space="preserve"> as FHAT.</t>
    </r>
  </si>
  <si>
    <r>
      <rPr>
        <sz val="9"/>
        <rFont val="Noto Sans Devanagari"/>
        <family val="2"/>
        <charset val="1"/>
      </rPr>
      <t xml:space="preserve">ब </t>
    </r>
    <r>
      <rPr>
        <sz val="9"/>
        <rFont val="Arial Unicode MS"/>
        <family val="2"/>
        <charset val="1"/>
      </rPr>
      <t xml:space="preserve">ba</t>
    </r>
  </si>
  <si>
    <t xml:space="preserve">Helping to play according to the circumstances.</t>
  </si>
  <si>
    <r>
      <rPr>
        <sz val="9"/>
        <rFont val="Noto Sans Devanagari"/>
        <family val="2"/>
        <charset val="1"/>
      </rPr>
      <t xml:space="preserve">भ </t>
    </r>
    <r>
      <rPr>
        <sz val="9"/>
        <rFont val="Arial Unicode MS"/>
        <family val="2"/>
        <charset val="1"/>
      </rPr>
      <t xml:space="preserve">bha</t>
    </r>
  </si>
  <si>
    <r>
      <rPr>
        <sz val="8"/>
        <rFont val="Verdana"/>
        <family val="2"/>
        <charset val="1"/>
      </rPr>
      <t xml:space="preserve">Used for </t>
    </r>
    <r>
      <rPr>
        <i val="true"/>
        <sz val="8"/>
        <rFont val="Verdana"/>
        <family val="2"/>
        <charset val="1"/>
      </rPr>
      <t xml:space="preserve">Maran</t>
    </r>
    <r>
      <rPr>
        <sz val="8"/>
        <rFont val="Verdana"/>
        <family val="2"/>
        <charset val="1"/>
      </rPr>
      <t xml:space="preserve"> and </t>
    </r>
    <r>
      <rPr>
        <i val="true"/>
        <sz val="8"/>
        <rFont val="Verdana"/>
        <family val="2"/>
        <charset val="1"/>
      </rPr>
      <t xml:space="preserve">Ucchatan</t>
    </r>
    <r>
      <rPr>
        <sz val="8"/>
        <rFont val="Verdana"/>
        <family val="2"/>
        <charset val="1"/>
      </rPr>
      <t xml:space="preserve">.</t>
    </r>
  </si>
  <si>
    <r>
      <rPr>
        <sz val="9"/>
        <rFont val="Noto Sans Devanagari"/>
        <family val="2"/>
        <charset val="1"/>
      </rPr>
      <t xml:space="preserve">म </t>
    </r>
    <r>
      <rPr>
        <sz val="9"/>
        <rFont val="Arial Unicode MS"/>
        <family val="2"/>
        <charset val="1"/>
      </rPr>
      <t xml:space="preserve">ma</t>
    </r>
  </si>
  <si>
    <t xml:space="preserve">Natural Mother (Ma) used in the Mantras for begetting children. </t>
  </si>
  <si>
    <t xml:space="preserve">MOON</t>
  </si>
  <si>
    <t xml:space="preserve">Consonants Semivowel </t>
  </si>
  <si>
    <t xml:space="preserve">Palatal</t>
  </si>
  <si>
    <r>
      <rPr>
        <sz val="9"/>
        <rFont val="Noto Sans Devanagari"/>
        <family val="2"/>
        <charset val="1"/>
      </rPr>
      <t xml:space="preserve">य </t>
    </r>
    <r>
      <rPr>
        <sz val="9"/>
        <rFont val="Arial Unicode MS"/>
        <family val="2"/>
        <charset val="1"/>
      </rPr>
      <t xml:space="preserve">ya</t>
    </r>
  </si>
  <si>
    <t xml:space="preserve">Peace giver; Prostration; Vayu (Air) Beeja</t>
  </si>
  <si>
    <t xml:space="preserve">Retroflex</t>
  </si>
  <si>
    <r>
      <rPr>
        <sz val="9"/>
        <rFont val="Noto Sans Devanagari"/>
        <family val="2"/>
        <charset val="1"/>
      </rPr>
      <t xml:space="preserve">र </t>
    </r>
    <r>
      <rPr>
        <sz val="9"/>
        <rFont val="Arial Unicode MS"/>
        <family val="2"/>
        <charset val="1"/>
      </rPr>
      <t xml:space="preserve">ra</t>
    </r>
  </si>
  <si>
    <t xml:space="preserve">Vahni/Agni (fire) Beeja; Carries the mantra to the Gods and is used in most Beejakshara e.g. Hraam, Hreem, , Kreem etc. contain RA.</t>
  </si>
  <si>
    <t xml:space="preserve">Dental</t>
  </si>
  <si>
    <r>
      <rPr>
        <sz val="9"/>
        <rFont val="Noto Sans Devanagari"/>
        <family val="2"/>
        <charset val="1"/>
      </rPr>
      <t xml:space="preserve">ल </t>
    </r>
    <r>
      <rPr>
        <sz val="9"/>
        <rFont val="Arial Unicode MS"/>
        <family val="2"/>
        <charset val="1"/>
      </rPr>
      <t xml:space="preserve">la</t>
    </r>
  </si>
  <si>
    <r>
      <rPr>
        <sz val="8"/>
        <rFont val="Verdana"/>
        <family val="2"/>
        <charset val="1"/>
      </rPr>
      <t xml:space="preserve">Prithvi (Earth) Beeja; Lakshmi: Used for wealth &amp; prosperity. Causes </t>
    </r>
    <r>
      <rPr>
        <i val="true"/>
        <sz val="8"/>
        <rFont val="Verdana"/>
        <family val="2"/>
        <charset val="1"/>
      </rPr>
      <t xml:space="preserve">Agni sthambana</t>
    </r>
    <r>
      <rPr>
        <sz val="8"/>
        <rFont val="Verdana"/>
        <family val="2"/>
        <charset val="1"/>
      </rPr>
      <t xml:space="preserve"> (extinguishes the fire of RA Beeja and replaces it with the happy LA Beeja) and carries the prayers to the Gods e.g.  Hleem, Kleem etc.</t>
    </r>
  </si>
  <si>
    <t xml:space="preserve">Labial</t>
  </si>
  <si>
    <r>
      <rPr>
        <sz val="9"/>
        <rFont val="Noto Sans Devanagari"/>
        <family val="2"/>
        <charset val="1"/>
      </rPr>
      <t xml:space="preserve">व </t>
    </r>
    <r>
      <rPr>
        <sz val="9"/>
        <rFont val="Arial Unicode MS"/>
        <family val="2"/>
        <charset val="1"/>
      </rPr>
      <t xml:space="preserve">va</t>
    </r>
  </si>
  <si>
    <t xml:space="preserve">Jala (Water) Beeja.</t>
  </si>
  <si>
    <t xml:space="preserve">Consonants: Sibilants</t>
  </si>
  <si>
    <r>
      <rPr>
        <sz val="9"/>
        <rFont val="Noto Sans Devanagari"/>
        <family val="2"/>
        <charset val="1"/>
      </rPr>
      <t xml:space="preserve">श </t>
    </r>
    <r>
      <rPr>
        <sz val="9"/>
        <rFont val="Arial Unicode MS"/>
        <family val="2"/>
        <charset val="1"/>
      </rPr>
      <t xml:space="preserve">śa</t>
    </r>
  </si>
  <si>
    <t xml:space="preserve">Shanti (Peace) Beeja.</t>
  </si>
  <si>
    <r>
      <rPr>
        <sz val="9"/>
        <rFont val="Noto Sans Devanagari"/>
        <family val="2"/>
        <charset val="1"/>
      </rPr>
      <t xml:space="preserve">ष </t>
    </r>
    <r>
      <rPr>
        <sz val="9"/>
        <rFont val="Arial Unicode MS"/>
        <family val="2"/>
        <charset val="1"/>
      </rPr>
      <t xml:space="preserve">ṣa</t>
    </r>
  </si>
  <si>
    <t xml:space="preserve">Agni Stambhana (Fire extinguisher). Used in black magic etc.</t>
  </si>
  <si>
    <r>
      <rPr>
        <sz val="9"/>
        <rFont val="Noto Sans Devanagari"/>
        <family val="2"/>
        <charset val="1"/>
      </rPr>
      <t xml:space="preserve">स </t>
    </r>
    <r>
      <rPr>
        <sz val="9"/>
        <rFont val="Arial Unicode MS"/>
        <family val="2"/>
        <charset val="1"/>
      </rPr>
      <t xml:space="preserve">sa</t>
    </r>
  </si>
  <si>
    <t xml:space="preserve">Satya Karma Yoga. When used in Mantra, all works are accomplished.</t>
  </si>
  <si>
    <t xml:space="preserve">Consonants: Aspiration</t>
  </si>
  <si>
    <r>
      <rPr>
        <sz val="9"/>
        <rFont val="Noto Sans Devanagari"/>
        <family val="2"/>
        <charset val="1"/>
      </rPr>
      <t xml:space="preserve">ह </t>
    </r>
    <r>
      <rPr>
        <sz val="9"/>
        <rFont val="Arial Unicode MS"/>
        <family val="2"/>
        <charset val="1"/>
      </rPr>
      <t xml:space="preserve">ha</t>
    </r>
  </si>
  <si>
    <t xml:space="preserve">Gagana (Sky) or Akasha Beeja. It represents Çiva/Hanuman and can remove all evils.</t>
  </si>
  <si>
    <r>
      <rPr>
        <sz val="9"/>
        <rFont val="Noto Sans Devanagari"/>
        <family val="2"/>
        <charset val="1"/>
      </rPr>
      <t xml:space="preserve">क्ष </t>
    </r>
    <r>
      <rPr>
        <sz val="9"/>
        <rFont val="Arial Unicode MS"/>
        <family val="2"/>
        <charset val="1"/>
      </rPr>
      <t xml:space="preserve">kṣa</t>
    </r>
  </si>
  <si>
    <t xml:space="preserve">Poison Destroyer Garuda Beeja. Used with all mantra that destroy the evil connected with the Nivritti Direction ruled by Rakshas</t>
  </si>
  <si>
    <t xml:space="preserve">Tithi Lords</t>
  </si>
  <si>
    <t xml:space="preserve">KetuR</t>
  </si>
  <si>
    <t xml:space="preserve">VenusR</t>
  </si>
  <si>
    <t xml:space="preserve">SunR</t>
  </si>
  <si>
    <t xml:space="preserve">MoonR</t>
  </si>
  <si>
    <t xml:space="preserve">MarsR</t>
  </si>
  <si>
    <t xml:space="preserve">RahuR</t>
  </si>
  <si>
    <t xml:space="preserve">JupiterR</t>
  </si>
  <si>
    <t xml:space="preserve">SaturnR</t>
  </si>
  <si>
    <t xml:space="preserve">MercuryR</t>
  </si>
  <si>
    <t xml:space="preserve">Mandi Position</t>
  </si>
  <si>
    <t xml:space="preserve">Night</t>
  </si>
  <si>
    <t xml:space="preserve">Table 1.20 : Planetary Placement &amp; Friendship for Finance</t>
  </si>
  <si>
    <t xml:space="preserve">Exaltation/
Debilitation</t>
  </si>
  <si>
    <t xml:space="preserve">Own
Sign</t>
  </si>
  <si>
    <t xml:space="preserve">Friendly Sign</t>
  </si>
  <si>
    <t xml:space="preserve">Friend 1</t>
  </si>
  <si>
    <t xml:space="preserve">Friend 2</t>
  </si>
  <si>
    <t xml:space="preserve">Friend 3</t>
  </si>
  <si>
    <t xml:space="preserve">Friend 4</t>
  </si>
  <si>
    <t xml:space="preserve">Friend 5</t>
  </si>
  <si>
    <t xml:space="preserve">Friend 6</t>
  </si>
  <si>
    <t xml:space="preserve">Friend 7</t>
  </si>
  <si>
    <t xml:space="preserve">From Notes/Dhana Yogada</t>
  </si>
  <si>
    <t xml:space="preserve">Aries/Libra</t>
  </si>
  <si>
    <t xml:space="preserve">Mars,Jupiter</t>
  </si>
  <si>
    <t xml:space="preserve">Taurus/
Scorpio</t>
  </si>
  <si>
    <t xml:space="preserve">Mercury &amp;
Jupiter</t>
  </si>
  <si>
    <t xml:space="preserve">Virgo, Gemini
Sagittarius, Pisces</t>
  </si>
  <si>
    <t xml:space="preserve">Merc,Jupiter</t>
  </si>
  <si>
    <t xml:space="preserve">Capricorn/
Cancer</t>
  </si>
  <si>
    <t xml:space="preserve">Aries
Scorpio</t>
  </si>
  <si>
    <t xml:space="preserve">Mercury &amp;
Venus</t>
  </si>
  <si>
    <t xml:space="preserve">Virgo, Gemini
Taurus, Libra</t>
  </si>
  <si>
    <t xml:space="preserve">Merc,Venus,Sat</t>
  </si>
  <si>
    <t xml:space="preserve">Virgo/
Pisces</t>
  </si>
  <si>
    <t xml:space="preserve">Gemini,
Virgo</t>
  </si>
  <si>
    <t xml:space="preserve">All planets
excluding Sun</t>
  </si>
  <si>
    <t xml:space="preserve">All signs except
Leo</t>
  </si>
  <si>
    <t xml:space="preserve">Sat,Jup</t>
  </si>
  <si>
    <t xml:space="preserve">Jupiter </t>
  </si>
  <si>
    <t xml:space="preserve">Cancer/
Capricorn</t>
  </si>
  <si>
    <t xml:space="preserve">Sagittarius,
Pisces</t>
  </si>
  <si>
    <t xml:space="preserve">All planets
excluding
Mars</t>
  </si>
  <si>
    <t xml:space="preserve">All signs except
Aries &amp; Scorpio</t>
  </si>
  <si>
    <t xml:space="preserve">Merc, Mars</t>
  </si>
  <si>
    <t xml:space="preserve">Venus </t>
  </si>
  <si>
    <t xml:space="preserve">Pisces/
Virgo</t>
  </si>
  <si>
    <t xml:space="preserve">Taurus,
Libra</t>
  </si>
  <si>
    <t xml:space="preserve">All planets
excluding
Sun &amp; Moon</t>
  </si>
  <si>
    <t xml:space="preserve">All signs except
Leo &amp; Cancer</t>
  </si>
  <si>
    <t xml:space="preserve">Sat, Merc</t>
  </si>
  <si>
    <t xml:space="preserve">Libra/
Aries</t>
  </si>
  <si>
    <t xml:space="preserve">Capricorn,
Aquarius</t>
  </si>
  <si>
    <t xml:space="preserve">Mercury
Jupiter
Venus</t>
  </si>
  <si>
    <t xml:space="preserve">Taurus, Libra,
Gemini, Virgo,
Pisces, Sagittarius</t>
  </si>
  <si>
    <t xml:space="preserve">Mars, Jup</t>
  </si>
  <si>
    <t xml:space="preserve">Gemini/
Sagittarius</t>
  </si>
  <si>
    <t xml:space="preserve">Venus, Saturn
Jupiter, Mercury</t>
  </si>
  <si>
    <t xml:space="preserve">Libra, Capricorn
Virgo, Gemini,
Pisces, Sagittarius</t>
  </si>
  <si>
    <t xml:space="preserve">Sun, Moon</t>
  </si>
  <si>
    <t xml:space="preserve">Leo, Cancer, Aries,</t>
  </si>
  <si>
    <t xml:space="preserve">Divisional Weightage/Varga Vishwa</t>
  </si>
  <si>
    <t xml:space="preserve">VargaVishwa</t>
  </si>
  <si>
    <t xml:space="preserve">Shadvarga Vimshopaka</t>
  </si>
  <si>
    <t xml:space="preserve">Saptavarga Vimshopaka</t>
  </si>
  <si>
    <t xml:space="preserve">DasaVarga Vimshopaka</t>
  </si>
  <si>
    <t xml:space="preserve">ShodasaVarga Vimshopaka</t>
  </si>
  <si>
    <t xml:space="preserve">Divisor</t>
  </si>
  <si>
    <t xml:space="preserve">House Equivalent</t>
  </si>
  <si>
    <t xml:space="preserve">6/7 Names</t>
  </si>
  <si>
    <t xml:space="preserve">10 Names</t>
  </si>
  <si>
    <t xml:space="preserve">16 Names</t>
  </si>
  <si>
    <t xml:space="preserve">kiṁśuka</t>
  </si>
  <si>
    <t xml:space="preserve">pārijātaṁ</t>
  </si>
  <si>
    <t xml:space="preserve">bhedakaṁ</t>
  </si>
  <si>
    <t xml:space="preserve">vyañjana</t>
  </si>
  <si>
    <t xml:space="preserve">uttama</t>
  </si>
  <si>
    <t xml:space="preserve">kusum</t>
  </si>
  <si>
    <t xml:space="preserve">cāmarā</t>
  </si>
  <si>
    <t xml:space="preserve">gopura</t>
  </si>
  <si>
    <t xml:space="preserve">nāgapuṣpaṁ</t>
  </si>
  <si>
    <t xml:space="preserve">chatraṁ</t>
  </si>
  <si>
    <t xml:space="preserve">siṁhāsanaṁ</t>
  </si>
  <si>
    <t xml:space="preserve">kandukā</t>
  </si>
  <si>
    <t xml:space="preserve">kuṇḍala</t>
  </si>
  <si>
    <t xml:space="preserve">pārāvataṁ</t>
  </si>
  <si>
    <t xml:space="preserve">keralā</t>
  </si>
  <si>
    <t xml:space="preserve">mukuṭā</t>
  </si>
  <si>
    <t xml:space="preserve">devalokaṁ</t>
  </si>
  <si>
    <t xml:space="preserve">kalpavṛkṣa</t>
  </si>
  <si>
    <t xml:space="preserve">brahmalokā</t>
  </si>
  <si>
    <t xml:space="preserve">candanavana</t>
  </si>
  <si>
    <t xml:space="preserve">D16</t>
  </si>
  <si>
    <t xml:space="preserve">śakravāhana</t>
  </si>
  <si>
    <t xml:space="preserve">pūrṇacandra</t>
  </si>
  <si>
    <t xml:space="preserve">D60</t>
  </si>
  <si>
    <t xml:space="preserve">śrīdhāma</t>
  </si>
  <si>
    <t xml:space="preserve">uccaiḥśravā</t>
  </si>
  <si>
    <t xml:space="preserve">D20</t>
  </si>
  <si>
    <t xml:space="preserve">dhanvantari</t>
  </si>
  <si>
    <t xml:space="preserve">D24</t>
  </si>
  <si>
    <t xml:space="preserve">sūryakāntaṁ</t>
  </si>
  <si>
    <t xml:space="preserve">D27</t>
  </si>
  <si>
    <t xml:space="preserve">vidrumā</t>
  </si>
  <si>
    <t xml:space="preserve">śakrasiṁhāsanaṁ </t>
  </si>
  <si>
    <t xml:space="preserve">D40</t>
  </si>
  <si>
    <t xml:space="preserve">golokaṁ</t>
  </si>
  <si>
    <t xml:space="preserve">D45</t>
  </si>
  <si>
    <t xml:space="preserve">srīvallabhā</t>
  </si>
  <si>
    <t xml:space="preserve">Varga Names</t>
  </si>
  <si>
    <r>
      <rPr>
        <sz val="11"/>
        <color rgb="FF000000"/>
        <rFont val="Noto Sans Devanagari"/>
        <family val="2"/>
        <charset val="1"/>
      </rPr>
      <t xml:space="preserve">पाचक</t>
    </r>
    <r>
      <rPr>
        <sz val="11"/>
        <color rgb="FF000000"/>
        <rFont val="Trebuchet MS"/>
        <family val="2"/>
        <charset val="1"/>
      </rPr>
      <t xml:space="preserve">/pācaka</t>
    </r>
  </si>
  <si>
    <r>
      <rPr>
        <sz val="11"/>
        <color rgb="FF000000"/>
        <rFont val="Noto Sans Devanagari"/>
        <family val="2"/>
        <charset val="1"/>
      </rPr>
      <t xml:space="preserve">बोधक</t>
    </r>
    <r>
      <rPr>
        <sz val="11"/>
        <color rgb="FF000000"/>
        <rFont val="Trebuchet MS"/>
        <family val="2"/>
        <charset val="1"/>
      </rPr>
      <t xml:space="preserve">/bodhaka</t>
    </r>
  </si>
  <si>
    <r>
      <rPr>
        <sz val="11"/>
        <color rgb="FF000000"/>
        <rFont val="Noto Sans Devanagari"/>
        <family val="2"/>
        <charset val="1"/>
      </rPr>
      <t xml:space="preserve">कारक</t>
    </r>
    <r>
      <rPr>
        <sz val="11"/>
        <color rgb="FF000000"/>
        <rFont val="Trebuchet MS"/>
        <family val="2"/>
        <charset val="1"/>
      </rPr>
      <t xml:space="preserve">/kāraka</t>
    </r>
  </si>
  <si>
    <r>
      <rPr>
        <sz val="11"/>
        <color rgb="FF000000"/>
        <rFont val="Noto Sans Devanagari"/>
        <family val="2"/>
        <charset val="1"/>
      </rPr>
      <t xml:space="preserve">वेधक</t>
    </r>
    <r>
      <rPr>
        <sz val="11"/>
        <color rgb="FF000000"/>
        <rFont val="Trebuchet MS"/>
        <family val="2"/>
        <charset val="1"/>
      </rPr>
      <t xml:space="preserve">/vedhaka</t>
    </r>
  </si>
  <si>
    <t xml:space="preserve">Missing</t>
  </si>
  <si>
    <t xml:space="preserve">Moon,Merc</t>
  </si>
  <si>
    <t xml:space="preserve">Jup, Merc</t>
  </si>
  <si>
    <t xml:space="preserve">Jup,Ven</t>
  </si>
  <si>
    <t xml:space="preserve">Sun,Sat</t>
  </si>
  <si>
    <t xml:space="preserve">Merc,Venus</t>
  </si>
  <si>
    <t xml:space="preserve">Jup,</t>
  </si>
  <si>
    <t xml:space="preserve">saumya(soma?)=moon, induputra= mercury ,arka=sun,dineshaputra=Saturn</t>
  </si>
  <si>
    <t xml:space="preserve">The table given in page 22 CoVA is(Reformated)</t>
  </si>
  <si>
    <t xml:space="preserve">planet-&gt;pachak,bodhak,Karak,Vedhak (number in bracket are the houses)</t>
  </si>
  <si>
    <t xml:space="preserve">Sun-&gt;Sat(6),Mars(7),Jup(9),Ven(11)</t>
  </si>
  <si>
    <t xml:space="preserve">Moon-&gt;Venus(7),Mars(9),Sat(11),Sun(3)</t>
  </si>
  <si>
    <t xml:space="preserve">Mars-&gt;Sun(2),Moon(6),Sat(11),Merc(12)</t>
  </si>
  <si>
    <t xml:space="preserve">Merc-&gt;Moon(2),Jup(4),Ven(5),Mars(3)</t>
  </si>
  <si>
    <t xml:space="preserve">Jup-&gt;Sat(6),Mars(5),Moon(7),Sun(12)</t>
  </si>
  <si>
    <t xml:space="preserve">Venus-&gt;Moon(2),Merc(6),Sun(12),Sat(4) [sun and Sat interchanged in ND]</t>
  </si>
  <si>
    <t xml:space="preserve">Saturn-&gt;Venus(3),Moon(11),Jup(6),Mars(7)</t>
  </si>
  <si>
    <t xml:space="preserve">kramaadgrahaH paacakavodhakashca sakaarako vedhakasa.nj~nakashca .</t>
  </si>
  <si>
    <t xml:space="preserve">ma.nd ara jiiv amarashatrupuujyaaH shukra ara suuryaatmaja vaasareshaaH ..119..</t>
  </si>
  <si>
    <t xml:space="preserve">raviindusuuryaatmajacandraputraaH shashaa.nkajiivaacChadharaasuta shca .</t>
  </si>
  <si>
    <t xml:space="preserve">suryaatmajaare.ndudinaadhinaathaaH saum ye.nduputra arka dineshaputraaH ..120..</t>
  </si>
  <si>
    <t xml:space="preserve">shukre.ndudevejyadharaasutaashca bhava.nti tatpaakamukhaa grahe.ndraaH ..121..</t>
  </si>
  <si>
    <t xml:space="preserve">sthaanani vakshye kramasho grahaaNaa.n SaTsaptadharmaayagataaH krameNa .</t>
  </si>
  <si>
    <t xml:space="preserve">bhaanoH shashaa.nkaanmadabhaagyalaabhayukktatastR^itiiyena dharaasutaacca ..122..</t>
  </si>
  <si>
    <t xml:space="preserve">dhanaarilaabhaa.ntyagataabjasuunrdvitiiyavadhvaatm ajasodaraashca .</t>
  </si>
  <si>
    <t xml:space="preserve">gurostuSaSThaatmajakaamaariSphaaH shukraaddhanaarivyayaba.ndhuyuktaaH ..123..</t>
  </si>
  <si>
    <t xml:space="preserve">tR^itiiyalaabaarikalatagaastu dineshasuunoH pravada.nti tajj~naaH ..124..</t>
  </si>
  <si>
    <t xml:space="preserve">Primary</t>
  </si>
  <si>
    <t xml:space="preserve">Secondary</t>
  </si>
  <si>
    <t xml:space="preserve">21,22</t>
  </si>
  <si>
    <t xml:space="preserve">48,70</t>
  </si>
  <si>
    <t xml:space="preserve">23,24</t>
  </si>
  <si>
    <t xml:space="preserve">5,49</t>
  </si>
  <si>
    <t xml:space="preserve">27,28</t>
  </si>
  <si>
    <t xml:space="preserve">10,39</t>
  </si>
  <si>
    <t xml:space="preserve">31,32</t>
  </si>
  <si>
    <t xml:space="preserve">20,54</t>
  </si>
  <si>
    <t xml:space="preserve">33,34</t>
  </si>
  <si>
    <t xml:space="preserve">24,56</t>
  </si>
  <si>
    <t xml:space="preserve">25,26</t>
  </si>
  <si>
    <t xml:space="preserve">6,52</t>
  </si>
  <si>
    <t xml:space="preserve">35,36</t>
  </si>
  <si>
    <t xml:space="preserve">39,82</t>
  </si>
  <si>
    <t xml:space="preserve">RAHU</t>
  </si>
  <si>
    <t xml:space="preserve">41,42</t>
  </si>
  <si>
    <t xml:space="preserve">KETU</t>
  </si>
  <si>
    <t xml:space="preserve">45,46</t>
  </si>
  <si>
    <t xml:space="preserve">Name (IAST)</t>
  </si>
  <si>
    <t xml:space="preserve">Current cycle</t>
  </si>
  <si>
    <t xml:space="preserve">Prior cycle 1</t>
  </si>
  <si>
    <t xml:space="preserve">Prior cycle 2</t>
  </si>
  <si>
    <t xml:space="preserve">Vijaya(SSVM)</t>
  </si>
  <si>
    <t xml:space="preserve">Rashi?</t>
  </si>
  <si>
    <t xml:space="preserve">  1.</t>
  </si>
  <si>
    <t xml:space="preserve">Prabhava</t>
  </si>
  <si>
    <t xml:space="preserve">Pra+Bhava: Creator. </t>
  </si>
  <si>
    <t xml:space="preserve">1987-1988 AD</t>
  </si>
  <si>
    <t xml:space="preserve">1927-1928 AD</t>
  </si>
  <si>
    <t xml:space="preserve">1867-1868 AD</t>
  </si>
  <si>
    <t xml:space="preserve">  2.</t>
  </si>
  <si>
    <t xml:space="preserve">Vibhava</t>
  </si>
  <si>
    <t xml:space="preserve">Vi+Bhava: Evolve,Spread, Grow</t>
  </si>
  <si>
    <t xml:space="preserve">1988-1989 AD</t>
  </si>
  <si>
    <t xml:space="preserve">1928-1929 AD</t>
  </si>
  <si>
    <t xml:space="preserve">1868-1869 AD</t>
  </si>
  <si>
    <t xml:space="preserve">  3.</t>
  </si>
  <si>
    <t xml:space="preserve">Śukla</t>
  </si>
  <si>
    <t xml:space="preserve">White, Pure, Compare with Shukra</t>
  </si>
  <si>
    <t xml:space="preserve">1989-1990 AD</t>
  </si>
  <si>
    <t xml:space="preserve">1929-1930 AD</t>
  </si>
  <si>
    <t xml:space="preserve">1869-1870 AD</t>
  </si>
  <si>
    <t xml:space="preserve">  4.</t>
  </si>
  <si>
    <t xml:space="preserve">Pramodadūta</t>
  </si>
  <si>
    <t xml:space="preserve">Pra+Moda=Excessive Joy</t>
  </si>
  <si>
    <t xml:space="preserve">1990-1991 AD</t>
  </si>
  <si>
    <t xml:space="preserve">1930-1931 AD</t>
  </si>
  <si>
    <t xml:space="preserve">1870-1871 AD</t>
  </si>
  <si>
    <t xml:space="preserve">  5.</t>
  </si>
  <si>
    <t xml:space="preserve">Prajāpati</t>
  </si>
  <si>
    <t xml:space="preserve">Praja+Pati=Lord of Creatures.</t>
  </si>
  <si>
    <t xml:space="preserve">1991-1992 AD</t>
  </si>
  <si>
    <t xml:space="preserve">1931-1932 AD</t>
  </si>
  <si>
    <t xml:space="preserve">1871-1872 AD</t>
  </si>
  <si>
    <t xml:space="preserve">  6.</t>
  </si>
  <si>
    <t xml:space="preserve">Āṅgīrasa</t>
  </si>
  <si>
    <t xml:space="preserve">Son of Angirasa</t>
  </si>
  <si>
    <t xml:space="preserve">1992-1993 AD</t>
  </si>
  <si>
    <t xml:space="preserve">1932-1933 AD</t>
  </si>
  <si>
    <t xml:space="preserve">1872-1873 AD</t>
  </si>
  <si>
    <t xml:space="preserve">  7.</t>
  </si>
  <si>
    <t xml:space="preserve">Śrīmukha</t>
  </si>
  <si>
    <t xml:space="preserve">Shree+Mukha=Beautiful face, </t>
  </si>
  <si>
    <t xml:space="preserve">1993-1994 AD</t>
  </si>
  <si>
    <t xml:space="preserve">1933-1934 AD</t>
  </si>
  <si>
    <t xml:space="preserve">1873-1874 AD</t>
  </si>
  <si>
    <t xml:space="preserve">  8.</t>
  </si>
  <si>
    <t xml:space="preserve">Bhāva</t>
  </si>
  <si>
    <t xml:space="preserve">from Bhu: To become, To Appear</t>
  </si>
  <si>
    <t xml:space="preserve">1994-1995 AD</t>
  </si>
  <si>
    <t xml:space="preserve">1934-1935 AD</t>
  </si>
  <si>
    <t xml:space="preserve">1874-1875 AD</t>
  </si>
  <si>
    <t xml:space="preserve">  9.</t>
  </si>
  <si>
    <t xml:space="preserve">Yuva</t>
  </si>
  <si>
    <t xml:space="preserve">Youth, From Yu root to join or marry</t>
  </si>
  <si>
    <t xml:space="preserve">1995-1996 AD</t>
  </si>
  <si>
    <t xml:space="preserve">1935-1936 AD</t>
  </si>
  <si>
    <t xml:space="preserve">1875-1876 AD</t>
  </si>
  <si>
    <t xml:space="preserve">Dhātṛ</t>
  </si>
  <si>
    <t xml:space="preserve">Founder</t>
  </si>
  <si>
    <t xml:space="preserve">1996-1997 AD</t>
  </si>
  <si>
    <t xml:space="preserve">1936-1937 AD</t>
  </si>
  <si>
    <t xml:space="preserve">1876-1877 AD</t>
  </si>
  <si>
    <t xml:space="preserve">Īśvara</t>
  </si>
  <si>
    <t xml:space="preserve">Master, also for number 11,</t>
  </si>
  <si>
    <t xml:space="preserve">1997-1998 AD</t>
  </si>
  <si>
    <t xml:space="preserve">1937-1938 AD</t>
  </si>
  <si>
    <t xml:space="preserve">1877-1878 AD</t>
  </si>
  <si>
    <t xml:space="preserve">Bahudhānya</t>
  </si>
  <si>
    <t xml:space="preserve">Abundance of Corn</t>
  </si>
  <si>
    <t xml:space="preserve">1998-1999 AD</t>
  </si>
  <si>
    <t xml:space="preserve">1938-1939 AD</t>
  </si>
  <si>
    <t xml:space="preserve">1878-1879 AD</t>
  </si>
  <si>
    <t xml:space="preserve">Pramāthi</t>
  </si>
  <si>
    <t xml:space="preserve">Look:47,  Kali yuga 3102BC: Destroying/like Manthan.</t>
  </si>
  <si>
    <t xml:space="preserve">1999-2000 AD</t>
  </si>
  <si>
    <t xml:space="preserve">1939-1940 AD</t>
  </si>
  <si>
    <t xml:space="preserve">1879-1880 AD</t>
  </si>
  <si>
    <t xml:space="preserve">Vikrama</t>
  </si>
  <si>
    <t xml:space="preserve">Vi+Krama=Proceed, Stride</t>
  </si>
  <si>
    <t xml:space="preserve">2000-2001 AD</t>
  </si>
  <si>
    <t xml:space="preserve">1940-1941 AD</t>
  </si>
  <si>
    <t xml:space="preserve">1880-1881 AD</t>
  </si>
  <si>
    <t xml:space="preserve">Vṛṣa</t>
  </si>
  <si>
    <t xml:space="preserve">Bull, Leader, </t>
  </si>
  <si>
    <t xml:space="preserve">2001-2002 AD</t>
  </si>
  <si>
    <t xml:space="preserve">1941-1942 AD</t>
  </si>
  <si>
    <t xml:space="preserve">1881-1882 AD</t>
  </si>
  <si>
    <t xml:space="preserve">Chitrabhānu</t>
  </si>
  <si>
    <t xml:space="preserve">Mental Fire, Bhairava, Named after same king</t>
  </si>
  <si>
    <t xml:space="preserve">2002-2003 AD</t>
  </si>
  <si>
    <t xml:space="preserve">1942-1943 AD</t>
  </si>
  <si>
    <t xml:space="preserve">1882-1883 AD</t>
  </si>
  <si>
    <t xml:space="preserve">Subhānu</t>
  </si>
  <si>
    <t xml:space="preserve">shining beautifully or brightly </t>
  </si>
  <si>
    <t xml:space="preserve">2003-2004 AD</t>
  </si>
  <si>
    <t xml:space="preserve">1943-1944 AD</t>
  </si>
  <si>
    <t xml:space="preserve">1883-1884 AD</t>
  </si>
  <si>
    <t xml:space="preserve">Tāraṇa</t>
  </si>
  <si>
    <t xml:space="preserve">causing or enabling to cross , helping over a difficulty , liberating , saving</t>
  </si>
  <si>
    <t xml:space="preserve">2004-2005 AD</t>
  </si>
  <si>
    <t xml:space="preserve">1944-1945 AD</t>
  </si>
  <si>
    <t xml:space="preserve">1884-1885 AD</t>
  </si>
  <si>
    <t xml:space="preserve">Pārthiva</t>
  </si>
  <si>
    <t xml:space="preserve">King, From Pritvi, Earthly</t>
  </si>
  <si>
    <t xml:space="preserve">2005-2006 AD</t>
  </si>
  <si>
    <t xml:space="preserve">1945-1946 AD</t>
  </si>
  <si>
    <t xml:space="preserve">1885-1886 AD</t>
  </si>
  <si>
    <t xml:space="preserve">Vyaya</t>
  </si>
  <si>
    <t xml:space="preserve">Loss, Spend, </t>
  </si>
  <si>
    <t xml:space="preserve">2006-2007 AD</t>
  </si>
  <si>
    <t xml:space="preserve">1946-1947 AD</t>
  </si>
  <si>
    <t xml:space="preserve">1886-1887 AD</t>
  </si>
  <si>
    <t xml:space="preserve">Sarvajit</t>
  </si>
  <si>
    <t xml:space="preserve">Winner, Sarva+Jit</t>
  </si>
  <si>
    <t xml:space="preserve">2007-2008 AD</t>
  </si>
  <si>
    <t xml:space="preserve">1947-1948 AD</t>
  </si>
  <si>
    <t xml:space="preserve">1887-1888 AD</t>
  </si>
  <si>
    <t xml:space="preserve">Sarvadhārin</t>
  </si>
  <si>
    <t xml:space="preserve">Protector: Sarva+Dhari</t>
  </si>
  <si>
    <t xml:space="preserve">2008-2009 AD</t>
  </si>
  <si>
    <t xml:space="preserve">1948-1949 AD</t>
  </si>
  <si>
    <t xml:space="preserve">1888-1889 AD</t>
  </si>
  <si>
    <t xml:space="preserve">Virodhin</t>
  </si>
  <si>
    <t xml:space="preserve">opposing </t>
  </si>
  <si>
    <t xml:space="preserve">2009-2010 AD</t>
  </si>
  <si>
    <t xml:space="preserve">1949-1950 AD</t>
  </si>
  <si>
    <t xml:space="preserve">1889-1890 AD</t>
  </si>
  <si>
    <t xml:space="preserve">Vikṛti</t>
  </si>
  <si>
    <t xml:space="preserve">Deformed, Transformed,</t>
  </si>
  <si>
    <t xml:space="preserve">2010-2011 AD</t>
  </si>
  <si>
    <t xml:space="preserve">1950-1951 AD</t>
  </si>
  <si>
    <t xml:space="preserve">1890-1891 AD</t>
  </si>
  <si>
    <t xml:space="preserve">Khara</t>
  </si>
  <si>
    <t xml:space="preserve">Hard, Tough, Sharp (Sharp pointed birds or crying animals)</t>
  </si>
  <si>
    <t xml:space="preserve">2011-2012 AD</t>
  </si>
  <si>
    <t xml:space="preserve">1951-1952 AD</t>
  </si>
  <si>
    <t xml:space="preserve">1891-1892 AD</t>
  </si>
  <si>
    <t xml:space="preserve">Nandana</t>
  </si>
  <si>
    <t xml:space="preserve">Rejoicing (From root Nand)</t>
  </si>
  <si>
    <t xml:space="preserve">2012-2013 AD</t>
  </si>
  <si>
    <t xml:space="preserve">1952-1953 AD</t>
  </si>
  <si>
    <t xml:space="preserve">1892-1893 AD</t>
  </si>
  <si>
    <t xml:space="preserve">Vijaya</t>
  </si>
  <si>
    <t xml:space="preserve">Victory</t>
  </si>
  <si>
    <t xml:space="preserve">2013-2014 AD</t>
  </si>
  <si>
    <t xml:space="preserve">1953-1954 AD</t>
  </si>
  <si>
    <t xml:space="preserve">1893-1894 AD</t>
  </si>
  <si>
    <t xml:space="preserve">1(Kali)</t>
  </si>
  <si>
    <t xml:space="preserve">Winning</t>
  </si>
  <si>
    <t xml:space="preserve">2014-2015 AD</t>
  </si>
  <si>
    <t xml:space="preserve">1954-1955 AD</t>
  </si>
  <si>
    <t xml:space="preserve">1894-1895 AD</t>
  </si>
  <si>
    <t xml:space="preserve">love or the god of love (விளாம் பழம்)</t>
  </si>
  <si>
    <t xml:space="preserve">2015-2016 AD</t>
  </si>
  <si>
    <t xml:space="preserve">1955-1956 AD</t>
  </si>
  <si>
    <t xml:space="preserve">1895-1896 AD</t>
  </si>
  <si>
    <t xml:space="preserve">Durmukha</t>
  </si>
  <si>
    <t xml:space="preserve">bad face, abusive </t>
  </si>
  <si>
    <t xml:space="preserve">2016-2017 AD</t>
  </si>
  <si>
    <t xml:space="preserve">1956-1957 AD</t>
  </si>
  <si>
    <t xml:space="preserve">1896-1897 AD</t>
  </si>
  <si>
    <t xml:space="preserve">Hemalambin</t>
  </si>
  <si>
    <t xml:space="preserve">hema+lamba(Golden Pendant?)</t>
  </si>
  <si>
    <t xml:space="preserve">2017-2018 AD</t>
  </si>
  <si>
    <t xml:space="preserve">1957-1958 AD</t>
  </si>
  <si>
    <t xml:space="preserve">1897-1898 AD</t>
  </si>
  <si>
    <t xml:space="preserve">Vilambin</t>
  </si>
  <si>
    <t xml:space="preserve">Slow, Delay,</t>
  </si>
  <si>
    <t xml:space="preserve">2018-2019 AD</t>
  </si>
  <si>
    <t xml:space="preserve">1958-1959 AD</t>
  </si>
  <si>
    <t xml:space="preserve">1898-1899 AD</t>
  </si>
  <si>
    <t xml:space="preserve">Vikārin</t>
  </si>
  <si>
    <t xml:space="preserve">Bad change, Changing, (Vi+Kaar)</t>
  </si>
  <si>
    <t xml:space="preserve">2019-2020 AD</t>
  </si>
  <si>
    <t xml:space="preserve">1959-1960 AD</t>
  </si>
  <si>
    <t xml:space="preserve">1899-1900 AD</t>
  </si>
  <si>
    <t xml:space="preserve">Śārvarin</t>
  </si>
  <si>
    <t xml:space="preserve">Lord Shiva (Sharva to kill) The moon (Sharva dark)</t>
  </si>
  <si>
    <t xml:space="preserve">2020-2021 AD</t>
  </si>
  <si>
    <t xml:space="preserve">1960-1961 AD</t>
  </si>
  <si>
    <t xml:space="preserve">1900-1901 AD</t>
  </si>
  <si>
    <t xml:space="preserve">Plava</t>
  </si>
  <si>
    <t xml:space="preserve">Refer 41, Float, Boat</t>
  </si>
  <si>
    <t xml:space="preserve">2021-2022 AD</t>
  </si>
  <si>
    <t xml:space="preserve">1961-1962 AD</t>
  </si>
  <si>
    <t xml:space="preserve">1901-1902 AD</t>
  </si>
  <si>
    <t xml:space="preserve">Śubhakṛt</t>
  </si>
  <si>
    <t xml:space="preserve">Fortunate, Good Deed</t>
  </si>
  <si>
    <t xml:space="preserve">2022-2023 AD</t>
  </si>
  <si>
    <t xml:space="preserve">1962-1963 AD</t>
  </si>
  <si>
    <t xml:space="preserve">1902-1903 AD</t>
  </si>
  <si>
    <t xml:space="preserve">Śobhana</t>
  </si>
  <si>
    <t xml:space="preserve">beautiful ,auspicious </t>
  </si>
  <si>
    <t xml:space="preserve">2023-2024 AD</t>
  </si>
  <si>
    <t xml:space="preserve">1963-1964 AD</t>
  </si>
  <si>
    <t xml:space="preserve">1903-1904 AD</t>
  </si>
  <si>
    <t xml:space="preserve">Krodhin</t>
  </si>
  <si>
    <t xml:space="preserve">Angry, Passionate,</t>
  </si>
  <si>
    <t xml:space="preserve">2024-2025 AD</t>
  </si>
  <si>
    <t xml:space="preserve">1964-1965 AD</t>
  </si>
  <si>
    <t xml:space="preserve">1904-1905 AD</t>
  </si>
  <si>
    <t xml:space="preserve">Viśvāvasu</t>
  </si>
  <si>
    <t xml:space="preserve">All Kinds of Wealth</t>
  </si>
  <si>
    <t xml:space="preserve">2025-2026 AD</t>
  </si>
  <si>
    <t xml:space="preserve">1965-1966 AD</t>
  </si>
  <si>
    <t xml:space="preserve">1905-1906 AD</t>
  </si>
  <si>
    <t xml:space="preserve">Parābhava</t>
  </si>
  <si>
    <t xml:space="preserve">Defeating</t>
  </si>
  <si>
    <t xml:space="preserve">2026-2027 AD</t>
  </si>
  <si>
    <t xml:space="preserve">1966-1967 AD</t>
  </si>
  <si>
    <t xml:space="preserve">1906-1907 AD</t>
  </si>
  <si>
    <t xml:space="preserve">Plavaṅga</t>
  </si>
  <si>
    <t xml:space="preserve">Refer 35: Jumping, Monkey, Deer</t>
  </si>
  <si>
    <t xml:space="preserve">2027-2028 AD</t>
  </si>
  <si>
    <t xml:space="preserve">1967-1968 AD</t>
  </si>
  <si>
    <t xml:space="preserve">1907-1908 AD</t>
  </si>
  <si>
    <t xml:space="preserve">Kīlaka</t>
  </si>
  <si>
    <t xml:space="preserve">a pin , bolt </t>
  </si>
  <si>
    <t xml:space="preserve">2028-2029 AD</t>
  </si>
  <si>
    <t xml:space="preserve">1968-1969 AD</t>
  </si>
  <si>
    <t xml:space="preserve">1908-1909 AD</t>
  </si>
  <si>
    <t xml:space="preserve">Saumya</t>
  </si>
  <si>
    <t xml:space="preserve">belonging to Soma(Moon), Soft</t>
  </si>
  <si>
    <t xml:space="preserve">2029-2030 AD</t>
  </si>
  <si>
    <t xml:space="preserve">1969-1970 AD</t>
  </si>
  <si>
    <t xml:space="preserve">1909-1910 AD</t>
  </si>
  <si>
    <t xml:space="preserve">Sādhāraṇa</t>
  </si>
  <si>
    <t xml:space="preserve">Equal to All, Common</t>
  </si>
  <si>
    <t xml:space="preserve">2030-2031 AD</t>
  </si>
  <si>
    <t xml:space="preserve">1970-1971 AD</t>
  </si>
  <si>
    <t xml:space="preserve">1910-1911 AD</t>
  </si>
  <si>
    <t xml:space="preserve">Virodhakṛt</t>
  </si>
  <si>
    <t xml:space="preserve">causing dissension or revolt</t>
  </si>
  <si>
    <t xml:space="preserve">2031-2032 AD</t>
  </si>
  <si>
    <t xml:space="preserve">1971-1972 AD</t>
  </si>
  <si>
    <t xml:space="preserve">1911-1912 AD</t>
  </si>
  <si>
    <t xml:space="preserve">Paridhāvin</t>
  </si>
  <si>
    <t xml:space="preserve">Pari+Dhaava: running round</t>
  </si>
  <si>
    <t xml:space="preserve">2032-2033 AD</t>
  </si>
  <si>
    <t xml:space="preserve">1972-1973 AD</t>
  </si>
  <si>
    <t xml:space="preserve">1912-1913 AD</t>
  </si>
  <si>
    <t xml:space="preserve">Pramādin</t>
  </si>
  <si>
    <t xml:space="preserve">Ref:13, intoxication madness </t>
  </si>
  <si>
    <t xml:space="preserve">2033-2034 AD</t>
  </si>
  <si>
    <t xml:space="preserve">1973-1974 AD</t>
  </si>
  <si>
    <t xml:space="preserve">1913-1914 AD</t>
  </si>
  <si>
    <t xml:space="preserve">Ānanda</t>
  </si>
  <si>
    <t xml:space="preserve">pure happiness</t>
  </si>
  <si>
    <t xml:space="preserve">2034-2035 AD</t>
  </si>
  <si>
    <t xml:space="preserve">1974-1975 AD</t>
  </si>
  <si>
    <t xml:space="preserve">1914-1915 AD</t>
  </si>
  <si>
    <t xml:space="preserve">Rākṣasa</t>
  </si>
  <si>
    <t xml:space="preserve">From Rakshasa, Demons, </t>
  </si>
  <si>
    <t xml:space="preserve">2035-2036 AD</t>
  </si>
  <si>
    <t xml:space="preserve">1975-1976 AD</t>
  </si>
  <si>
    <t xml:space="preserve">1915-1916 AD</t>
  </si>
  <si>
    <t xml:space="preserve">Nala/Anala</t>
  </si>
  <si>
    <t xml:space="preserve">Anala=Fire, </t>
  </si>
  <si>
    <t xml:space="preserve">2036-2037 AD</t>
  </si>
  <si>
    <t xml:space="preserve">1976-1977 AD</t>
  </si>
  <si>
    <t xml:space="preserve">1916-1917 AD</t>
  </si>
  <si>
    <t xml:space="preserve">Piṅgala</t>
  </si>
  <si>
    <t xml:space="preserve">Reddish Brown</t>
  </si>
  <si>
    <t xml:space="preserve">2037-2038 AD</t>
  </si>
  <si>
    <t xml:space="preserve">1977-1978 AD</t>
  </si>
  <si>
    <t xml:space="preserve">1917-1918 AD</t>
  </si>
  <si>
    <t xml:space="preserve">Kālayukta</t>
  </si>
  <si>
    <t xml:space="preserve">fit for the (present) time, seasonable </t>
  </si>
  <si>
    <t xml:space="preserve">2038-2039 AD</t>
  </si>
  <si>
    <t xml:space="preserve">1978-1979 AD</t>
  </si>
  <si>
    <t xml:space="preserve">1918-1919 AD</t>
  </si>
  <si>
    <t xml:space="preserve">Siddhārthin</t>
  </si>
  <si>
    <t xml:space="preserve">one who has accomplished an aim or object , successful , prosperous </t>
  </si>
  <si>
    <t xml:space="preserve">2039-2040 AD</t>
  </si>
  <si>
    <t xml:space="preserve">1979-1980 AD</t>
  </si>
  <si>
    <t xml:space="preserve">1919-1920 AD</t>
  </si>
  <si>
    <t xml:space="preserve">Raudra</t>
  </si>
  <si>
    <t xml:space="preserve">Belonging to Rudra, </t>
  </si>
  <si>
    <t xml:space="preserve">2040-2041 AD</t>
  </si>
  <si>
    <t xml:space="preserve">1980-1981 AD</t>
  </si>
  <si>
    <t xml:space="preserve">1920-1921 AD</t>
  </si>
  <si>
    <t xml:space="preserve">Durmati</t>
  </si>
  <si>
    <t xml:space="preserve">bad disposition of mind , envy , hatred</t>
  </si>
  <si>
    <t xml:space="preserve">2041-2042 AD</t>
  </si>
  <si>
    <t xml:space="preserve">1981-1982 AD</t>
  </si>
  <si>
    <t xml:space="preserve">1921-1922 AD</t>
  </si>
  <si>
    <t xml:space="preserve">Dundubhi</t>
  </si>
  <si>
    <t xml:space="preserve">a drum, A type throw of the dice in gambling</t>
  </si>
  <si>
    <t xml:space="preserve">2042-2043 AD</t>
  </si>
  <si>
    <t xml:space="preserve">1982-1983 AD</t>
  </si>
  <si>
    <t xml:space="preserve">1922-1923 AD</t>
  </si>
  <si>
    <t xml:space="preserve">Rudhirodgārin</t>
  </si>
  <si>
    <t xml:space="preserve">emitting blood </t>
  </si>
  <si>
    <t xml:space="preserve">2043-2044 AD</t>
  </si>
  <si>
    <t xml:space="preserve">1983-1984 AD</t>
  </si>
  <si>
    <t xml:space="preserve">1923-1924 AD</t>
  </si>
  <si>
    <t xml:space="preserve">Raktākṣin</t>
  </si>
  <si>
    <t xml:space="preserve">red-eyed , having red or blood-shot eyes</t>
  </si>
  <si>
    <t xml:space="preserve">2044-2045 AD</t>
  </si>
  <si>
    <t xml:space="preserve">1984-1985 AD</t>
  </si>
  <si>
    <t xml:space="preserve">1924-1925 AD</t>
  </si>
  <si>
    <t xml:space="preserve">Krodhana/Manyu</t>
  </si>
  <si>
    <t xml:space="preserve">inclined to wrath , passionate , angry</t>
  </si>
  <si>
    <t xml:space="preserve">2045-2046 AD</t>
  </si>
  <si>
    <t xml:space="preserve">1985-1986 AD</t>
  </si>
  <si>
    <t xml:space="preserve">1925-1926 AD</t>
  </si>
  <si>
    <t xml:space="preserve">Kṣaya</t>
  </si>
  <si>
    <t xml:space="preserve">end , termination</t>
  </si>
  <si>
    <t xml:space="preserve">2046-2047 AD</t>
  </si>
  <si>
    <t xml:space="preserve">1986-1987 AD</t>
  </si>
  <si>
    <t xml:space="preserve">1926-1927 AD</t>
  </si>
  <si>
    <t xml:space="preserve">Numerology</t>
  </si>
  <si>
    <t xml:space="preserve">4th-Lock</t>
  </si>
  <si>
    <t xml:space="preserve">Lock Number</t>
  </si>
  <si>
    <t xml:space="preserve">7th-Unlock</t>
  </si>
  <si>
    <t xml:space="preserve">Unlock Number</t>
  </si>
  <si>
    <t xml:space="preserve">கௌரி பாஞ்சாங்க</t>
  </si>
  <si>
    <t xml:space="preserve">கிழமை </t>
  </si>
  <si>
    <t xml:space="preserve">காலம் </t>
  </si>
  <si>
    <t xml:space="preserve">6:00-7:30</t>
  </si>
  <si>
    <t xml:space="preserve">7:30-9:00</t>
  </si>
  <si>
    <t xml:space="preserve">9:00-10:30</t>
  </si>
  <si>
    <t xml:space="preserve">10:30-12:00</t>
  </si>
  <si>
    <t xml:space="preserve">12:00-1:30</t>
  </si>
  <si>
    <t xml:space="preserve">1:30-3:00</t>
  </si>
  <si>
    <t xml:space="preserve">3:00-4:30</t>
  </si>
  <si>
    <t xml:space="preserve">4:30-6:00</t>
  </si>
  <si>
    <t xml:space="preserve">ஞாயிறு </t>
  </si>
  <si>
    <t xml:space="preserve">பகல்○</t>
  </si>
  <si>
    <t xml:space="preserve">உத்தி(su)</t>
  </si>
  <si>
    <t xml:space="preserve">அமிர்த(mo)</t>
  </si>
  <si>
    <t xml:space="preserve">ரோகம்(ma)</t>
  </si>
  <si>
    <t xml:space="preserve">லாபம்(me)</t>
  </si>
  <si>
    <t xml:space="preserve">தனம்(ju)</t>
  </si>
  <si>
    <t xml:space="preserve">சுகம்(ve)</t>
  </si>
  <si>
    <t xml:space="preserve">சோரம்(sa)</t>
  </si>
  <si>
    <t xml:space="preserve">விஷம்(Ra)</t>
  </si>
  <si>
    <t xml:space="preserve">"</t>
  </si>
  <si>
    <t xml:space="preserve">இரவு●</t>
  </si>
  <si>
    <t xml:space="preserve">திங்கல்</t>
  </si>
  <si>
    <t xml:space="preserve">செவ்வாய் </t>
  </si>
  <si>
    <t xml:space="preserve">புதன் </t>
  </si>
  <si>
    <t xml:space="preserve">வியாழன் </t>
  </si>
  <si>
    <t xml:space="preserve">வெள்ளி </t>
  </si>
  <si>
    <t xml:space="preserve">சானி </t>
  </si>
  <si>
    <t xml:space="preserve">Day Choghadiya</t>
  </si>
  <si>
    <t xml:space="preserve">Udvega(Su)</t>
  </si>
  <si>
    <t xml:space="preserve">Chala(Ve)</t>
  </si>
  <si>
    <t xml:space="preserve">Labha(Me)</t>
  </si>
  <si>
    <t xml:space="preserve">Amruta(Mo)</t>
  </si>
  <si>
    <t xml:space="preserve">Kal(Sa)</t>
  </si>
  <si>
    <t xml:space="preserve">Shubha(Ju)</t>
  </si>
  <si>
    <t xml:space="preserve">Roga(Ma)</t>
  </si>
  <si>
    <t xml:space="preserve">Mon</t>
  </si>
  <si>
    <t xml:space="preserve">Tue</t>
  </si>
  <si>
    <t xml:space="preserve">Wed</t>
  </si>
  <si>
    <t xml:space="preserve">Thu</t>
  </si>
  <si>
    <t xml:space="preserve">Fri</t>
  </si>
  <si>
    <t xml:space="preserve"> Night Choghadiya</t>
  </si>
  <si>
    <t xml:space="preserve">triṁśāṁśa phala BPHS 80.9</t>
  </si>
  <si>
    <t xml:space="preserve">D1/D30-&gt;</t>
  </si>
  <si>
    <t xml:space="preserve">Guru</t>
  </si>
  <si>
    <t xml:space="preserve">duṣṭā </t>
  </si>
  <si>
    <t xml:space="preserve">kucaritrā </t>
  </si>
  <si>
    <t xml:space="preserve">samāyā </t>
  </si>
  <si>
    <t xml:space="preserve">sādhvī</t>
  </si>
  <si>
    <t xml:space="preserve">dāsī</t>
  </si>
  <si>
    <t xml:space="preserve">khyātaguṇā </t>
  </si>
  <si>
    <t xml:space="preserve">kalāsu nipuṇā </t>
  </si>
  <si>
    <t xml:space="preserve">guṇavatī </t>
  </si>
  <si>
    <t xml:space="preserve">punarbhū</t>
  </si>
  <si>
    <t xml:space="preserve">chalānvitā</t>
  </si>
  <si>
    <t xml:space="preserve">prakīrṇakāmā</t>
  </si>
  <si>
    <t xml:space="preserve">guṇānvitā </t>
  </si>
  <si>
    <t xml:space="preserve">klībā</t>
  </si>
  <si>
    <t xml:space="preserve">svatantrā </t>
  </si>
  <si>
    <t xml:space="preserve">kulapāṁsanā </t>
  </si>
  <si>
    <t xml:space="preserve">śilpakalā'bhijñā </t>
  </si>
  <si>
    <t xml:space="preserve">bahuguṇā </t>
  </si>
  <si>
    <t xml:space="preserve">patighnī </t>
  </si>
  <si>
    <t xml:space="preserve">vācālā </t>
  </si>
  <si>
    <t xml:space="preserve">satī </t>
  </si>
  <si>
    <t xml:space="preserve">puṁśceṣṭitā </t>
  </si>
  <si>
    <t xml:space="preserve">rājñī </t>
  </si>
  <si>
    <t xml:space="preserve">kulacyutā </t>
  </si>
  <si>
    <t xml:space="preserve">bahuguṇā</t>
  </si>
  <si>
    <t xml:space="preserve">satī matā </t>
  </si>
  <si>
    <t xml:space="preserve">vijñānasaṁyutā </t>
  </si>
  <si>
    <t xml:space="preserve">anekaguṇānvitā</t>
  </si>
  <si>
    <t xml:space="preserve">alparatiḥ</t>
  </si>
  <si>
    <t xml:space="preserve">dāsī </t>
  </si>
  <si>
    <t xml:space="preserve">suprajñā </t>
  </si>
  <si>
    <t xml:space="preserve">duḥsthā khalā </t>
  </si>
  <si>
    <t xml:space="preserve">pativratā </t>
  </si>
  <si>
    <t xml:space="preserve">nīcajanānugā </t>
  </si>
  <si>
    <t xml:space="preserve">Malefics (3,6,11 &amp; Maraka)</t>
  </si>
  <si>
    <t xml:space="preserve">Benefics (Trines Normally)</t>
  </si>
  <si>
    <t xml:space="preserve">Marakas</t>
  </si>
  <si>
    <t xml:space="preserve">RajaYoga(Trine+Kendra)</t>
  </si>
  <si>
    <t xml:space="preserve">Mesha</t>
  </si>
  <si>
    <t xml:space="preserve">Sat, Merc,Venus</t>
  </si>
  <si>
    <t xml:space="preserve">Mars,Jup,Sun</t>
  </si>
  <si>
    <r>
      <rPr>
        <sz val="9"/>
        <color rgb="FF000000"/>
        <rFont val="Arial Unicode MS"/>
        <family val="2"/>
        <charset val="1"/>
      </rPr>
      <t xml:space="preserve">Venus(2</t>
    </r>
    <r>
      <rPr>
        <vertAlign val="superscript"/>
        <sz val="9"/>
        <color rgb="FF000000"/>
        <rFont val="Arial Unicode MS"/>
        <family val="2"/>
        <charset val="1"/>
      </rPr>
      <t xml:space="preserve">nd</t>
    </r>
    <r>
      <rPr>
        <sz val="9"/>
        <color rgb="FF000000"/>
        <rFont val="Arial Unicode MS"/>
        <family val="2"/>
        <charset val="1"/>
      </rPr>
      <t xml:space="preserve">), Sat (11</t>
    </r>
    <r>
      <rPr>
        <vertAlign val="superscript"/>
        <sz val="9"/>
        <color rgb="FF000000"/>
        <rFont val="Arial Unicode MS"/>
        <family val="2"/>
        <charset val="1"/>
      </rPr>
      <t xml:space="preserve">th</t>
    </r>
    <r>
      <rPr>
        <sz val="9"/>
        <color rgb="FF000000"/>
        <rFont val="Arial Unicode MS"/>
        <family val="2"/>
        <charset val="1"/>
      </rPr>
      <t xml:space="preserve">)</t>
    </r>
  </si>
  <si>
    <t xml:space="preserve">Jup+Sat no Raaja Yoga</t>
  </si>
  <si>
    <t xml:space="preserve">Jup,Venus,Moon, Merc(somewhat) ( Has 4 Malefics!)</t>
  </si>
  <si>
    <r>
      <rPr>
        <sz val="9"/>
        <color rgb="FF000000"/>
        <rFont val="Arial Unicode MS"/>
        <family val="2"/>
        <charset val="1"/>
      </rPr>
      <t xml:space="preserve">Saturn,</t>
    </r>
    <r>
      <rPr>
        <b val="true"/>
        <sz val="9"/>
        <color rgb="FF000000"/>
        <rFont val="Arial Unicode MS"/>
        <family val="2"/>
        <charset val="1"/>
      </rPr>
      <t xml:space="preserve">Sun</t>
    </r>
  </si>
  <si>
    <r>
      <rPr>
        <sz val="9"/>
        <color rgb="FF000000"/>
        <rFont val="Arial Unicode MS"/>
        <family val="2"/>
        <charset val="1"/>
      </rPr>
      <t xml:space="preserve">Jup(11</t>
    </r>
    <r>
      <rPr>
        <vertAlign val="superscript"/>
        <sz val="9"/>
        <color rgb="FF000000"/>
        <rFont val="Arial Unicode MS"/>
        <family val="2"/>
        <charset val="1"/>
      </rPr>
      <t xml:space="preserve">th</t>
    </r>
    <r>
      <rPr>
        <sz val="9"/>
        <color rgb="FF000000"/>
        <rFont val="Arial Unicode MS"/>
        <family val="2"/>
        <charset val="1"/>
      </rPr>
      <t xml:space="preserve">) group (,Venus 6</t>
    </r>
    <r>
      <rPr>
        <vertAlign val="superscript"/>
        <sz val="9"/>
        <color rgb="FF000000"/>
        <rFont val="Arial Unicode MS"/>
        <family val="2"/>
        <charset val="1"/>
      </rPr>
      <t xml:space="preserve">th</t>
    </r>
    <r>
      <rPr>
        <sz val="9"/>
        <color rgb="FF000000"/>
        <rFont val="Arial Unicode MS"/>
        <family val="2"/>
        <charset val="1"/>
      </rPr>
      <t xml:space="preserve"> ,Moon 3</t>
    </r>
    <r>
      <rPr>
        <vertAlign val="superscript"/>
        <sz val="9"/>
        <color rgb="FF000000"/>
        <rFont val="Arial Unicode MS"/>
        <family val="2"/>
        <charset val="1"/>
      </rPr>
      <t xml:space="preserve">rd</t>
    </r>
    <r>
      <rPr>
        <sz val="9"/>
        <color rgb="FF000000"/>
        <rFont val="Arial Unicode MS"/>
        <family val="2"/>
        <charset val="1"/>
      </rPr>
      <t xml:space="preserve"> ),Mars(12</t>
    </r>
    <r>
      <rPr>
        <vertAlign val="superscript"/>
        <sz val="9"/>
        <color rgb="FF000000"/>
        <rFont val="Arial Unicode MS"/>
        <family val="2"/>
        <charset val="1"/>
      </rPr>
      <t xml:space="preserve">th</t>
    </r>
    <r>
      <rPr>
        <sz val="9"/>
        <color rgb="FF000000"/>
        <rFont val="Arial Unicode MS"/>
        <family val="2"/>
        <charset val="1"/>
      </rPr>
      <t xml:space="preserve">)</t>
    </r>
  </si>
  <si>
    <t xml:space="preserve">Saturn gives Raja yoga</t>
  </si>
  <si>
    <t xml:space="preserve">No Venus as he is KPD. But,Sun is not Trinal! The only case where non-trine becomes benefic.</t>
  </si>
  <si>
    <t xml:space="preserve">Mars,Jupiter,Sun</t>
  </si>
  <si>
    <r>
      <rPr>
        <sz val="9"/>
        <color rgb="FF000000"/>
        <rFont val="Arial Unicode MS"/>
        <family val="2"/>
        <charset val="1"/>
      </rPr>
      <t xml:space="preserve">Moon(2</t>
    </r>
    <r>
      <rPr>
        <vertAlign val="superscript"/>
        <sz val="9"/>
        <color rgb="FF000000"/>
        <rFont val="Arial Unicode MS"/>
        <family val="2"/>
        <charset val="1"/>
      </rPr>
      <t xml:space="preserve">nd</t>
    </r>
    <r>
      <rPr>
        <sz val="9"/>
        <color rgb="FF000000"/>
        <rFont val="Arial Unicode MS"/>
        <family val="2"/>
        <charset val="1"/>
      </rPr>
      <t xml:space="preserve">)</t>
    </r>
  </si>
  <si>
    <t xml:space="preserve"> No: Sat though Aq is moolatrikona! Why?, Merc for Shubha has KPD</t>
  </si>
  <si>
    <t xml:space="preserve">Venus, Merc</t>
  </si>
  <si>
    <t xml:space="preserve">Mars,Jupiter, Moon</t>
  </si>
  <si>
    <r>
      <rPr>
        <sz val="9"/>
        <color rgb="FF000000"/>
        <rFont val="Arial Unicode MS"/>
        <family val="2"/>
        <charset val="1"/>
      </rPr>
      <t xml:space="preserve">Saturn(8</t>
    </r>
    <r>
      <rPr>
        <vertAlign val="superscript"/>
        <sz val="9"/>
        <color rgb="FF000000"/>
        <rFont val="Arial Unicode MS"/>
        <family val="2"/>
        <charset val="1"/>
      </rPr>
      <t xml:space="preserve">th</t>
    </r>
    <r>
      <rPr>
        <sz val="9"/>
        <color rgb="FF000000"/>
        <rFont val="Arial Unicode MS"/>
        <family val="2"/>
        <charset val="1"/>
      </rPr>
      <t xml:space="preserve">), (Sun 2</t>
    </r>
    <r>
      <rPr>
        <vertAlign val="superscript"/>
        <sz val="9"/>
        <color rgb="FF000000"/>
        <rFont val="Arial Unicode MS"/>
        <family val="2"/>
        <charset val="1"/>
      </rPr>
      <t xml:space="preserve">nd</t>
    </r>
    <r>
      <rPr>
        <sz val="9"/>
        <color rgb="FF000000"/>
        <rFont val="Arial Unicode MS"/>
        <family val="2"/>
        <charset val="1"/>
      </rPr>
      <t xml:space="preserve">)</t>
    </r>
  </si>
  <si>
    <t xml:space="preserve">Mars Raja Yoga</t>
  </si>
  <si>
    <t xml:space="preserve">Merc,Venus,Saturn</t>
  </si>
  <si>
    <t xml:space="preserve">Jupiter, Mars,Sun</t>
  </si>
  <si>
    <r>
      <rPr>
        <sz val="9"/>
        <color rgb="FF000000"/>
        <rFont val="Arial Unicode MS"/>
        <family val="2"/>
        <charset val="1"/>
      </rPr>
      <t xml:space="preserve">Saturn(6</t>
    </r>
    <r>
      <rPr>
        <vertAlign val="superscript"/>
        <sz val="9"/>
        <color rgb="FF000000"/>
        <rFont val="Arial Unicode MS"/>
        <family val="2"/>
        <charset val="1"/>
      </rPr>
      <t xml:space="preserve">th</t>
    </r>
    <r>
      <rPr>
        <sz val="9"/>
        <color rgb="FF000000"/>
        <rFont val="Arial Unicode MS"/>
        <family val="2"/>
        <charset val="1"/>
      </rPr>
      <t xml:space="preserve"> ), Moon(12</t>
    </r>
    <r>
      <rPr>
        <vertAlign val="superscript"/>
        <sz val="9"/>
        <color rgb="FF000000"/>
        <rFont val="Arial Unicode MS"/>
        <family val="2"/>
        <charset val="1"/>
      </rPr>
      <t xml:space="preserve">th</t>
    </r>
    <r>
      <rPr>
        <sz val="9"/>
        <color rgb="FF000000"/>
        <rFont val="Arial Unicode MS"/>
        <family val="2"/>
        <charset val="1"/>
      </rPr>
      <t xml:space="preserve">)</t>
    </r>
  </si>
  <si>
    <t xml:space="preserve">Jup+Venu no raja yoga</t>
  </si>
  <si>
    <t xml:space="preserve">Mars,Jup, Moon</t>
  </si>
  <si>
    <t xml:space="preserve">Mercury,Venus</t>
  </si>
  <si>
    <r>
      <rPr>
        <sz val="9"/>
        <color rgb="FF000000"/>
        <rFont val="Arial Unicode MS"/>
        <family val="2"/>
        <charset val="1"/>
      </rPr>
      <t xml:space="preserve">Venus(2</t>
    </r>
    <r>
      <rPr>
        <vertAlign val="superscript"/>
        <sz val="9"/>
        <color rgb="FF000000"/>
        <rFont val="Arial Unicode MS"/>
        <family val="2"/>
        <charset val="1"/>
      </rPr>
      <t xml:space="preserve">nd</t>
    </r>
    <r>
      <rPr>
        <sz val="9"/>
        <color rgb="FF000000"/>
        <rFont val="Arial Unicode MS"/>
        <family val="2"/>
        <charset val="1"/>
      </rPr>
      <t xml:space="preserve">)</t>
    </r>
  </si>
  <si>
    <t xml:space="preserve">Venus+Merc Good Yoga</t>
  </si>
  <si>
    <t xml:space="preserve">No Saturn for Shubha, Mercury has no KPD?! Only case where Benefic Lagna lord does not have KPD</t>
  </si>
  <si>
    <t xml:space="preserve">Jup,Sun,Mars </t>
  </si>
  <si>
    <t xml:space="preserve">Saturn,Mercury</t>
  </si>
  <si>
    <r>
      <rPr>
        <sz val="9"/>
        <color rgb="FF000000"/>
        <rFont val="Arial Unicode MS"/>
        <family val="2"/>
        <charset val="1"/>
      </rPr>
      <t xml:space="preserve">Mars(2</t>
    </r>
    <r>
      <rPr>
        <vertAlign val="superscript"/>
        <sz val="9"/>
        <color rgb="FF000000"/>
        <rFont val="Arial Unicode MS"/>
        <family val="2"/>
        <charset val="1"/>
      </rPr>
      <t xml:space="preserve">nd</t>
    </r>
    <r>
      <rPr>
        <sz val="9"/>
        <color rgb="FF000000"/>
        <rFont val="Arial Unicode MS"/>
        <family val="2"/>
        <charset val="1"/>
      </rPr>
      <t xml:space="preserve">/7</t>
    </r>
    <r>
      <rPr>
        <vertAlign val="superscript"/>
        <sz val="9"/>
        <color rgb="FF000000"/>
        <rFont val="Arial Unicode MS"/>
        <family val="2"/>
        <charset val="1"/>
      </rPr>
      <t xml:space="preserve">th</t>
    </r>
    <r>
      <rPr>
        <sz val="9"/>
        <color rgb="FF000000"/>
        <rFont val="Arial Unicode MS"/>
        <family val="2"/>
        <charset val="1"/>
      </rPr>
      <t xml:space="preserve">), Jupiter,Sun(11</t>
    </r>
    <r>
      <rPr>
        <vertAlign val="superscript"/>
        <sz val="9"/>
        <color rgb="FF000000"/>
        <rFont val="Arial Unicode MS"/>
        <family val="2"/>
        <charset val="1"/>
      </rPr>
      <t xml:space="preserve">th</t>
    </r>
    <r>
      <rPr>
        <sz val="9"/>
        <color rgb="FF000000"/>
        <rFont val="Arial Unicode MS"/>
        <family val="2"/>
        <charset val="1"/>
      </rPr>
      <t xml:space="preserve">)</t>
    </r>
  </si>
  <si>
    <t xml:space="preserve">Moon+Merc Raja Yoga, Venus Neutral</t>
  </si>
  <si>
    <t xml:space="preserve">No Venus for Shubha he is Sama. Venus has KPD (Kendraadipati Dosha),</t>
  </si>
  <si>
    <t xml:space="preserve">Venus,Merc,Saturn</t>
  </si>
  <si>
    <t xml:space="preserve">Jupiter,Moon</t>
  </si>
  <si>
    <r>
      <rPr>
        <sz val="9"/>
        <color rgb="FF000000"/>
        <rFont val="Arial Unicode MS"/>
        <family val="2"/>
        <charset val="1"/>
      </rPr>
      <t xml:space="preserve">Venus(12</t>
    </r>
    <r>
      <rPr>
        <vertAlign val="superscript"/>
        <sz val="9"/>
        <color rgb="FF000000"/>
        <rFont val="Arial Unicode MS"/>
        <family val="2"/>
        <charset val="1"/>
      </rPr>
      <t xml:space="preserve">th</t>
    </r>
    <r>
      <rPr>
        <sz val="9"/>
        <color rgb="FF000000"/>
        <rFont val="Arial Unicode MS"/>
        <family val="2"/>
        <charset val="1"/>
      </rPr>
      <t xml:space="preserve">/7</t>
    </r>
    <r>
      <rPr>
        <vertAlign val="superscript"/>
        <sz val="9"/>
        <color rgb="FF000000"/>
        <rFont val="Arial Unicode MS"/>
        <family val="2"/>
        <charset val="1"/>
      </rPr>
      <t xml:space="preserve">th</t>
    </r>
    <r>
      <rPr>
        <sz val="9"/>
        <color rgb="FF000000"/>
        <rFont val="Arial Unicode MS"/>
        <family val="2"/>
        <charset val="1"/>
      </rPr>
      <t xml:space="preserve">)</t>
    </r>
  </si>
  <si>
    <t xml:space="preserve">Sun,Moon Yoga Kaaraka, Mars Neutral</t>
  </si>
  <si>
    <t xml:space="preserve">No Mars he is neutral</t>
  </si>
  <si>
    <t xml:space="preserve">Saggittarius</t>
  </si>
  <si>
    <t xml:space="preserve">Venus (Only one malefic Venus)</t>
  </si>
  <si>
    <t xml:space="preserve">Mars,Sun</t>
  </si>
  <si>
    <r>
      <rPr>
        <sz val="9"/>
        <color rgb="FF000000"/>
        <rFont val="Arial Unicode MS"/>
        <family val="2"/>
        <charset val="1"/>
      </rPr>
      <t xml:space="preserve">Saturn(2</t>
    </r>
    <r>
      <rPr>
        <vertAlign val="superscript"/>
        <sz val="9"/>
        <color rgb="FF000000"/>
        <rFont val="Arial Unicode MS"/>
        <family val="2"/>
        <charset val="1"/>
      </rPr>
      <t xml:space="preserve">nd</t>
    </r>
    <r>
      <rPr>
        <sz val="9"/>
        <color rgb="FF000000"/>
        <rFont val="Arial Unicode MS"/>
        <family val="2"/>
        <charset val="1"/>
      </rPr>
      <t xml:space="preserve">)</t>
    </r>
  </si>
  <si>
    <t xml:space="preserve">Jupiter is Neutral, Sun+Merc = Raja Yoga</t>
  </si>
  <si>
    <t xml:space="preserve">Jupiter afflicted by KPD</t>
  </si>
  <si>
    <t xml:space="preserve">Mars,Jupiter,Moon</t>
  </si>
  <si>
    <t xml:space="preserve">Venus,Mercury</t>
  </si>
  <si>
    <r>
      <rPr>
        <sz val="9"/>
        <color rgb="FF000000"/>
        <rFont val="Arial Unicode MS"/>
        <family val="2"/>
        <charset val="1"/>
      </rPr>
      <t xml:space="preserve">Mars (11</t>
    </r>
    <r>
      <rPr>
        <vertAlign val="superscript"/>
        <sz val="9"/>
        <color rgb="FF000000"/>
        <rFont val="Arial Unicode MS"/>
        <family val="2"/>
        <charset val="1"/>
      </rPr>
      <t xml:space="preserve">th</t>
    </r>
    <r>
      <rPr>
        <sz val="9"/>
        <color rgb="FF000000"/>
        <rFont val="Arial Unicode MS"/>
        <family val="2"/>
        <charset val="1"/>
      </rPr>
      <t xml:space="preserve">)</t>
    </r>
  </si>
  <si>
    <t xml:space="preserve">Sun is neutral, Venus is yoga karaka</t>
  </si>
  <si>
    <t xml:space="preserve">No Saturn for Shubha though he is lagna Lord</t>
  </si>
  <si>
    <t xml:space="preserve">Jupiter,Moon, Mars</t>
  </si>
  <si>
    <t xml:space="preserve">Venus, Saturn</t>
  </si>
  <si>
    <r>
      <rPr>
        <sz val="9"/>
        <color rgb="FF000000"/>
        <rFont val="Arial Unicode MS"/>
        <family val="2"/>
        <charset val="1"/>
      </rPr>
      <t xml:space="preserve">Jupiter(2</t>
    </r>
    <r>
      <rPr>
        <vertAlign val="superscript"/>
        <sz val="9"/>
        <color rgb="FF000000"/>
        <rFont val="Arial Unicode MS"/>
        <family val="2"/>
        <charset val="1"/>
      </rPr>
      <t xml:space="preserve">nd</t>
    </r>
    <r>
      <rPr>
        <sz val="9"/>
        <color rgb="FF000000"/>
        <rFont val="Arial Unicode MS"/>
        <family val="2"/>
        <charset val="1"/>
      </rPr>
      <t xml:space="preserve">/11</t>
    </r>
    <r>
      <rPr>
        <vertAlign val="superscript"/>
        <sz val="9"/>
        <color rgb="FF000000"/>
        <rFont val="Arial Unicode MS"/>
        <family val="2"/>
        <charset val="1"/>
      </rPr>
      <t xml:space="preserve">th</t>
    </r>
    <r>
      <rPr>
        <sz val="9"/>
        <color rgb="FF000000"/>
        <rFont val="Arial Unicode MS"/>
        <family val="2"/>
        <charset val="1"/>
      </rPr>
      <t xml:space="preserve">), Mars (3</t>
    </r>
    <r>
      <rPr>
        <vertAlign val="superscript"/>
        <sz val="9"/>
        <color rgb="FF000000"/>
        <rFont val="Arial Unicode MS"/>
        <family val="2"/>
        <charset val="1"/>
      </rPr>
      <t xml:space="preserve">rd</t>
    </r>
    <r>
      <rPr>
        <sz val="9"/>
        <color rgb="FF000000"/>
        <rFont val="Arial Unicode MS"/>
        <family val="2"/>
        <charset val="1"/>
      </rPr>
      <t xml:space="preserve">),Sun(7</t>
    </r>
    <r>
      <rPr>
        <vertAlign val="superscript"/>
        <sz val="9"/>
        <color rgb="FF000000"/>
        <rFont val="Arial Unicode MS"/>
        <family val="2"/>
        <charset val="1"/>
      </rPr>
      <t xml:space="preserve">th</t>
    </r>
    <r>
      <rPr>
        <sz val="9"/>
        <color rgb="FF000000"/>
        <rFont val="Arial Unicode MS"/>
        <family val="2"/>
        <charset val="1"/>
      </rPr>
      <t xml:space="preserve">)</t>
    </r>
  </si>
  <si>
    <t xml:space="preserve">Venus Raja yoga karaka,Mercury Neutral</t>
  </si>
  <si>
    <t xml:space="preserve">No Mercury for shubha he is neutral</t>
  </si>
  <si>
    <t xml:space="preserve">Meena</t>
  </si>
  <si>
    <t xml:space="preserve">Saturn,Venus,Sun, Venus (Has 4 Malefics!)</t>
  </si>
  <si>
    <t xml:space="preserve">Mars,Moon</t>
  </si>
  <si>
    <r>
      <rPr>
        <sz val="9"/>
        <color rgb="FF000000"/>
        <rFont val="Arial Unicode MS"/>
        <family val="2"/>
        <charset val="1"/>
      </rPr>
      <t xml:space="preserve">Mars(2</t>
    </r>
    <r>
      <rPr>
        <vertAlign val="superscript"/>
        <sz val="9"/>
        <color rgb="FF000000"/>
        <rFont val="Arial Unicode MS"/>
        <family val="2"/>
        <charset val="1"/>
      </rPr>
      <t xml:space="preserve">nd</t>
    </r>
    <r>
      <rPr>
        <sz val="9"/>
        <color rgb="FF000000"/>
        <rFont val="Arial Unicode MS"/>
        <family val="2"/>
        <charset val="1"/>
      </rPr>
      <t xml:space="preserve">) (conjoined), Saturn(12</t>
    </r>
    <r>
      <rPr>
        <vertAlign val="superscript"/>
        <sz val="9"/>
        <color rgb="FF000000"/>
        <rFont val="Arial Unicode MS"/>
        <family val="2"/>
        <charset val="1"/>
      </rPr>
      <t xml:space="preserve">th</t>
    </r>
    <r>
      <rPr>
        <sz val="9"/>
        <color rgb="FF000000"/>
        <rFont val="Arial Unicode MS"/>
        <family val="2"/>
        <charset val="1"/>
      </rPr>
      <t xml:space="preserve">), Mercury(7</t>
    </r>
    <r>
      <rPr>
        <vertAlign val="superscript"/>
        <sz val="9"/>
        <color rgb="FF000000"/>
        <rFont val="Arial Unicode MS"/>
        <family val="2"/>
        <charset val="1"/>
      </rPr>
      <t xml:space="preserve">th</t>
    </r>
    <r>
      <rPr>
        <sz val="9"/>
        <color rgb="FF000000"/>
        <rFont val="Arial Unicode MS"/>
        <family val="2"/>
        <charset val="1"/>
      </rPr>
      <t xml:space="preserve">)</t>
    </r>
  </si>
  <si>
    <t xml:space="preserve">Mars+Moon=Raja Yoga</t>
  </si>
  <si>
    <t xml:space="preserve">Sign</t>
  </si>
  <si>
    <t xml:space="preserve">VaidyanaathaDx</t>
  </si>
  <si>
    <t xml:space="preserve">Varaahamihira</t>
  </si>
  <si>
    <t xml:space="preserve">Malefic</t>
  </si>
  <si>
    <t xml:space="preserve">Man with white dhoti, dark complexion, protecting with axe, red eyes </t>
  </si>
  <si>
    <t xml:space="preserve">Benefic</t>
  </si>
  <si>
    <t xml:space="preserve">Woman wearing Red, fond of ornaments and food, pot shapped, horse faced,thirsty,(eka paden/one legged?)</t>
  </si>
  <si>
    <t xml:space="preserve">Count - VaidyanaathaDx*</t>
  </si>
  <si>
    <t xml:space="preserve">Mixed</t>
  </si>
  <si>
    <t xml:space="preserve">Man Cruel,Artist, Yellow(Kapila), Task Minded, Unprincipled, Holding Baton, Red cloth, Agressive (Chanda)</t>
  </si>
  <si>
    <t xml:space="preserve">Vrishabha</t>
  </si>
  <si>
    <t xml:space="preserve">Women curled/dishealve/cut hair, pot shapped, burnt cloths, thirsty, fond of food and ornaments</t>
  </si>
  <si>
    <t xml:space="preserve">Man knowing Agriculture and animals with carts, ox like shoulders, </t>
  </si>
  <si>
    <t xml:space="preserve">WaterBearing</t>
  </si>
  <si>
    <t xml:space="preserve">Man with Elephant features, white teeth,legs like sharabha (like tiger), yellowish, catches of sheep and deer.</t>
  </si>
  <si>
    <t xml:space="preserve">Mithuna</t>
  </si>
  <si>
    <t xml:space="preserve">Women fond of needle work,goodlooking and fond of ornaments, less children, raised hand?</t>
  </si>
  <si>
    <t xml:space="preserve">Man in Garden with armour, bow. Brave, Face like Garuda,Playful,with children,ornaments and wealth</t>
  </si>
  <si>
    <t xml:space="preserve">Man decorated, like varuna, many jewels,armoured with quiver and bow, skilled in dancing,arts and poetry.</t>
  </si>
  <si>
    <t xml:space="preserve">Karka</t>
  </si>
  <si>
    <t xml:space="preserve">Man holding leaves fruits and roots, with elephant features,(forest resident?), feet like sharabha(like tiger?), horse necked</t>
  </si>
  <si>
    <t xml:space="preserve">Female having lotus on head?,with bhogi, between branches of phalaasha, crying?</t>
  </si>
  <si>
    <t xml:space="preserve">Man with Wife,jewels, travelling ocean, with ships,wearing snakes(like dress?), in search of wealth.</t>
  </si>
  <si>
    <t xml:space="preserve">Simha</t>
  </si>
  <si>
    <t xml:space="preserve">Man wearing dirty clother and on shaalmali tree a vulture,a jackal, dog, crying parents, brahmans?,</t>
  </si>
  <si>
    <t xml:space="preserve">Man with horse like body, wearing white garlands, wearing black blanket, fierce like lion with bow in hand and bent nose.</t>
  </si>
  <si>
    <t xml:space="preserve">Man with bears face, behaves like monkey, holds a baton, has fruits and meats, rough/curled hair?</t>
  </si>
  <si>
    <t xml:space="preserve">Kanya</t>
  </si>
  <si>
    <t xml:space="preserve">Tula</t>
  </si>
  <si>
    <t xml:space="preserve">Vrishchika</t>
  </si>
  <si>
    <t xml:space="preserve">Dhanura</t>
  </si>
  <si>
    <t xml:space="preserve">Makara</t>
  </si>
  <si>
    <t xml:space="preserve">Kumbha</t>
  </si>
  <si>
    <t xml:space="preserve">Selected Hora</t>
  </si>
  <si>
    <t xml:space="preserve">Sunrise</t>
  </si>
  <si>
    <t xml:space="preserve">Hours</t>
  </si>
  <si>
    <t xml:space="preserve">*Bold is Rahu Kaalam</t>
  </si>
  <si>
    <t xml:space="preserve">Border</t>
  </si>
  <si>
    <t xml:space="preserve">Nakshatra-Rashi</t>
  </si>
  <si>
    <t xml:space="preserve">Ashvini/Aries/Mesha</t>
  </si>
  <si>
    <t xml:space="preserve">Taurus/Rishabha</t>
  </si>
  <si>
    <t xml:space="preserve">Gemini/Mithuna</t>
  </si>
  <si>
    <t xml:space="preserve">Cancer/Karka</t>
  </si>
  <si>
    <t xml:space="preserve">Magha/Leo/Simha</t>
  </si>
  <si>
    <t xml:space="preserve">Virgo/Kanya</t>
  </si>
  <si>
    <t xml:space="preserve">Libra/Tula</t>
  </si>
  <si>
    <t xml:space="preserve">Scorpio/Vrischika</t>
  </si>
  <si>
    <t xml:space="preserve">Mula/Saggittarius/Dhanush</t>
  </si>
  <si>
    <t xml:space="preserve">Capricorn/Makara</t>
  </si>
  <si>
    <t xml:space="preserve">Aquarius/Kumbha</t>
  </si>
  <si>
    <t xml:space="preserve">Pisces/Meena</t>
  </si>
  <si>
    <t xml:space="preserve">L-&gt;H</t>
  </si>
  <si>
    <t xml:space="preserve">1H</t>
  </si>
  <si>
    <t xml:space="preserve">2H</t>
  </si>
  <si>
    <t xml:space="preserve">3H</t>
  </si>
  <si>
    <t xml:space="preserve">4H</t>
  </si>
  <si>
    <t xml:space="preserve">5H</t>
  </si>
  <si>
    <t xml:space="preserve">6H</t>
  </si>
  <si>
    <t xml:space="preserve">7H</t>
  </si>
  <si>
    <t xml:space="preserve">8H</t>
  </si>
  <si>
    <t xml:space="preserve">9H</t>
  </si>
  <si>
    <t xml:space="preserve">10H</t>
  </si>
  <si>
    <t xml:space="preserve">11H</t>
  </si>
  <si>
    <t xml:space="preserve">12H</t>
  </si>
  <si>
    <t xml:space="preserve">1L</t>
  </si>
  <si>
    <t xml:space="preserve">2L</t>
  </si>
  <si>
    <t xml:space="preserve">3L</t>
  </si>
  <si>
    <t xml:space="preserve">4L</t>
  </si>
  <si>
    <t xml:space="preserve">5L</t>
  </si>
  <si>
    <t xml:space="preserve">6L</t>
  </si>
  <si>
    <t xml:space="preserve">7L</t>
  </si>
  <si>
    <t xml:space="preserve">8L</t>
  </si>
  <si>
    <t xml:space="preserve">9L</t>
  </si>
  <si>
    <t xml:space="preserve">10L</t>
  </si>
  <si>
    <t xml:space="preserve">11L</t>
  </si>
  <si>
    <t xml:space="preserve">12L</t>
  </si>
  <si>
    <t xml:space="preserve">Jeeva</t>
  </si>
  <si>
    <t xml:space="preserve">Ashwini-1</t>
  </si>
  <si>
    <t xml:space="preserve">Dhanur</t>
  </si>
  <si>
    <t xml:space="preserve">Ashwini-2</t>
  </si>
  <si>
    <t xml:space="preserve">DayDuration</t>
  </si>
  <si>
    <t xml:space="preserve">Start Yama/Kaala</t>
  </si>
  <si>
    <t xml:space="preserve">Maandi</t>
  </si>
  <si>
    <t xml:space="preserve">Position in day</t>
  </si>
  <si>
    <t xml:space="preserve">Position in Night</t>
  </si>
  <si>
    <t xml:space="preserve">Gulika Position</t>
  </si>
  <si>
    <t xml:space="preserve">NightDuration</t>
  </si>
  <si>
    <t xml:space="preserve">Starting Tattva</t>
  </si>
  <si>
    <t xml:space="preserve">Kaala#</t>
  </si>
  <si>
    <t xml:space="preserve">15thPart</t>
  </si>
  <si>
    <t xml:space="preserve">Gu-Start</t>
  </si>
  <si>
    <t xml:space="preserve">Gu-End</t>
  </si>
  <si>
    <t xml:space="preserve">Balance</t>
  </si>
  <si>
    <t xml:space="preserve">Table 1: Tattva periods </t>
  </si>
  <si>
    <t xml:space="preserve">BirthGhatika</t>
  </si>
  <si>
    <t xml:space="preserve">Kaala Duration</t>
  </si>
  <si>
    <t xml:space="preserve">BirthKalaIndex</t>
  </si>
  <si>
    <t xml:space="preserve">Tattva Duration</t>
  </si>
  <si>
    <t xml:space="preserve">Tattva Period</t>
  </si>
  <si>
    <t xml:space="preserve">BirthTattvaIndex</t>
  </si>
  <si>
    <t xml:space="preserve">'</t>
  </si>
  <si>
    <t xml:space="preserve">Nite</t>
  </si>
  <si>
    <t xml:space="preserve">Påthvé 1</t>
  </si>
  <si>
    <t xml:space="preserve">Day Birth</t>
  </si>
  <si>
    <t xml:space="preserve">Thur</t>
  </si>
  <si>
    <t xml:space="preserve">Jala 2</t>
  </si>
  <si>
    <t xml:space="preserve">Agni 3</t>
  </si>
  <si>
    <t xml:space="preserve">Vayu 4</t>
  </si>
  <si>
    <t xml:space="preserve">Akasha 5</t>
  </si>
  <si>
    <t xml:space="preserve">Akasha 5 </t>
  </si>
  <si>
    <t xml:space="preserve">Vayu 4 </t>
  </si>
  <si>
    <t xml:space="preserve">Agni 3 </t>
  </si>
  <si>
    <t xml:space="preserve">Jala 2 </t>
  </si>
  <si>
    <t xml:space="preserve">NIGHT</t>
  </si>
  <si>
    <t xml:space="preserve">Rasi</t>
  </si>
  <si>
    <t xml:space="preserve">Sym</t>
  </si>
  <si>
    <t xml:space="preserve">Count Order</t>
  </si>
  <si>
    <t xml:space="preserve">Sequence Order</t>
  </si>
  <si>
    <t xml:space="preserve">F</t>
  </si>
  <si>
    <t xml:space="preserve">r</t>
  </si>
  <si>
    <t xml:space="preserve">R</t>
  </si>
  <si>
    <t xml:space="preserve">t</t>
  </si>
  <si>
    <t xml:space="preserve">Dob=</t>
  </si>
  <si>
    <t xml:space="preserve">D-Charts</t>
  </si>
  <si>
    <t xml:space="preserve">Optional</t>
  </si>
  <si>
    <t xml:space="preserve">AqLord</t>
  </si>
  <si>
    <t xml:space="preserve">ScLord</t>
  </si>
  <si>
    <t xml:space="preserve">-- Copy from this Row till indicated Below</t>
  </si>
  <si>
    <t xml:space="preserve">Narayana Dasa Rasi</t>
  </si>
  <si>
    <t xml:space="preserve">Divisional=</t>
  </si>
  <si>
    <t xml:space="preserve">Use Dasa Sesha?</t>
  </si>
  <si>
    <t xml:space="preserve">Sesha</t>
  </si>
  <si>
    <t xml:space="preserve">Dasa Start Sign =</t>
  </si>
  <si>
    <t xml:space="preserve">Av/Aroha</t>
  </si>
  <si>
    <t xml:space="preserve">Ex/Db</t>
  </si>
  <si>
    <t xml:space="preserve">Lord Distance</t>
  </si>
  <si>
    <t xml:space="preserve">Duration
Adjusted for Aroha</t>
  </si>
  <si>
    <t xml:space="preserve">AntarDasa</t>
  </si>
  <si>
    <t xml:space="preserve">--Till HEREto make Another Narayana Dasa and copy,paste the rows </t>
  </si>
  <si>
    <t xml:space="preserve">Narayana Dasa Chaturthamsa</t>
  </si>
  <si>
    <t xml:space="preserve">Narayana Dasa Shodasamsa</t>
  </si>
  <si>
    <t xml:space="preserve">SuDasa</t>
  </si>
  <si>
    <t xml:space="preserve">Aroha</t>
  </si>
  <si>
    <t xml:space="preserve">EAST</t>
  </si>
  <si>
    <t xml:space="preserve">NORTH</t>
  </si>
  <si>
    <r>
      <rPr>
        <sz val="12"/>
        <rFont val="Noto Sans Devanagari"/>
        <family val="2"/>
        <charset val="1"/>
      </rPr>
      <t xml:space="preserve">अ</t>
    </r>
    <r>
      <rPr>
        <sz val="12"/>
        <rFont val="Arial Unicode MS"/>
        <family val="2"/>
        <charset val="1"/>
      </rPr>
      <t xml:space="preserve">/a</t>
    </r>
  </si>
  <si>
    <t xml:space="preserve">Krithika</t>
  </si>
  <si>
    <t xml:space="preserve">Mrigashirisa</t>
  </si>
  <si>
    <t xml:space="preserve">Pusya</t>
  </si>
  <si>
    <t xml:space="preserve">Aslesha</t>
  </si>
  <si>
    <r>
      <rPr>
        <sz val="12"/>
        <rFont val="Noto Sans Devanagari"/>
        <family val="2"/>
        <charset val="1"/>
      </rPr>
      <t xml:space="preserve">आ</t>
    </r>
    <r>
      <rPr>
        <sz val="12"/>
        <rFont val="Arial Unicode MS"/>
        <family val="2"/>
        <charset val="1"/>
      </rPr>
      <t xml:space="preserve">/ā</t>
    </r>
  </si>
  <si>
    <t xml:space="preserve">SOUTH</t>
  </si>
  <si>
    <r>
      <rPr>
        <sz val="12"/>
        <rFont val="Noto Sans Devanagari"/>
        <family val="2"/>
        <charset val="1"/>
      </rPr>
      <t xml:space="preserve">उ</t>
    </r>
    <r>
      <rPr>
        <sz val="12"/>
        <rFont val="Arial Unicode MS"/>
        <family val="2"/>
        <charset val="1"/>
      </rPr>
      <t xml:space="preserve">/u</t>
    </r>
  </si>
  <si>
    <r>
      <rPr>
        <sz val="12"/>
        <rFont val="Noto Sans Devanagari"/>
        <family val="2"/>
        <charset val="1"/>
      </rPr>
      <t xml:space="preserve">व</t>
    </r>
    <r>
      <rPr>
        <sz val="12"/>
        <rFont val="Arial Unicode MS"/>
        <family val="2"/>
        <charset val="1"/>
      </rPr>
      <t xml:space="preserve">/va (+</t>
    </r>
    <r>
      <rPr>
        <sz val="12"/>
        <rFont val="Noto Sans Devanagari"/>
        <family val="2"/>
        <charset val="1"/>
      </rPr>
      <t xml:space="preserve">ब </t>
    </r>
    <r>
      <rPr>
        <sz val="12"/>
        <rFont val="Arial Unicode MS"/>
        <family val="2"/>
        <charset val="1"/>
      </rPr>
      <t xml:space="preserve">ba)</t>
    </r>
  </si>
  <si>
    <r>
      <rPr>
        <sz val="12"/>
        <rFont val="Noto Sans Devanagari"/>
        <family val="2"/>
        <charset val="1"/>
      </rPr>
      <t xml:space="preserve">क</t>
    </r>
    <r>
      <rPr>
        <sz val="12"/>
        <rFont val="Arial Unicode MS"/>
        <family val="2"/>
        <charset val="1"/>
      </rPr>
      <t xml:space="preserve">/ka
</t>
    </r>
    <r>
      <rPr>
        <sz val="10"/>
        <rFont val="Noto Sans Devanagari"/>
        <family val="2"/>
        <charset val="1"/>
      </rPr>
      <t xml:space="preserve">कु घ ङ च</t>
    </r>
  </si>
  <si>
    <r>
      <rPr>
        <sz val="12"/>
        <rFont val="Noto Sans Devanagari"/>
        <family val="2"/>
        <charset val="1"/>
      </rPr>
      <t xml:space="preserve">ह</t>
    </r>
    <r>
      <rPr>
        <sz val="12"/>
        <rFont val="Arial Unicode MS"/>
        <family val="2"/>
        <charset val="1"/>
      </rPr>
      <t xml:space="preserve">/ha</t>
    </r>
  </si>
  <si>
    <r>
      <rPr>
        <sz val="12"/>
        <rFont val="Noto Sans Devanagari"/>
        <family val="2"/>
        <charset val="1"/>
      </rPr>
      <t xml:space="preserve">ड</t>
    </r>
    <r>
      <rPr>
        <sz val="12"/>
        <rFont val="Arial Unicode MS"/>
        <family val="2"/>
        <charset val="1"/>
      </rPr>
      <t xml:space="preserve">/ḍa</t>
    </r>
  </si>
  <si>
    <r>
      <rPr>
        <sz val="12"/>
        <rFont val="Noto Sans Devanagari"/>
        <family val="2"/>
        <charset val="1"/>
      </rPr>
      <t xml:space="preserve">ऊ</t>
    </r>
    <r>
      <rPr>
        <sz val="12"/>
        <rFont val="Arial Unicode MS"/>
        <family val="2"/>
        <charset val="1"/>
      </rPr>
      <t xml:space="preserve">/ū</t>
    </r>
  </si>
  <si>
    <t xml:space="preserve">Makha</t>
  </si>
  <si>
    <t xml:space="preserve">Ash,Push,Has,Abhi</t>
  </si>
  <si>
    <r>
      <rPr>
        <sz val="12"/>
        <rFont val="Noto Sans Devanagari"/>
        <family val="2"/>
        <charset val="1"/>
      </rPr>
      <t xml:space="preserve">ल</t>
    </r>
    <r>
      <rPr>
        <sz val="12"/>
        <rFont val="Arial Unicode MS"/>
        <family val="2"/>
        <charset val="1"/>
      </rPr>
      <t xml:space="preserve">/la</t>
    </r>
  </si>
  <si>
    <r>
      <rPr>
        <sz val="12"/>
        <rFont val="Noto Sans Devanagari"/>
        <family val="2"/>
        <charset val="1"/>
      </rPr>
      <t xml:space="preserve">ऌ</t>
    </r>
    <r>
      <rPr>
        <sz val="12"/>
        <rFont val="Arial Unicode MS"/>
        <family val="2"/>
        <charset val="1"/>
      </rPr>
      <t xml:space="preserve">/ḷ</t>
    </r>
  </si>
  <si>
    <t xml:space="preserve">Vrishab</t>
  </si>
  <si>
    <t xml:space="preserve">Mithun</t>
  </si>
  <si>
    <t xml:space="preserve">Kark</t>
  </si>
  <si>
    <r>
      <rPr>
        <sz val="12"/>
        <rFont val="Noto Sans Devanagari"/>
        <family val="2"/>
        <charset val="1"/>
      </rPr>
      <t xml:space="preserve">ऌ</t>
    </r>
    <r>
      <rPr>
        <sz val="12"/>
        <rFont val="Arial Unicode MS"/>
        <family val="2"/>
        <charset val="1"/>
      </rPr>
      <t xml:space="preserve">/ḷi</t>
    </r>
  </si>
  <si>
    <r>
      <rPr>
        <sz val="12"/>
        <rFont val="Noto Sans Devanagari"/>
        <family val="2"/>
        <charset val="1"/>
      </rPr>
      <t xml:space="preserve">म</t>
    </r>
    <r>
      <rPr>
        <sz val="12"/>
        <rFont val="Arial Unicode MS"/>
        <family val="2"/>
        <charset val="1"/>
      </rPr>
      <t xml:space="preserve">/ma</t>
    </r>
  </si>
  <si>
    <t xml:space="preserve">Poorva phalguni</t>
  </si>
  <si>
    <t xml:space="preserve">3Pu,,Yama,Pitru</t>
  </si>
  <si>
    <r>
      <rPr>
        <sz val="12"/>
        <rFont val="Noto Sans Devanagari"/>
        <family val="2"/>
        <charset val="1"/>
      </rPr>
      <t xml:space="preserve">च</t>
    </r>
    <r>
      <rPr>
        <sz val="12"/>
        <rFont val="Arial Unicode MS"/>
        <family val="2"/>
        <charset val="1"/>
      </rPr>
      <t xml:space="preserve">/ca</t>
    </r>
  </si>
  <si>
    <t xml:space="preserve">Mesh</t>
  </si>
  <si>
    <r>
      <rPr>
        <sz val="12"/>
        <rFont val="Noto Sans Devanagari"/>
        <family val="2"/>
        <charset val="1"/>
      </rPr>
      <t xml:space="preserve">ओ</t>
    </r>
    <r>
      <rPr>
        <sz val="12"/>
        <rFont val="Arial Unicode MS"/>
        <family val="2"/>
        <charset val="1"/>
      </rPr>
      <t xml:space="preserve">/o</t>
    </r>
  </si>
  <si>
    <r>
      <rPr>
        <sz val="10"/>
        <rFont val="Arial Unicode MS"/>
        <family val="2"/>
        <charset val="1"/>
      </rPr>
      <t xml:space="preserve">Nanda </t>
    </r>
    <r>
      <rPr>
        <b val="true"/>
        <sz val="10"/>
        <rFont val="Arial Unicode MS"/>
        <family val="2"/>
        <charset val="1"/>
      </rPr>
      <t xml:space="preserve">Sunday Tuesday</t>
    </r>
  </si>
  <si>
    <r>
      <rPr>
        <sz val="12"/>
        <rFont val="Noto Sans Devanagari"/>
        <family val="2"/>
        <charset val="1"/>
      </rPr>
      <t xml:space="preserve">औ</t>
    </r>
    <r>
      <rPr>
        <sz val="12"/>
        <rFont val="Arial Unicode MS"/>
        <family val="2"/>
        <charset val="1"/>
      </rPr>
      <t xml:space="preserve">/au</t>
    </r>
  </si>
  <si>
    <r>
      <rPr>
        <sz val="12"/>
        <rFont val="Noto Sans Devanagari"/>
        <family val="2"/>
        <charset val="1"/>
      </rPr>
      <t xml:space="preserve">ट</t>
    </r>
    <r>
      <rPr>
        <sz val="12"/>
        <rFont val="Arial Unicode MS"/>
        <family val="2"/>
        <charset val="1"/>
      </rPr>
      <t xml:space="preserve">/ṭa</t>
    </r>
  </si>
  <si>
    <t xml:space="preserve">Uttara phalguni</t>
  </si>
  <si>
    <t xml:space="preserve">Kri,Visha</t>
  </si>
  <si>
    <t xml:space="preserve">Uttara bhadrapada</t>
  </si>
  <si>
    <r>
      <rPr>
        <sz val="12"/>
        <rFont val="Noto Sans Devanagari"/>
        <family val="2"/>
        <charset val="1"/>
      </rPr>
      <t xml:space="preserve">द</t>
    </r>
    <r>
      <rPr>
        <sz val="12"/>
        <rFont val="Arial Unicode MS"/>
        <family val="2"/>
        <charset val="1"/>
      </rPr>
      <t xml:space="preserve">/da
</t>
    </r>
    <r>
      <rPr>
        <sz val="12"/>
        <rFont val="Noto Sans Devanagari"/>
        <family val="2"/>
        <charset val="1"/>
      </rPr>
      <t xml:space="preserve">दु थ झ </t>
    </r>
    <r>
      <rPr>
        <sz val="16"/>
        <color rgb="FF000000"/>
        <rFont val="Noto Sans Devanagari"/>
        <family val="2"/>
        <charset val="1"/>
      </rPr>
      <t xml:space="preserve">ञ</t>
    </r>
  </si>
  <si>
    <r>
      <rPr>
        <sz val="10"/>
        <rFont val="Arial Unicode MS"/>
        <family val="2"/>
        <charset val="1"/>
      </rPr>
      <t xml:space="preserve">Rikta
</t>
    </r>
    <r>
      <rPr>
        <b val="true"/>
        <sz val="10"/>
        <rFont val="Arial Unicode MS"/>
        <family val="2"/>
        <charset val="1"/>
      </rPr>
      <t xml:space="preserve">Friday</t>
    </r>
  </si>
  <si>
    <r>
      <rPr>
        <sz val="10"/>
        <rFont val="Arial Unicode MS"/>
        <family val="2"/>
        <charset val="1"/>
      </rPr>
      <t xml:space="preserve">Poorna </t>
    </r>
    <r>
      <rPr>
        <b val="true"/>
        <sz val="10"/>
        <rFont val="Arial Unicode MS"/>
        <family val="2"/>
        <charset val="1"/>
      </rPr>
      <t xml:space="preserve">Saturday</t>
    </r>
  </si>
  <si>
    <r>
      <rPr>
        <sz val="10"/>
        <rFont val="Arial Unicode MS"/>
        <family val="2"/>
        <charset val="1"/>
      </rPr>
      <t xml:space="preserve">Bhadra
</t>
    </r>
    <r>
      <rPr>
        <b val="true"/>
        <sz val="10"/>
        <rFont val="Arial Unicode MS"/>
        <family val="2"/>
        <charset val="1"/>
      </rPr>
      <t xml:space="preserve">Monday Wednesday</t>
    </r>
  </si>
  <si>
    <r>
      <rPr>
        <sz val="12"/>
        <rFont val="Noto Sans Devanagari"/>
        <family val="2"/>
        <charset val="1"/>
      </rPr>
      <t xml:space="preserve">प</t>
    </r>
    <r>
      <rPr>
        <sz val="12"/>
        <rFont val="Arial Unicode MS"/>
        <family val="2"/>
        <charset val="1"/>
      </rPr>
      <t xml:space="preserve">/pa
 पु ष ण ठ</t>
    </r>
  </si>
  <si>
    <t xml:space="preserve">3 Ut, Ro,</t>
  </si>
  <si>
    <t xml:space="preserve">Poorva bhadrapada</t>
  </si>
  <si>
    <r>
      <rPr>
        <sz val="12"/>
        <rFont val="Noto Sans Devanagari"/>
        <family val="2"/>
        <charset val="1"/>
      </rPr>
      <t xml:space="preserve">स</t>
    </r>
    <r>
      <rPr>
        <sz val="12"/>
        <rFont val="Arial Unicode MS"/>
        <family val="2"/>
        <charset val="1"/>
      </rPr>
      <t xml:space="preserve">/sa (+</t>
    </r>
    <r>
      <rPr>
        <sz val="12"/>
        <rFont val="Noto Sans Devanagari"/>
        <family val="2"/>
        <charset val="1"/>
      </rPr>
      <t xml:space="preserve">श </t>
    </r>
    <r>
      <rPr>
        <sz val="12"/>
        <rFont val="Arial Unicode MS"/>
        <family val="2"/>
        <charset val="1"/>
      </rPr>
      <t xml:space="preserve">śa)</t>
    </r>
  </si>
  <si>
    <t xml:space="preserve">Kumbh</t>
  </si>
  <si>
    <r>
      <rPr>
        <sz val="12"/>
        <rFont val="Noto Sans Devanagari"/>
        <family val="2"/>
        <charset val="1"/>
      </rPr>
      <t xml:space="preserve">अः</t>
    </r>
    <r>
      <rPr>
        <sz val="12"/>
        <rFont val="Arial Unicode MS"/>
        <family val="2"/>
        <charset val="1"/>
      </rPr>
      <t xml:space="preserve">/aḥ</t>
    </r>
  </si>
  <si>
    <r>
      <rPr>
        <sz val="10"/>
        <rFont val="Arial Unicode MS"/>
        <family val="2"/>
        <charset val="1"/>
      </rPr>
      <t xml:space="preserve">Jaya
</t>
    </r>
    <r>
      <rPr>
        <b val="true"/>
        <sz val="10"/>
        <rFont val="Arial Unicode MS"/>
        <family val="2"/>
        <charset val="1"/>
      </rPr>
      <t xml:space="preserve">Thursday</t>
    </r>
  </si>
  <si>
    <r>
      <rPr>
        <sz val="12"/>
        <rFont val="Noto Sans Devanagari"/>
        <family val="2"/>
        <charset val="1"/>
      </rPr>
      <t xml:space="preserve">अं</t>
    </r>
    <r>
      <rPr>
        <sz val="12"/>
        <rFont val="Arial Unicode MS"/>
        <family val="2"/>
        <charset val="1"/>
      </rPr>
      <t xml:space="preserve">/aṁ</t>
    </r>
  </si>
  <si>
    <r>
      <rPr>
        <sz val="12"/>
        <rFont val="Noto Sans Devanagari"/>
        <family val="2"/>
        <charset val="1"/>
      </rPr>
      <t xml:space="preserve">र</t>
    </r>
    <r>
      <rPr>
        <sz val="12"/>
        <rFont val="Arial Unicode MS"/>
        <family val="2"/>
        <charset val="1"/>
      </rPr>
      <t xml:space="preserve">/ra</t>
    </r>
  </si>
  <si>
    <t xml:space="preserve">Anu,,Mrig,Chit,Reva</t>
  </si>
  <si>
    <t xml:space="preserve">Satabhisak</t>
  </si>
  <si>
    <r>
      <rPr>
        <sz val="12"/>
        <rFont val="Noto Sans Devanagari"/>
        <family val="2"/>
        <charset val="1"/>
      </rPr>
      <t xml:space="preserve">ग</t>
    </r>
    <r>
      <rPr>
        <sz val="12"/>
        <rFont val="Arial Unicode MS"/>
        <family val="2"/>
        <charset val="1"/>
      </rPr>
      <t xml:space="preserve">/ga</t>
    </r>
  </si>
  <si>
    <r>
      <rPr>
        <sz val="12"/>
        <rFont val="Noto Sans Devanagari"/>
        <family val="2"/>
        <charset val="1"/>
      </rPr>
      <t xml:space="preserve">ऐ</t>
    </r>
    <r>
      <rPr>
        <sz val="12"/>
        <rFont val="Arial Unicode MS"/>
        <family val="2"/>
        <charset val="1"/>
      </rPr>
      <t xml:space="preserve">/ai</t>
    </r>
  </si>
  <si>
    <t xml:space="preserve">Makar</t>
  </si>
  <si>
    <t xml:space="preserve">Dhanus</t>
  </si>
  <si>
    <t xml:space="preserve">Vrischik</t>
  </si>
  <si>
    <r>
      <rPr>
        <sz val="12"/>
        <rFont val="Noto Sans Devanagari"/>
        <family val="2"/>
        <charset val="1"/>
      </rPr>
      <t xml:space="preserve">ए</t>
    </r>
    <r>
      <rPr>
        <sz val="12"/>
        <rFont val="Arial Unicode MS"/>
        <family val="2"/>
        <charset val="1"/>
      </rPr>
      <t xml:space="preserve">/e</t>
    </r>
  </si>
  <si>
    <r>
      <rPr>
        <sz val="12"/>
        <rFont val="Noto Sans Devanagari"/>
        <family val="2"/>
        <charset val="1"/>
      </rPr>
      <t xml:space="preserve">त</t>
    </r>
    <r>
      <rPr>
        <sz val="12"/>
        <rFont val="Arial Unicode MS"/>
        <family val="2"/>
        <charset val="1"/>
      </rPr>
      <t xml:space="preserve">/ta</t>
    </r>
  </si>
  <si>
    <t xml:space="preserve">Sarp,Raksha,Indra,Rudra</t>
  </si>
  <si>
    <t xml:space="preserve">Dhanista</t>
  </si>
  <si>
    <r>
      <rPr>
        <sz val="12"/>
        <rFont val="Noto Sans Devanagari"/>
        <family val="2"/>
        <charset val="1"/>
      </rPr>
      <t xml:space="preserve">ऋ</t>
    </r>
    <r>
      <rPr>
        <sz val="12"/>
        <rFont val="Arial Unicode MS"/>
        <family val="2"/>
        <charset val="1"/>
      </rPr>
      <t xml:space="preserve">/ṛi</t>
    </r>
  </si>
  <si>
    <r>
      <rPr>
        <sz val="12"/>
        <rFont val="Noto Sans Devanagari"/>
        <family val="2"/>
        <charset val="1"/>
      </rPr>
      <t xml:space="preserve">ख</t>
    </r>
    <r>
      <rPr>
        <sz val="12"/>
        <rFont val="Arial Unicode MS"/>
        <family val="2"/>
        <charset val="1"/>
      </rPr>
      <t xml:space="preserve">/kha (+</t>
    </r>
    <r>
      <rPr>
        <sz val="12"/>
        <rFont val="Noto Sans Devanagari"/>
        <family val="2"/>
        <charset val="1"/>
      </rPr>
      <t xml:space="preserve">ष</t>
    </r>
    <r>
      <rPr>
        <sz val="12"/>
        <rFont val="Arial Unicode MS"/>
        <family val="2"/>
        <charset val="1"/>
      </rPr>
      <t xml:space="preserve">ṣa)</t>
    </r>
  </si>
  <si>
    <r>
      <rPr>
        <sz val="12"/>
        <rFont val="Noto Sans Devanagari"/>
        <family val="2"/>
        <charset val="1"/>
      </rPr>
      <t xml:space="preserve">ज</t>
    </r>
    <r>
      <rPr>
        <sz val="12"/>
        <rFont val="Arial Unicode MS"/>
        <family val="2"/>
        <charset val="1"/>
      </rPr>
      <t xml:space="preserve">/ja</t>
    </r>
  </si>
  <si>
    <r>
      <rPr>
        <sz val="12"/>
        <rFont val="Noto Sans Devanagari"/>
        <family val="2"/>
        <charset val="1"/>
      </rPr>
      <t xml:space="preserve">भ</t>
    </r>
    <r>
      <rPr>
        <sz val="12"/>
        <rFont val="Arial Unicode MS"/>
        <family val="2"/>
        <charset val="1"/>
      </rPr>
      <t xml:space="preserve">/bha
</t>
    </r>
    <r>
      <rPr>
        <sz val="10"/>
        <rFont val="Noto Sans Devanagari"/>
        <family val="2"/>
        <charset val="1"/>
      </rPr>
      <t xml:space="preserve">भु ध फ ट</t>
    </r>
  </si>
  <si>
    <r>
      <rPr>
        <sz val="12"/>
        <rFont val="Noto Sans Devanagari"/>
        <family val="2"/>
        <charset val="1"/>
      </rPr>
      <t xml:space="preserve">य</t>
    </r>
    <r>
      <rPr>
        <sz val="12"/>
        <rFont val="Arial Unicode MS"/>
        <family val="2"/>
        <charset val="1"/>
      </rPr>
      <t xml:space="preserve">/ya</t>
    </r>
  </si>
  <si>
    <r>
      <rPr>
        <sz val="12"/>
        <rFont val="Noto Sans Devanagari"/>
        <family val="2"/>
        <charset val="1"/>
      </rPr>
      <t xml:space="preserve">न</t>
    </r>
    <r>
      <rPr>
        <sz val="12"/>
        <rFont val="Arial Unicode MS"/>
        <family val="2"/>
        <charset val="1"/>
      </rPr>
      <t xml:space="preserve">/na</t>
    </r>
  </si>
  <si>
    <r>
      <rPr>
        <sz val="12"/>
        <rFont val="Noto Sans Devanagari"/>
        <family val="2"/>
        <charset val="1"/>
      </rPr>
      <t xml:space="preserve">ऋ</t>
    </r>
    <r>
      <rPr>
        <sz val="12"/>
        <rFont val="Arial Unicode MS"/>
        <family val="2"/>
        <charset val="1"/>
      </rPr>
      <t xml:space="preserve">/ṛ</t>
    </r>
  </si>
  <si>
    <t xml:space="preserve">Visakha</t>
  </si>
  <si>
    <t xml:space="preserve">Vasu,PuVasu,,Varuna,Vishnu,Vayu,</t>
  </si>
  <si>
    <r>
      <rPr>
        <sz val="12"/>
        <rFont val="Noto Sans Devanagari"/>
        <family val="2"/>
        <charset val="1"/>
      </rPr>
      <t xml:space="preserve">ई</t>
    </r>
    <r>
      <rPr>
        <sz val="12"/>
        <rFont val="Arial Unicode MS"/>
        <family val="2"/>
        <charset val="1"/>
      </rPr>
      <t xml:space="preserve">/ī</t>
    </r>
  </si>
  <si>
    <t xml:space="preserve">Uttar Ashada</t>
  </si>
  <si>
    <t xml:space="preserve">Poorva Ashada</t>
  </si>
  <si>
    <r>
      <rPr>
        <sz val="12"/>
        <rFont val="Noto Sans Devanagari"/>
        <family val="2"/>
        <charset val="1"/>
      </rPr>
      <t xml:space="preserve">इ</t>
    </r>
    <r>
      <rPr>
        <sz val="12"/>
        <rFont val="Arial Unicode MS"/>
        <family val="2"/>
        <charset val="1"/>
      </rPr>
      <t xml:space="preserve">/i</t>
    </r>
  </si>
  <si>
    <t xml:space="preserve">WEST</t>
  </si>
  <si>
    <t xml:space="preserve">Unicode Fonts</t>
  </si>
  <si>
    <t xml:space="preserve">Sahama</t>
  </si>
  <si>
    <t xml:space="preserve">Formula (Shodhaka-Shodhya)+Kshepak</t>
  </si>
  <si>
    <t xml:space="preserve">Tithi Part</t>
  </si>
  <si>
    <t xml:space="preserve">Opposite Correction</t>
  </si>
  <si>
    <t xml:space="preserve">Day/Night Correction2</t>
  </si>
  <si>
    <t xml:space="preserve">Mod360</t>
  </si>
  <si>
    <t xml:space="preserve">Correction IF(Not(Kshepak between Shodhak and Shodya Add 30deg</t>
  </si>
  <si>
    <t xml:space="preserve">LL</t>
  </si>
  <si>
    <t xml:space="preserve">1A</t>
  </si>
  <si>
    <t xml:space="preserve">Fortune/good deeds</t>
  </si>
  <si>
    <t xml:space="preserve">Moon-Sun+Lagna</t>
  </si>
  <si>
    <t xml:space="preserve">Uses Tithi</t>
  </si>
  <si>
    <t xml:space="preserve">1B</t>
  </si>
  <si>
    <t xml:space="preserve">Vidya/Guru</t>
  </si>
  <si>
    <t xml:space="preserve">Education</t>
  </si>
  <si>
    <t xml:space="preserve">Sun-Moon+Lagna</t>
  </si>
  <si>
    <t xml:space="preserve">Yasas</t>
  </si>
  <si>
    <t xml:space="preserve">Fame</t>
  </si>
  <si>
    <t xml:space="preserve">Jupiter-PunyaSaham+Lagna</t>
  </si>
  <si>
    <t xml:space="preserve">Friend</t>
  </si>
  <si>
    <t xml:space="preserve">Jupiter-PunyaSaham+Venus</t>
  </si>
  <si>
    <t xml:space="preserve">Mahatmya</t>
  </si>
  <si>
    <t xml:space="preserve">Greatness</t>
  </si>
  <si>
    <t xml:space="preserve">PunyaSaham-Mars+Lagna</t>
  </si>
  <si>
    <t xml:space="preserve">Asha</t>
  </si>
  <si>
    <t xml:space="preserve">Desires</t>
  </si>
  <si>
    <t xml:space="preserve">Saturn-Mars+Lagna</t>
  </si>
  <si>
    <t xml:space="preserve">Samartha</t>
  </si>
  <si>
    <t xml:space="preserve">Enterprise/ability</t>
  </si>
  <si>
    <t xml:space="preserve">Mars-LagnaLord+Lagna</t>
  </si>
  <si>
    <t xml:space="preserve">Jupiter - Mars + Lagna, if Mars owns lagna)</t>
  </si>
  <si>
    <t xml:space="preserve">Bhratri</t>
  </si>
  <si>
    <t xml:space="preserve">Brothers</t>
  </si>
  <si>
    <t xml:space="preserve">Jupiter-Saturn+Lagna</t>
  </si>
  <si>
    <t xml:space="preserve">same for day &amp; night)</t>
  </si>
  <si>
    <t xml:space="preserve">Gaurava</t>
  </si>
  <si>
    <t xml:space="preserve">Respect/regard</t>
  </si>
  <si>
    <t xml:space="preserve">Jupiter-Moon+Sun</t>
  </si>
  <si>
    <t xml:space="preserve">Pitri</t>
  </si>
  <si>
    <t xml:space="preserve">Father</t>
  </si>
  <si>
    <t xml:space="preserve">Saturn-Sun+Lagna</t>
  </si>
  <si>
    <t xml:space="preserve">Rajya</t>
  </si>
  <si>
    <t xml:space="preserve">Kingdom</t>
  </si>
  <si>
    <t xml:space="preserve">Matri</t>
  </si>
  <si>
    <t xml:space="preserve">Mother</t>
  </si>
  <si>
    <t xml:space="preserve">Moon-Venus+Lagna</t>
  </si>
  <si>
    <t xml:space="preserve">Putra</t>
  </si>
  <si>
    <t xml:space="preserve">Children</t>
  </si>
  <si>
    <t xml:space="preserve">Jupiter-Moon+Lagna</t>
  </si>
  <si>
    <t xml:space="preserve">Life</t>
  </si>
  <si>
    <t xml:space="preserve">Saturn-Jupiter+Lagna</t>
  </si>
  <si>
    <t xml:space="preserve">Action /Work</t>
  </si>
  <si>
    <t xml:space="preserve">Mars-Mercury+Lagna</t>
  </si>
  <si>
    <t xml:space="preserve">Roga</t>
  </si>
  <si>
    <t xml:space="preserve">Disease</t>
  </si>
  <si>
    <t xml:space="preserve">Lagna-Moon+Lagna</t>
  </si>
  <si>
    <t xml:space="preserve">Great misfortune</t>
  </si>
  <si>
    <t xml:space="preserve">Jupiter-Mars+Lagna</t>
  </si>
  <si>
    <t xml:space="preserve">Sastra</t>
  </si>
  <si>
    <t xml:space="preserve">Sciences</t>
  </si>
  <si>
    <t xml:space="preserve">Jupiter-Saturn+Mercury</t>
  </si>
  <si>
    <t xml:space="preserve">Bandhu</t>
  </si>
  <si>
    <t xml:space="preserve">Relatives</t>
  </si>
  <si>
    <t xml:space="preserve">Mercury-Moon+Lagna</t>
  </si>
  <si>
    <t xml:space="preserve">Death</t>
  </si>
  <si>
    <t xml:space="preserve">8thhouse-Moon+Lagna</t>
  </si>
  <si>
    <t xml:space="preserve">Paradesa</t>
  </si>
  <si>
    <t xml:space="preserve">Foreign countries</t>
  </si>
  <si>
    <t xml:space="preserve">9thhouse-9thlord+Lagna</t>
  </si>
  <si>
    <t xml:space="preserve">Money</t>
  </si>
  <si>
    <t xml:space="preserve">2ndhouse-2ndlord+Lagna</t>
  </si>
  <si>
    <t xml:space="preserve">Paradara</t>
  </si>
  <si>
    <t xml:space="preserve">Adultery</t>
  </si>
  <si>
    <t xml:space="preserve">Venus-Sun+Lagna</t>
  </si>
  <si>
    <t xml:space="preserve">Vanik</t>
  </si>
  <si>
    <t xml:space="preserve">Commerce</t>
  </si>
  <si>
    <t xml:space="preserve">Moon-Mercury+Lagna</t>
  </si>
  <si>
    <t xml:space="preserve">Karyasiddhi</t>
  </si>
  <si>
    <t xml:space="preserve">Success in endeavours</t>
  </si>
  <si>
    <t xml:space="preserve">Saturn-Sun+Lordofsunsign</t>
  </si>
  <si>
    <t xml:space="preserve">Night: Saturn - Moon + Lord of Moonsign)</t>
  </si>
  <si>
    <t xml:space="preserve">Vivaha</t>
  </si>
  <si>
    <t xml:space="preserve">Marriage</t>
  </si>
  <si>
    <t xml:space="preserve">Venus-Saturn+Lagna</t>
  </si>
  <si>
    <t xml:space="preserve">Santapa</t>
  </si>
  <si>
    <t xml:space="preserve">Sadness</t>
  </si>
  <si>
    <t xml:space="preserve">Saturn-Moon+6thhouse</t>
  </si>
  <si>
    <t xml:space="preserve">Sraddha</t>
  </si>
  <si>
    <t xml:space="preserve">Devotion/sincerity</t>
  </si>
  <si>
    <t xml:space="preserve">Venus-Mars+Lagna</t>
  </si>
  <si>
    <t xml:space="preserve">Preeti</t>
  </si>
  <si>
    <t xml:space="preserve">Love/attachment</t>
  </si>
  <si>
    <t xml:space="preserve">SastraSaham-PunyaSaham+Lagna</t>
  </si>
  <si>
    <t xml:space="preserve">Jadya</t>
  </si>
  <si>
    <t xml:space="preserve">Chronic disease</t>
  </si>
  <si>
    <t xml:space="preserve">Mars-Saturn+Mercury</t>
  </si>
  <si>
    <t xml:space="preserve">Vyapara</t>
  </si>
  <si>
    <t xml:space="preserve">Mars-Saturn+Lagna</t>
  </si>
  <si>
    <t xml:space="preserve">Satru</t>
  </si>
  <si>
    <t xml:space="preserve">Enemy</t>
  </si>
  <si>
    <t xml:space="preserve">Jalapatana</t>
  </si>
  <si>
    <t xml:space="preserve">Crossing an ocean</t>
  </si>
  <si>
    <t xml:space="preserve">Cancer15º-Saturn+Lagna</t>
  </si>
  <si>
    <t xml:space="preserve">Bandhana</t>
  </si>
  <si>
    <t xml:space="preserve">Imprisonment</t>
  </si>
  <si>
    <t xml:space="preserve">PunyaSaham-Saturn+Lagna</t>
  </si>
  <si>
    <t xml:space="preserve">Apamrityu</t>
  </si>
  <si>
    <t xml:space="preserve">Bad death</t>
  </si>
  <si>
    <t xml:space="preserve">8thhouse-Mars+Lagna</t>
  </si>
  <si>
    <t xml:space="preserve">Labha</t>
  </si>
  <si>
    <t xml:space="preserve">Material gains</t>
  </si>
  <si>
    <t xml:space="preserve">11thhouse-11thlord+Lagna</t>
  </si>
  <si>
    <t xml:space="preserve">Infatuations/Love</t>
  </si>
  <si>
    <t xml:space="preserve">moon-LagnaLord+lagna</t>
  </si>
  <si>
    <t xml:space="preserve">from KS Charak book</t>
  </si>
  <si>
    <t xml:space="preserve">Sun+Moon+Jupiter</t>
  </si>
  <si>
    <t xml:space="preserve">5*moon-5*Sun</t>
  </si>
  <si>
    <t xml:space="preserve">Santhana Tithi Sphuta</t>
  </si>
  <si>
    <t xml:space="preserve">Santhana Tithi</t>
  </si>
  <si>
    <t xml:space="preserve">शत पथ चक्र</t>
  </si>
  <si>
    <t xml:space="preserve">इन्द्र</t>
  </si>
  <si>
    <t xml:space="preserve">कुबेर</t>
  </si>
  <si>
    <t xml:space="preserve">मि</t>
  </si>
  <si>
    <t xml:space="preserve">मु</t>
  </si>
  <si>
    <t xml:space="preserve">मे</t>
  </si>
  <si>
    <t xml:space="preserve">मो</t>
  </si>
  <si>
    <t xml:space="preserve">यम</t>
  </si>
  <si>
    <t xml:space="preserve">वि</t>
  </si>
  <si>
    <t xml:space="preserve">वु</t>
  </si>
  <si>
    <t xml:space="preserve">वे</t>
  </si>
  <si>
    <t xml:space="preserve">वो</t>
  </si>
  <si>
    <t xml:space="preserve">टि</t>
  </si>
  <si>
    <t xml:space="preserve">टु</t>
  </si>
  <si>
    <t xml:space="preserve">टे</t>
  </si>
  <si>
    <t xml:space="preserve">टो</t>
  </si>
  <si>
    <t xml:space="preserve">कि</t>
  </si>
  <si>
    <t xml:space="preserve">कु घ ङ च</t>
  </si>
  <si>
    <t xml:space="preserve">के</t>
  </si>
  <si>
    <t xml:space="preserve">को</t>
  </si>
  <si>
    <t xml:space="preserve">पि</t>
  </si>
  <si>
    <t xml:space="preserve"> पु ष ण ठ</t>
  </si>
  <si>
    <t xml:space="preserve">पे</t>
  </si>
  <si>
    <t xml:space="preserve">पो</t>
  </si>
  <si>
    <t xml:space="preserve">हि</t>
  </si>
  <si>
    <t xml:space="preserve">हु</t>
  </si>
  <si>
    <t xml:space="preserve">हे</t>
  </si>
  <si>
    <t xml:space="preserve">हो</t>
  </si>
  <si>
    <t xml:space="preserve">रि</t>
  </si>
  <si>
    <t xml:space="preserve">रु</t>
  </si>
  <si>
    <t xml:space="preserve">रे</t>
  </si>
  <si>
    <t xml:space="preserve">रो</t>
  </si>
  <si>
    <t xml:space="preserve">डि</t>
  </si>
  <si>
    <t xml:space="preserve">डु</t>
  </si>
  <si>
    <t xml:space="preserve">डे</t>
  </si>
  <si>
    <t xml:space="preserve">डो</t>
  </si>
  <si>
    <t xml:space="preserve">ति</t>
  </si>
  <si>
    <t xml:space="preserve">तु</t>
  </si>
  <si>
    <t xml:space="preserve">ते</t>
  </si>
  <si>
    <t xml:space="preserve">तो</t>
  </si>
  <si>
    <t xml:space="preserve">गि</t>
  </si>
  <si>
    <t xml:space="preserve">गु</t>
  </si>
  <si>
    <t xml:space="preserve">गे</t>
  </si>
  <si>
    <t xml:space="preserve">गो</t>
  </si>
  <si>
    <t xml:space="preserve">नि</t>
  </si>
  <si>
    <t xml:space="preserve">नु</t>
  </si>
  <si>
    <t xml:space="preserve">ने</t>
  </si>
  <si>
    <t xml:space="preserve">नो</t>
  </si>
  <si>
    <t xml:space="preserve">सि</t>
  </si>
  <si>
    <t xml:space="preserve">सु</t>
  </si>
  <si>
    <t xml:space="preserve">से</t>
  </si>
  <si>
    <t xml:space="preserve">सो</t>
  </si>
  <si>
    <t xml:space="preserve">यि</t>
  </si>
  <si>
    <t xml:space="preserve">यु</t>
  </si>
  <si>
    <t xml:space="preserve">ये</t>
  </si>
  <si>
    <t xml:space="preserve">यो</t>
  </si>
  <si>
    <t xml:space="preserve">दि</t>
  </si>
  <si>
    <t xml:space="preserve">दु थ झ म</t>
  </si>
  <si>
    <t xml:space="preserve">दे</t>
  </si>
  <si>
    <t xml:space="preserve">दो</t>
  </si>
  <si>
    <t xml:space="preserve">भि</t>
  </si>
  <si>
    <t xml:space="preserve">भु ध फ ट</t>
  </si>
  <si>
    <t xml:space="preserve">भे</t>
  </si>
  <si>
    <t xml:space="preserve">भो</t>
  </si>
  <si>
    <t xml:space="preserve">चि</t>
  </si>
  <si>
    <t xml:space="preserve">चु</t>
  </si>
  <si>
    <t xml:space="preserve">चे</t>
  </si>
  <si>
    <t xml:space="preserve">चो</t>
  </si>
  <si>
    <t xml:space="preserve">जि</t>
  </si>
  <si>
    <t xml:space="preserve">जु</t>
  </si>
  <si>
    <t xml:space="preserve">जे</t>
  </si>
  <si>
    <t xml:space="preserve">जो</t>
  </si>
  <si>
    <t xml:space="preserve">लि</t>
  </si>
  <si>
    <t xml:space="preserve">लु</t>
  </si>
  <si>
    <t xml:space="preserve">ले</t>
  </si>
  <si>
    <t xml:space="preserve">लो</t>
  </si>
  <si>
    <t xml:space="preserve">खि</t>
  </si>
  <si>
    <t xml:space="preserve">खु</t>
  </si>
  <si>
    <t xml:space="preserve">खे</t>
  </si>
  <si>
    <t xml:space="preserve">खो</t>
  </si>
  <si>
    <t xml:space="preserve">वरुण</t>
  </si>
  <si>
    <t xml:space="preserve">śata patha cakra </t>
  </si>
  <si>
    <t xml:space="preserve">mi</t>
  </si>
  <si>
    <t xml:space="preserve">mu</t>
  </si>
  <si>
    <t xml:space="preserve">me</t>
  </si>
  <si>
    <t xml:space="preserve">mo</t>
  </si>
  <si>
    <t xml:space="preserve">vi</t>
  </si>
  <si>
    <t xml:space="preserve">vu</t>
  </si>
  <si>
    <t xml:space="preserve">ve</t>
  </si>
  <si>
    <t xml:space="preserve">vo</t>
  </si>
  <si>
    <t xml:space="preserve">ṭi</t>
  </si>
  <si>
    <t xml:space="preserve">ṭu</t>
  </si>
  <si>
    <t xml:space="preserve">ṭe</t>
  </si>
  <si>
    <t xml:space="preserve">ṭo</t>
  </si>
  <si>
    <t xml:space="preserve">ki</t>
  </si>
  <si>
    <t xml:space="preserve">ku gha ṅa ca</t>
  </si>
  <si>
    <t xml:space="preserve">ke</t>
  </si>
  <si>
    <t xml:space="preserve">ko</t>
  </si>
  <si>
    <t xml:space="preserve">pi</t>
  </si>
  <si>
    <t xml:space="preserve">pu ṣa ṇa ṭha</t>
  </si>
  <si>
    <t xml:space="preserve">pe</t>
  </si>
  <si>
    <t xml:space="preserve">po</t>
  </si>
  <si>
    <t xml:space="preserve">hi</t>
  </si>
  <si>
    <t xml:space="preserve">hu</t>
  </si>
  <si>
    <t xml:space="preserve">he</t>
  </si>
  <si>
    <t xml:space="preserve">ho</t>
  </si>
  <si>
    <t xml:space="preserve">ri</t>
  </si>
  <si>
    <t xml:space="preserve">ru</t>
  </si>
  <si>
    <t xml:space="preserve">re</t>
  </si>
  <si>
    <t xml:space="preserve">ro</t>
  </si>
  <si>
    <t xml:space="preserve">ḍi</t>
  </si>
  <si>
    <t xml:space="preserve">ḍu</t>
  </si>
  <si>
    <t xml:space="preserve">ḍe</t>
  </si>
  <si>
    <t xml:space="preserve">ḍo</t>
  </si>
  <si>
    <t xml:space="preserve">ti</t>
  </si>
  <si>
    <t xml:space="preserve">tu</t>
  </si>
  <si>
    <t xml:space="preserve">te</t>
  </si>
  <si>
    <t xml:space="preserve">to</t>
  </si>
  <si>
    <t xml:space="preserve">gi</t>
  </si>
  <si>
    <t xml:space="preserve">gu</t>
  </si>
  <si>
    <t xml:space="preserve">ge</t>
  </si>
  <si>
    <t xml:space="preserve">go</t>
  </si>
  <si>
    <t xml:space="preserve">ni</t>
  </si>
  <si>
    <t xml:space="preserve">nu</t>
  </si>
  <si>
    <t xml:space="preserve">ne</t>
  </si>
  <si>
    <t xml:space="preserve">no</t>
  </si>
  <si>
    <t xml:space="preserve">si</t>
  </si>
  <si>
    <t xml:space="preserve">su</t>
  </si>
  <si>
    <t xml:space="preserve">se</t>
  </si>
  <si>
    <t xml:space="preserve">so</t>
  </si>
  <si>
    <t xml:space="preserve">yi</t>
  </si>
  <si>
    <t xml:space="preserve">yu</t>
  </si>
  <si>
    <t xml:space="preserve">ye</t>
  </si>
  <si>
    <t xml:space="preserve">yo</t>
  </si>
  <si>
    <t xml:space="preserve">di</t>
  </si>
  <si>
    <t xml:space="preserve">du tha jha ma</t>
  </si>
  <si>
    <t xml:space="preserve">de</t>
  </si>
  <si>
    <t xml:space="preserve">do</t>
  </si>
  <si>
    <t xml:space="preserve">bhi</t>
  </si>
  <si>
    <t xml:space="preserve">bhu dha pha ṭa</t>
  </si>
  <si>
    <t xml:space="preserve">bhe</t>
  </si>
  <si>
    <t xml:space="preserve">bho</t>
  </si>
  <si>
    <t xml:space="preserve">ci</t>
  </si>
  <si>
    <t xml:space="preserve">cu</t>
  </si>
  <si>
    <t xml:space="preserve">ce</t>
  </si>
  <si>
    <t xml:space="preserve">co</t>
  </si>
  <si>
    <t xml:space="preserve">ji</t>
  </si>
  <si>
    <t xml:space="preserve">ju</t>
  </si>
  <si>
    <t xml:space="preserve">je</t>
  </si>
  <si>
    <t xml:space="preserve">jo</t>
  </si>
  <si>
    <t xml:space="preserve">li</t>
  </si>
  <si>
    <t xml:space="preserve">lu</t>
  </si>
  <si>
    <t xml:space="preserve">le</t>
  </si>
  <si>
    <t xml:space="preserve">lo</t>
  </si>
  <si>
    <t xml:space="preserve">khi</t>
  </si>
  <si>
    <t xml:space="preserve">khu</t>
  </si>
  <si>
    <t xml:space="preserve">khe</t>
  </si>
  <si>
    <t xml:space="preserve">kho</t>
  </si>
  <si>
    <t xml:space="preserve">shata patha cakra </t>
  </si>
  <si>
    <t xml:space="preserve">Ti</t>
  </si>
  <si>
    <t xml:space="preserve">Tu</t>
  </si>
  <si>
    <t xml:space="preserve">Te</t>
  </si>
  <si>
    <t xml:space="preserve">To</t>
  </si>
  <si>
    <t xml:space="preserve">kugha~Naca</t>
  </si>
  <si>
    <t xml:space="preserve">puShaNaTha</t>
  </si>
  <si>
    <t xml:space="preserve">Da</t>
  </si>
  <si>
    <t xml:space="preserve">Di</t>
  </si>
  <si>
    <t xml:space="preserve">Du</t>
  </si>
  <si>
    <t xml:space="preserve">De</t>
  </si>
  <si>
    <t xml:space="preserve">Do</t>
  </si>
  <si>
    <t xml:space="preserve">duthajhama</t>
  </si>
  <si>
    <t xml:space="preserve">bhudhaphaTa</t>
  </si>
  <si>
    <t xml:space="preserve">Hundred Paths Chakra</t>
  </si>
  <si>
    <t xml:space="preserve">Krittika 1</t>
  </si>
  <si>
    <t xml:space="preserve">Krittika 2</t>
  </si>
  <si>
    <t xml:space="preserve">Krittika 3</t>
  </si>
  <si>
    <t xml:space="preserve">Krittika 4</t>
  </si>
  <si>
    <t xml:space="preserve">Rohini 1</t>
  </si>
  <si>
    <t xml:space="preserve">Magha 1</t>
  </si>
  <si>
    <t xml:space="preserve">Magha 2</t>
  </si>
  <si>
    <t xml:space="preserve">Magha 3</t>
  </si>
  <si>
    <t xml:space="preserve">Magha 4</t>
  </si>
  <si>
    <t xml:space="preserve">P.Phaluguni 1</t>
  </si>
  <si>
    <t xml:space="preserve">Rohini 2</t>
  </si>
  <si>
    <t xml:space="preserve">Rohini 3</t>
  </si>
  <si>
    <t xml:space="preserve">Rohini 4</t>
  </si>
  <si>
    <t xml:space="preserve">Mrigashir 1</t>
  </si>
  <si>
    <t xml:space="preserve">Mrigashir 2</t>
  </si>
  <si>
    <t xml:space="preserve">P.Phalguni 2</t>
  </si>
  <si>
    <t xml:space="preserve">P.Phalguni 3</t>
  </si>
  <si>
    <t xml:space="preserve">P.Phalguni 4</t>
  </si>
  <si>
    <t xml:space="preserve">U.Phalguni 1</t>
  </si>
  <si>
    <t xml:space="preserve">U.Phalguni 2</t>
  </si>
  <si>
    <t xml:space="preserve">Mrigashir 3</t>
  </si>
  <si>
    <t xml:space="preserve">Mrigashir 4</t>
  </si>
  <si>
    <t xml:space="preserve">Ardra 1-4</t>
  </si>
  <si>
    <t xml:space="preserve">Punarvasu 1</t>
  </si>
  <si>
    <t xml:space="preserve">Punarvasu 2</t>
  </si>
  <si>
    <t xml:space="preserve">U.Phalguni 3</t>
  </si>
  <si>
    <t xml:space="preserve">U.Phalguni 4</t>
  </si>
  <si>
    <t xml:space="preserve">Hasta 1-4</t>
  </si>
  <si>
    <t xml:space="preserve">Chitra 1</t>
  </si>
  <si>
    <t xml:space="preserve">Chitra 2</t>
  </si>
  <si>
    <t xml:space="preserve">Punarvasu 3</t>
  </si>
  <si>
    <t xml:space="preserve">Punarvasu 4</t>
  </si>
  <si>
    <t xml:space="preserve">Pushya 1</t>
  </si>
  <si>
    <t xml:space="preserve">Pushya 2</t>
  </si>
  <si>
    <t xml:space="preserve">Pushya 3</t>
  </si>
  <si>
    <t xml:space="preserve">Chitra 3</t>
  </si>
  <si>
    <t xml:space="preserve">Chitra 4</t>
  </si>
  <si>
    <t xml:space="preserve">Swati 1</t>
  </si>
  <si>
    <t xml:space="preserve">Swati 2</t>
  </si>
  <si>
    <t xml:space="preserve">Swati 3</t>
  </si>
  <si>
    <t xml:space="preserve">Pushya 4</t>
  </si>
  <si>
    <t xml:space="preserve">Ashlesha 1</t>
  </si>
  <si>
    <t xml:space="preserve">Ashlesha 2</t>
  </si>
  <si>
    <t xml:space="preserve">Ashlesha 3</t>
  </si>
  <si>
    <t xml:space="preserve">Ashlesha 4</t>
  </si>
  <si>
    <t xml:space="preserve">Swati 4</t>
  </si>
  <si>
    <t xml:space="preserve">Vishaka 1</t>
  </si>
  <si>
    <t xml:space="preserve">Vishaka 2</t>
  </si>
  <si>
    <t xml:space="preserve">Vishaka 3</t>
  </si>
  <si>
    <t xml:space="preserve">Vishaka 4</t>
  </si>
  <si>
    <t xml:space="preserve">Dhanishta 1</t>
  </si>
  <si>
    <t xml:space="preserve">Dhanishta 2</t>
  </si>
  <si>
    <t xml:space="preserve">Dhanishta 3</t>
  </si>
  <si>
    <t xml:space="preserve">Dhanishta 4</t>
  </si>
  <si>
    <t xml:space="preserve">Shatbhishaj 1</t>
  </si>
  <si>
    <t xml:space="preserve">Anuradha 1</t>
  </si>
  <si>
    <t xml:space="preserve">Anuradha 2</t>
  </si>
  <si>
    <t xml:space="preserve">Anuradha 3</t>
  </si>
  <si>
    <t xml:space="preserve">Anuradha 4</t>
  </si>
  <si>
    <t xml:space="preserve">Jyeshta 1</t>
  </si>
  <si>
    <t xml:space="preserve">Shatabhishaj 2</t>
  </si>
  <si>
    <t xml:space="preserve">Shatabhishaj 3</t>
  </si>
  <si>
    <t xml:space="preserve">Shatabhishaj 4</t>
  </si>
  <si>
    <t xml:space="preserve">P.Bhadra 1</t>
  </si>
  <si>
    <t xml:space="preserve">P.Bhadra 2</t>
  </si>
  <si>
    <t xml:space="preserve">Jyeshta 2</t>
  </si>
  <si>
    <t xml:space="preserve">Jyeshta 3</t>
  </si>
  <si>
    <t xml:space="preserve">Jyestha 4</t>
  </si>
  <si>
    <t xml:space="preserve">Moola 1</t>
  </si>
  <si>
    <t xml:space="preserve">Moola 2</t>
  </si>
  <si>
    <t xml:space="preserve">P.Bhadra 3</t>
  </si>
  <si>
    <t xml:space="preserve">P.Bhadra 4</t>
  </si>
  <si>
    <t xml:space="preserve">U.Bhadra 1-4</t>
  </si>
  <si>
    <t xml:space="preserve">Revati 1</t>
  </si>
  <si>
    <t xml:space="preserve">Revati 2</t>
  </si>
  <si>
    <t xml:space="preserve">Moola 3</t>
  </si>
  <si>
    <t xml:space="preserve">Moola 4</t>
  </si>
  <si>
    <t xml:space="preserve">P.Ashada 1-4</t>
  </si>
  <si>
    <t xml:space="preserve">U.Ashada 1</t>
  </si>
  <si>
    <t xml:space="preserve">U.Ashada 2</t>
  </si>
  <si>
    <t xml:space="preserve">Revati 3</t>
  </si>
  <si>
    <t xml:space="preserve">Revati 4</t>
  </si>
  <si>
    <t xml:space="preserve">Ashvini 1</t>
  </si>
  <si>
    <t xml:space="preserve">Ashvini 2</t>
  </si>
  <si>
    <t xml:space="preserve">Ashvini 3</t>
  </si>
  <si>
    <t xml:space="preserve">U.Ashada 3</t>
  </si>
  <si>
    <t xml:space="preserve">U.Ashada 4</t>
  </si>
  <si>
    <t xml:space="preserve">Abhijit 1</t>
  </si>
  <si>
    <t xml:space="preserve">Abhijit 2</t>
  </si>
  <si>
    <t xml:space="preserve">Abhijit 3</t>
  </si>
  <si>
    <t xml:space="preserve">Ashvini 4</t>
  </si>
  <si>
    <t xml:space="preserve">Bharani 1</t>
  </si>
  <si>
    <t xml:space="preserve">Bharani 2</t>
  </si>
  <si>
    <t xml:space="preserve">Bharani 3</t>
  </si>
  <si>
    <t xml:space="preserve">Bharini 4</t>
  </si>
  <si>
    <t xml:space="preserve">Sravana 1</t>
  </si>
  <si>
    <t xml:space="preserve">Sravana 2</t>
  </si>
  <si>
    <t xml:space="preserve">Sravana 3</t>
  </si>
  <si>
    <t xml:space="preserve">Sravana 4</t>
  </si>
  <si>
    <t xml:space="preserve">©Sanjay Prabhakaran</t>
  </si>
  <si>
    <t xml:space="preserve">Dig</t>
  </si>
  <si>
    <t xml:space="preserve">Ge,
Rahu,Ether,
T00, T8, Hare, Crow</t>
  </si>
  <si>
    <t xml:space="preserve">Ar,Ta
Su, Pritvi
T1,T9, Animal:Garuda, Yoni:Dwaja</t>
  </si>
  <si>
    <t xml:space="preserve">Vi
Ma,Agni
T3,T11,Cat,Dhuma</t>
  </si>
  <si>
    <t xml:space="preserve">Point</t>
  </si>
  <si>
    <t xml:space="preserve">Shiva Gana Mantra</t>
  </si>
  <si>
    <t xml:space="preserve">Shiva Gana Mantra2</t>
  </si>
  <si>
    <t xml:space="preserve">Ashta Siddhi</t>
  </si>
  <si>
    <t xml:space="preserve">(E)</t>
  </si>
  <si>
    <t xml:space="preserve">ॐ नन्दिने नमः।</t>
  </si>
  <si>
    <t xml:space="preserve">om nandine namaḥ | (E)</t>
  </si>
  <si>
    <t xml:space="preserve">ॐ अणिमायै नमः।</t>
  </si>
  <si>
    <t xml:space="preserve">(SE)</t>
  </si>
  <si>
    <t xml:space="preserve">ॐ महाकालाय नमः।</t>
  </si>
  <si>
    <t xml:space="preserve">om mahākālāya namaḥ | (SE)</t>
  </si>
  <si>
    <t xml:space="preserve">ॐ महिमायै नमः।</t>
  </si>
  <si>
    <t xml:space="preserve">(S)</t>
  </si>
  <si>
    <t xml:space="preserve">ॐ गणेशाय नमः।</t>
  </si>
  <si>
    <t xml:space="preserve">om gaṇeśāya namaḥ | (S)</t>
  </si>
  <si>
    <t xml:space="preserve">ॐ लघिमायै नमः।</t>
  </si>
  <si>
    <t xml:space="preserve">(SW)</t>
  </si>
  <si>
    <t xml:space="preserve">ॐ वृषभाय नमः।</t>
  </si>
  <si>
    <t xml:space="preserve">om vṛṣabhāya namaḥ | (SW)</t>
  </si>
  <si>
    <t xml:space="preserve">ॐ गरिमायै नमः।</t>
  </si>
  <si>
    <t xml:space="preserve">Cp,Aq,
Mo,Jala,
T2,T10, Matanga, elephant</t>
  </si>
  <si>
    <t xml:space="preserve">OM</t>
  </si>
  <si>
    <t xml:space="preserve">Ca,Le,
Ju,Pritvi
T5,T13,Lion,Simha</t>
  </si>
  <si>
    <t xml:space="preserve">(W)</t>
  </si>
  <si>
    <t xml:space="preserve">ॐ भृङ्गीरिटिणे नमः।</t>
  </si>
  <si>
    <t xml:space="preserve">om bhṛṅgīriṭiṇe namaḥ | (W)</t>
  </si>
  <si>
    <t xml:space="preserve">ॐ प्राप्त्यै नमः।</t>
  </si>
  <si>
    <t xml:space="preserve">(NW)</t>
  </si>
  <si>
    <t xml:space="preserve">ॐ स्कन्दाय नमः।</t>
  </si>
  <si>
    <t xml:space="preserve">om skandāya namaḥ | (NW)</t>
  </si>
  <si>
    <t xml:space="preserve">ॐ प्राकाम्यायै नमः।</t>
  </si>
  <si>
    <t xml:space="preserve">(N)</t>
  </si>
  <si>
    <t xml:space="preserve">ॐ उमायै नमः।</t>
  </si>
  <si>
    <t xml:space="preserve">om umāyai namaḥ | (N)</t>
  </si>
  <si>
    <t xml:space="preserve">ॐ ईशितायै नमः।</t>
  </si>
  <si>
    <t xml:space="preserve">(NE)</t>
  </si>
  <si>
    <t xml:space="preserve">ॐ चण्डीश्वराय नमः।</t>
  </si>
  <si>
    <t xml:space="preserve">om caṇḍīśvarāya namaḥ | (NE)</t>
  </si>
  <si>
    <t xml:space="preserve">ॐ वशितायै नमः।</t>
  </si>
  <si>
    <t xml:space="preserve">Pi,
Saturn,Vayu
T7,T15,Mouse, Khara(Donkey)</t>
  </si>
  <si>
    <t xml:space="preserve">Li,Sc,
Venus,Jala,
T6,T14,Sarpa, Ox</t>
  </si>
  <si>
    <t xml:space="preserve">Sg,
Mercury,Ether,
T4,T12,Dog,Dog</t>
  </si>
  <si>
    <t xml:space="preserve">DateTime</t>
  </si>
  <si>
    <t xml:space="preserve">Julian</t>
  </si>
  <si>
    <t xml:space="preserve">(Formula Given in BPHS and example from http://vedicastro.com/vedic-system-of-calculating-ascendant/)</t>
  </si>
  <si>
    <t xml:space="preserve">TZ</t>
  </si>
  <si>
    <t xml:space="preserve">Latitude</t>
  </si>
  <si>
    <r>
      <rPr>
        <sz val="11"/>
        <color rgb="FF000000"/>
        <rFont val="Calibri"/>
        <family val="2"/>
        <charset val="1"/>
      </rPr>
      <t xml:space="preserve">Palbhaa/</t>
    </r>
    <r>
      <rPr>
        <sz val="11"/>
        <color rgb="FF000000"/>
        <rFont val="Noto Sans Devanagari"/>
        <family val="2"/>
        <charset val="1"/>
      </rPr>
      <t xml:space="preserve">पलभा</t>
    </r>
  </si>
  <si>
    <t xml:space="preserve">TimeZoneE/W</t>
  </si>
  <si>
    <t xml:space="preserve">Val1</t>
  </si>
  <si>
    <t xml:space="preserve">asus</t>
  </si>
  <si>
    <t xml:space="preserve">TimeZone</t>
  </si>
  <si>
    <t xml:space="preserve">Val2</t>
  </si>
  <si>
    <t xml:space="preserve">Time=hr</t>
  </si>
  <si>
    <t xml:space="preserve">Val3</t>
  </si>
  <si>
    <t xml:space="preserve">ay=</t>
  </si>
  <si>
    <t xml:space="preserve">f=Universal Time</t>
  </si>
  <si>
    <t xml:space="preserve">Signs</t>
  </si>
  <si>
    <t xml:space="preserve">Lankodaya</t>
  </si>
  <si>
    <t xml:space="preserve">Asus(4 Secs)</t>
  </si>
  <si>
    <t xml:space="preserve">H:M:S</t>
  </si>
  <si>
    <t xml:space="preserve">Pala</t>
  </si>
  <si>
    <t xml:space="preserve">%</t>
  </si>
  <si>
    <t xml:space="preserve">t=</t>
  </si>
  <si>
    <t xml:space="preserve">I</t>
  </si>
  <si>
    <t xml:space="preserve">ln=longitude=</t>
  </si>
  <si>
    <t xml:space="preserve">II</t>
  </si>
  <si>
    <t xml:space="preserve">A1</t>
  </si>
  <si>
    <t xml:space="preserve">la=latitude=</t>
  </si>
  <si>
    <t xml:space="preserve">III</t>
  </si>
  <si>
    <t xml:space="preserve">A2</t>
  </si>
  <si>
    <t xml:space="preserve">ra=</t>
  </si>
  <si>
    <t xml:space="preserve">A3</t>
  </si>
  <si>
    <t xml:space="preserve">ob=</t>
  </si>
  <si>
    <t xml:space="preserve">T1</t>
  </si>
  <si>
    <t xml:space="preserve">mc=</t>
  </si>
  <si>
    <t xml:space="preserve">T2</t>
  </si>
  <si>
    <t xml:space="preserve">mc'=</t>
  </si>
  <si>
    <t xml:space="preserve">Jhora</t>
  </si>
  <si>
    <t xml:space="preserve">T3</t>
  </si>
  <si>
    <t xml:space="preserve">mc''=</t>
  </si>
  <si>
    <t xml:space="preserve">Rashimana in</t>
  </si>
  <si>
    <t xml:space="preserve">Asus</t>
  </si>
  <si>
    <t xml:space="preserve">hr-mn-sc</t>
  </si>
  <si>
    <t xml:space="preserve">Asus2</t>
  </si>
  <si>
    <t xml:space="preserve">Vigh or Pala</t>
  </si>
  <si>
    <t xml:space="preserve">Corrected</t>
  </si>
  <si>
    <t xml:space="preserve">ViGh</t>
  </si>
  <si>
    <t xml:space="preserve">Asus3</t>
  </si>
  <si>
    <t xml:space="preserve">Time</t>
  </si>
  <si>
    <t xml:space="preserve">Dec</t>
  </si>
  <si>
    <t xml:space="preserve">sin</t>
  </si>
  <si>
    <t xml:space="preserve">G1</t>
  </si>
  <si>
    <t xml:space="preserve">mc'''=Midheaven=</t>
  </si>
  <si>
    <t xml:space="preserve">Short Ascension</t>
  </si>
  <si>
    <t xml:space="preserve">G2</t>
  </si>
  <si>
    <t xml:space="preserve">as=</t>
  </si>
  <si>
    <t xml:space="preserve">G3</t>
  </si>
  <si>
    <t xml:space="preserve">as'=</t>
  </si>
  <si>
    <t xml:space="preserve">as''=</t>
  </si>
  <si>
    <t xml:space="preserve">Long Ascension</t>
  </si>
  <si>
    <t xml:space="preserve">as'''=</t>
  </si>
  <si>
    <t xml:space="preserve">as''''=Ascendant</t>
  </si>
  <si>
    <t xml:space="preserve">Jhora Lagna</t>
  </si>
  <si>
    <t xml:space="preserve">Difference</t>
  </si>
  <si>
    <t xml:space="preserve">Past</t>
  </si>
  <si>
    <t xml:space="preserve">Sign Start Time</t>
  </si>
  <si>
    <t xml:space="preserve">Sign/Rashi</t>
  </si>
  <si>
    <t xml:space="preserve">Boy(Groom) Rashi&gt;</t>
  </si>
  <si>
    <t xml:space="preserve">Taurus/Vrishabha</t>
  </si>
  <si>
    <t xml:space="preserve">Leo/Simha</t>
  </si>
  <si>
    <t xml:space="preserve">Scorpio/Vrishchika</t>
  </si>
  <si>
    <t xml:space="preserve">Saggittarius/Dhanur</t>
  </si>
  <si>
    <t xml:space="preserve">Bride (girl) Rashi Below</t>
  </si>
  <si>
    <t xml:space="preserve">Nakshatra (Pada)</t>
  </si>
  <si>
    <t xml:space="preserve">Krittika 3-4</t>
  </si>
  <si>
    <t xml:space="preserve">Mrigashira 1-2</t>
  </si>
  <si>
    <t xml:space="preserve">Mrigashira 3-4</t>
  </si>
  <si>
    <t xml:space="preserve">Punarvasu 1-3</t>
  </si>
  <si>
    <t xml:space="preserve">Uttara Phalguni 1</t>
  </si>
  <si>
    <t xml:space="preserve">Uttara Phalguni 2-3</t>
  </si>
  <si>
    <t xml:space="preserve">Chitra 1-2</t>
  </si>
  <si>
    <t xml:space="preserve">Chitra 2-4</t>
  </si>
  <si>
    <t xml:space="preserve">Swathi</t>
  </si>
  <si>
    <t xml:space="preserve">Vishaka 1-3</t>
  </si>
  <si>
    <t xml:space="preserve">Purva Ashada</t>
  </si>
  <si>
    <t xml:space="preserve">Uttara Ashada 1</t>
  </si>
  <si>
    <t xml:space="preserve">Uttara Ashada 2-4</t>
  </si>
  <si>
    <t xml:space="preserve">Shravana </t>
  </si>
  <si>
    <t xml:space="preserve">Dhanishta 1-2</t>
  </si>
  <si>
    <t xml:space="preserve">Dhanishta 2-4</t>
  </si>
  <si>
    <t xml:space="preserve">Purva Bhadrapad 1-3</t>
  </si>
  <si>
    <t xml:space="preserve">Purva Bhadrapada 4</t>
  </si>
  <si>
    <t xml:space="preserve">Uttara Bhadrapada</t>
  </si>
  <si>
    <t xml:space="preserve">Suitable Boys with Score &gt;26</t>
  </si>
  <si>
    <r>
      <rPr>
        <sz val="12"/>
        <color rgb="FF000000"/>
        <rFont val="Calibri"/>
        <family val="2"/>
        <charset val="1"/>
      </rPr>
      <t xml:space="preserve">Aries/Mesha
</t>
    </r>
    <r>
      <rPr>
        <sz val="12"/>
        <color rgb="FFFF0000"/>
        <rFont val="Calibri"/>
        <family val="2"/>
        <charset val="1"/>
      </rPr>
      <t xml:space="preserve">(Nanda)</t>
    </r>
  </si>
  <si>
    <t xml:space="preserve">Aries/Mesha
(Nanda)</t>
  </si>
  <si>
    <t xml:space="preserve">Ashwini, Bharani, Krittika, Pushya,Ashlesha, Swaati, Shraavana, Revati</t>
  </si>
  <si>
    <t xml:space="preserve">Aswini,Rohini,Punarvasu(4-Karka),Swaati,Uttara Aashaada(2-4-Makara), Shraavana</t>
  </si>
  <si>
    <t xml:space="preserve">Ashwini, Bharani, Krittika(1-Mesha), Pushya, Chitra(2-4 Tula), </t>
  </si>
  <si>
    <r>
      <rPr>
        <sz val="12"/>
        <color rgb="FF000000"/>
        <rFont val="Calibri"/>
        <family val="2"/>
        <charset val="1"/>
      </rPr>
      <t xml:space="preserve">Taurus/Vrishabha
</t>
    </r>
    <r>
      <rPr>
        <sz val="12"/>
        <color rgb="FFFF0000"/>
        <rFont val="Calibri"/>
        <family val="2"/>
        <charset val="1"/>
      </rPr>
      <t xml:space="preserve">(Purna)</t>
    </r>
  </si>
  <si>
    <t xml:space="preserve">Krittika(3-4 Vrishabha), Mrigashira(1-2 Vrishabha),Jyeshta, Dhanishta(Kumbha),Shatabhishak</t>
  </si>
  <si>
    <t xml:space="preserve">Rohini, Mrigashira(Both Rashi),Punarvasu(Karka),Pushya, Uttara Phalguni(Simha), Anuradha, Purva Bhadrapad(Both Rashi), Uttara Bhadrapad </t>
  </si>
  <si>
    <t xml:space="preserve">Krittika(Vrishabha), Rohini(Vrishabha),  Punarvasu(Karka), Shraavana, Shatabhishak, PurvaBhadrapad(Both Rashi), UttaraBhadrapad, Revati </t>
  </si>
  <si>
    <r>
      <rPr>
        <sz val="12"/>
        <color rgb="FF000000"/>
        <rFont val="Calibri"/>
        <family val="2"/>
        <charset val="1"/>
      </rPr>
      <t xml:space="preserve">Gemini/Mithuna
</t>
    </r>
    <r>
      <rPr>
        <sz val="12"/>
        <color rgb="FFFF0000"/>
        <rFont val="Calibri"/>
        <family val="2"/>
        <charset val="1"/>
      </rPr>
      <t xml:space="preserve">(Bhadra)</t>
    </r>
  </si>
  <si>
    <t xml:space="preserve">Ashwini, Rohini,  Ardra, Punarvasu(Mithuna), UttaraPhalguni(Kanya), Hasta, Revati</t>
  </si>
  <si>
    <t xml:space="preserve">Purva Phalguni,Chitra 1-2,Purva Ashada,Uttara Ashada 1,Uttara Bhadrapada,Revati</t>
  </si>
  <si>
    <t xml:space="preserve">Chitra 1-2,Purva Ashada,Uttara Bhadrapada,Revati</t>
  </si>
  <si>
    <r>
      <rPr>
        <sz val="12"/>
        <color rgb="FF000000"/>
        <rFont val="Calibri"/>
        <family val="2"/>
        <charset val="1"/>
      </rPr>
      <t xml:space="preserve">Cancer/Karka
</t>
    </r>
    <r>
      <rPr>
        <sz val="12"/>
        <color rgb="FFFF0000"/>
        <rFont val="Calibri"/>
        <family val="2"/>
        <charset val="1"/>
      </rPr>
      <t xml:space="preserve">(Bhadra)</t>
    </r>
  </si>
  <si>
    <t xml:space="preserve">Uttara Ashada 2-4,Shravana ,Purva Bhadrapada 4,Revati</t>
  </si>
  <si>
    <t xml:space="preserve">Dhanishta(1-2 Makara)</t>
  </si>
  <si>
    <t xml:space="preserve">Leo/Simha
(Jaya)</t>
  </si>
  <si>
    <t xml:space="preserve">Purva Phalguni,Uttara Phalguni 1,Jyeshta</t>
  </si>
  <si>
    <t xml:space="preserve">Purva Phalguni,Uttara Phalguni 1</t>
  </si>
  <si>
    <t xml:space="preserve">Purva Phalguni,Uttara Phalguni 1,Anuradha,Uttara Bhadrapada</t>
  </si>
  <si>
    <r>
      <rPr>
        <sz val="12"/>
        <color rgb="FF000000"/>
        <rFont val="Calibri"/>
        <family val="2"/>
        <charset val="1"/>
      </rPr>
      <t xml:space="preserve">Virgo/Kanya
</t>
    </r>
    <r>
      <rPr>
        <sz val="12"/>
        <color rgb="FFFF0000"/>
        <rFont val="Calibri"/>
        <family val="2"/>
        <charset val="1"/>
      </rPr>
      <t xml:space="preserve">(Purna)</t>
    </r>
  </si>
  <si>
    <t xml:space="preserve">Uttara Phalguni 2-3,Hasta,Anuradha,Purva Ashada,Uttara Ashada 1,Shatabhishaj,Uttara Bhadrapada,Revati</t>
  </si>
  <si>
    <t xml:space="preserve">Uttara Phalguni 2-3,Hasta,Chitra 1-2,Chitra 2-4,Swathi,Anuradha,Purva Ashada,Uttara Bhadrapada</t>
  </si>
  <si>
    <t xml:space="preserve">Hasta,Vishaka 4,Mula,Shatabhishaj</t>
  </si>
  <si>
    <r>
      <rPr>
        <sz val="12"/>
        <color rgb="FF000000"/>
        <rFont val="Calibri"/>
        <family val="2"/>
        <charset val="1"/>
      </rPr>
      <t xml:space="preserve">Libra/Tula
</t>
    </r>
    <r>
      <rPr>
        <sz val="12"/>
        <color rgb="FFFF0000"/>
        <rFont val="Calibri"/>
        <family val="2"/>
        <charset val="1"/>
      </rPr>
      <t xml:space="preserve">(Rikta)</t>
    </r>
  </si>
  <si>
    <t xml:space="preserve">Uttara Phalguni 2-3,Swathi,Vishaka 1-3,Mula</t>
  </si>
  <si>
    <t xml:space="preserve">Hasta,Chitra 2-4,Purva Ashada,Dhanishta 1-2</t>
  </si>
  <si>
    <t xml:space="preserve">Chitra 1-2,Chitra 2-4,Vishaka 1-3,Mula,Dhanishta 1-2</t>
  </si>
  <si>
    <r>
      <rPr>
        <sz val="12"/>
        <color rgb="FF000000"/>
        <rFont val="Calibri"/>
        <family val="2"/>
        <charset val="1"/>
      </rPr>
      <t xml:space="preserve">Scorpio/Vrishchika
</t>
    </r>
    <r>
      <rPr>
        <sz val="12"/>
        <color rgb="FFFF0000"/>
        <rFont val="Calibri"/>
        <family val="2"/>
        <charset val="1"/>
      </rPr>
      <t xml:space="preserve">(Nanda)</t>
    </r>
  </si>
  <si>
    <t xml:space="preserve">Chitra 1-2,Vishaka 4,Anuradha,Jyeshta</t>
  </si>
  <si>
    <t xml:space="preserve">Uttara Phalguni 1,Vishaka 4,Anuradha,Jyeshta,Shravana</t>
  </si>
  <si>
    <t xml:space="preserve">Vishaka 4,Anuradha</t>
  </si>
  <si>
    <r>
      <rPr>
        <sz val="12"/>
        <color rgb="FF000000"/>
        <rFont val="Calibri"/>
        <family val="2"/>
        <charset val="1"/>
      </rPr>
      <t xml:space="preserve">Saggittarius/Dhanur
</t>
    </r>
    <r>
      <rPr>
        <sz val="12"/>
        <color rgb="FFFF0000"/>
        <rFont val="Calibri"/>
        <family val="2"/>
        <charset val="1"/>
      </rPr>
      <t xml:space="preserve">(Jaya)</t>
    </r>
  </si>
  <si>
    <t xml:space="preserve">Chitra 1-2,Chitra 2-4,Vishaka 1-3,Purva Ashada,Dhanishta 2-4,Revati</t>
  </si>
  <si>
    <t xml:space="preserve">Uttara Phalguni 2-3,Hasta,Swathi,Mula,Purva Ashada,Uttara Ashada 1,Purva Bhadrapad 1-3,Revati</t>
  </si>
  <si>
    <t xml:space="preserve">Uttara Phalguni 2-3,Hasta,Purva Ashada,Uttara Ashada 1,Purva Bhadrapad 1-3,Uttara Bhadrapad</t>
  </si>
  <si>
    <r>
      <rPr>
        <sz val="12"/>
        <color rgb="FF000000"/>
        <rFont val="Calibri"/>
        <family val="2"/>
        <charset val="1"/>
      </rPr>
      <t xml:space="preserve">Capricorn/Makara
</t>
    </r>
    <r>
      <rPr>
        <sz val="12"/>
        <color rgb="FFFF0000"/>
        <rFont val="Calibri"/>
        <family val="2"/>
        <charset val="1"/>
      </rPr>
      <t xml:space="preserve">(Rikta)</t>
    </r>
  </si>
  <si>
    <t xml:space="preserve">Swathi,Anuradha,Uttara Ashada 2-4,Shravana ,Purva Bhadrapada 4,Uttara Bhadrapada</t>
  </si>
  <si>
    <t xml:space="preserve">Anuradha,Uttara Ashada 2-4,Shravana ,Dhanishta 1-2,Purva Bhadrapada 4,Uttara Bhadrapada</t>
  </si>
  <si>
    <t xml:space="preserve">Vishaka 1-3,Vishaka 4,Jyeshta,Shravana</t>
  </si>
  <si>
    <r>
      <rPr>
        <sz val="12"/>
        <color rgb="FF000000"/>
        <rFont val="Calibri"/>
        <family val="2"/>
        <charset val="1"/>
      </rPr>
      <t xml:space="preserve">Aquarius/Kumbha
</t>
    </r>
    <r>
      <rPr>
        <sz val="12"/>
        <color rgb="FFFF0000"/>
        <rFont val="Calibri"/>
        <family val="2"/>
        <charset val="1"/>
      </rPr>
      <t xml:space="preserve">(Jaya)</t>
    </r>
  </si>
  <si>
    <t xml:space="preserve">Shatabhishaj,Purva Bhadrapad 1-3</t>
  </si>
  <si>
    <t xml:space="preserve">Vishaka 1-3,Vishaka 4,Dhanishta 2-4,Purva Bhadrapad 1-3</t>
  </si>
  <si>
    <t xml:space="preserve">Purva Bhadrapad  1-3</t>
  </si>
  <si>
    <t xml:space="preserve">Purva Phalguni,Swathi,Anuradha,Purva Ashada,Uttara Ashada 1,Dhanishta 1-2,Dhanishta 2-4</t>
  </si>
  <si>
    <r>
      <rPr>
        <sz val="12"/>
        <color rgb="FF000000"/>
        <rFont val="Calibri"/>
        <family val="2"/>
        <charset val="1"/>
      </rPr>
      <t xml:space="preserve">Pisces/Meena
</t>
    </r>
    <r>
      <rPr>
        <sz val="12"/>
        <color rgb="FFFF0000"/>
        <rFont val="Calibri"/>
        <family val="2"/>
        <charset val="1"/>
      </rPr>
      <t xml:space="preserve">(Purna)</t>
    </r>
  </si>
  <si>
    <t xml:space="preserve">Purva Ashada,Uttara Ashada 1,Uttara Ashada 2-4,Shravana ,Uttara Bhadrapada,Revati</t>
  </si>
  <si>
    <t xml:space="preserve">,Uttara Phalguni 2-3,Hasta,Uttara Ashada 1,Uttara Ashada 2-4,Shravana ,Purva Bhadrapada 4,Uttara Bhadrapada,Revati</t>
  </si>
  <si>
    <t xml:space="preserve">,Mula,Purva Ashada,Purva Bhadrapada 4,Uttara Bhadrapada,Revati</t>
  </si>
  <si>
    <t xml:space="preserve">Above</t>
  </si>
  <si>
    <t xml:space="preserve">Bride (girl) Rashi Above</t>
  </si>
  <si>
    <t xml:space="preserve">Note: Numbers after the nakshatra indicates the padas in rashi, like 1-3 indicate 1st to 3rd pada</t>
  </si>
  <si>
    <t xml:space="preserve">Reference: Dr. BV Raman's Book on Muhurtha</t>
  </si>
  <si>
    <t xml:space="preserve">LEGEND for colours and fonts.</t>
  </si>
  <si>
    <t xml:space="preserve">Lagna and Lagna Lord Rules.</t>
  </si>
  <si>
    <t xml:space="preserve">Partner's Rashi Moon Positions.</t>
  </si>
  <si>
    <t xml:space="preserve">Muhurtha Rules.</t>
  </si>
  <si>
    <t xml:space="preserve">Bold Red=Vedha+Rajju Dosha.</t>
  </si>
  <si>
    <t xml:space="preserve">Lagna/Lords should NOT be 6-8 or 2-12.</t>
  </si>
  <si>
    <t xml:space="preserve">Graha in 7th else Lord of 7th  Take it's Navamsa positions.</t>
  </si>
  <si>
    <t xml:space="preserve">Avoid Sun in Dhanur(Chaitra), Pisces(Pausha), Janma Surya Sign,Chaturmasa</t>
  </si>
  <si>
    <t xml:space="preserve">Striked Common Nakshatra Dosha .</t>
  </si>
  <si>
    <t xml:space="preserve">Try To Avoid 5-9 mutual lagna/Lords.</t>
  </si>
  <si>
    <t xml:space="preserve">Partner's Rashi moon can be in Trines or 7th from Navamsa of Rashi above.</t>
  </si>
  <si>
    <t xml:space="preserve">Best Months is Sun in Libra and Gemini</t>
  </si>
  <si>
    <t xml:space="preserve">Double Underline Boy in Ghātaka and Nava/Panchama.</t>
  </si>
  <si>
    <t xml:space="preserve">Best is 3-11 Mutual Lagna/Lagna Lords and 1-7.</t>
  </si>
  <si>
    <t xml:space="preserve">Partner's Rashi moon can also be the exaltation sign of 7th Graha.</t>
  </si>
  <si>
    <t xml:space="preserve">Avoid Rikta Tithi (4,9,14)( Except Saturdays?)</t>
  </si>
  <si>
    <t xml:space="preserve">Boys Ghataka Tithi for Girl given in bracket like (Nanda)</t>
  </si>
  <si>
    <t xml:space="preserve">Kendra Mutual Lagna/Lords is also Good.</t>
  </si>
  <si>
    <t xml:space="preserve">Avoid Debilitation sign's of 7th House Graha</t>
  </si>
  <si>
    <t xml:space="preserve">Best Nakshatra Rohini, Four Uttaras, Mula,Hasta, Revati.</t>
  </si>
  <si>
    <t xml:space="preserve"> i.e Nanda tithi  Boy should not be for Aries Rashi Girls.</t>
  </si>
  <si>
    <t xml:space="preserve">There are exceptions like parivartna etc.</t>
  </si>
  <si>
    <t xml:space="preserve">There are exceptions like parivartna etc</t>
  </si>
  <si>
    <r>
      <rPr>
        <b val="true"/>
        <sz val="11"/>
        <color rgb="FFFF0000"/>
        <rFont val="Calibri"/>
        <family val="2"/>
        <charset val="1"/>
      </rPr>
      <t xml:space="preserve">NO</t>
    </r>
    <r>
      <rPr>
        <sz val="11"/>
        <color rgb="FFFF0000"/>
        <rFont val="Calibri"/>
        <family val="2"/>
        <charset val="1"/>
      </rPr>
      <t xml:space="preserve"> Graha in 8th and 7th.</t>
    </r>
  </si>
  <si>
    <t xml:space="preserve">Muhurta </t>
  </si>
  <si>
    <t xml:space="preserve">Nakshatra </t>
  </si>
  <si>
    <t xml:space="preserve">StartTime 6AM</t>
  </si>
  <si>
    <t xml:space="preserve">StartTime</t>
  </si>
  <si>
    <t xml:space="preserve">DurMuhurtha</t>
  </si>
  <si>
    <t xml:space="preserve">Daily Sun and Moon Progression </t>
  </si>
  <si>
    <t xml:space="preserve">Ahi </t>
  </si>
  <si>
    <t xml:space="preserve">Aslesha </t>
  </si>
  <si>
    <t xml:space="preserve">12th Lord Moon in</t>
  </si>
  <si>
    <t xml:space="preserve">Vasu</t>
  </si>
  <si>
    <t xml:space="preserve">Dhanishtha</t>
  </si>
  <si>
    <t xml:space="preserve">AS12</t>
  </si>
  <si>
    <t xml:space="preserve">Ambu</t>
  </si>
  <si>
    <t xml:space="preserve">Purvashadha</t>
  </si>
  <si>
    <t xml:space="preserve">AS12 Lord </t>
  </si>
  <si>
    <t xml:space="preserve">Visvadeva</t>
  </si>
  <si>
    <t xml:space="preserve">Uttarashadha</t>
  </si>
  <si>
    <t xml:space="preserve">Abhijit/Vidhi</t>
  </si>
  <si>
    <t xml:space="preserve">Vidhata/Satamuki</t>
  </si>
  <si>
    <t xml:space="preserve">Birth</t>
  </si>
  <si>
    <t xml:space="preserve">Today</t>
  </si>
  <si>
    <t xml:space="preserve">Puruhuta</t>
  </si>
  <si>
    <t xml:space="preserve">Indragni / Vahni </t>
  </si>
  <si>
    <t xml:space="preserve">Sunset</t>
  </si>
  <si>
    <t xml:space="preserve">Nirriti / Naktancara </t>
  </si>
  <si>
    <t xml:space="preserve">Varuna / Udakanatha </t>
  </si>
  <si>
    <t xml:space="preserve">Satabhisha</t>
  </si>
  <si>
    <t xml:space="preserve">DinaMaana</t>
  </si>
  <si>
    <t xml:space="preserve">Aryaman</t>
  </si>
  <si>
    <t xml:space="preserve">Uttaraphalguni</t>
  </si>
  <si>
    <t xml:space="preserve">RatriMaana</t>
  </si>
  <si>
    <t xml:space="preserve">Bhaga </t>
  </si>
  <si>
    <t xml:space="preserve">Purvaphalguni</t>
  </si>
  <si>
    <t xml:space="preserve">Hora</t>
  </si>
  <si>
    <t xml:space="preserve">Girisa </t>
  </si>
  <si>
    <t xml:space="preserve">Ajapada </t>
  </si>
  <si>
    <t xml:space="preserve">Purvabhadrapada</t>
  </si>
  <si>
    <t xml:space="preserve">Ahirbudhnya</t>
  </si>
  <si>
    <t xml:space="preserve">Uttarabhadrapada</t>
  </si>
  <si>
    <t xml:space="preserve">Pushan</t>
  </si>
  <si>
    <t xml:space="preserve">Asvi </t>
  </si>
  <si>
    <t xml:space="preserve">Asvini </t>
  </si>
  <si>
    <t xml:space="preserve">Yama </t>
  </si>
  <si>
    <t xml:space="preserve">GAP!</t>
  </si>
  <si>
    <t xml:space="preserve">Agni </t>
  </si>
  <si>
    <t xml:space="preserve">Vidhaatri</t>
  </si>
  <si>
    <t xml:space="preserve">Chanda</t>
  </si>
  <si>
    <t xml:space="preserve">Mrigasira</t>
  </si>
  <si>
    <t xml:space="preserve">Aditi</t>
  </si>
  <si>
    <t xml:space="preserve">Jiiva</t>
  </si>
  <si>
    <t xml:space="preserve">Arka </t>
  </si>
  <si>
    <t xml:space="preserve">Tvashtri</t>
  </si>
  <si>
    <t xml:space="preserve">Maruta </t>
  </si>
  <si>
    <t xml:space="preserve">Svati</t>
  </si>
  <si>
    <t xml:space="preserve">http://sanjayprabhakaran.blogspot.in/2007/12/muhurtha.html</t>
  </si>
  <si>
    <t xml:space="preserve">Aryabhaata Sidereal Year</t>
  </si>
  <si>
    <t xml:space="preserve">Title</t>
  </si>
  <si>
    <t xml:space="preserve">2000</t>
  </si>
  <si>
    <t xml:space="preserve">2014</t>
  </si>
  <si>
    <t xml:space="preserve">2013</t>
  </si>
  <si>
    <t xml:space="preserve">Pradhaana Mantri</t>
  </si>
  <si>
    <t xml:space="preserve">Mantri</t>
  </si>
  <si>
    <t xml:space="preserve">Argha adhi pati</t>
  </si>
  <si>
    <t xml:space="preserve">Megha adhi pati</t>
  </si>
  <si>
    <t xml:space="preserve">Sasya naayaka</t>
  </si>
  <si>
    <t xml:space="preserve">Sena pati</t>
  </si>
  <si>
    <t xml:space="preserve">Rasa adhipati</t>
  </si>
  <si>
    <t xml:space="preserve">Dhaanya adhipati</t>
  </si>
  <si>
    <t xml:space="preserve">Nirasa adhipati</t>
  </si>
  <si>
    <t xml:space="preserve">vasanta</t>
  </si>
  <si>
    <t xml:space="preserve">griṣma</t>
  </si>
  <si>
    <t xml:space="preserve">King
viṣṇu
</t>
  </si>
  <si>
    <t xml:space="preserve">dhātā
</t>
  </si>
  <si>
    <t xml:space="preserve">
ayamā
pradhana-mantri</t>
  </si>
  <si>
    <t xml:space="preserve">mitra
arghādhipa</t>
  </si>
  <si>
    <t xml:space="preserve">śiśira</t>
  </si>
  <si>
    <t xml:space="preserve">tvaṣṭā </t>
  </si>
  <si>
    <t xml:space="preserve">Samvatsara Portfolio</t>
  </si>
  <si>
    <t xml:space="preserve">varuṇa
sasyanāyaka</t>
  </si>
  <si>
    <t xml:space="preserve">vārṣa</t>
  </si>
  <si>
    <t xml:space="preserve">bhaga
nīrasādhipa</t>
  </si>
  <si>
    <t xml:space="preserve">Indra
senāpati</t>
  </si>
  <si>
    <t xml:space="preserve">aṃśu
dhānyādhipa</t>
  </si>
  <si>
    <t xml:space="preserve">pūṣā 
rasādhipa</t>
  </si>
  <si>
    <t xml:space="preserve">hemanta</t>
  </si>
  <si>
    <t xml:space="preserve">śārada</t>
  </si>
  <si>
    <t xml:space="preserve">Date of Birth</t>
  </si>
  <si>
    <t xml:space="preserve">Add Year</t>
  </si>
  <si>
    <t xml:space="preserve">Add Months</t>
  </si>
  <si>
    <t xml:space="preserve">Add Days</t>
  </si>
  <si>
    <t xml:space="preserve">Progressed date</t>
  </si>
  <si>
    <t xml:space="preserve">Age</t>
  </si>
  <si>
    <t xml:space="preserve">Sun in Divisional</t>
  </si>
  <si>
    <t xml:space="preserve">Sn</t>
  </si>
  <si>
    <t xml:space="preserve">Minutes</t>
  </si>
  <si>
    <t xml:space="preserve">Birth Sun</t>
  </si>
  <si>
    <t xml:space="preserve">On Given Date</t>
  </si>
  <si>
    <t xml:space="preserve">Dasamsa</t>
  </si>
  <si>
    <t xml:space="preserve">Position</t>
  </si>
  <si>
    <t xml:space="preserve">Vidya</t>
  </si>
  <si>
    <t xml:space="preserve">Yasa</t>
  </si>
  <si>
    <t xml:space="preserve">Bhratru</t>
  </si>
  <si>
    <t xml:space="preserve">Pitru</t>
  </si>
  <si>
    <t xml:space="preserve">Matru</t>
  </si>
  <si>
    <t xml:space="preserve">Moola Dasa (dasa showing the root of events - past karma):</t>
  </si>
  <si>
    <t xml:space="preserve"> Maha Dasas:</t>
  </si>
  <si>
    <t xml:space="preserve">Ak</t>
  </si>
  <si>
    <t xml:space="preserve">Ahamkaara, Bandana, One who has to do, karmic king, Why u are taking the birth, Should do the dharma, Karmic Attachments to soul</t>
  </si>
  <si>
    <t xml:space="preserve">Amk</t>
  </si>
  <si>
    <t xml:space="preserve">Karma attached, Will do what the King</t>
  </si>
  <si>
    <t xml:space="preserve"> Merc:</t>
  </si>
  <si>
    <t xml:space="preserve">  -</t>
  </si>
  <si>
    <t xml:space="preserve">Bk </t>
  </si>
  <si>
    <t xml:space="preserve">Teacher, Guide, Guru, Knowledge, Siblings, Attachment to Paramatma, Attachment due to knowledge.</t>
  </si>
  <si>
    <t xml:space="preserve"> Ket:</t>
  </si>
  <si>
    <t xml:space="preserve"> -</t>
  </si>
  <si>
    <t xml:space="preserve">PiK</t>
  </si>
  <si>
    <t xml:space="preserve">power to protect,Dharma, Duty Bound, What areas we are weak/unprotected.</t>
  </si>
  <si>
    <t xml:space="preserve"> Sun:</t>
  </si>
  <si>
    <t xml:space="preserve">Mk</t>
  </si>
  <si>
    <t xml:space="preserve">Healing, Bhakti,Unconditional Love, Like Mother,Happiness,</t>
  </si>
  <si>
    <t xml:space="preserve"> Mars:</t>
  </si>
  <si>
    <t xml:space="preserve">PuK</t>
  </si>
  <si>
    <t xml:space="preserve">Power, Progeny, Will do what the king says,, Will achieve in early life…,Control, Dominations, Overpower,SelfControl.</t>
  </si>
  <si>
    <t xml:space="preserve"> Rah:</t>
  </si>
  <si>
    <t xml:space="preserve">Gk</t>
  </si>
  <si>
    <t xml:space="preserve">Enemies, Group, Group-Dynamics,</t>
  </si>
  <si>
    <t xml:space="preserve"> Ven:</t>
  </si>
  <si>
    <t xml:space="preserve">Dārakāraka </t>
  </si>
  <si>
    <t xml:space="preserve">Shree, Siddhi, Dk should aspect D1, D3, Money, Professionsl Skills,Sakshi?,Friend,Sustains (2-7 House)</t>
  </si>
  <si>
    <t xml:space="preserve"> Moon:</t>
  </si>
  <si>
    <t xml:space="preserve"> Sat:</t>
  </si>
  <si>
    <t xml:space="preserve">1-5 Jupiter D9</t>
  </si>
  <si>
    <t xml:space="preserve"> Karma Yoga </t>
  </si>
  <si>
    <t xml:space="preserve"> Jup:</t>
  </si>
  <si>
    <t xml:space="preserve">Dik Chakra</t>
  </si>
  <si>
    <t xml:space="preserve">Ishaanaya</t>
  </si>
  <si>
    <t xml:space="preserve">Knowledge</t>
  </si>
  <si>
    <t xml:space="preserve">Mahadevaaya</t>
  </si>
  <si>
    <t xml:space="preserve">Cycle 1 Duration</t>
  </si>
  <si>
    <t xml:space="preserve">Cycle 2 Duration</t>
  </si>
  <si>
    <t xml:space="preserve">Sum Duration</t>
  </si>
  <si>
    <t xml:space="preserve">Pratyantardasa for</t>
  </si>
  <si>
    <t xml:space="preserve">Sukshma for</t>
  </si>
  <si>
    <t xml:space="preserve">Vara Order</t>
  </si>
  <si>
    <t xml:space="preserve">3rd Upaya</t>
  </si>
  <si>
    <t xml:space="preserve">4th Block</t>
  </si>
  <si>
    <t xml:space="preserve">5th Kavacha</t>
  </si>
  <si>
    <t xml:space="preserve">6th Stambana</t>
  </si>
  <si>
    <t xml:space="preserve">8th Grahana</t>
  </si>
  <si>
    <t xml:space="preserve">9th Oppose</t>
  </si>
  <si>
    <t xml:space="preserve">4th+9th Dhatu Hit
3rd is Upāya</t>
  </si>
  <si>
    <t xml:space="preserve">5th+8th = Issue
</t>
  </si>
  <si>
    <t xml:space="preserve">Jupi</t>
  </si>
  <si>
    <t xml:space="preserve">Ex Block Parkinsons Mars,Unlock Venus in 6th</t>
  </si>
  <si>
    <t xml:space="preserve">Lock</t>
  </si>
  <si>
    <t xml:space="preserve">Rah</t>
  </si>
  <si>
    <t xml:space="preserve">Venu</t>
  </si>
  <si>
    <t xml:space="preserve">Ex Block Jupiter-Cancer</t>
  </si>
  <si>
    <t xml:space="preserve">Unlock</t>
  </si>
  <si>
    <t xml:space="preserve">Ex Unblock Neecha Moon</t>
  </si>
  <si>
    <t xml:space="preserve">रुद्र</t>
  </si>
  <si>
    <t xml:space="preserve">Shloka (|| Number From Namakam ||)</t>
  </si>
  <si>
    <t xml:space="preserve">कपाली</t>
  </si>
  <si>
    <t xml:space="preserve">kapālī</t>
  </si>
  <si>
    <r>
      <rPr>
        <sz val="14"/>
        <color rgb="FF000000"/>
        <rFont val="Noto Sans Devanagari"/>
        <family val="2"/>
        <charset val="1"/>
      </rPr>
      <t xml:space="preserve">नम॑स्ते रुद्रम॒न्यव॑ उ॒तोत॒ इष॑वे॒ नमः॑ ।
नम॑स्ते अस्तु॒ धन्व॑ने बा॒हुभ्या॑</t>
    </r>
    <r>
      <rPr>
        <sz val="14"/>
        <color rgb="FF000000"/>
        <rFont val="Sanskrit 2003"/>
        <family val="0"/>
        <charset val="1"/>
      </rPr>
      <t xml:space="preserve">-</t>
    </r>
    <r>
      <rPr>
        <sz val="14"/>
        <color rgb="FF000000"/>
        <rFont val="Noto Sans Devanagari"/>
        <family val="2"/>
        <charset val="1"/>
      </rPr>
      <t xml:space="preserve">मु॒त ते॒ नमः॑ ॥ १</t>
    </r>
    <r>
      <rPr>
        <sz val="14"/>
        <color rgb="FF000000"/>
        <rFont val="Sanskrit 2003"/>
        <family val="0"/>
        <charset val="1"/>
      </rPr>
      <t xml:space="preserve">.</t>
    </r>
    <r>
      <rPr>
        <sz val="14"/>
        <color rgb="FF000000"/>
        <rFont val="Noto Sans Devanagari"/>
        <family val="2"/>
        <charset val="1"/>
      </rPr>
      <t xml:space="preserve">१॥
</t>
    </r>
    <r>
      <rPr>
        <sz val="14"/>
        <color rgb="FF000000"/>
        <rFont val="Sanskrit 2003"/>
        <family val="0"/>
        <charset val="1"/>
      </rPr>
      <t xml:space="preserve">namaste rudramanyava utota iṣave namaḥ </t>
    </r>
    <r>
      <rPr>
        <sz val="14"/>
        <color rgb="FF000000"/>
        <rFont val="Noto Sans Devanagari"/>
        <family val="2"/>
        <charset val="1"/>
      </rPr>
      <t xml:space="preserve">।
</t>
    </r>
    <r>
      <rPr>
        <sz val="14"/>
        <color rgb="FF000000"/>
        <rFont val="Calibri"/>
        <family val="2"/>
        <charset val="1"/>
      </rPr>
      <t xml:space="preserve">namaste astu dhanvane bāhubhyā-muta te namaḥ </t>
    </r>
    <r>
      <rPr>
        <sz val="14"/>
        <color rgb="FF000000"/>
        <rFont val="Noto Sans Devanagari"/>
        <family val="2"/>
        <charset val="1"/>
      </rPr>
      <t xml:space="preserve">॥ </t>
    </r>
    <r>
      <rPr>
        <sz val="14"/>
        <color rgb="FF000000"/>
        <rFont val="Calibri"/>
        <family val="2"/>
        <charset val="1"/>
      </rPr>
      <t xml:space="preserve">1-1</t>
    </r>
    <r>
      <rPr>
        <sz val="14"/>
        <color rgb="FF000000"/>
        <rFont val="Noto Sans Devanagari"/>
        <family val="2"/>
        <charset val="1"/>
      </rPr>
      <t xml:space="preserve">॥</t>
    </r>
  </si>
  <si>
    <r>
      <rPr>
        <sz val="14"/>
        <color rgb="FF000000"/>
        <rFont val="Noto Sans Devanagari"/>
        <family val="2"/>
        <charset val="1"/>
      </rPr>
      <t xml:space="preserve">ॐ</t>
    </r>
    <r>
      <rPr>
        <sz val="12"/>
        <color rgb="FF000000"/>
        <rFont val="Noto Sans Devanagari"/>
        <family val="2"/>
        <charset val="1"/>
      </rPr>
      <t xml:space="preserve"> हुँ हुँ शत्रुस्तम्भनाय हुँ हुँ ॐ फट् ।</t>
    </r>
  </si>
  <si>
    <t xml:space="preserve">पिंगल</t>
  </si>
  <si>
    <t xml:space="preserve">piṁgala</t>
  </si>
  <si>
    <r>
      <rPr>
        <sz val="14"/>
        <color rgb="FF000000"/>
        <rFont val="Noto Sans Devanagari"/>
        <family val="2"/>
        <charset val="1"/>
      </rPr>
      <t xml:space="preserve">यामिषुं॑ गिरिशंत॒ हस्ते॒ बिभ॒र्ष्यस्त॑वे ।
शि॒वां गि॑रित्र॒ तां कु॑रु॒ मा हिसीः॒ पुरु॑षं॒ जग॑त् ॥ १</t>
    </r>
    <r>
      <rPr>
        <sz val="14"/>
        <color rgb="FF000000"/>
        <rFont val="Calibri"/>
        <family val="2"/>
        <charset val="1"/>
      </rPr>
      <t xml:space="preserve">.</t>
    </r>
    <r>
      <rPr>
        <sz val="14"/>
        <color rgb="FF000000"/>
        <rFont val="Noto Sans Devanagari"/>
        <family val="2"/>
        <charset val="1"/>
      </rPr>
      <t xml:space="preserve">४॥
</t>
    </r>
    <r>
      <rPr>
        <sz val="14"/>
        <color rgb="FF000000"/>
        <rFont val="Calibri"/>
        <family val="2"/>
        <charset val="1"/>
      </rPr>
      <t xml:space="preserve">yāmiṣuṁ giriśaṁta haste bibharṣyastave |
śivāṁ giritra tāṁ kuru mā higsīḥ puruṣaṁ jagat || 1-4||</t>
    </r>
  </si>
  <si>
    <t xml:space="preserve">ॐ श्रीं ह्रीं श्रीं सर्व मंगलाय पिंगलाय ॐ नमः </t>
  </si>
  <si>
    <t xml:space="preserve">भीम</t>
  </si>
  <si>
    <r>
      <rPr>
        <sz val="14"/>
        <color rgb="FF000000"/>
        <rFont val="Noto Sans Devanagari"/>
        <family val="2"/>
        <charset val="1"/>
      </rPr>
      <t xml:space="preserve">शि॒वेन॒ वच॑सा त्वा॒ गिरि॒शाच्छा॑ वदामसि ।</t>
    </r>
    <r>
      <rPr>
        <sz val="14"/>
        <color rgb="FF000000"/>
        <rFont val="Calibri"/>
        <family val="2"/>
        <charset val="1"/>
      </rPr>
      <t xml:space="preserve">
</t>
    </r>
    <r>
      <rPr>
        <sz val="14"/>
        <color rgb="FF000000"/>
        <rFont val="Noto Sans Devanagari"/>
        <family val="2"/>
        <charset val="1"/>
      </rPr>
      <t xml:space="preserve">यथा॑ नः॒ सर्व॒मिज्जग॑दय॒क्ष्मसु॒मना॒ अस॑त् ॥ १</t>
    </r>
    <r>
      <rPr>
        <sz val="14"/>
        <color rgb="FF000000"/>
        <rFont val="Calibri"/>
        <family val="2"/>
        <charset val="1"/>
      </rPr>
      <t xml:space="preserve">.</t>
    </r>
    <r>
      <rPr>
        <sz val="14"/>
        <color rgb="FF000000"/>
        <rFont val="Noto Sans Devanagari"/>
        <family val="2"/>
        <charset val="1"/>
      </rPr>
      <t xml:space="preserve">५॥</t>
    </r>
    <r>
      <rPr>
        <sz val="14"/>
        <color rgb="FF000000"/>
        <rFont val="Calibri"/>
        <family val="2"/>
        <charset val="1"/>
      </rPr>
      <t xml:space="preserve">
śivena vacasā tvā giriśācchā vadāmasi </t>
    </r>
    <r>
      <rPr>
        <sz val="14"/>
        <color rgb="FF000000"/>
        <rFont val="Noto Sans Devanagari"/>
        <family val="2"/>
        <charset val="1"/>
      </rPr>
      <t xml:space="preserve">।</t>
    </r>
    <r>
      <rPr>
        <sz val="14"/>
        <color rgb="FF000000"/>
        <rFont val="Calibri"/>
        <family val="2"/>
        <charset val="1"/>
      </rPr>
      <t xml:space="preserve">
yathā naḥ sarvamijjagadayakṣmasumanā asat </t>
    </r>
    <r>
      <rPr>
        <sz val="14"/>
        <color rgb="FF000000"/>
        <rFont val="Noto Sans Devanagari"/>
        <family val="2"/>
        <charset val="1"/>
      </rPr>
      <t xml:space="preserve">॥ </t>
    </r>
    <r>
      <rPr>
        <sz val="14"/>
        <color rgb="FF000000"/>
        <rFont val="Calibri"/>
        <family val="2"/>
        <charset val="1"/>
      </rPr>
      <t xml:space="preserve">1-5</t>
    </r>
    <r>
      <rPr>
        <sz val="14"/>
        <color rgb="FF000000"/>
        <rFont val="Noto Sans Devanagari"/>
        <family val="2"/>
        <charset val="1"/>
      </rPr>
      <t xml:space="preserve">॥</t>
    </r>
  </si>
  <si>
    <t xml:space="preserve">ॐ एैं एैं मनोवाञ्चित सिद्द्यये ऐं ऐं ॐ ।।</t>
  </si>
  <si>
    <t xml:space="preserve">विरूपाक्ष</t>
  </si>
  <si>
    <t xml:space="preserve">virūpākṣa</t>
  </si>
  <si>
    <r>
      <rPr>
        <sz val="14"/>
        <color rgb="FF000000"/>
        <rFont val="Noto Sans Devanagari"/>
        <family val="2"/>
        <charset val="1"/>
      </rPr>
      <t xml:space="preserve">अध्य॑वोचदधि व॒क्ता प्र॑थ॒मो दैव्यो॑ भि॒षक् ।
अही॑श्च॒ सर्वा॓ञ्जं॒भय॒न्त्सर्वा॓श्च यातुधा॒न्यः॑ ॥ १</t>
    </r>
    <r>
      <rPr>
        <sz val="14"/>
        <color rgb="FF000000"/>
        <rFont val="Sanskrit 2003"/>
        <family val="0"/>
        <charset val="1"/>
      </rPr>
      <t xml:space="preserve">.</t>
    </r>
    <r>
      <rPr>
        <sz val="14"/>
        <color rgb="FF000000"/>
        <rFont val="Noto Sans Devanagari"/>
        <family val="2"/>
        <charset val="1"/>
      </rPr>
      <t xml:space="preserve">६॥
</t>
    </r>
    <r>
      <rPr>
        <sz val="14"/>
        <color rgb="FF000000"/>
        <rFont val="Sanskrit 2003"/>
        <family val="0"/>
        <charset val="1"/>
      </rPr>
      <t xml:space="preserve">adhyavocadadhi vaktā prathamo daivyo bhiṣak </t>
    </r>
    <r>
      <rPr>
        <sz val="14"/>
        <color rgb="FF000000"/>
        <rFont val="Noto Sans Devanagari"/>
        <family val="2"/>
        <charset val="1"/>
      </rPr>
      <t xml:space="preserve">।
</t>
    </r>
    <r>
      <rPr>
        <sz val="14"/>
        <color rgb="FF000000"/>
        <rFont val="Sanskrit 2003"/>
        <family val="0"/>
        <charset val="1"/>
      </rPr>
      <t xml:space="preserve">ahīśca sarvāñjambhayantsarvāśca yātudhānyaḥ </t>
    </r>
    <r>
      <rPr>
        <sz val="14"/>
        <color rgb="FF000000"/>
        <rFont val="Noto Sans Devanagari"/>
        <family val="2"/>
        <charset val="1"/>
      </rPr>
      <t xml:space="preserve">॥ </t>
    </r>
    <r>
      <rPr>
        <sz val="14"/>
        <color rgb="FF000000"/>
        <rFont val="Sanskrit 2003"/>
        <family val="0"/>
        <charset val="1"/>
      </rPr>
      <t xml:space="preserve">1-6</t>
    </r>
    <r>
      <rPr>
        <sz val="14"/>
        <color rgb="FF000000"/>
        <rFont val="Noto Sans Devanagari"/>
        <family val="2"/>
        <charset val="1"/>
      </rPr>
      <t xml:space="preserve">॥</t>
    </r>
  </si>
  <si>
    <t xml:space="preserve">मत्रः ॐ रूद्राय रोगनाशाय आगच्छ रं ॐ नमः ।</t>
  </si>
  <si>
    <t xml:space="preserve">विलोहितः</t>
  </si>
  <si>
    <t xml:space="preserve">vilohitaḥ</t>
  </si>
  <si>
    <r>
      <rPr>
        <sz val="14"/>
        <color rgb="FF000000"/>
        <rFont val="Noto Sans Devanagari"/>
        <family val="2"/>
        <charset val="1"/>
      </rPr>
      <t xml:space="preserve">अ॒सौ यो॑ऽव॒सर्प॑ति॒ नील॑ग्रीवो॒ विलो॑हितः ।
उ॒तैनं॑ गो॒पा अ॑दृश॒न्नदृ॑शन्नुदहा॒र्यः॑ ।
उ॒तैनं॒ विश्वा॑ भू॒तानि॒ स दृ॒ष्टो मृ॑डयाति नः ॥ १</t>
    </r>
    <r>
      <rPr>
        <sz val="14"/>
        <color rgb="FF000000"/>
        <rFont val="Sanskrit 2003"/>
        <family val="0"/>
        <charset val="1"/>
      </rPr>
      <t xml:space="preserve">.</t>
    </r>
    <r>
      <rPr>
        <sz val="14"/>
        <color rgb="FF000000"/>
        <rFont val="Noto Sans Devanagari"/>
        <family val="2"/>
        <charset val="1"/>
      </rPr>
      <t xml:space="preserve">८॥
</t>
    </r>
    <r>
      <rPr>
        <sz val="14"/>
        <color rgb="FF000000"/>
        <rFont val="Sanskrit 2003"/>
        <family val="0"/>
        <charset val="1"/>
      </rPr>
      <t xml:space="preserve">asau yo'vasarpati nīlagrīvo vilohitaḥ </t>
    </r>
    <r>
      <rPr>
        <sz val="14"/>
        <color rgb="FF000000"/>
        <rFont val="Noto Sans Devanagari"/>
        <family val="2"/>
        <charset val="1"/>
      </rPr>
      <t xml:space="preserve">।
</t>
    </r>
    <r>
      <rPr>
        <sz val="14"/>
        <color rgb="FF000000"/>
        <rFont val="Sanskrit 2003"/>
        <family val="0"/>
        <charset val="1"/>
      </rPr>
      <t xml:space="preserve">utainaṃ gopā adṛśannadṛśannudahāryaḥ </t>
    </r>
    <r>
      <rPr>
        <sz val="14"/>
        <color rgb="FF000000"/>
        <rFont val="Noto Sans Devanagari"/>
        <family val="2"/>
        <charset val="1"/>
      </rPr>
      <t xml:space="preserve">।
</t>
    </r>
    <r>
      <rPr>
        <sz val="14"/>
        <color rgb="FF000000"/>
        <rFont val="Sanskrit 2003"/>
        <family val="0"/>
        <charset val="1"/>
      </rPr>
      <t xml:space="preserve">utainaṃ viśvā bhūtāni sa dṛṣṭo mṛḍayāti naḥ </t>
    </r>
    <r>
      <rPr>
        <sz val="14"/>
        <color rgb="FF000000"/>
        <rFont val="Noto Sans Devanagari"/>
        <family val="2"/>
        <charset val="1"/>
      </rPr>
      <t xml:space="preserve">॥ </t>
    </r>
    <r>
      <rPr>
        <sz val="14"/>
        <color rgb="FF000000"/>
        <rFont val="Sanskrit 2003"/>
        <family val="0"/>
        <charset val="1"/>
      </rPr>
      <t xml:space="preserve">1-8</t>
    </r>
    <r>
      <rPr>
        <sz val="14"/>
        <color rgb="FF000000"/>
        <rFont val="Noto Sans Devanagari"/>
        <family val="2"/>
        <charset val="1"/>
      </rPr>
      <t xml:space="preserve">॥</t>
    </r>
  </si>
  <si>
    <t xml:space="preserve">मंत्रः ॐ श्रीं ह्रीं सं सं ह्रीं श्रीं संकर्षणाय ॐ</t>
  </si>
  <si>
    <r>
      <rPr>
        <sz val="14"/>
        <color rgb="FF000000"/>
        <rFont val="Noto Sans Devanagari"/>
        <family val="2"/>
        <charset val="1"/>
      </rPr>
      <t xml:space="preserve">अ॒सौ यस्ता॒म्रो अ॑रु॒ण उ॒त ब॒भ्रुः सु॑मं॒गलः॑ ।
ये चे॒मा</t>
    </r>
    <r>
      <rPr>
        <sz val="14"/>
        <color rgb="FF000000"/>
        <rFont val="Sanskrit 2003"/>
        <family val="0"/>
        <charset val="1"/>
      </rPr>
      <t xml:space="preserve">óè</t>
    </r>
    <r>
      <rPr>
        <sz val="14"/>
        <color rgb="FF000000"/>
        <rFont val="Noto Sans Devanagari"/>
        <family val="2"/>
        <charset val="1"/>
      </rPr>
      <t xml:space="preserve">रु॒द्रा अ॒भितो॑ दि॒क्षु ।
श्रि॒ताः स॑हस्र॒शोऽवै॑षा॒</t>
    </r>
    <r>
      <rPr>
        <sz val="14"/>
        <color rgb="FF000000"/>
        <rFont val="Sanskrit 2003"/>
        <family val="0"/>
        <charset val="1"/>
      </rPr>
      <t xml:space="preserve">óè</t>
    </r>
    <r>
      <rPr>
        <sz val="14"/>
        <color rgb="FF000000"/>
        <rFont val="Noto Sans Devanagari"/>
        <family val="2"/>
        <charset val="1"/>
      </rPr>
      <t xml:space="preserve">॒हेड॑ ईमहे ॥ १</t>
    </r>
    <r>
      <rPr>
        <sz val="14"/>
        <color rgb="FF000000"/>
        <rFont val="Sanskrit 2003"/>
        <family val="0"/>
        <charset val="1"/>
      </rPr>
      <t xml:space="preserve">.</t>
    </r>
    <r>
      <rPr>
        <sz val="14"/>
        <color rgb="FF000000"/>
        <rFont val="Noto Sans Devanagari"/>
        <family val="2"/>
        <charset val="1"/>
      </rPr>
      <t xml:space="preserve">७॥</t>
    </r>
  </si>
  <si>
    <t xml:space="preserve">http://sanskritdocuments.org/doc_shiva/rudram.html?lang=sa</t>
  </si>
  <si>
    <t xml:space="preserve">http://www.shaivam.org/sanskrit/ssk-sk-rudra-chamaka.htm</t>
  </si>
  <si>
    <t xml:space="preserve">http://sanskritdocuments.org/doc_shiva/rudram.html?lang=iast</t>
  </si>
  <si>
    <t xml:space="preserve">Day Yama</t>
  </si>
  <si>
    <t xml:space="preserve">Night Yama</t>
  </si>
  <si>
    <t xml:space="preserve">Shuklapaksha Day</t>
  </si>
  <si>
    <t xml:space="preserve">Shuklapaksha Night</t>
  </si>
  <si>
    <t xml:space="preserve">Krishna paksha Day</t>
  </si>
  <si>
    <t xml:space="preserve">Krishna paksha Night</t>
  </si>
  <si>
    <t xml:space="preserve">DaySP</t>
  </si>
  <si>
    <t xml:space="preserve">Bird</t>
  </si>
  <si>
    <t xml:space="preserve">DayKP</t>
  </si>
  <si>
    <t xml:space="preserve">Sunday
Tuesday</t>
  </si>
  <si>
    <t xml:space="preserve">Eagle</t>
  </si>
  <si>
    <t xml:space="preserve">Eat</t>
  </si>
  <si>
    <t xml:space="preserve">Walk</t>
  </si>
  <si>
    <t xml:space="preserve">Rule</t>
  </si>
  <si>
    <t xml:space="preserve">Sleep</t>
  </si>
  <si>
    <t xml:space="preserve">Monday  Wednesday</t>
  </si>
  <si>
    <t xml:space="preserve">Monday
Saturday</t>
  </si>
  <si>
    <t xml:space="preserve">Thursday </t>
  </si>
  <si>
    <t xml:space="preserve">Friday </t>
  </si>
  <si>
    <t xml:space="preserve">Shukla Paksha</t>
  </si>
  <si>
    <t xml:space="preserve">Both</t>
  </si>
  <si>
    <t xml:space="preserve">Krisha Paksha</t>
  </si>
  <si>
    <t xml:space="preserve">Vowel</t>
  </si>
  <si>
    <r>
      <rPr>
        <sz val="11"/>
        <color rgb="FF000000"/>
        <rFont val="Calibri"/>
        <family val="2"/>
        <charset val="1"/>
      </rPr>
      <t xml:space="preserve">Anti(</t>
    </r>
    <r>
      <rPr>
        <sz val="11"/>
        <color rgb="FF000000"/>
        <rFont val="Noto Sans Devanagari"/>
        <family val="2"/>
        <charset val="1"/>
      </rPr>
      <t xml:space="preserve">படு</t>
    </r>
    <r>
      <rPr>
        <sz val="11"/>
        <color rgb="FF000000"/>
        <rFont val="Calibri"/>
        <family val="2"/>
        <charset val="1"/>
      </rPr>
      <t xml:space="preserve">) Pakshi Vaara</t>
    </r>
  </si>
  <si>
    <t xml:space="preserve">Friend1</t>
  </si>
  <si>
    <t xml:space="preserve">Friend2</t>
  </si>
  <si>
    <t xml:space="preserve">Enemy2</t>
  </si>
  <si>
    <t xml:space="preserve">deity</t>
  </si>
  <si>
    <t xml:space="preserve">Vowel2</t>
  </si>
  <si>
    <r>
      <rPr>
        <sz val="11"/>
        <color rgb="FF000000"/>
        <rFont val="Calibri"/>
        <family val="2"/>
        <charset val="1"/>
      </rPr>
      <t xml:space="preserve">Pakshi becomes Anti(</t>
    </r>
    <r>
      <rPr>
        <sz val="11"/>
        <color rgb="FF000000"/>
        <rFont val="Noto Sans Devanagari"/>
        <family val="2"/>
        <charset val="1"/>
      </rPr>
      <t xml:space="preserve">படு</t>
    </r>
    <r>
      <rPr>
        <sz val="11"/>
        <color rgb="FF000000"/>
        <rFont val="Calibri"/>
        <family val="2"/>
        <charset val="1"/>
      </rPr>
      <t xml:space="preserve">) on</t>
    </r>
  </si>
  <si>
    <t xml:space="preserve">Friend12</t>
  </si>
  <si>
    <t xml:space="preserve">Friend23</t>
  </si>
  <si>
    <t xml:space="preserve">Enemy4</t>
  </si>
  <si>
    <t xml:space="preserve">Enemy25</t>
  </si>
  <si>
    <t xml:space="preserve">Column16</t>
  </si>
  <si>
    <t xml:space="preserve">Column17</t>
  </si>
  <si>
    <t xml:space="preserve">அ</t>
  </si>
  <si>
    <t xml:space="preserve">Sun,Tue</t>
  </si>
  <si>
    <t xml:space="preserve">saraswathi and bramma</t>
  </si>
  <si>
    <t xml:space="preserve">இ</t>
  </si>
  <si>
    <t xml:space="preserve">Mon, Wed</t>
  </si>
  <si>
    <t xml:space="preserve">lakshmi and vishnu</t>
  </si>
  <si>
    <t xml:space="preserve">உ</t>
  </si>
  <si>
    <t xml:space="preserve">parvathi and ruthiran</t>
  </si>
  <si>
    <t xml:space="preserve">ஒ</t>
  </si>
  <si>
    <t xml:space="preserve">Wed,Fri</t>
  </si>
  <si>
    <t xml:space="preserve">எ</t>
  </si>
  <si>
    <t xml:space="preserve">mageswari and mageswaran</t>
  </si>
  <si>
    <t xml:space="preserve">manonmani  and sathasivam</t>
  </si>
  <si>
    <t xml:space="preserve">Thu,Sat</t>
  </si>
  <si>
    <t xml:space="preserve">Sequence </t>
  </si>
  <si>
    <t xml:space="preserve">Wt</t>
  </si>
  <si>
    <t xml:space="preserve">Activites</t>
  </si>
  <si>
    <t xml:space="preserve">SP day Sukshma Job</t>
  </si>
  <si>
    <t xml:space="preserve">SP Night</t>
  </si>
  <si>
    <t xml:space="preserve">KP Day</t>
  </si>
  <si>
    <t xml:space="preserve">KP Night</t>
  </si>
  <si>
    <t xml:space="preserve">black magical works </t>
  </si>
  <si>
    <t xml:space="preserve">Shi</t>
  </si>
  <si>
    <t xml:space="preserve">Vaa</t>
  </si>
  <si>
    <t xml:space="preserve">Ya</t>
  </si>
  <si>
    <t xml:space="preserve">Na</t>
  </si>
  <si>
    <t xml:space="preserve">Ard</t>
  </si>
  <si>
    <t xml:space="preserve">Pisces/ Meena</t>
  </si>
  <si>
    <t xml:space="preserve">Gemini/ Mithuna</t>
  </si>
  <si>
    <t xml:space="preserve">Aquarius/ Kumbha</t>
  </si>
  <si>
    <t xml:space="preserve">Cancer/ Karka</t>
  </si>
  <si>
    <t xml:space="preserve">Capricorn/ Makara</t>
  </si>
  <si>
    <t xml:space="preserve">Leo/ Simha</t>
  </si>
  <si>
    <t xml:space="preserve">Saggittarius /Dhanush</t>
  </si>
  <si>
    <t xml:space="preserve">Scorpio/ Vrishchika</t>
  </si>
  <si>
    <t xml:space="preserve">Libra/ Tula</t>
  </si>
  <si>
    <t xml:space="preserve">Virgo/ Kanya</t>
  </si>
</sst>
</file>

<file path=xl/styles.xml><?xml version="1.0" encoding="utf-8"?>
<styleSheet xmlns="http://schemas.openxmlformats.org/spreadsheetml/2006/main">
  <numFmts count="51">
    <numFmt numFmtId="164" formatCode="General"/>
    <numFmt numFmtId="165" formatCode="dd/mm/yyyy"/>
    <numFmt numFmtId="166" formatCode="@"/>
    <numFmt numFmtId="167" formatCode="[$-F800]dddd&quot;, &quot;mmmm\ dd&quot;, &quot;yyyy"/>
    <numFmt numFmtId="168" formatCode="hh:mm\ AM/PM\ mmm\-dd\-yyyy"/>
    <numFmt numFmtId="169" formatCode="mmm\-dd\-yyyy\ ddd\ hh:mm:ss\ AM/PM\ "/>
    <numFmt numFmtId="170" formatCode="d\ mmm\ yyyy"/>
    <numFmt numFmtId="171" formatCode="hh:mm:ss\ AM/PM"/>
    <numFmt numFmtId="172" formatCode="hh:mm"/>
    <numFmt numFmtId="173" formatCode="d\-mmm\-yyyy\ h:mm:ss\ AM/PM"/>
    <numFmt numFmtId="174" formatCode="0.00"/>
    <numFmt numFmtId="175" formatCode="d\ mmm\ yy"/>
    <numFmt numFmtId="176" formatCode="0"/>
    <numFmt numFmtId="177" formatCode="dd/mmm/yyyy\ hh:mm:ss\ AM/PM"/>
    <numFmt numFmtId="178" formatCode="dddd&quot;, &quot;"/>
    <numFmt numFmtId="179" formatCode="[hh]:mm:ss"/>
    <numFmt numFmtId="180" formatCode="0.00000"/>
    <numFmt numFmtId="181" formatCode="_(* #,##0.00_);_(* \(#,##0.00\);_(* \-??_);_(@_)"/>
    <numFmt numFmtId="182" formatCode="#,##0_ ;\-#,##0\ "/>
    <numFmt numFmtId="183" formatCode="_-* #,##0_-;\-* #,##0_-;_-* \-??_-;_-@_-"/>
    <numFmt numFmtId="184" formatCode="mm/dd/yy\ hh:mm\ AM/PM"/>
    <numFmt numFmtId="185" formatCode="[h]:mm:ss;@"/>
    <numFmt numFmtId="186" formatCode="0.0"/>
    <numFmt numFmtId="187" formatCode="0.000"/>
    <numFmt numFmtId="188" formatCode="[$-F400]h:mm:ss\ AM/PM"/>
    <numFmt numFmtId="189" formatCode="yyyy\-mmm\-d"/>
    <numFmt numFmtId="190" formatCode="d\-mmm\-yyyy;@"/>
    <numFmt numFmtId="191" formatCode="d\-mmm\-yyyy\ h:mm"/>
    <numFmt numFmtId="192" formatCode="0.0000"/>
    <numFmt numFmtId="193" formatCode="[hh]:mm:ss.00"/>
    <numFmt numFmtId="194" formatCode="&quot;Yes&quot;;&quot;Yes&quot;;&quot;No&quot;"/>
    <numFmt numFmtId="195" formatCode="# ??/??"/>
    <numFmt numFmtId="196" formatCode="dd\-mmm\-yyyy"/>
    <numFmt numFmtId="197" formatCode="0.000000000"/>
    <numFmt numFmtId="198" formatCode="ddd\ dd\-mmm\-yyyy"/>
    <numFmt numFmtId="199" formatCode="d\-mmm\-yyyy"/>
    <numFmt numFmtId="200" formatCode="#,##0.00000000"/>
    <numFmt numFmtId="201" formatCode="#,##0.00"/>
    <numFmt numFmtId="202" formatCode="hh:mm:ss"/>
    <numFmt numFmtId="203" formatCode="[DBNum1][$-4009]mm\/dd\/yy"/>
    <numFmt numFmtId="204" formatCode="[$-4000439]0"/>
    <numFmt numFmtId="205" formatCode="m/d/yy;@"/>
    <numFmt numFmtId="206" formatCode="ddd"/>
    <numFmt numFmtId="207" formatCode="yyyy\-mmm"/>
    <numFmt numFmtId="208" formatCode="dd\-mmm\-yyyy\ hh:mmAM/PM"/>
    <numFmt numFmtId="209" formatCode="[hh]:mm:ss\.ss"/>
    <numFmt numFmtId="210" formatCode="dd/mm/yy\ hh:mm"/>
    <numFmt numFmtId="211" formatCode="[h]:mm:ss.000;@"/>
    <numFmt numFmtId="212" formatCode="0.00000000000000"/>
    <numFmt numFmtId="213" formatCode="dd\-mmm\-yyyy\ ddd\ hh:mm:ss"/>
    <numFmt numFmtId="214" formatCode="dd\-mmm\-yyyy\ ddd\ hh:mmAM/PM"/>
  </numFmts>
  <fonts count="187">
    <font>
      <sz val="11"/>
      <color rgb="FF000000"/>
      <name val="Calibri"/>
      <family val="2"/>
      <charset val="1"/>
    </font>
    <font>
      <sz val="10"/>
      <name val="Arial"/>
      <family val="0"/>
    </font>
    <font>
      <sz val="10"/>
      <name val="Arial"/>
      <family val="0"/>
    </font>
    <font>
      <sz val="10"/>
      <name val="Arial"/>
      <family val="0"/>
    </font>
    <font>
      <sz val="11"/>
      <color rgb="FFFFFFFF"/>
      <name val="Calibri"/>
      <family val="2"/>
      <charset val="1"/>
    </font>
    <font>
      <sz val="11"/>
      <color rgb="FF800080"/>
      <name val="Calibri"/>
      <family val="2"/>
      <charset val="1"/>
    </font>
    <font>
      <b val="true"/>
      <sz val="11"/>
      <color rgb="FFFF9900"/>
      <name val="Calibri"/>
      <family val="2"/>
      <charset val="1"/>
    </font>
    <font>
      <b val="true"/>
      <sz val="11"/>
      <color rgb="FFFFFFFF"/>
      <name val="Calibri"/>
      <family val="2"/>
      <charset val="1"/>
    </font>
    <font>
      <i val="true"/>
      <sz val="11"/>
      <color rgb="FF808080"/>
      <name val="Calibri"/>
      <family val="2"/>
      <charset val="1"/>
    </font>
    <font>
      <sz val="11"/>
      <color rgb="FF008000"/>
      <name val="Calibri"/>
      <family val="2"/>
      <charset val="1"/>
    </font>
    <font>
      <b val="true"/>
      <sz val="15"/>
      <color rgb="FF003366"/>
      <name val="Calibri"/>
      <family val="2"/>
      <charset val="1"/>
    </font>
    <font>
      <b val="true"/>
      <sz val="13"/>
      <color rgb="FF003366"/>
      <name val="Calibri"/>
      <family val="2"/>
      <charset val="1"/>
    </font>
    <font>
      <b val="true"/>
      <sz val="11"/>
      <color rgb="FF003366"/>
      <name val="Calibri"/>
      <family val="2"/>
      <charset val="1"/>
    </font>
    <font>
      <sz val="11"/>
      <color rgb="FF333399"/>
      <name val="Calibri"/>
      <family val="2"/>
      <charset val="1"/>
    </font>
    <font>
      <sz val="11"/>
      <color rgb="FFFF9900"/>
      <name val="Calibri"/>
      <family val="2"/>
      <charset val="1"/>
    </font>
    <font>
      <sz val="11"/>
      <color rgb="FF993300"/>
      <name val="Calibri"/>
      <family val="2"/>
      <charset val="1"/>
    </font>
    <font>
      <b val="true"/>
      <sz val="11"/>
      <color rgb="FF333333"/>
      <name val="Calibri"/>
      <family val="2"/>
      <charset val="1"/>
    </font>
    <font>
      <b val="true"/>
      <sz val="11"/>
      <color rgb="FF000000"/>
      <name val="Calibri"/>
      <family val="2"/>
      <charset val="1"/>
    </font>
    <font>
      <b val="true"/>
      <sz val="18"/>
      <color rgb="FF003366"/>
      <name val="Cambria"/>
      <family val="2"/>
      <charset val="1"/>
    </font>
    <font>
      <sz val="11"/>
      <color rgb="FFFF0000"/>
      <name val="Calibri"/>
      <family val="2"/>
      <charset val="1"/>
    </font>
    <font>
      <sz val="10"/>
      <name val="Arial"/>
      <family val="2"/>
      <charset val="1"/>
    </font>
    <font>
      <sz val="11"/>
      <color rgb="FF000000"/>
      <name val="Calibri"/>
      <family val="0"/>
    </font>
    <font>
      <vertAlign val="superscript"/>
      <sz val="11"/>
      <color rgb="FF000000"/>
      <name val="Calibri"/>
      <family val="0"/>
    </font>
    <font>
      <sz val="11"/>
      <color rgb="FF000000"/>
      <name val="Times New Roman"/>
      <family val="0"/>
    </font>
    <font>
      <sz val="10"/>
      <color rgb="FF000000"/>
      <name val="Times New Roman"/>
      <family val="1"/>
      <charset val="1"/>
    </font>
    <font>
      <b val="true"/>
      <sz val="10"/>
      <name val="Arial"/>
      <family val="2"/>
      <charset val="1"/>
    </font>
    <font>
      <b val="true"/>
      <i val="true"/>
      <sz val="10"/>
      <name val="Arial"/>
      <family val="2"/>
      <charset val="1"/>
    </font>
    <font>
      <sz val="10"/>
      <color rgb="FFFF0000"/>
      <name val="Arial"/>
      <family val="2"/>
      <charset val="1"/>
    </font>
    <font>
      <vertAlign val="superscript"/>
      <sz val="10"/>
      <color rgb="FFFF0000"/>
      <name val="Arial"/>
      <family val="2"/>
      <charset val="1"/>
    </font>
    <font>
      <sz val="11"/>
      <color rgb="FF000000"/>
      <name val="Arial"/>
      <family val="2"/>
      <charset val="1"/>
    </font>
    <font>
      <b val="true"/>
      <sz val="11"/>
      <color rgb="FF000000"/>
      <name val="Arial"/>
      <family val="2"/>
      <charset val="1"/>
    </font>
    <font>
      <sz val="8"/>
      <name val="Arial"/>
      <family val="2"/>
      <charset val="1"/>
    </font>
    <font>
      <b val="true"/>
      <sz val="8"/>
      <name val="Arial"/>
      <family val="2"/>
      <charset val="1"/>
    </font>
    <font>
      <sz val="10"/>
      <name val="Arial"/>
      <family val="2"/>
    </font>
    <font>
      <sz val="8"/>
      <color rgb="FF000000"/>
      <name val="Arial"/>
      <family val="2"/>
      <charset val="1"/>
    </font>
    <font>
      <sz val="8"/>
      <color rgb="FF000000"/>
      <name val="Calibri"/>
      <family val="2"/>
      <charset val="1"/>
    </font>
    <font>
      <sz val="11"/>
      <color rgb="FF000000"/>
      <name val="Lucida Console"/>
      <family val="3"/>
      <charset val="1"/>
    </font>
    <font>
      <sz val="8"/>
      <color rgb="FF000000"/>
      <name val="Lucida Console"/>
      <family val="3"/>
      <charset val="1"/>
    </font>
    <font>
      <b val="true"/>
      <i val="true"/>
      <sz val="14"/>
      <color rgb="FFFFFFFF"/>
      <name val="Times New Roman"/>
      <family val="1"/>
      <charset val="1"/>
    </font>
    <font>
      <i val="true"/>
      <sz val="14"/>
      <color rgb="FFFFFFFF"/>
      <name val="Times New Roman"/>
      <family val="1"/>
      <charset val="1"/>
    </font>
    <font>
      <b val="true"/>
      <sz val="14"/>
      <color rgb="FF000000"/>
      <name val="Times New Roman"/>
      <family val="1"/>
      <charset val="1"/>
    </font>
    <font>
      <sz val="14"/>
      <color rgb="FF000000"/>
      <name val="Times New Roman"/>
      <family val="1"/>
      <charset val="1"/>
    </font>
    <font>
      <b val="true"/>
      <sz val="14"/>
      <color rgb="FF000000"/>
      <name val="Arial"/>
      <family val="2"/>
      <charset val="1"/>
    </font>
    <font>
      <strike val="true"/>
      <sz val="14"/>
      <color rgb="FF000000"/>
      <name val="Times New Roman"/>
      <family val="1"/>
      <charset val="1"/>
    </font>
    <font>
      <b val="true"/>
      <i val="true"/>
      <sz val="12"/>
      <color rgb="FFFFFFFF"/>
      <name val="Times New Roman"/>
      <family val="1"/>
      <charset val="1"/>
    </font>
    <font>
      <b val="true"/>
      <sz val="12"/>
      <color rgb="FF000000"/>
      <name val="Times New Roman"/>
      <family val="1"/>
      <charset val="1"/>
    </font>
    <font>
      <sz val="12"/>
      <color rgb="FF000000"/>
      <name val="Times New Roman"/>
      <family val="1"/>
      <charset val="1"/>
    </font>
    <font>
      <sz val="9"/>
      <color rgb="FF000000"/>
      <name val="Tahoma"/>
      <family val="0"/>
      <charset val="1"/>
    </font>
    <font>
      <sz val="9"/>
      <color rgb="FF000000"/>
      <name val="Arial Unicode MS"/>
      <family val="2"/>
      <charset val="1"/>
    </font>
    <font>
      <b val="true"/>
      <sz val="12"/>
      <name val="Arial"/>
      <family val="2"/>
      <charset val="1"/>
    </font>
    <font>
      <b val="true"/>
      <sz val="10"/>
      <color rgb="FFFF0000"/>
      <name val="Arial"/>
      <family val="2"/>
      <charset val="1"/>
    </font>
    <font>
      <sz val="10"/>
      <color rgb="FF0000FF"/>
      <name val="Arial"/>
      <family val="2"/>
      <charset val="1"/>
    </font>
    <font>
      <b val="true"/>
      <sz val="10"/>
      <color rgb="FF0000FF"/>
      <name val="Arial"/>
      <family val="2"/>
      <charset val="1"/>
    </font>
    <font>
      <sz val="10"/>
      <color rgb="FF0066CC"/>
      <name val="Arial"/>
      <family val="2"/>
      <charset val="1"/>
    </font>
    <font>
      <b val="true"/>
      <sz val="10"/>
      <color rgb="FF0066CC"/>
      <name val="Arial"/>
      <family val="2"/>
      <charset val="1"/>
    </font>
    <font>
      <vertAlign val="superscript"/>
      <sz val="11"/>
      <color rgb="FF000000"/>
      <name val="Calibri"/>
      <family val="2"/>
      <charset val="1"/>
    </font>
    <font>
      <sz val="10"/>
      <color rgb="FF00CCFF"/>
      <name val="Arial"/>
      <family val="2"/>
      <charset val="1"/>
    </font>
    <font>
      <sz val="10"/>
      <color rgb="FFFFFFFF"/>
      <name val="Arial"/>
      <family val="2"/>
      <charset val="1"/>
    </font>
    <font>
      <i val="true"/>
      <sz val="11"/>
      <color rgb="FF000000"/>
      <name val="Calibri"/>
      <family val="2"/>
      <charset val="1"/>
    </font>
    <font>
      <i val="true"/>
      <sz val="10"/>
      <color rgb="FFFF0000"/>
      <name val="Arial"/>
      <family val="2"/>
      <charset val="1"/>
    </font>
    <font>
      <i val="true"/>
      <sz val="10"/>
      <name val="Arial"/>
      <family val="2"/>
      <charset val="1"/>
    </font>
    <font>
      <b val="true"/>
      <sz val="10"/>
      <color rgb="FF000000"/>
      <name val="Arial"/>
      <family val="2"/>
      <charset val="1"/>
    </font>
    <font>
      <b val="true"/>
      <i val="true"/>
      <sz val="10"/>
      <color rgb="FF000000"/>
      <name val="Arial"/>
      <family val="2"/>
      <charset val="1"/>
    </font>
    <font>
      <b val="true"/>
      <i val="true"/>
      <sz val="10"/>
      <color rgb="FFFFFFFF"/>
      <name val="Arial"/>
      <family val="2"/>
      <charset val="1"/>
    </font>
    <font>
      <b val="true"/>
      <sz val="10"/>
      <color rgb="FFFFFFFF"/>
      <name val="Arial"/>
      <family val="2"/>
      <charset val="1"/>
    </font>
    <font>
      <sz val="9"/>
      <color rgb="FFFFFFFF"/>
      <name val="Arial"/>
      <family val="2"/>
      <charset val="1"/>
    </font>
    <font>
      <b val="true"/>
      <u val="single"/>
      <sz val="10"/>
      <color rgb="FFFF0000"/>
      <name val="Arial"/>
      <family val="2"/>
      <charset val="1"/>
    </font>
    <font>
      <b val="true"/>
      <u val="single"/>
      <sz val="10"/>
      <name val="Arial"/>
      <family val="2"/>
      <charset val="1"/>
    </font>
    <font>
      <sz val="12"/>
      <name val="Times New Roman"/>
      <family val="1"/>
      <charset val="1"/>
    </font>
    <font>
      <vertAlign val="superscript"/>
      <sz val="12"/>
      <name val="Times New Roman"/>
      <family val="1"/>
      <charset val="1"/>
    </font>
    <font>
      <b val="true"/>
      <i val="true"/>
      <sz val="10"/>
      <color rgb="FF7F7F7F"/>
      <name val="Arial"/>
      <family val="2"/>
      <charset val="1"/>
    </font>
    <font>
      <b val="true"/>
      <u val="single"/>
      <sz val="12"/>
      <color rgb="FFFF0000"/>
      <name val="Times New Roman"/>
      <family val="1"/>
      <charset val="1"/>
    </font>
    <font>
      <sz val="11"/>
      <color rgb="FFD9D9D9"/>
      <name val="Calibri"/>
      <family val="2"/>
      <charset val="1"/>
    </font>
    <font>
      <sz val="11"/>
      <name val="Calibri"/>
      <family val="2"/>
      <charset val="1"/>
    </font>
    <font>
      <b val="true"/>
      <sz val="11"/>
      <color rgb="FFD9D9D9"/>
      <name val="Calibri"/>
      <family val="2"/>
      <charset val="1"/>
    </font>
    <font>
      <b val="true"/>
      <sz val="11"/>
      <name val="Calibri"/>
      <family val="2"/>
      <charset val="1"/>
    </font>
    <font>
      <sz val="9"/>
      <color rgb="FF000000"/>
      <name val="Tahoma"/>
      <family val="2"/>
      <charset val="1"/>
    </font>
    <font>
      <sz val="11"/>
      <color rgb="FFA6A6A6"/>
      <name val="Calibri"/>
      <family val="2"/>
      <charset val="1"/>
    </font>
    <font>
      <sz val="10"/>
      <color rgb="FF000000"/>
      <name val="Calibri"/>
      <family val="2"/>
      <charset val="1"/>
    </font>
    <font>
      <b val="true"/>
      <sz val="8"/>
      <color rgb="FF000000"/>
      <name val="Arial"/>
      <family val="2"/>
      <charset val="1"/>
    </font>
    <font>
      <sz val="10"/>
      <color rgb="FFFFCC99"/>
      <name val="Arial"/>
      <family val="2"/>
      <charset val="1"/>
    </font>
    <font>
      <b val="true"/>
      <sz val="10"/>
      <color rgb="FF000000"/>
      <name val="Calibri"/>
      <family val="2"/>
      <charset val="1"/>
    </font>
    <font>
      <sz val="11"/>
      <color rgb="FF000000"/>
      <name val="Noto Sans Devanagari"/>
      <family val="2"/>
      <charset val="1"/>
    </font>
    <font>
      <sz val="11"/>
      <color rgb="FF000000"/>
      <name val="Tahoma"/>
      <family val="2"/>
      <charset val="1"/>
    </font>
    <font>
      <b val="true"/>
      <sz val="11"/>
      <color rgb="FF000000"/>
      <name val="Tahoma"/>
      <family val="2"/>
      <charset val="1"/>
    </font>
    <font>
      <sz val="10"/>
      <name val="Noto Sans Devanagari"/>
      <family val="2"/>
    </font>
    <font>
      <sz val="9"/>
      <name val="Arial Unicode MS"/>
      <family val="2"/>
      <charset val="1"/>
    </font>
    <font>
      <sz val="9"/>
      <color rgb="FF000000"/>
      <name val="Noto Sans Devanagari"/>
      <family val="2"/>
      <charset val="1"/>
    </font>
    <font>
      <sz val="10"/>
      <color rgb="FF000000"/>
      <name val="Arial Unicode MS"/>
      <family val="2"/>
      <charset val="1"/>
    </font>
    <font>
      <sz val="10"/>
      <color rgb="FF000000"/>
      <name val="Noto Sans Devanagari"/>
      <family val="2"/>
      <charset val="1"/>
    </font>
    <font>
      <sz val="10"/>
      <color rgb="FF606060"/>
      <name val="Arial"/>
      <family val="2"/>
      <charset val="1"/>
    </font>
    <font>
      <b val="true"/>
      <sz val="10"/>
      <color rgb="FF606060"/>
      <name val="Arial"/>
      <family val="2"/>
      <charset val="1"/>
    </font>
    <font>
      <sz val="9"/>
      <color rgb="FF000000"/>
      <name val="Arial Unicode MS"/>
      <family val="0"/>
      <charset val="1"/>
    </font>
    <font>
      <b val="true"/>
      <sz val="9"/>
      <color rgb="FF000000"/>
      <name val="Arial Unicode MS"/>
      <family val="2"/>
      <charset val="1"/>
    </font>
    <font>
      <sz val="9"/>
      <color rgb="FFC9211E"/>
      <name val="Arial Unicode MS"/>
      <family val="2"/>
      <charset val="1"/>
    </font>
    <font>
      <sz val="9"/>
      <color rgb="FFC9211E"/>
      <name val="Arial Unicode MS"/>
      <family val="0"/>
      <charset val="1"/>
    </font>
    <font>
      <b val="true"/>
      <sz val="11"/>
      <color rgb="FF000000"/>
      <name val="Noto Sans Arabic UI"/>
      <family val="2"/>
      <charset val="1"/>
    </font>
    <font>
      <sz val="9"/>
      <color rgb="FFC9211E"/>
      <name val="Noto Sans Devanagari"/>
      <family val="2"/>
      <charset val="1"/>
    </font>
    <font>
      <sz val="10.5"/>
      <color rgb="FF606060"/>
      <name val="Arial"/>
      <family val="2"/>
      <charset val="1"/>
    </font>
    <font>
      <sz val="11"/>
      <color rgb="FF000000"/>
      <name val="Noto Sans Arabic UI"/>
      <family val="2"/>
      <charset val="1"/>
    </font>
    <font>
      <sz val="11"/>
      <color rgb="FFC9211E"/>
      <name val="Calibri"/>
      <family val="2"/>
      <charset val="1"/>
    </font>
    <font>
      <sz val="11"/>
      <color rgb="FFC9211E"/>
      <name val="Noto Sans Arabic UI"/>
      <family val="2"/>
      <charset val="1"/>
    </font>
    <font>
      <sz val="11"/>
      <color rgb="FF800000"/>
      <name val="Calibri"/>
      <family val="2"/>
      <charset val="1"/>
    </font>
    <font>
      <sz val="11"/>
      <color rgb="FF800000"/>
      <name val="Noto Sans Devanagari"/>
      <family val="2"/>
      <charset val="1"/>
    </font>
    <font>
      <b val="true"/>
      <sz val="11"/>
      <color rgb="FF800000"/>
      <name val="Calibri"/>
      <family val="2"/>
      <charset val="1"/>
    </font>
    <font>
      <sz val="11"/>
      <color rgb="FF000000"/>
      <name val="Arial Unicode MS"/>
      <family val="2"/>
      <charset val="1"/>
    </font>
    <font>
      <i val="true"/>
      <sz val="9"/>
      <color rgb="FF000000"/>
      <name val="Arial Unicode MS"/>
      <family val="2"/>
      <charset val="1"/>
    </font>
    <font>
      <sz val="12"/>
      <color rgb="FF000000"/>
      <name val="Arial"/>
      <family val="2"/>
      <charset val="1"/>
    </font>
    <font>
      <sz val="9"/>
      <color rgb="FFFFFFFF"/>
      <name val="Arial Unicode MS"/>
      <family val="2"/>
      <charset val="1"/>
    </font>
    <font>
      <sz val="14"/>
      <color rgb="FF000000"/>
      <name val="Arial Unicode MS"/>
      <family val="2"/>
      <charset val="1"/>
    </font>
    <font>
      <sz val="14"/>
      <color rgb="FF000000"/>
      <name val="Noto Sans Devanagari"/>
      <family val="2"/>
      <charset val="1"/>
    </font>
    <font>
      <sz val="12"/>
      <color rgb="FF000000"/>
      <name val="Arial Unicode MS"/>
      <family val="2"/>
      <charset val="1"/>
    </font>
    <font>
      <sz val="12"/>
      <color rgb="FF000000"/>
      <name val="Noto Sans Devanagari"/>
      <family val="2"/>
      <charset val="1"/>
    </font>
    <font>
      <sz val="8"/>
      <color rgb="FF000000"/>
      <name val="Arial Unicode MS"/>
      <family val="2"/>
      <charset val="1"/>
    </font>
    <font>
      <b val="true"/>
      <sz val="9"/>
      <color rgb="FFFFFFFF"/>
      <name val="Arial Unicode MS"/>
      <family val="2"/>
      <charset val="1"/>
    </font>
    <font>
      <b val="true"/>
      <i val="true"/>
      <sz val="9"/>
      <color rgb="FFFFFFFF"/>
      <name val="Arial Unicode MS"/>
      <family val="2"/>
      <charset val="1"/>
    </font>
    <font>
      <b val="true"/>
      <sz val="9"/>
      <name val="Arial Unicode MS"/>
      <family val="2"/>
      <charset val="1"/>
    </font>
    <font>
      <b val="true"/>
      <sz val="9"/>
      <color rgb="FF000000"/>
      <name val="Noto Sans Devanagari"/>
      <family val="2"/>
      <charset val="1"/>
    </font>
    <font>
      <sz val="8"/>
      <color rgb="FF000000"/>
      <name val="Verdana"/>
      <family val="2"/>
      <charset val="1"/>
    </font>
    <font>
      <sz val="11"/>
      <color rgb="FFFF0000"/>
      <name val="Arial"/>
      <family val="2"/>
      <charset val="1"/>
    </font>
    <font>
      <i val="true"/>
      <sz val="10"/>
      <color rgb="FFFFFFFF"/>
      <name val="Arial Unicode MS"/>
      <family val="2"/>
      <charset val="1"/>
    </font>
    <font>
      <b val="true"/>
      <sz val="11"/>
      <color rgb="FFFFFFFF"/>
      <name val="Noto Sans Devanagari"/>
      <family val="2"/>
      <charset val="1"/>
    </font>
    <font>
      <sz val="11"/>
      <color rgb="FFFFFFFF"/>
      <name val="Noto Sans Devanagari"/>
      <family val="2"/>
      <charset val="1"/>
    </font>
    <font>
      <sz val="9"/>
      <name val="Noto Sans Devanagari"/>
      <family val="2"/>
      <charset val="1"/>
    </font>
    <font>
      <i val="true"/>
      <sz val="8"/>
      <name val="Verdana"/>
      <family val="2"/>
      <charset val="1"/>
    </font>
    <font>
      <sz val="8"/>
      <name val="Verdana"/>
      <family val="2"/>
      <charset val="1"/>
    </font>
    <font>
      <sz val="8"/>
      <name val="URW Palladio IT"/>
      <family val="0"/>
      <charset val="1"/>
    </font>
    <font>
      <i val="true"/>
      <sz val="8"/>
      <name val="URW Palladio IT"/>
      <family val="0"/>
      <charset val="1"/>
    </font>
    <font>
      <b val="true"/>
      <sz val="8"/>
      <name val="URW Palladio IT"/>
      <family val="0"/>
      <charset val="1"/>
    </font>
    <font>
      <b val="true"/>
      <sz val="13.5"/>
      <color rgb="FF000000"/>
      <name val="Calibri"/>
      <family val="2"/>
      <charset val="1"/>
    </font>
    <font>
      <sz val="11"/>
      <color rgb="FF000000"/>
      <name val="Trebuchet MS"/>
      <family val="2"/>
      <charset val="1"/>
    </font>
    <font>
      <sz val="11"/>
      <color rgb="FFFF0000"/>
      <name val="Trebuchet MS"/>
      <family val="2"/>
      <charset val="1"/>
    </font>
    <font>
      <b val="true"/>
      <sz val="11"/>
      <color rgb="FFFF0000"/>
      <name val="Arial"/>
      <family val="2"/>
      <charset val="1"/>
    </font>
    <font>
      <sz val="10"/>
      <color rgb="FF333333"/>
      <name val="Tahoma"/>
      <family val="2"/>
      <charset val="1"/>
    </font>
    <font>
      <b val="true"/>
      <sz val="9"/>
      <color rgb="FF000000"/>
      <name val="Arial"/>
      <family val="2"/>
      <charset val="1"/>
    </font>
    <font>
      <u val="single"/>
      <sz val="8.8"/>
      <color rgb="FF0000FF"/>
      <name val="Calibri"/>
      <family val="2"/>
      <charset val="1"/>
    </font>
    <font>
      <sz val="9"/>
      <color rgb="FF000000"/>
      <name val="Arial"/>
      <family val="2"/>
      <charset val="1"/>
    </font>
    <font>
      <sz val="11"/>
      <color rgb="FF604A7B"/>
      <name val="Arial"/>
      <family val="2"/>
      <charset val="1"/>
    </font>
    <font>
      <u val="single"/>
      <sz val="11"/>
      <color rgb="FF000000"/>
      <name val="Arial"/>
      <family val="2"/>
      <charset val="1"/>
    </font>
    <font>
      <sz val="11"/>
      <color rgb="FFFFFFFF"/>
      <name val="Tahoma"/>
      <family val="2"/>
      <charset val="1"/>
    </font>
    <font>
      <sz val="9"/>
      <color rgb="FFFFFFFF"/>
      <name val="Tahoma"/>
      <family val="2"/>
      <charset val="1"/>
    </font>
    <font>
      <sz val="9"/>
      <color rgb="FF666666"/>
      <name val="Tahoma"/>
      <family val="2"/>
      <charset val="1"/>
    </font>
    <font>
      <b val="true"/>
      <sz val="12"/>
      <color rgb="FF000000"/>
      <name val="Arial Unicode MS"/>
      <family val="2"/>
      <charset val="1"/>
    </font>
    <font>
      <vertAlign val="superscript"/>
      <sz val="9"/>
      <color rgb="FF000000"/>
      <name val="Arial Unicode MS"/>
      <family val="2"/>
      <charset val="1"/>
    </font>
    <font>
      <b val="true"/>
      <i val="true"/>
      <sz val="9"/>
      <color rgb="FFFFFFFF"/>
      <name val="Arial"/>
      <family val="2"/>
      <charset val="1"/>
    </font>
    <font>
      <i val="true"/>
      <sz val="10"/>
      <color rgb="FF000000"/>
      <name val="Arial"/>
      <family val="2"/>
      <charset val="1"/>
    </font>
    <font>
      <sz val="10"/>
      <color rgb="FFC0C0C0"/>
      <name val="Arial"/>
      <family val="2"/>
      <charset val="1"/>
    </font>
    <font>
      <b val="true"/>
      <i val="true"/>
      <sz val="10"/>
      <color rgb="FFFF0000"/>
      <name val="Arial"/>
      <family val="2"/>
      <charset val="1"/>
    </font>
    <font>
      <b val="true"/>
      <sz val="10"/>
      <name val="Arial Unicode MS"/>
      <family val="2"/>
      <charset val="1"/>
    </font>
    <font>
      <sz val="12"/>
      <name val="Noto Sans Devanagari"/>
      <family val="2"/>
      <charset val="1"/>
    </font>
    <font>
      <sz val="12"/>
      <name val="Arial Unicode MS"/>
      <family val="2"/>
      <charset val="1"/>
    </font>
    <font>
      <sz val="10"/>
      <name val="Arial Unicode MS"/>
      <family val="2"/>
      <charset val="1"/>
    </font>
    <font>
      <sz val="10"/>
      <name val="Noto Sans Devanagari"/>
      <family val="2"/>
      <charset val="1"/>
    </font>
    <font>
      <sz val="16"/>
      <color rgb="FF000000"/>
      <name val="Noto Sans Devanagari"/>
      <family val="2"/>
      <charset val="1"/>
    </font>
    <font>
      <sz val="18"/>
      <name val="Arial Unicode MS"/>
      <family val="2"/>
      <charset val="1"/>
    </font>
    <font>
      <sz val="9.05"/>
      <color rgb="FF000000"/>
      <name val="Arial"/>
      <family val="2"/>
      <charset val="1"/>
    </font>
    <font>
      <sz val="9.05"/>
      <color rgb="FF000000"/>
      <name val="Noto Sans Devanagari"/>
      <family val="2"/>
      <charset val="1"/>
    </font>
    <font>
      <sz val="12"/>
      <color rgb="FF808000"/>
      <name val="Arial"/>
      <family val="2"/>
      <charset val="1"/>
    </font>
    <font>
      <sz val="16"/>
      <color rgb="FF000000"/>
      <name val="Calibri"/>
      <family val="2"/>
      <charset val="1"/>
    </font>
    <font>
      <sz val="12"/>
      <color rgb="FF000000"/>
      <name val="Lucida Sans Unicode"/>
      <family val="2"/>
      <charset val="1"/>
    </font>
    <font>
      <sz val="12"/>
      <color rgb="FF808000"/>
      <name val="Calibri"/>
      <family val="2"/>
      <charset val="1"/>
    </font>
    <font>
      <sz val="16"/>
      <color rgb="FF000000"/>
      <name val="Lucida Sans Unicode"/>
      <family val="2"/>
      <charset val="1"/>
    </font>
    <font>
      <sz val="12"/>
      <color rgb="FF000000"/>
      <name val="Calibri"/>
      <family val="2"/>
      <charset val="1"/>
    </font>
    <font>
      <sz val="9"/>
      <color rgb="FF000000"/>
      <name val="Lucida Sans Unicode"/>
      <family val="2"/>
      <charset val="1"/>
    </font>
    <font>
      <sz val="9.05"/>
      <color rgb="FF000000"/>
      <name val="Lucida Sans Unicode"/>
      <family val="2"/>
      <charset val="1"/>
    </font>
    <font>
      <b val="true"/>
      <sz val="12"/>
      <color rgb="FF808000"/>
      <name val="Calibri"/>
      <family val="2"/>
      <charset val="1"/>
    </font>
    <font>
      <sz val="16"/>
      <color rgb="FF000000"/>
      <name val="Arial Unicode MS"/>
      <family val="2"/>
      <charset val="1"/>
    </font>
    <font>
      <sz val="16"/>
      <color rgb="FF808000"/>
      <name val="Arial Unicode MS"/>
      <family val="2"/>
      <charset val="1"/>
    </font>
    <font>
      <sz val="14"/>
      <color rgb="FF000000"/>
      <name val="Calibri"/>
      <family val="2"/>
      <charset val="1"/>
    </font>
    <font>
      <b val="true"/>
      <sz val="10"/>
      <color rgb="FFFFFFFF"/>
      <name val="Calibri"/>
      <family val="2"/>
      <charset val="1"/>
    </font>
    <font>
      <sz val="12"/>
      <color rgb="FFFF0000"/>
      <name val="Calibri"/>
      <family val="2"/>
      <charset val="1"/>
    </font>
    <font>
      <u val="double"/>
      <sz val="11"/>
      <color rgb="FF000000"/>
      <name val="Calibri"/>
      <family val="2"/>
      <charset val="1"/>
    </font>
    <font>
      <b val="true"/>
      <sz val="11"/>
      <color rgb="FFFF0000"/>
      <name val="Calibri"/>
      <family val="2"/>
      <charset val="1"/>
    </font>
    <font>
      <strike val="true"/>
      <sz val="11"/>
      <color rgb="FF000000"/>
      <name val="Calibri"/>
      <family val="2"/>
      <charset val="1"/>
    </font>
    <font>
      <b val="true"/>
      <strike val="true"/>
      <sz val="11"/>
      <color rgb="FFFF0000"/>
      <name val="Calibri"/>
      <family val="2"/>
      <charset val="1"/>
    </font>
    <font>
      <sz val="18"/>
      <color rgb="FF000000"/>
      <name val="Calibri"/>
      <family val="2"/>
      <charset val="1"/>
    </font>
    <font>
      <b val="true"/>
      <sz val="12"/>
      <color rgb="FFFF0000"/>
      <name val="Calibri"/>
      <family val="2"/>
      <charset val="1"/>
    </font>
    <font>
      <strike val="true"/>
      <sz val="12"/>
      <color rgb="FF000000"/>
      <name val="Calibri"/>
      <family val="2"/>
      <charset val="1"/>
    </font>
    <font>
      <u val="double"/>
      <sz val="12"/>
      <color rgb="FF000000"/>
      <name val="Calibri"/>
      <family val="2"/>
      <charset val="1"/>
    </font>
    <font>
      <sz val="11"/>
      <color rgb="FFFFFFFF"/>
      <name val="Arial"/>
      <family val="2"/>
      <charset val="1"/>
    </font>
    <font>
      <sz val="11"/>
      <color rgb="FF003300"/>
      <name val="Arial"/>
      <family val="2"/>
      <charset val="1"/>
    </font>
    <font>
      <sz val="11"/>
      <name val="Arial"/>
      <family val="2"/>
      <charset val="1"/>
    </font>
    <font>
      <b val="true"/>
      <sz val="11"/>
      <name val="Arial"/>
      <family val="2"/>
      <charset val="1"/>
    </font>
    <font>
      <sz val="12"/>
      <name val="Arial"/>
      <family val="2"/>
      <charset val="1"/>
    </font>
    <font>
      <sz val="11"/>
      <color rgb="FF003300"/>
      <name val="Calibri"/>
      <family val="2"/>
      <charset val="1"/>
    </font>
    <font>
      <sz val="14"/>
      <color rgb="FF000000"/>
      <name val="Sanskrit 2003"/>
      <family val="0"/>
      <charset val="1"/>
    </font>
    <font>
      <b val="true"/>
      <i val="true"/>
      <sz val="11"/>
      <color rgb="FF000000"/>
      <name val="Calibri"/>
      <family val="2"/>
      <charset val="1"/>
    </font>
  </fonts>
  <fills count="53">
    <fill>
      <patternFill patternType="none"/>
    </fill>
    <fill>
      <patternFill patternType="gray125"/>
    </fill>
    <fill>
      <patternFill patternType="solid">
        <fgColor rgb="FFCCCCFF"/>
        <bgColor rgb="FFCCCDCB"/>
      </patternFill>
    </fill>
    <fill>
      <patternFill patternType="solid">
        <fgColor rgb="FFFF99CC"/>
        <bgColor rgb="FFD99694"/>
      </patternFill>
    </fill>
    <fill>
      <patternFill patternType="solid">
        <fgColor rgb="FFCCFFCC"/>
        <bgColor rgb="FFCCFFFF"/>
      </patternFill>
    </fill>
    <fill>
      <patternFill patternType="solid">
        <fgColor rgb="FFCC99FF"/>
        <bgColor rgb="FFFF99CC"/>
      </patternFill>
    </fill>
    <fill>
      <patternFill patternType="solid">
        <fgColor rgb="FFCCFFFF"/>
        <bgColor rgb="FFDBEEF4"/>
      </patternFill>
    </fill>
    <fill>
      <patternFill patternType="solid">
        <fgColor rgb="FFFFCC99"/>
        <bgColor rgb="FFFED3C0"/>
      </patternFill>
    </fill>
    <fill>
      <patternFill patternType="solid">
        <fgColor rgb="FF99CCFF"/>
        <bgColor rgb="FFCCCCFF"/>
      </patternFill>
    </fill>
    <fill>
      <patternFill patternType="solid">
        <fgColor rgb="FFFF8080"/>
        <bgColor rgb="FFF79646"/>
      </patternFill>
    </fill>
    <fill>
      <patternFill patternType="solid">
        <fgColor rgb="FF00FF00"/>
        <bgColor rgb="FF24D3DB"/>
      </patternFill>
    </fill>
    <fill>
      <patternFill patternType="solid">
        <fgColor rgb="FFFFCC00"/>
        <bgColor rgb="FFFFC000"/>
      </patternFill>
    </fill>
    <fill>
      <patternFill patternType="solid">
        <fgColor rgb="FF016BCA"/>
        <bgColor rgb="FF017B79"/>
      </patternFill>
    </fill>
    <fill>
      <patternFill patternType="solid">
        <fgColor rgb="FF800080"/>
        <bgColor rgb="FF610476"/>
      </patternFill>
    </fill>
    <fill>
      <patternFill patternType="solid">
        <fgColor rgb="FF24D3DB"/>
        <bgColor rgb="FF03DEFD"/>
      </patternFill>
    </fill>
    <fill>
      <patternFill patternType="solid">
        <fgColor rgb="FFFF9900"/>
        <bgColor rgb="FFF79646"/>
      </patternFill>
    </fill>
    <fill>
      <patternFill patternType="solid">
        <fgColor rgb="FF023275"/>
        <bgColor rgb="FF333333"/>
      </patternFill>
    </fill>
    <fill>
      <patternFill patternType="solid">
        <fgColor rgb="FFFF0000"/>
        <bgColor rgb="FFC62107"/>
      </patternFill>
    </fill>
    <fill>
      <patternFill patternType="solid">
        <fgColor rgb="FF339966"/>
        <bgColor rgb="FF017B79"/>
      </patternFill>
    </fill>
    <fill>
      <patternFill patternType="solid">
        <fgColor rgb="FFFF6600"/>
        <bgColor rgb="FFFF9900"/>
      </patternFill>
    </fill>
    <fill>
      <patternFill patternType="solid">
        <fgColor rgb="FFC0C0C0"/>
        <bgColor rgb="FFCCCDCB"/>
      </patternFill>
    </fill>
    <fill>
      <patternFill patternType="solid">
        <fgColor rgb="FF969696"/>
        <bgColor rgb="FFAAAAAA"/>
      </patternFill>
    </fill>
    <fill>
      <patternFill patternType="solid">
        <fgColor rgb="FFFFFF99"/>
        <bgColor rgb="FFFFFFCC"/>
      </patternFill>
    </fill>
    <fill>
      <patternFill patternType="solid">
        <fgColor rgb="FFFFFFCC"/>
        <bgColor rgb="FFFDEADA"/>
      </patternFill>
    </fill>
    <fill>
      <patternFill patternType="solid">
        <fgColor rgb="FFFFFFFF"/>
        <bgColor rgb="FFF2F3F1"/>
      </patternFill>
    </fill>
    <fill>
      <patternFill patternType="solid">
        <fgColor rgb="FFFFFF00"/>
        <bgColor rgb="FFFFCC00"/>
      </patternFill>
    </fill>
    <fill>
      <patternFill patternType="solid">
        <fgColor rgb="FFFFC000"/>
        <bgColor rgb="FFFFCC00"/>
      </patternFill>
    </fill>
    <fill>
      <patternFill patternType="solid">
        <fgColor rgb="FF840000"/>
        <bgColor rgb="FF800080"/>
      </patternFill>
    </fill>
    <fill>
      <patternFill patternType="solid">
        <fgColor rgb="FFC62107"/>
        <bgColor rgb="FFFF0000"/>
      </patternFill>
    </fill>
    <fill>
      <patternFill patternType="solid">
        <fgColor rgb="FF017B79"/>
        <bgColor rgb="FF016BCA"/>
      </patternFill>
    </fill>
    <fill>
      <patternFill patternType="solid">
        <fgColor rgb="FFF2E1EA"/>
        <bgColor rgb="FFEAE6F2"/>
      </patternFill>
    </fill>
    <fill>
      <patternFill patternType="solid">
        <fgColor rgb="FF000080"/>
        <bgColor rgb="FF023275"/>
      </patternFill>
    </fill>
    <fill>
      <patternFill patternType="darkGray">
        <fgColor rgb="FFEAE6F2"/>
        <bgColor rgb="FFF2E1EA"/>
      </patternFill>
    </fill>
    <fill>
      <patternFill patternType="solid">
        <fgColor rgb="FFFDEADA"/>
        <bgColor rgb="FFF2E1EA"/>
      </patternFill>
    </fill>
    <fill>
      <patternFill patternType="solid">
        <fgColor rgb="FFDBEEF4"/>
        <bgColor rgb="FFEAE6F2"/>
      </patternFill>
    </fill>
    <fill>
      <patternFill patternType="solid">
        <fgColor rgb="FFEAE6F2"/>
        <bgColor rgb="FFF2E1EA"/>
      </patternFill>
    </fill>
    <fill>
      <patternFill patternType="solid">
        <fgColor rgb="FF003300"/>
        <bgColor rgb="FF333300"/>
      </patternFill>
    </fill>
    <fill>
      <patternFill patternType="solid">
        <fgColor rgb="FF03DEFD"/>
        <bgColor rgb="FF24D3DB"/>
      </patternFill>
    </fill>
    <fill>
      <patternFill patternType="solid">
        <fgColor rgb="FF000000"/>
        <bgColor rgb="FF003300"/>
      </patternFill>
    </fill>
    <fill>
      <patternFill patternType="solid">
        <fgColor rgb="FFF0F1EF"/>
        <bgColor rgb="FFF2F3F1"/>
      </patternFill>
    </fill>
    <fill>
      <patternFill patternType="solid">
        <fgColor rgb="FFF79646"/>
        <bgColor rgb="FFFF9900"/>
      </patternFill>
    </fill>
    <fill>
      <patternFill patternType="solid">
        <fgColor rgb="FF0000FF"/>
        <bgColor rgb="FF000080"/>
      </patternFill>
    </fill>
    <fill>
      <patternFill patternType="solid">
        <fgColor rgb="FFFF00FF"/>
        <bgColor rgb="FF800080"/>
      </patternFill>
    </fill>
    <fill>
      <patternFill patternType="solid">
        <fgColor rgb="FFF2F3F1"/>
        <bgColor rgb="FFF0F1EF"/>
      </patternFill>
    </fill>
    <fill>
      <patternFill patternType="mediumGray">
        <fgColor rgb="FFFFFFFF"/>
        <bgColor rgb="FFF2F3F1"/>
      </patternFill>
    </fill>
    <fill>
      <patternFill patternType="solid">
        <fgColor rgb="FFFED3C0"/>
        <bgColor rgb="FFFFCC99"/>
      </patternFill>
    </fill>
    <fill>
      <patternFill patternType="solid">
        <fgColor rgb="FFD9D9D9"/>
        <bgColor rgb="FFCCCDCB"/>
      </patternFill>
    </fill>
    <fill>
      <patternFill patternType="darkGray">
        <fgColor rgb="FF808004"/>
        <bgColor rgb="FF808080"/>
      </patternFill>
    </fill>
    <fill>
      <patternFill patternType="solid">
        <fgColor rgb="FFCCCDCB"/>
        <bgColor rgb="FFC0C0C0"/>
      </patternFill>
    </fill>
    <fill>
      <patternFill patternType="solid">
        <fgColor rgb="FF92D050"/>
        <bgColor rgb="FF9BBB59"/>
      </patternFill>
    </fill>
    <fill>
      <patternFill patternType="solid">
        <fgColor rgb="FFD99694"/>
        <bgColor rgb="FFFF8080"/>
      </patternFill>
    </fill>
    <fill>
      <patternFill patternType="mediumGray">
        <fgColor rgb="FF03DEFD"/>
        <bgColor rgb="FF24D3DB"/>
      </patternFill>
    </fill>
    <fill>
      <patternFill patternType="solid">
        <fgColor rgb="FF00FFFF"/>
        <bgColor rgb="FF03DEFD"/>
      </patternFill>
    </fill>
  </fills>
  <borders count="233">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right/>
      <top/>
      <bottom style="thick">
        <color rgb="FF023275"/>
      </bottom>
      <diagonal/>
    </border>
    <border diagonalUp="false" diagonalDown="false">
      <left/>
      <right/>
      <top/>
      <bottom style="thick">
        <color rgb="FFC0C0C0"/>
      </bottom>
      <diagonal/>
    </border>
    <border diagonalUp="false" diagonalDown="false">
      <left/>
      <right/>
      <top/>
      <bottom style="medium">
        <color rgb="FF016BCA"/>
      </bottom>
      <diagonal/>
    </border>
    <border diagonalUp="false" diagonalDown="false">
      <left/>
      <right/>
      <top/>
      <bottom style="double">
        <color rgb="FFFF9900"/>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style="hair"/>
      <right/>
      <top/>
      <bottom/>
      <diagonal/>
    </border>
    <border diagonalUp="false" diagonalDown="false">
      <left/>
      <right/>
      <top style="thin">
        <color rgb="FF023275"/>
      </top>
      <bottom style="double">
        <color rgb="FF023275"/>
      </bottom>
      <diagonal/>
    </border>
    <border diagonalUp="false" diagonalDown="false">
      <left/>
      <right style="thin"/>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style="thin"/>
      <bottom style="thin"/>
      <diagonal/>
    </border>
    <border diagonalUp="false" diagonalDown="false">
      <left style="hair"/>
      <right style="hair"/>
      <top style="hair"/>
      <bottom style="thin"/>
      <diagonal/>
    </border>
    <border diagonalUp="false" diagonalDown="false">
      <left style="hair"/>
      <right style="hair"/>
      <top style="thin"/>
      <bottom style="thin"/>
      <diagonal/>
    </border>
    <border diagonalUp="false" diagonalDown="false">
      <left style="hair"/>
      <right style="hair"/>
      <top style="thin"/>
      <bottom style="hair"/>
      <diagonal/>
    </border>
    <border diagonalUp="false" diagonalDown="true">
      <left/>
      <right/>
      <top/>
      <bottom/>
      <diagonal style="thin"/>
    </border>
    <border diagonalUp="false" diagonalDown="false">
      <left style="thin"/>
      <right style="thin"/>
      <top/>
      <bottom/>
      <diagonal/>
    </border>
    <border diagonalUp="true" diagonalDown="false">
      <left/>
      <right/>
      <top/>
      <bottom/>
      <diagonal style="thin"/>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ck"/>
      <right/>
      <top style="thick"/>
      <bottom/>
      <diagonal/>
    </border>
    <border diagonalUp="false" diagonalDown="false">
      <left/>
      <right style="thick"/>
      <top style="thick"/>
      <bottom/>
      <diagonal/>
    </border>
    <border diagonalUp="false" diagonalDown="false">
      <left style="thick"/>
      <right style="thick"/>
      <top style="thick"/>
      <bottom/>
      <diagonal/>
    </border>
    <border diagonalUp="false" diagonalDown="false">
      <left/>
      <right/>
      <top style="thick"/>
      <bottom/>
      <diagonal/>
    </border>
    <border diagonalUp="false" diagonalDown="false">
      <left style="thick"/>
      <right/>
      <top/>
      <bottom/>
      <diagonal/>
    </border>
    <border diagonalUp="false" diagonalDown="false">
      <left/>
      <right style="thick"/>
      <top/>
      <bottom/>
      <diagonal/>
    </border>
    <border diagonalUp="false" diagonalDown="false">
      <left style="thick"/>
      <right style="thick"/>
      <top/>
      <bottom/>
      <diagonal/>
    </border>
    <border diagonalUp="false" diagonalDown="false">
      <left style="thick"/>
      <right/>
      <top style="thick"/>
      <bottom style="thick"/>
      <diagonal/>
    </border>
    <border diagonalUp="false" diagonalDown="false">
      <left/>
      <right style="thick"/>
      <top style="thick"/>
      <bottom style="thick"/>
      <diagonal/>
    </border>
    <border diagonalUp="false" diagonalDown="false">
      <left style="thick"/>
      <right style="thick"/>
      <top style="thick"/>
      <bottom style="thick"/>
      <diagonal/>
    </border>
    <border diagonalUp="false" diagonalDown="false">
      <left/>
      <right/>
      <top style="thick"/>
      <bottom style="thick"/>
      <diagonal/>
    </border>
    <border diagonalUp="false" diagonalDown="false">
      <left style="thick"/>
      <right/>
      <top/>
      <bottom style="thick"/>
      <diagonal/>
    </border>
    <border diagonalUp="false" diagonalDown="false">
      <left/>
      <right style="thick"/>
      <top/>
      <bottom style="thick"/>
      <diagonal/>
    </border>
    <border diagonalUp="false" diagonalDown="false">
      <left style="thick"/>
      <right style="thick"/>
      <top/>
      <bottom style="thick"/>
      <diagonal/>
    </border>
    <border diagonalUp="false" diagonalDown="false">
      <left/>
      <right/>
      <top/>
      <bottom style="thick"/>
      <diagonal/>
    </border>
    <border diagonalUp="false" diagonalDown="false">
      <left style="hair">
        <color rgb="FF333300"/>
      </left>
      <right style="hair">
        <color rgb="FF333300"/>
      </right>
      <top style="hair">
        <color rgb="FF333300"/>
      </top>
      <bottom style="hair">
        <color rgb="FF333300"/>
      </bottom>
      <diagonal/>
    </border>
    <border diagonalUp="false" diagonalDown="false">
      <left/>
      <right style="hair">
        <color rgb="FF333300"/>
      </right>
      <top style="hair">
        <color rgb="FF333300"/>
      </top>
      <bottom style="hair">
        <color rgb="FF333300"/>
      </bottom>
      <diagonal/>
    </border>
    <border diagonalUp="false" diagonalDown="false">
      <left/>
      <right style="hair">
        <color rgb="FF333300"/>
      </right>
      <top/>
      <bottom/>
      <diagonal/>
    </border>
    <border diagonalUp="false" diagonalDown="false">
      <left style="hair">
        <color rgb="FF333300"/>
      </left>
      <right style="hair">
        <color rgb="FF333300"/>
      </right>
      <top/>
      <bottom style="hair">
        <color rgb="FF333300"/>
      </bottom>
      <diagonal/>
    </border>
    <border diagonalUp="false" diagonalDown="false">
      <left/>
      <right style="hair">
        <color rgb="FF610476"/>
      </right>
      <top/>
      <bottom style="hair">
        <color rgb="FF610476"/>
      </bottom>
      <diagonal/>
    </border>
    <border diagonalUp="false" diagonalDown="false">
      <left style="hair">
        <color rgb="FF610476"/>
      </left>
      <right style="hair">
        <color rgb="FF610476"/>
      </right>
      <top/>
      <bottom style="hair">
        <color rgb="FF610476"/>
      </bottom>
      <diagonal/>
    </border>
    <border diagonalUp="false" diagonalDown="false">
      <left/>
      <right style="hair">
        <color rgb="FF610476"/>
      </right>
      <top style="hair">
        <color rgb="FF610476"/>
      </top>
      <bottom style="hair">
        <color rgb="FF610476"/>
      </bottom>
      <diagonal/>
    </border>
    <border diagonalUp="false" diagonalDown="false">
      <left/>
      <right/>
      <top style="medium">
        <color rgb="FF000080"/>
      </top>
      <bottom style="hair">
        <color rgb="FF000080"/>
      </bottom>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style="medium"/>
      <diagonal/>
    </border>
    <border diagonalUp="false" diagonalDown="false">
      <left style="thin"/>
      <right style="thin"/>
      <top style="medium"/>
      <bottom/>
      <diagonal/>
    </border>
    <border diagonalUp="false" diagonalDown="false">
      <left style="thin"/>
      <right style="thin"/>
      <top/>
      <bottom style="mediu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style="thin"/>
      <top/>
      <bottom style="thin"/>
      <diagonal/>
    </border>
    <border diagonalUp="false" diagonalDown="false">
      <left/>
      <right/>
      <top/>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medium">
        <color rgb="FF023275"/>
      </left>
      <right/>
      <top style="thin">
        <color rgb="FF023275"/>
      </top>
      <bottom/>
      <diagonal/>
    </border>
    <border diagonalUp="false" diagonalDown="false">
      <left/>
      <right/>
      <top style="medium">
        <color rgb="FF023275"/>
      </top>
      <bottom/>
      <diagonal/>
    </border>
    <border diagonalUp="false" diagonalDown="false">
      <left style="medium">
        <color rgb="FF023275"/>
      </left>
      <right/>
      <top/>
      <bottom style="medium"/>
      <diagonal/>
    </border>
    <border diagonalUp="false" diagonalDown="false">
      <left style="medium">
        <color rgb="FF023275"/>
      </left>
      <right/>
      <top style="medium"/>
      <bottom/>
      <diagonal/>
    </border>
    <border diagonalUp="false" diagonalDown="false">
      <left style="medium">
        <color rgb="FF023275"/>
      </left>
      <right/>
      <top/>
      <bottom style="medium">
        <color rgb="FF023275"/>
      </bottom>
      <diagonal/>
    </border>
    <border diagonalUp="false" diagonalDown="false">
      <left/>
      <right/>
      <top/>
      <bottom style="medium">
        <color rgb="FF023275"/>
      </bottom>
      <diagonal/>
    </border>
    <border diagonalUp="false" diagonalDown="false">
      <left/>
      <right/>
      <top style="thin">
        <color rgb="FF023275"/>
      </top>
      <bottom style="medium"/>
      <diagonal/>
    </border>
    <border diagonalUp="false" diagonalDown="false">
      <left style="hair"/>
      <right style="hair"/>
      <top style="hair"/>
      <bottom/>
      <diagonal/>
    </border>
    <border diagonalUp="false" diagonalDown="false">
      <left/>
      <right style="hair"/>
      <top/>
      <bottom/>
      <diagonal/>
    </border>
    <border diagonalUp="false" diagonalDown="false">
      <left style="hair"/>
      <right/>
      <top style="hair"/>
      <bottom/>
      <diagonal/>
    </border>
    <border diagonalUp="false" diagonalDown="false">
      <left/>
      <right style="hair"/>
      <top style="hair"/>
      <bottom/>
      <diagonal/>
    </border>
    <border diagonalUp="false" diagonalDown="false">
      <left style="hair"/>
      <right/>
      <top/>
      <bottom style="hair"/>
      <diagonal/>
    </border>
    <border diagonalUp="false" diagonalDown="false">
      <left/>
      <right style="hair"/>
      <top/>
      <bottom style="hair"/>
      <diagonal/>
    </border>
    <border diagonalUp="false" diagonalDown="false">
      <left/>
      <right/>
      <top style="hair"/>
      <bottom/>
      <diagonal/>
    </border>
    <border diagonalUp="false" diagonalDown="false">
      <left/>
      <right/>
      <top/>
      <bottom style="hair"/>
      <diagonal/>
    </border>
    <border diagonalUp="false" diagonalDown="false">
      <left style="medium">
        <color rgb="FFFF0000"/>
      </left>
      <right style="medium">
        <color rgb="FFFF0000"/>
      </right>
      <top style="medium">
        <color rgb="FFFF0000"/>
      </top>
      <bottom style="medium">
        <color rgb="FFFF0000"/>
      </bottom>
      <diagonal/>
    </border>
    <border diagonalUp="false" diagonalDown="false">
      <left/>
      <right/>
      <top style="hair"/>
      <bottom style="hair"/>
      <diagonal/>
    </border>
    <border diagonalUp="false" diagonalDown="false">
      <left style="medium"/>
      <right/>
      <top style="hair"/>
      <bottom style="hair"/>
      <diagonal/>
    </border>
    <border diagonalUp="false" diagonalDown="false">
      <left/>
      <right style="medium"/>
      <top style="hair"/>
      <bottom style="hair"/>
      <diagonal/>
    </border>
    <border diagonalUp="false" diagonalDown="false">
      <left style="hair"/>
      <right style="hair"/>
      <top style="hair"/>
      <bottom style="thick">
        <color rgb="FFC0C0C0"/>
      </bottom>
      <diagonal/>
    </border>
    <border diagonalUp="false" diagonalDown="false">
      <left style="thick">
        <color rgb="FF008001"/>
      </left>
      <right/>
      <top style="thick">
        <color rgb="FF008001"/>
      </top>
      <bottom/>
      <diagonal/>
    </border>
    <border diagonalUp="false" diagonalDown="false">
      <left/>
      <right/>
      <top style="thick">
        <color rgb="FF008001"/>
      </top>
      <bottom/>
      <diagonal/>
    </border>
    <border diagonalUp="false" diagonalDown="false">
      <left/>
      <right style="thick">
        <color rgb="FF008001"/>
      </right>
      <top style="thick">
        <color rgb="FF008001"/>
      </top>
      <bottom/>
      <diagonal/>
    </border>
    <border diagonalUp="false" diagonalDown="false">
      <left style="medium"/>
      <right/>
      <top style="thick">
        <color rgb="FF008001"/>
      </top>
      <bottom/>
      <diagonal/>
    </border>
    <border diagonalUp="false" diagonalDown="false">
      <left/>
      <right style="medium"/>
      <top style="thick">
        <color rgb="FF008001"/>
      </top>
      <bottom/>
      <diagonal/>
    </border>
    <border diagonalUp="false" diagonalDown="false">
      <left style="thick">
        <color rgb="FF008001"/>
      </left>
      <right/>
      <top style="thin">
        <color rgb="FF00FFFF"/>
      </top>
      <bottom/>
      <diagonal/>
    </border>
    <border diagonalUp="false" diagonalDown="false">
      <left/>
      <right/>
      <top style="thin">
        <color rgb="FF00FFFF"/>
      </top>
      <bottom/>
      <diagonal/>
    </border>
    <border diagonalUp="false" diagonalDown="false">
      <left/>
      <right style="thick">
        <color rgb="FF008001"/>
      </right>
      <top style="thin">
        <color rgb="FF00FFFF"/>
      </top>
      <bottom/>
      <diagonal/>
    </border>
    <border diagonalUp="false" diagonalDown="false">
      <left style="hair"/>
      <right style="thick">
        <color rgb="FF008001"/>
      </right>
      <top style="thin">
        <color rgb="FF00FFFF"/>
      </top>
      <bottom/>
      <diagonal/>
    </border>
    <border diagonalUp="false" diagonalDown="false">
      <left style="medium"/>
      <right/>
      <top style="thin">
        <color rgb="FF00FFFF"/>
      </top>
      <bottom/>
      <diagonal/>
    </border>
    <border diagonalUp="false" diagonalDown="false">
      <left/>
      <right style="medium"/>
      <top style="thin">
        <color rgb="FF00FFFF"/>
      </top>
      <bottom/>
      <diagonal/>
    </border>
    <border diagonalUp="false" diagonalDown="false">
      <left style="thick">
        <color rgb="FF008001"/>
      </left>
      <right/>
      <top style="thin">
        <color rgb="FF00FFFF"/>
      </top>
      <bottom style="thick">
        <color rgb="FF008001"/>
      </bottom>
      <diagonal/>
    </border>
    <border diagonalUp="false" diagonalDown="false">
      <left/>
      <right/>
      <top style="thin">
        <color rgb="FF00FFFF"/>
      </top>
      <bottom style="thick">
        <color rgb="FF008001"/>
      </bottom>
      <diagonal/>
    </border>
    <border diagonalUp="false" diagonalDown="false">
      <left/>
      <right style="thick">
        <color rgb="FF008001"/>
      </right>
      <top style="thin">
        <color rgb="FF00FFFF"/>
      </top>
      <bottom style="thick">
        <color rgb="FF008001"/>
      </bottom>
      <diagonal/>
    </border>
    <border diagonalUp="false" diagonalDown="false">
      <left style="hair"/>
      <right style="thick">
        <color rgb="FF008001"/>
      </right>
      <top style="thin">
        <color rgb="FF00FFFF"/>
      </top>
      <bottom style="hair"/>
      <diagonal/>
    </border>
    <border diagonalUp="false" diagonalDown="false">
      <left/>
      <right/>
      <top style="thin">
        <color rgb="FF00FFFF"/>
      </top>
      <bottom style="hair"/>
      <diagonal/>
    </border>
    <border diagonalUp="false" diagonalDown="false">
      <left style="medium"/>
      <right/>
      <top style="thin">
        <color rgb="FF00FFFF"/>
      </top>
      <bottom style="thick">
        <color rgb="FF008001"/>
      </bottom>
      <diagonal/>
    </border>
    <border diagonalUp="false" diagonalDown="false">
      <left/>
      <right style="medium"/>
      <top style="thin">
        <color rgb="FF00FFFF"/>
      </top>
      <bottom style="thick">
        <color rgb="FF008001"/>
      </bottom>
      <diagonal/>
    </border>
    <border diagonalUp="false" diagonalDown="false">
      <left style="medium"/>
      <right/>
      <top style="thin">
        <color rgb="FF00FFFF"/>
      </top>
      <bottom style="hair"/>
      <diagonal/>
    </border>
    <border diagonalUp="false" diagonalDown="false">
      <left/>
      <right style="medium"/>
      <top style="thin">
        <color rgb="FF00FFFF"/>
      </top>
      <bottom style="hair"/>
      <diagonal/>
    </border>
    <border diagonalUp="false" diagonalDown="false">
      <left style="hair"/>
      <right/>
      <top style="thin">
        <color rgb="FF00FFFF"/>
      </top>
      <bottom/>
      <diagonal/>
    </border>
    <border diagonalUp="false" diagonalDown="false">
      <left style="thin"/>
      <right/>
      <top style="thin">
        <color rgb="FF00FFFF"/>
      </top>
      <bottom/>
      <diagonal/>
    </border>
    <border diagonalUp="false" diagonalDown="false">
      <left style="thin"/>
      <right/>
      <top style="thin">
        <color rgb="FF00FFFF"/>
      </top>
      <bottom style="thin"/>
      <diagonal/>
    </border>
    <border diagonalUp="false" diagonalDown="false">
      <left/>
      <right/>
      <top style="thin">
        <color rgb="FF00FFFF"/>
      </top>
      <bottom style="thin"/>
      <diagonal/>
    </border>
    <border diagonalUp="false" diagonalDown="false">
      <left/>
      <right/>
      <top style="thin">
        <color rgb="FFCCCDCB"/>
      </top>
      <bottom style="thin">
        <color rgb="FFCCCDCB"/>
      </bottom>
      <diagonal/>
    </border>
    <border diagonalUp="false" diagonalDown="false">
      <left style="hair"/>
      <right style="hair"/>
      <top style="hair"/>
      <bottom style="hair"/>
      <diagonal/>
    </border>
    <border diagonalUp="false" diagonalDown="false">
      <left style="thin"/>
      <right style="thin"/>
      <top/>
      <bottom style="thin"/>
      <diagonal/>
    </border>
    <border diagonalUp="false" diagonalDown="false">
      <left style="medium">
        <color rgb="FFCCCDCB"/>
      </left>
      <right style="medium">
        <color rgb="FFCCCDCB"/>
      </right>
      <top style="medium">
        <color rgb="FFCCCDCB"/>
      </top>
      <bottom style="medium">
        <color rgb="FFCCCDCB"/>
      </bottom>
      <diagonal/>
    </border>
    <border diagonalUp="false" diagonalDown="false">
      <left style="medium">
        <color rgb="FFCCCDCB"/>
      </left>
      <right style="thin"/>
      <top style="medium">
        <color rgb="FFCCCDCB"/>
      </top>
      <bottom style="medium">
        <color rgb="FFCCCDCB"/>
      </bottom>
      <diagonal/>
    </border>
    <border diagonalUp="false" diagonalDown="false">
      <left style="medium">
        <color rgb="FFCCCDCB"/>
      </left>
      <right style="medium">
        <color rgb="FFCCCDCB"/>
      </right>
      <top style="medium">
        <color rgb="FFCCCDCB"/>
      </top>
      <bottom style="thin"/>
      <diagonal/>
    </border>
    <border diagonalUp="false" diagonalDown="false">
      <left style="medium">
        <color rgb="FFCCCDCB"/>
      </left>
      <right style="thin"/>
      <top style="medium">
        <color rgb="FFCCCDCB"/>
      </top>
      <bottom style="thin"/>
      <diagonal/>
    </border>
    <border diagonalUp="false" diagonalDown="false">
      <left/>
      <right/>
      <top/>
      <bottom style="hair">
        <color rgb="FF333300"/>
      </bottom>
      <diagonal/>
    </border>
    <border diagonalUp="false" diagonalDown="false">
      <left/>
      <right style="thin">
        <color rgb="FF625D67"/>
      </right>
      <top/>
      <bottom/>
      <diagonal/>
    </border>
    <border diagonalUp="false" diagonalDown="false">
      <left/>
      <right style="thin"/>
      <top style="thin"/>
      <bottom style="medium">
        <color rgb="FFCCCDCB"/>
      </bottom>
      <diagonal/>
    </border>
    <border diagonalUp="false" diagonalDown="false">
      <left/>
      <right style="thin"/>
      <top/>
      <bottom style="medium">
        <color rgb="FFCCCDCB"/>
      </bottom>
      <diagonal/>
    </border>
    <border diagonalUp="false" diagonalDown="false">
      <left/>
      <right style="thin">
        <color rgb="FF625D67"/>
      </right>
      <top style="thin">
        <color rgb="FF625D67"/>
      </top>
      <bottom/>
      <diagonal/>
    </border>
    <border diagonalUp="false" diagonalDown="false">
      <left/>
      <right/>
      <top style="thin">
        <color rgb="FF625D67"/>
      </top>
      <bottom/>
      <diagonal/>
    </border>
    <border diagonalUp="false" diagonalDown="false">
      <left/>
      <right/>
      <top style="thin">
        <color rgb="FFFFCC99"/>
      </top>
      <bottom style="thin">
        <color rgb="FFFFCC99"/>
      </bottom>
      <diagonal/>
    </border>
    <border diagonalUp="false" diagonalDown="false">
      <left/>
      <right style="hair"/>
      <top style="hair"/>
      <bottom style="hair"/>
      <diagonal/>
    </border>
    <border diagonalUp="false" diagonalDown="false">
      <left style="hair"/>
      <right style="hair"/>
      <top/>
      <bottom/>
      <diagonal/>
    </border>
    <border diagonalUp="false" diagonalDown="false">
      <left/>
      <right/>
      <top/>
      <bottom style="double"/>
      <diagonal/>
    </border>
    <border diagonalUp="false" diagonalDown="false">
      <left style="hair">
        <color rgb="FF610476"/>
      </left>
      <right style="hair">
        <color rgb="FF610476"/>
      </right>
      <top style="hair">
        <color rgb="FF610476"/>
      </top>
      <bottom style="hair">
        <color rgb="FF610476"/>
      </bottom>
      <diagonal/>
    </border>
    <border diagonalUp="false" diagonalDown="false">
      <left style="thin">
        <color rgb="FFF79646"/>
      </left>
      <right/>
      <top style="thin">
        <color rgb="FFF79646"/>
      </top>
      <bottom/>
      <diagonal/>
    </border>
    <border diagonalUp="false" diagonalDown="false">
      <left/>
      <right/>
      <top style="thin">
        <color rgb="FFF79646"/>
      </top>
      <bottom/>
      <diagonal/>
    </border>
    <border diagonalUp="false" diagonalDown="false">
      <left/>
      <right style="thin">
        <color rgb="FFF79646"/>
      </right>
      <top style="thin">
        <color rgb="FFF79646"/>
      </top>
      <bottom/>
      <diagonal/>
    </border>
    <border diagonalUp="false" diagonalDown="false">
      <left style="thin">
        <color rgb="FFF79646"/>
      </left>
      <right/>
      <top style="thin">
        <color rgb="FFF79646"/>
      </top>
      <bottom style="thin">
        <color rgb="FFF79646"/>
      </bottom>
      <diagonal/>
    </border>
    <border diagonalUp="false" diagonalDown="false">
      <left/>
      <right/>
      <top style="thin">
        <color rgb="FFF79646"/>
      </top>
      <bottom style="thin">
        <color rgb="FFF79646"/>
      </bottom>
      <diagonal/>
    </border>
    <border diagonalUp="false" diagonalDown="false">
      <left/>
      <right style="thin">
        <color rgb="FFF79646"/>
      </right>
      <top style="thin">
        <color rgb="FFF79646"/>
      </top>
      <bottom style="thin">
        <color rgb="FFF79646"/>
      </bottom>
      <diagonal/>
    </border>
    <border diagonalUp="false" diagonalDown="false">
      <left style="hair">
        <color rgb="FF808080"/>
      </left>
      <right style="hair">
        <color rgb="FF808080"/>
      </right>
      <top style="hair">
        <color rgb="FF808080"/>
      </top>
      <bottom style="hair">
        <color rgb="FF808080"/>
      </bottom>
      <diagonal/>
    </border>
    <border diagonalUp="false" diagonalDown="false">
      <left style="medium"/>
      <right style="medium"/>
      <top style="medium"/>
      <bottom style="thin"/>
      <diagonal/>
    </border>
    <border diagonalUp="false" diagonalDown="false">
      <left style="hair"/>
      <right style="hair"/>
      <top/>
      <bottom style="hair"/>
      <diagonal/>
    </border>
    <border diagonalUp="false" diagonalDown="false">
      <left style="hair"/>
      <right/>
      <top style="hair"/>
      <bottom style="hair"/>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ck"/>
      <right style="thin"/>
      <top style="thin"/>
      <bottom style="thin"/>
      <diagonal/>
    </border>
    <border diagonalUp="false" diagonalDown="false">
      <left style="thin"/>
      <right style="thick"/>
      <top style="thin"/>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medium">
        <color rgb="FFAAAAAA"/>
      </left>
      <right style="medium">
        <color rgb="FFAAAAAA"/>
      </right>
      <top style="medium">
        <color rgb="FFAAAAAA"/>
      </top>
      <bottom style="medium">
        <color rgb="FFAAAAAA"/>
      </bottom>
      <diagonal/>
    </border>
    <border diagonalUp="false" diagonalDown="false">
      <left/>
      <right style="thin">
        <color rgb="FFFFFFFF"/>
      </right>
      <top/>
      <bottom style="thick">
        <color rgb="FFFFFFFF"/>
      </bottom>
      <diagonal/>
    </border>
    <border diagonalUp="false" diagonalDown="false">
      <left/>
      <right/>
      <top/>
      <bottom style="thick">
        <color rgb="FFFFFFFF"/>
      </bottom>
      <diagonal/>
    </border>
    <border diagonalUp="false" diagonalDown="false">
      <left/>
      <right style="thin">
        <color rgb="FFFFFFFF"/>
      </right>
      <top/>
      <bottom style="thin">
        <color rgb="FFFFFFFF"/>
      </bottom>
      <diagonal/>
    </border>
    <border diagonalUp="false" diagonalDown="false">
      <left/>
      <right/>
      <top/>
      <bottom style="thin">
        <color rgb="FFFFFFFF"/>
      </bottom>
      <diagonal/>
    </border>
    <border diagonalUp="false" diagonalDown="false">
      <left/>
      <right style="thin">
        <color rgb="FFFFFFFF"/>
      </right>
      <top/>
      <bottom/>
      <diagonal/>
    </border>
    <border diagonalUp="false" diagonalDown="false">
      <left/>
      <right style="thin"/>
      <top style="thin"/>
      <bottom style="thin"/>
      <diagonal/>
    </border>
    <border diagonalUp="false" diagonalDown="false">
      <left/>
      <right/>
      <top style="double"/>
      <bottom/>
      <diagonal/>
    </border>
    <border diagonalUp="false" diagonalDown="false">
      <left/>
      <right/>
      <top/>
      <bottom style="thin">
        <color rgb="FFFFCC99"/>
      </bottom>
      <diagonal/>
    </border>
    <border diagonalUp="false" diagonalDown="false">
      <left/>
      <right/>
      <top style="thin">
        <color rgb="FF625D67"/>
      </top>
      <bottom style="thin">
        <color rgb="FFFFCC99"/>
      </bottom>
      <diagonal/>
    </border>
    <border diagonalUp="false" diagonalDown="false">
      <left style="medium">
        <color rgb="FF9BBB59"/>
      </left>
      <right/>
      <top style="medium">
        <color rgb="FF9BBB59"/>
      </top>
      <bottom/>
      <diagonal/>
    </border>
    <border diagonalUp="false" diagonalDown="false">
      <left/>
      <right/>
      <top style="medium">
        <color rgb="FF9BBB59"/>
      </top>
      <bottom/>
      <diagonal/>
    </border>
    <border diagonalUp="false" diagonalDown="false">
      <left/>
      <right style="medium">
        <color rgb="FF9BBB59"/>
      </right>
      <top style="medium">
        <color rgb="FF9BBB59"/>
      </top>
      <bottom/>
      <diagonal/>
    </border>
    <border diagonalUp="false" diagonalDown="false">
      <left style="medium">
        <color rgb="FF9BBB59"/>
      </left>
      <right/>
      <top style="medium"/>
      <bottom/>
      <diagonal/>
    </border>
    <border diagonalUp="false" diagonalDown="false">
      <left style="medium">
        <color rgb="FF9BBB59"/>
      </left>
      <right style="medium"/>
      <top style="medium"/>
      <bottom/>
      <diagonal/>
    </border>
    <border diagonalUp="false" diagonalDown="false">
      <left style="medium"/>
      <right/>
      <top style="medium">
        <color rgb="FF9BBB59"/>
      </top>
      <bottom/>
      <diagonal/>
    </border>
    <border diagonalUp="false" diagonalDown="false">
      <left style="medium">
        <color rgb="FF9BBB59"/>
      </left>
      <right style="medium"/>
      <top style="medium">
        <color rgb="FF9BBB59"/>
      </top>
      <bottom/>
      <diagonal/>
    </border>
    <border diagonalUp="false" diagonalDown="false">
      <left style="medium"/>
      <right/>
      <top style="medium">
        <color rgb="FF9BBB59"/>
      </top>
      <bottom style="medium"/>
      <diagonal/>
    </border>
    <border diagonalUp="false" diagonalDown="false">
      <left style="medium">
        <color rgb="FF9BBB59"/>
      </left>
      <right/>
      <top style="medium">
        <color rgb="FF9BBB59"/>
      </top>
      <bottom style="medium"/>
      <diagonal/>
    </border>
    <border diagonalUp="false" diagonalDown="false">
      <left style="medium">
        <color rgb="FF9BBB59"/>
      </left>
      <right style="medium"/>
      <top style="medium">
        <color rgb="FF9BBB59"/>
      </top>
      <bottom style="medium"/>
      <diagonal/>
    </border>
    <border diagonalUp="false" diagonalDown="false">
      <left style="medium">
        <color rgb="FF9BBB59"/>
      </left>
      <right/>
      <top style="double">
        <color rgb="FF9BBB59"/>
      </top>
      <bottom style="medium">
        <color rgb="FF9BBB59"/>
      </bottom>
      <diagonal/>
    </border>
    <border diagonalUp="false" diagonalDown="false">
      <left/>
      <right/>
      <top/>
      <bottom style="medium">
        <color rgb="FF9BBB59"/>
      </bottom>
      <diagonal/>
    </border>
    <border diagonalUp="false" diagonalDown="false">
      <left/>
      <right style="medium">
        <color rgb="FF9BBB59"/>
      </right>
      <top style="double">
        <color rgb="FF9BBB59"/>
      </top>
      <bottom style="medium">
        <color rgb="FF9BBB59"/>
      </bottom>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style="thin"/>
      <top style="medium"/>
      <bottom style="thin"/>
      <diagonal/>
    </border>
    <border diagonalUp="false" diagonalDown="false">
      <left style="thin"/>
      <right style="thin"/>
      <top style="thin"/>
      <bottom style="medium"/>
      <diagonal/>
    </border>
    <border diagonalUp="true" diagonalDown="true">
      <left style="thin"/>
      <right style="thin"/>
      <top style="thin"/>
      <bottom style="thin"/>
      <diagonal style="hair"/>
    </border>
    <border diagonalUp="true" diagonalDown="true">
      <left style="thin"/>
      <right/>
      <top style="thin"/>
      <bottom style="thin"/>
      <diagonal style="hair"/>
    </border>
    <border diagonalUp="false" diagonalDown="false">
      <left style="medium">
        <color rgb="FFFF0000"/>
      </left>
      <right/>
      <top style="medium">
        <color rgb="FFFF0000"/>
      </top>
      <bottom/>
      <diagonal/>
    </border>
    <border diagonalUp="false" diagonalDown="false">
      <left/>
      <right/>
      <top style="medium">
        <color rgb="FFFF0000"/>
      </top>
      <bottom/>
      <diagonal/>
    </border>
    <border diagonalUp="false" diagonalDown="false">
      <left/>
      <right style="thin">
        <color rgb="FF840000"/>
      </right>
      <top style="medium">
        <color rgb="FFFF0000"/>
      </top>
      <bottom/>
      <diagonal/>
    </border>
    <border diagonalUp="false" diagonalDown="false">
      <left style="hair"/>
      <right/>
      <top style="medium">
        <color rgb="FFFF0000"/>
      </top>
      <bottom/>
      <diagonal/>
    </border>
    <border diagonalUp="false" diagonalDown="false">
      <left/>
      <right style="medium">
        <color rgb="FFFF0000"/>
      </right>
      <top style="medium">
        <color rgb="FFFF0000"/>
      </top>
      <bottom/>
      <diagonal/>
    </border>
    <border diagonalUp="false" diagonalDown="false">
      <left style="medium">
        <color rgb="FFFF0000"/>
      </left>
      <right/>
      <top/>
      <bottom/>
      <diagonal/>
    </border>
    <border diagonalUp="false" diagonalDown="false">
      <left/>
      <right style="thin">
        <color rgb="FF840000"/>
      </right>
      <top/>
      <bottom/>
      <diagonal/>
    </border>
    <border diagonalUp="false" diagonalDown="false">
      <left/>
      <right style="medium">
        <color rgb="FFFF0000"/>
      </right>
      <top/>
      <bottom/>
      <diagonal/>
    </border>
    <border diagonalUp="false" diagonalDown="false">
      <left style="thin">
        <color rgb="FF840000"/>
      </left>
      <right style="thin">
        <color rgb="FF840000"/>
      </right>
      <top style="thin">
        <color rgb="FF840000"/>
      </top>
      <bottom style="thin">
        <color rgb="FF840000"/>
      </bottom>
      <diagonal/>
    </border>
    <border diagonalUp="false" diagonalDown="false">
      <left style="medium">
        <color rgb="FFFF0000"/>
      </left>
      <right/>
      <top/>
      <bottom style="thin">
        <color rgb="FF840000"/>
      </bottom>
      <diagonal/>
    </border>
    <border diagonalUp="false" diagonalDown="false">
      <left/>
      <right/>
      <top/>
      <bottom style="thin">
        <color rgb="FF840000"/>
      </bottom>
      <diagonal/>
    </border>
    <border diagonalUp="false" diagonalDown="false">
      <left/>
      <right style="thin">
        <color rgb="FF840000"/>
      </right>
      <top/>
      <bottom style="thin">
        <color rgb="FF840000"/>
      </bottom>
      <diagonal/>
    </border>
    <border diagonalUp="false" diagonalDown="false">
      <left/>
      <right style="medium">
        <color rgb="FFFF0000"/>
      </right>
      <top/>
      <bottom style="hair"/>
      <diagonal/>
    </border>
    <border diagonalUp="false" diagonalDown="false">
      <left style="medium">
        <color rgb="FFFF0000"/>
      </left>
      <right/>
      <top style="hair"/>
      <bottom/>
      <diagonal/>
    </border>
    <border diagonalUp="false" diagonalDown="false">
      <left/>
      <right style="medium">
        <color rgb="FFFF0000"/>
      </right>
      <top style="hair"/>
      <bottom/>
      <diagonal/>
    </border>
    <border diagonalUp="false" diagonalDown="false">
      <left style="medium">
        <color rgb="FFFF0000"/>
      </left>
      <right/>
      <top/>
      <bottom style="medium">
        <color rgb="FFFF0000"/>
      </bottom>
      <diagonal/>
    </border>
    <border diagonalUp="false" diagonalDown="false">
      <left/>
      <right/>
      <top/>
      <bottom style="medium">
        <color rgb="FFFF0000"/>
      </bottom>
      <diagonal/>
    </border>
    <border diagonalUp="false" diagonalDown="false">
      <left/>
      <right style="hair"/>
      <top/>
      <bottom style="medium">
        <color rgb="FFFF0000"/>
      </bottom>
      <diagonal/>
    </border>
    <border diagonalUp="false" diagonalDown="false">
      <left style="hair"/>
      <right/>
      <top/>
      <bottom style="medium">
        <color rgb="FFFF0000"/>
      </bottom>
      <diagonal/>
    </border>
    <border diagonalUp="false" diagonalDown="false">
      <left/>
      <right style="medium">
        <color rgb="FFFF0000"/>
      </right>
      <top/>
      <bottom style="medium">
        <color rgb="FFFF0000"/>
      </bottom>
      <diagonal/>
    </border>
    <border diagonalUp="false" diagonalDown="false">
      <left style="thick">
        <color rgb="FFFF0000"/>
      </left>
      <right style="thick">
        <color rgb="FFFF0000"/>
      </right>
      <top style="thick">
        <color rgb="FFFF0000"/>
      </top>
      <bottom style="thick">
        <color rgb="FFFF0000"/>
      </bottom>
      <diagonal/>
    </border>
    <border diagonalUp="false" diagonalDown="false">
      <left style="thick">
        <color rgb="FFFF0000"/>
      </left>
      <right style="hair"/>
      <top/>
      <bottom/>
      <diagonal/>
    </border>
    <border diagonalUp="false" diagonalDown="false">
      <left/>
      <right style="medium"/>
      <top style="medium"/>
      <bottom style="medium"/>
      <diagonal/>
    </border>
    <border diagonalUp="false" diagonalDown="false">
      <left style="medium"/>
      <right style="thin">
        <color rgb="FFFFFFFF"/>
      </right>
      <top/>
      <bottom/>
      <diagonal/>
    </border>
    <border diagonalUp="false" diagonalDown="false">
      <left style="medium"/>
      <right/>
      <top style="medium"/>
      <bottom style="medium"/>
      <diagonal/>
    </border>
    <border diagonalUp="false" diagonalDown="false">
      <left/>
      <right/>
      <top style="medium"/>
      <bottom style="thin">
        <color rgb="FFFFFFFF"/>
      </bottom>
      <diagonal/>
    </border>
    <border diagonalUp="false" diagonalDown="false">
      <left style="medium"/>
      <right style="thin">
        <color rgb="FFFFFFFF"/>
      </right>
      <top style="medium"/>
      <bottom style="thin">
        <color rgb="FFFFFFFF"/>
      </bottom>
      <diagonal/>
    </border>
    <border diagonalUp="false" diagonalDown="false">
      <left/>
      <right style="thin">
        <color rgb="FFFFFFFF"/>
      </right>
      <top style="medium"/>
      <bottom style="thin">
        <color rgb="FFFFFFFF"/>
      </bottom>
      <diagonal/>
    </border>
    <border diagonalUp="false" diagonalDown="false">
      <left/>
      <right style="medium"/>
      <top style="medium"/>
      <bottom style="thin">
        <color rgb="FFFFFFFF"/>
      </bottom>
      <diagonal/>
    </border>
    <border diagonalUp="false" diagonalDown="false">
      <left style="medium"/>
      <right style="thin">
        <color rgb="FFFFFFFF"/>
      </right>
      <top/>
      <bottom style="thin">
        <color rgb="FFFFFFFF"/>
      </bottom>
      <diagonal/>
    </border>
    <border diagonalUp="false" diagonalDown="false">
      <left/>
      <right style="medium"/>
      <top/>
      <bottom style="thin">
        <color rgb="FFFFFFFF"/>
      </bottom>
      <diagonal/>
    </border>
    <border diagonalUp="false" diagonalDown="false">
      <left style="medium"/>
      <right style="thin">
        <color rgb="FFFFFFFF"/>
      </right>
      <top/>
      <bottom style="medium"/>
      <diagonal/>
    </border>
    <border diagonalUp="false" diagonalDown="false">
      <left/>
      <right style="thin">
        <color rgb="FFFFFFFF"/>
      </right>
      <top/>
      <bottom style="medium"/>
      <diagonal/>
    </border>
    <border diagonalUp="false" diagonalDown="false">
      <left style="thin">
        <color rgb="FFFFFFFF"/>
      </left>
      <right style="thin">
        <color rgb="FFFFFFFF"/>
      </right>
      <top style="medium"/>
      <bottom style="thin">
        <color rgb="FFFFFFFF"/>
      </bottom>
      <diagonal/>
    </border>
    <border diagonalUp="false" diagonalDown="false">
      <left style="thin">
        <color rgb="FFFFFFFF"/>
      </left>
      <right style="thin">
        <color rgb="FFFFFFFF"/>
      </right>
      <top/>
      <bottom style="thin">
        <color rgb="FFFFFFFF"/>
      </bottom>
      <diagonal/>
    </border>
    <border diagonalUp="false" diagonalDown="false">
      <left style="thin">
        <color rgb="FFFFFFFF"/>
      </left>
      <right style="thin">
        <color rgb="FFFFFFFF"/>
      </right>
      <top/>
      <bottom style="thin"/>
      <diagonal/>
    </border>
    <border diagonalUp="false" diagonalDown="false">
      <left style="medium"/>
      <right/>
      <top style="thin"/>
      <bottom style="thin"/>
      <diagonal/>
    </border>
    <border diagonalUp="false" diagonalDown="false">
      <left/>
      <right style="medium"/>
      <top style="thin"/>
      <bottom style="thin"/>
      <diagonal/>
    </border>
    <border diagonalUp="false" diagonalDown="false">
      <left/>
      <right/>
      <top style="thin">
        <color rgb="FF9BBB59"/>
      </top>
      <bottom/>
      <diagonal/>
    </border>
    <border diagonalUp="false" diagonalDown="false">
      <left/>
      <right/>
      <top style="thin">
        <color rgb="FF9BBB59"/>
      </top>
      <bottom style="thin">
        <color rgb="FF9BBB59"/>
      </bottom>
      <diagonal/>
    </border>
    <border diagonalUp="false" diagonalDown="false">
      <left style="medium">
        <color rgb="FFFF0000"/>
      </left>
      <right style="medium">
        <color rgb="FFFF0000"/>
      </right>
      <top style="medium">
        <color rgb="FFFF0000"/>
      </top>
      <bottom/>
      <diagonal/>
    </border>
    <border diagonalUp="false" diagonalDown="false">
      <left style="medium">
        <color rgb="FFFF0000"/>
      </left>
      <right/>
      <top style="medium">
        <color rgb="FFFF0000"/>
      </top>
      <bottom style="medium">
        <color rgb="FFFF0000"/>
      </bottom>
      <diagonal/>
    </border>
    <border diagonalUp="false" diagonalDown="false">
      <left/>
      <right/>
      <top style="medium">
        <color rgb="FFFF0000"/>
      </top>
      <bottom style="medium">
        <color rgb="FFFF0000"/>
      </bottom>
      <diagonal/>
    </border>
    <border diagonalUp="false" diagonalDown="false">
      <left/>
      <right style="medium">
        <color rgb="FFFF0000"/>
      </right>
      <top style="medium">
        <color rgb="FFFF0000"/>
      </top>
      <bottom style="medium">
        <color rgb="FFFF0000"/>
      </bottom>
      <diagonal/>
    </border>
    <border diagonalUp="false" diagonalDown="false">
      <left style="medium">
        <color rgb="FFFF0000"/>
      </left>
      <right style="medium">
        <color rgb="FFFF0000"/>
      </right>
      <top/>
      <bottom/>
      <diagonal/>
    </border>
    <border diagonalUp="false" diagonalDown="false">
      <left style="medium"/>
      <right style="medium"/>
      <top style="medium">
        <color rgb="FFFF0000"/>
      </top>
      <bottom style="thick"/>
      <diagonal/>
    </border>
    <border diagonalUp="false" diagonalDown="false">
      <left style="medium"/>
      <right style="thick"/>
      <top style="medium">
        <color rgb="FFFF0000"/>
      </top>
      <bottom style="thick"/>
      <diagonal/>
    </border>
    <border diagonalUp="false" diagonalDown="false">
      <left style="medium">
        <color rgb="FFFF0000"/>
      </left>
      <right style="medium">
        <color rgb="FFFF0000"/>
      </right>
      <top/>
      <bottom style="medium">
        <color rgb="FFFF0000"/>
      </bottom>
      <diagonal/>
    </border>
    <border diagonalUp="false" diagonalDown="false">
      <left/>
      <right/>
      <top style="medium"/>
      <bottom style="medium"/>
      <diagonal/>
    </border>
  </borders>
  <cellStyleXfs count="3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81" fontId="2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35" fillId="0"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5" borderId="0" applyFont="true" applyBorder="false" applyAlignment="true" applyProtection="false">
      <alignment horizontal="general" vertical="bottom" textRotation="0" wrapText="false" indent="0" shrinkToFit="false"/>
    </xf>
    <xf numFmtId="164" fontId="4" fillId="15" borderId="0" applyFont="true" applyBorder="false" applyAlignment="true" applyProtection="false">
      <alignment horizontal="general" vertical="bottom" textRotation="0" wrapText="false" indent="0" shrinkToFit="false"/>
    </xf>
    <xf numFmtId="164" fontId="4" fillId="15" borderId="0" applyFont="true" applyBorder="false" applyAlignment="true" applyProtection="false">
      <alignment horizontal="general" vertical="bottom" textRotation="0" wrapText="false" indent="0" shrinkToFit="false"/>
    </xf>
    <xf numFmtId="164" fontId="4" fillId="15" borderId="0" applyFont="true" applyBorder="false" applyAlignment="true" applyProtection="false">
      <alignment horizontal="general" vertical="bottom" textRotation="0" wrapText="false" indent="0" shrinkToFit="false"/>
    </xf>
    <xf numFmtId="164" fontId="4" fillId="15" borderId="0" applyFont="true" applyBorder="false" applyAlignment="true" applyProtection="false">
      <alignment horizontal="general" vertical="bottom" textRotation="0" wrapText="false" indent="0" shrinkToFit="false"/>
    </xf>
    <xf numFmtId="164" fontId="4" fillId="15" borderId="0" applyFont="true" applyBorder="false" applyAlignment="true" applyProtection="false">
      <alignment horizontal="general" vertical="bottom" textRotation="0" wrapText="false" indent="0" shrinkToFit="false"/>
    </xf>
    <xf numFmtId="164" fontId="4" fillId="15" borderId="0" applyFont="true" applyBorder="false" applyAlignment="true" applyProtection="false">
      <alignment horizontal="general" vertical="bottom" textRotation="0" wrapText="false" indent="0" shrinkToFit="false"/>
    </xf>
    <xf numFmtId="164" fontId="4" fillId="16" borderId="0" applyFont="true" applyBorder="false" applyAlignment="true" applyProtection="false">
      <alignment horizontal="general" vertical="bottom" textRotation="0" wrapText="false" indent="0" shrinkToFit="false"/>
    </xf>
    <xf numFmtId="164" fontId="4" fillId="16" borderId="0" applyFont="true" applyBorder="false" applyAlignment="true" applyProtection="false">
      <alignment horizontal="general" vertical="bottom" textRotation="0" wrapText="false" indent="0" shrinkToFit="false"/>
    </xf>
    <xf numFmtId="164" fontId="4" fillId="16" borderId="0" applyFont="true" applyBorder="false" applyAlignment="true" applyProtection="false">
      <alignment horizontal="general" vertical="bottom" textRotation="0" wrapText="false" indent="0" shrinkToFit="false"/>
    </xf>
    <xf numFmtId="164" fontId="4" fillId="16" borderId="0" applyFont="true" applyBorder="false" applyAlignment="true" applyProtection="false">
      <alignment horizontal="general" vertical="bottom" textRotation="0" wrapText="false" indent="0" shrinkToFit="false"/>
    </xf>
    <xf numFmtId="164" fontId="4" fillId="16" borderId="0" applyFont="true" applyBorder="false" applyAlignment="true" applyProtection="false">
      <alignment horizontal="general" vertical="bottom" textRotation="0" wrapText="false" indent="0" shrinkToFit="false"/>
    </xf>
    <xf numFmtId="164" fontId="4" fillId="16" borderId="0" applyFont="true" applyBorder="false" applyAlignment="true" applyProtection="false">
      <alignment horizontal="general" vertical="bottom" textRotation="0" wrapText="false" indent="0" shrinkToFit="false"/>
    </xf>
    <xf numFmtId="164" fontId="4" fillId="16" borderId="0" applyFont="true" applyBorder="false" applyAlignment="true" applyProtection="false">
      <alignment horizontal="general" vertical="bottom" textRotation="0" wrapText="false" indent="0" shrinkToFit="false"/>
    </xf>
    <xf numFmtId="164" fontId="4" fillId="17" borderId="0" applyFont="true" applyBorder="false" applyAlignment="true" applyProtection="false">
      <alignment horizontal="general" vertical="bottom" textRotation="0" wrapText="false" indent="0" shrinkToFit="false"/>
    </xf>
    <xf numFmtId="164" fontId="4" fillId="17" borderId="0" applyFont="true" applyBorder="false" applyAlignment="true" applyProtection="false">
      <alignment horizontal="general" vertical="bottom" textRotation="0" wrapText="false" indent="0" shrinkToFit="false"/>
    </xf>
    <xf numFmtId="164" fontId="4" fillId="17" borderId="0" applyFont="true" applyBorder="false" applyAlignment="true" applyProtection="false">
      <alignment horizontal="general" vertical="bottom" textRotation="0" wrapText="false" indent="0" shrinkToFit="false"/>
    </xf>
    <xf numFmtId="164" fontId="4" fillId="17" borderId="0" applyFont="true" applyBorder="false" applyAlignment="true" applyProtection="false">
      <alignment horizontal="general" vertical="bottom" textRotation="0" wrapText="false" indent="0" shrinkToFit="false"/>
    </xf>
    <xf numFmtId="164" fontId="4" fillId="17" borderId="0" applyFont="true" applyBorder="false" applyAlignment="true" applyProtection="false">
      <alignment horizontal="general" vertical="bottom" textRotation="0" wrapText="false" indent="0" shrinkToFit="false"/>
    </xf>
    <xf numFmtId="164" fontId="4" fillId="17" borderId="0" applyFont="true" applyBorder="false" applyAlignment="true" applyProtection="false">
      <alignment horizontal="general" vertical="bottom" textRotation="0" wrapText="false" indent="0" shrinkToFit="false"/>
    </xf>
    <xf numFmtId="164" fontId="4" fillId="17" borderId="0" applyFont="true" applyBorder="false" applyAlignment="true" applyProtection="false">
      <alignment horizontal="general" vertical="bottom" textRotation="0" wrapText="false" indent="0" shrinkToFit="false"/>
    </xf>
    <xf numFmtId="164" fontId="4" fillId="18" borderId="0" applyFont="true" applyBorder="false" applyAlignment="true" applyProtection="false">
      <alignment horizontal="general" vertical="bottom" textRotation="0" wrapText="false" indent="0" shrinkToFit="false"/>
    </xf>
    <xf numFmtId="164" fontId="4" fillId="18" borderId="0" applyFont="true" applyBorder="false" applyAlignment="true" applyProtection="false">
      <alignment horizontal="general" vertical="bottom" textRotation="0" wrapText="false" indent="0" shrinkToFit="false"/>
    </xf>
    <xf numFmtId="164" fontId="4" fillId="18" borderId="0" applyFont="true" applyBorder="false" applyAlignment="true" applyProtection="false">
      <alignment horizontal="general" vertical="bottom" textRotation="0" wrapText="false" indent="0" shrinkToFit="false"/>
    </xf>
    <xf numFmtId="164" fontId="4" fillId="18" borderId="0" applyFont="true" applyBorder="false" applyAlignment="true" applyProtection="false">
      <alignment horizontal="general" vertical="bottom" textRotation="0" wrapText="false" indent="0" shrinkToFit="false"/>
    </xf>
    <xf numFmtId="164" fontId="4" fillId="18" borderId="0" applyFont="true" applyBorder="false" applyAlignment="true" applyProtection="false">
      <alignment horizontal="general" vertical="bottom" textRotation="0" wrapText="false" indent="0" shrinkToFit="false"/>
    </xf>
    <xf numFmtId="164" fontId="4" fillId="18" borderId="0" applyFont="true" applyBorder="false" applyAlignment="true" applyProtection="false">
      <alignment horizontal="general" vertical="bottom" textRotation="0" wrapText="false" indent="0" shrinkToFit="false"/>
    </xf>
    <xf numFmtId="164" fontId="4" fillId="18"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9" borderId="0" applyFont="true" applyBorder="false" applyAlignment="true" applyProtection="false">
      <alignment horizontal="general" vertical="bottom" textRotation="0" wrapText="false" indent="0" shrinkToFit="false"/>
    </xf>
    <xf numFmtId="164" fontId="4" fillId="19" borderId="0" applyFont="true" applyBorder="false" applyAlignment="true" applyProtection="false">
      <alignment horizontal="general" vertical="bottom" textRotation="0" wrapText="false" indent="0" shrinkToFit="false"/>
    </xf>
    <xf numFmtId="164" fontId="4" fillId="19" borderId="0" applyFont="true" applyBorder="false" applyAlignment="true" applyProtection="false">
      <alignment horizontal="general" vertical="bottom" textRotation="0" wrapText="false" indent="0" shrinkToFit="false"/>
    </xf>
    <xf numFmtId="164" fontId="4" fillId="19" borderId="0" applyFont="true" applyBorder="false" applyAlignment="true" applyProtection="false">
      <alignment horizontal="general" vertical="bottom" textRotation="0" wrapText="false" indent="0" shrinkToFit="false"/>
    </xf>
    <xf numFmtId="164" fontId="4" fillId="19" borderId="0" applyFont="true" applyBorder="false" applyAlignment="true" applyProtection="false">
      <alignment horizontal="general" vertical="bottom" textRotation="0" wrapText="false" indent="0" shrinkToFit="false"/>
    </xf>
    <xf numFmtId="164" fontId="4" fillId="19" borderId="0" applyFont="true" applyBorder="false" applyAlignment="true" applyProtection="false">
      <alignment horizontal="general" vertical="bottom" textRotation="0" wrapText="false" indent="0" shrinkToFit="false"/>
    </xf>
    <xf numFmtId="164" fontId="4" fillId="19" borderId="0" applyFont="true" applyBorder="false" applyAlignment="true" applyProtection="false">
      <alignment horizontal="general" vertical="bottom" textRotation="0" wrapText="false" indent="0" shrinkToFit="false"/>
    </xf>
    <xf numFmtId="164" fontId="5" fillId="3" borderId="0" applyFont="true" applyBorder="false" applyAlignment="true" applyProtection="false">
      <alignment horizontal="general" vertical="bottom" textRotation="0" wrapText="false" indent="0" shrinkToFit="false"/>
    </xf>
    <xf numFmtId="164" fontId="5" fillId="3" borderId="0" applyFont="true" applyBorder="false" applyAlignment="true" applyProtection="false">
      <alignment horizontal="general" vertical="bottom" textRotation="0" wrapText="false" indent="0" shrinkToFit="false"/>
    </xf>
    <xf numFmtId="164" fontId="5" fillId="3" borderId="0" applyFont="true" applyBorder="false" applyAlignment="true" applyProtection="false">
      <alignment horizontal="general" vertical="bottom" textRotation="0" wrapText="false" indent="0" shrinkToFit="false"/>
    </xf>
    <xf numFmtId="164" fontId="5" fillId="3" borderId="0" applyFont="true" applyBorder="false" applyAlignment="true" applyProtection="false">
      <alignment horizontal="general" vertical="bottom" textRotation="0" wrapText="false" indent="0" shrinkToFit="false"/>
    </xf>
    <xf numFmtId="164" fontId="5" fillId="3" borderId="0" applyFont="true" applyBorder="false" applyAlignment="true" applyProtection="false">
      <alignment horizontal="general" vertical="bottom" textRotation="0" wrapText="false" indent="0" shrinkToFit="false"/>
    </xf>
    <xf numFmtId="164" fontId="5" fillId="3" borderId="0" applyFont="true" applyBorder="false" applyAlignment="true" applyProtection="false">
      <alignment horizontal="general" vertical="bottom" textRotation="0" wrapText="false" indent="0" shrinkToFit="false"/>
    </xf>
    <xf numFmtId="164" fontId="5" fillId="3" borderId="0" applyFont="true" applyBorder="false" applyAlignment="true" applyProtection="false">
      <alignment horizontal="general" vertical="bottom" textRotation="0" wrapText="false" indent="0" shrinkToFit="false"/>
    </xf>
    <xf numFmtId="164" fontId="6" fillId="20" borderId="1" applyFont="true" applyBorder="true" applyAlignment="true" applyProtection="false">
      <alignment horizontal="general" vertical="bottom" textRotation="0" wrapText="false" indent="0" shrinkToFit="false"/>
    </xf>
    <xf numFmtId="164" fontId="6" fillId="20" borderId="1" applyFont="true" applyBorder="true" applyAlignment="true" applyProtection="false">
      <alignment horizontal="general" vertical="bottom" textRotation="0" wrapText="false" indent="0" shrinkToFit="false"/>
    </xf>
    <xf numFmtId="164" fontId="6" fillId="20" borderId="1" applyFont="true" applyBorder="true" applyAlignment="true" applyProtection="false">
      <alignment horizontal="general" vertical="bottom" textRotation="0" wrapText="false" indent="0" shrinkToFit="false"/>
    </xf>
    <xf numFmtId="164" fontId="6" fillId="20" borderId="1" applyFont="true" applyBorder="true" applyAlignment="true" applyProtection="false">
      <alignment horizontal="general" vertical="bottom" textRotation="0" wrapText="false" indent="0" shrinkToFit="false"/>
    </xf>
    <xf numFmtId="164" fontId="6" fillId="20" borderId="1" applyFont="true" applyBorder="true" applyAlignment="true" applyProtection="false">
      <alignment horizontal="general" vertical="bottom" textRotation="0" wrapText="false" indent="0" shrinkToFit="false"/>
    </xf>
    <xf numFmtId="164" fontId="6" fillId="20" borderId="1" applyFont="true" applyBorder="true" applyAlignment="true" applyProtection="false">
      <alignment horizontal="general" vertical="bottom" textRotation="0" wrapText="false" indent="0" shrinkToFit="false"/>
    </xf>
    <xf numFmtId="164" fontId="6" fillId="20" borderId="1" applyFont="true" applyBorder="true" applyAlignment="true" applyProtection="false">
      <alignment horizontal="general" vertical="bottom" textRotation="0" wrapText="false" indent="0" shrinkToFit="false"/>
    </xf>
    <xf numFmtId="164" fontId="7" fillId="21" borderId="2" applyFont="true" applyBorder="true" applyAlignment="true" applyProtection="false">
      <alignment horizontal="general" vertical="bottom" textRotation="0" wrapText="false" indent="0" shrinkToFit="false"/>
    </xf>
    <xf numFmtId="164" fontId="7" fillId="21" borderId="2" applyFont="true" applyBorder="true" applyAlignment="true" applyProtection="false">
      <alignment horizontal="general" vertical="bottom" textRotation="0" wrapText="false" indent="0" shrinkToFit="false"/>
    </xf>
    <xf numFmtId="164" fontId="7" fillId="21" borderId="2" applyFont="true" applyBorder="true" applyAlignment="true" applyProtection="false">
      <alignment horizontal="general" vertical="bottom" textRotation="0" wrapText="false" indent="0" shrinkToFit="false"/>
    </xf>
    <xf numFmtId="164" fontId="7" fillId="21" borderId="2" applyFont="true" applyBorder="true" applyAlignment="true" applyProtection="false">
      <alignment horizontal="general" vertical="bottom" textRotation="0" wrapText="false" indent="0" shrinkToFit="false"/>
    </xf>
    <xf numFmtId="164" fontId="7" fillId="21" borderId="2" applyFont="true" applyBorder="true" applyAlignment="true" applyProtection="false">
      <alignment horizontal="general" vertical="bottom" textRotation="0" wrapText="false" indent="0" shrinkToFit="false"/>
    </xf>
    <xf numFmtId="164" fontId="7" fillId="21" borderId="2" applyFont="true" applyBorder="true" applyAlignment="true" applyProtection="false">
      <alignment horizontal="general" vertical="bottom" textRotation="0" wrapText="false" indent="0" shrinkToFit="false"/>
    </xf>
    <xf numFmtId="164" fontId="7" fillId="21" borderId="2" applyFont="true" applyBorder="tru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4" borderId="0" applyFont="true" applyBorder="false" applyAlignment="true" applyProtection="false">
      <alignment horizontal="general" vertical="bottom" textRotation="0" wrapText="false" indent="0" shrinkToFit="false"/>
    </xf>
    <xf numFmtId="164" fontId="9" fillId="4" borderId="0" applyFont="true" applyBorder="false" applyAlignment="true" applyProtection="false">
      <alignment horizontal="general" vertical="bottom" textRotation="0" wrapText="false" indent="0" shrinkToFit="false"/>
    </xf>
    <xf numFmtId="164" fontId="9" fillId="4" borderId="0" applyFont="true" applyBorder="false" applyAlignment="true" applyProtection="false">
      <alignment horizontal="general" vertical="bottom" textRotation="0" wrapText="false" indent="0" shrinkToFit="false"/>
    </xf>
    <xf numFmtId="164" fontId="9" fillId="4" borderId="0" applyFont="true" applyBorder="false" applyAlignment="true" applyProtection="false">
      <alignment horizontal="general" vertical="bottom" textRotation="0" wrapText="false" indent="0" shrinkToFit="false"/>
    </xf>
    <xf numFmtId="164" fontId="9" fillId="4" borderId="0" applyFont="true" applyBorder="false" applyAlignment="true" applyProtection="false">
      <alignment horizontal="general" vertical="bottom" textRotation="0" wrapText="false" indent="0" shrinkToFit="false"/>
    </xf>
    <xf numFmtId="164" fontId="9" fillId="4" borderId="0" applyFont="true" applyBorder="false" applyAlignment="true" applyProtection="false">
      <alignment horizontal="general" vertical="bottom" textRotation="0" wrapText="false" indent="0" shrinkToFit="false"/>
    </xf>
    <xf numFmtId="164" fontId="9" fillId="4" borderId="0" applyFont="true" applyBorder="false" applyAlignment="true" applyProtection="false">
      <alignment horizontal="general" vertical="bottom" textRotation="0" wrapText="false" indent="0" shrinkToFit="false"/>
    </xf>
    <xf numFmtId="164" fontId="10" fillId="0" borderId="3" applyFont="true" applyBorder="true" applyAlignment="true" applyProtection="false">
      <alignment horizontal="general" vertical="bottom" textRotation="0" wrapText="false" indent="0" shrinkToFit="false"/>
    </xf>
    <xf numFmtId="164" fontId="10" fillId="0" borderId="3" applyFont="true" applyBorder="true" applyAlignment="true" applyProtection="false">
      <alignment horizontal="general" vertical="bottom" textRotation="0" wrapText="false" indent="0" shrinkToFit="false"/>
    </xf>
    <xf numFmtId="164" fontId="10" fillId="0" borderId="3" applyFont="true" applyBorder="true" applyAlignment="true" applyProtection="false">
      <alignment horizontal="general" vertical="bottom" textRotation="0" wrapText="false" indent="0" shrinkToFit="false"/>
    </xf>
    <xf numFmtId="164" fontId="10" fillId="0" borderId="3" applyFont="true" applyBorder="true" applyAlignment="true" applyProtection="false">
      <alignment horizontal="general" vertical="bottom" textRotation="0" wrapText="false" indent="0" shrinkToFit="false"/>
    </xf>
    <xf numFmtId="164" fontId="10" fillId="0" borderId="3" applyFont="true" applyBorder="true" applyAlignment="true" applyProtection="false">
      <alignment horizontal="general" vertical="bottom" textRotation="0" wrapText="false" indent="0" shrinkToFit="false"/>
    </xf>
    <xf numFmtId="164" fontId="10" fillId="0" borderId="3" applyFont="true" applyBorder="true" applyAlignment="true" applyProtection="false">
      <alignment horizontal="general" vertical="bottom" textRotation="0" wrapText="false" indent="0" shrinkToFit="false"/>
    </xf>
    <xf numFmtId="164" fontId="10" fillId="0" borderId="3" applyFont="true" applyBorder="true" applyAlignment="true" applyProtection="false">
      <alignment horizontal="general" vertical="bottom" textRotation="0" wrapText="false" indent="0" shrinkToFit="false"/>
    </xf>
    <xf numFmtId="164" fontId="11" fillId="0" borderId="4" applyFont="true" applyBorder="true" applyAlignment="true" applyProtection="false">
      <alignment horizontal="general" vertical="bottom" textRotation="0" wrapText="false" indent="0" shrinkToFit="false"/>
    </xf>
    <xf numFmtId="164" fontId="11" fillId="0" borderId="4" applyFont="true" applyBorder="true" applyAlignment="true" applyProtection="false">
      <alignment horizontal="general" vertical="bottom" textRotation="0" wrapText="false" indent="0" shrinkToFit="false"/>
    </xf>
    <xf numFmtId="164" fontId="11" fillId="0" borderId="4" applyFont="true" applyBorder="true" applyAlignment="true" applyProtection="false">
      <alignment horizontal="general" vertical="bottom" textRotation="0" wrapText="false" indent="0" shrinkToFit="false"/>
    </xf>
    <xf numFmtId="164" fontId="11" fillId="0" borderId="4" applyFont="true" applyBorder="true" applyAlignment="true" applyProtection="false">
      <alignment horizontal="general" vertical="bottom" textRotation="0" wrapText="false" indent="0" shrinkToFit="false"/>
    </xf>
    <xf numFmtId="164" fontId="11" fillId="0" borderId="4" applyFont="true" applyBorder="true" applyAlignment="true" applyProtection="false">
      <alignment horizontal="general" vertical="bottom" textRotation="0" wrapText="false" indent="0" shrinkToFit="false"/>
    </xf>
    <xf numFmtId="164" fontId="11" fillId="0" borderId="4" applyFont="true" applyBorder="true" applyAlignment="true" applyProtection="false">
      <alignment horizontal="general" vertical="bottom" textRotation="0" wrapText="false" indent="0" shrinkToFit="false"/>
    </xf>
    <xf numFmtId="164" fontId="11" fillId="0" borderId="4" applyFont="true" applyBorder="true" applyAlignment="true" applyProtection="false">
      <alignment horizontal="general" vertical="bottom" textRotation="0" wrapText="false" indent="0" shrinkToFit="false"/>
    </xf>
    <xf numFmtId="164" fontId="12" fillId="0" borderId="5" applyFont="true" applyBorder="true" applyAlignment="true" applyProtection="false">
      <alignment horizontal="general" vertical="bottom" textRotation="0" wrapText="false" indent="0" shrinkToFit="false"/>
    </xf>
    <xf numFmtId="164" fontId="12" fillId="0" borderId="5" applyFont="true" applyBorder="true" applyAlignment="true" applyProtection="false">
      <alignment horizontal="general" vertical="bottom" textRotation="0" wrapText="false" indent="0" shrinkToFit="false"/>
    </xf>
    <xf numFmtId="164" fontId="12" fillId="0" borderId="5" applyFont="true" applyBorder="true" applyAlignment="true" applyProtection="false">
      <alignment horizontal="general" vertical="bottom" textRotation="0" wrapText="false" indent="0" shrinkToFit="false"/>
    </xf>
    <xf numFmtId="164" fontId="12" fillId="0" borderId="5" applyFont="true" applyBorder="true" applyAlignment="true" applyProtection="false">
      <alignment horizontal="general" vertical="bottom" textRotation="0" wrapText="false" indent="0" shrinkToFit="false"/>
    </xf>
    <xf numFmtId="164" fontId="12" fillId="0" borderId="5" applyFont="true" applyBorder="true" applyAlignment="true" applyProtection="false">
      <alignment horizontal="general" vertical="bottom" textRotation="0" wrapText="false" indent="0" shrinkToFit="false"/>
    </xf>
    <xf numFmtId="164" fontId="12" fillId="0" borderId="5" applyFont="true" applyBorder="true" applyAlignment="true" applyProtection="false">
      <alignment horizontal="general" vertical="bottom" textRotation="0" wrapText="false" indent="0" shrinkToFit="false"/>
    </xf>
    <xf numFmtId="164" fontId="12" fillId="0" borderId="5" applyFont="true" applyBorder="tru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7" borderId="1" applyFont="true" applyBorder="true" applyAlignment="true" applyProtection="false">
      <alignment horizontal="general" vertical="bottom" textRotation="0" wrapText="false" indent="0" shrinkToFit="false"/>
    </xf>
    <xf numFmtId="164" fontId="13" fillId="7" borderId="1" applyFont="true" applyBorder="true" applyAlignment="true" applyProtection="false">
      <alignment horizontal="general" vertical="bottom" textRotation="0" wrapText="false" indent="0" shrinkToFit="false"/>
    </xf>
    <xf numFmtId="164" fontId="13" fillId="7" borderId="1" applyFont="true" applyBorder="true" applyAlignment="true" applyProtection="false">
      <alignment horizontal="general" vertical="bottom" textRotation="0" wrapText="false" indent="0" shrinkToFit="false"/>
    </xf>
    <xf numFmtId="164" fontId="13" fillId="7" borderId="1" applyFont="true" applyBorder="true" applyAlignment="true" applyProtection="false">
      <alignment horizontal="general" vertical="bottom" textRotation="0" wrapText="false" indent="0" shrinkToFit="false"/>
    </xf>
    <xf numFmtId="164" fontId="13" fillId="7" borderId="1" applyFont="true" applyBorder="true" applyAlignment="true" applyProtection="false">
      <alignment horizontal="general" vertical="bottom" textRotation="0" wrapText="false" indent="0" shrinkToFit="false"/>
    </xf>
    <xf numFmtId="164" fontId="13" fillId="7" borderId="1" applyFont="true" applyBorder="true" applyAlignment="true" applyProtection="false">
      <alignment horizontal="general" vertical="bottom" textRotation="0" wrapText="false" indent="0" shrinkToFit="false"/>
    </xf>
    <xf numFmtId="164" fontId="13" fillId="7" borderId="1" applyFont="true" applyBorder="true" applyAlignment="true" applyProtection="false">
      <alignment horizontal="general" vertical="bottom" textRotation="0" wrapText="false" indent="0" shrinkToFit="false"/>
    </xf>
    <xf numFmtId="164" fontId="14" fillId="0" borderId="6" applyFont="true" applyBorder="true" applyAlignment="true" applyProtection="false">
      <alignment horizontal="general" vertical="bottom" textRotation="0" wrapText="false" indent="0" shrinkToFit="false"/>
    </xf>
    <xf numFmtId="164" fontId="14" fillId="0" borderId="6" applyFont="true" applyBorder="true" applyAlignment="true" applyProtection="false">
      <alignment horizontal="general" vertical="bottom" textRotation="0" wrapText="false" indent="0" shrinkToFit="false"/>
    </xf>
    <xf numFmtId="164" fontId="14" fillId="0" borderId="6" applyFont="true" applyBorder="true" applyAlignment="true" applyProtection="false">
      <alignment horizontal="general" vertical="bottom" textRotation="0" wrapText="false" indent="0" shrinkToFit="false"/>
    </xf>
    <xf numFmtId="164" fontId="14" fillId="0" borderId="6" applyFont="true" applyBorder="true" applyAlignment="true" applyProtection="false">
      <alignment horizontal="general" vertical="bottom" textRotation="0" wrapText="false" indent="0" shrinkToFit="false"/>
    </xf>
    <xf numFmtId="164" fontId="14" fillId="0" borderId="6" applyFont="true" applyBorder="true" applyAlignment="true" applyProtection="false">
      <alignment horizontal="general" vertical="bottom" textRotation="0" wrapText="false" indent="0" shrinkToFit="false"/>
    </xf>
    <xf numFmtId="164" fontId="14" fillId="0" borderId="6" applyFont="true" applyBorder="true" applyAlignment="true" applyProtection="false">
      <alignment horizontal="general" vertical="bottom" textRotation="0" wrapText="false" indent="0" shrinkToFit="false"/>
    </xf>
    <xf numFmtId="164" fontId="14" fillId="0" borderId="6" applyFont="true" applyBorder="true" applyAlignment="true" applyProtection="false">
      <alignment horizontal="general" vertical="bottom" textRotation="0" wrapText="false" indent="0" shrinkToFit="false"/>
    </xf>
    <xf numFmtId="164" fontId="15" fillId="22" borderId="0" applyFont="true" applyBorder="false" applyAlignment="true" applyProtection="false">
      <alignment horizontal="general" vertical="bottom" textRotation="0" wrapText="false" indent="0" shrinkToFit="false"/>
    </xf>
    <xf numFmtId="164" fontId="15" fillId="22" borderId="0" applyFont="true" applyBorder="false" applyAlignment="true" applyProtection="false">
      <alignment horizontal="general" vertical="bottom" textRotation="0" wrapText="false" indent="0" shrinkToFit="false"/>
    </xf>
    <xf numFmtId="164" fontId="15" fillId="22" borderId="0" applyFont="true" applyBorder="false" applyAlignment="true" applyProtection="false">
      <alignment horizontal="general" vertical="bottom" textRotation="0" wrapText="false" indent="0" shrinkToFit="false"/>
    </xf>
    <xf numFmtId="164" fontId="15" fillId="22" borderId="0" applyFont="true" applyBorder="false" applyAlignment="true" applyProtection="false">
      <alignment horizontal="general" vertical="bottom" textRotation="0" wrapText="false" indent="0" shrinkToFit="false"/>
    </xf>
    <xf numFmtId="164" fontId="15" fillId="22" borderId="0" applyFont="true" applyBorder="false" applyAlignment="true" applyProtection="false">
      <alignment horizontal="general" vertical="bottom" textRotation="0" wrapText="false" indent="0" shrinkToFit="false"/>
    </xf>
    <xf numFmtId="164" fontId="15" fillId="22" borderId="0" applyFont="true" applyBorder="false" applyAlignment="true" applyProtection="false">
      <alignment horizontal="general" vertical="bottom" textRotation="0" wrapText="false" indent="0" shrinkToFit="false"/>
    </xf>
    <xf numFmtId="164" fontId="15" fillId="22"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23" borderId="7" applyFont="true" applyBorder="true" applyAlignment="true" applyProtection="false">
      <alignment horizontal="general" vertical="bottom" textRotation="0" wrapText="false" indent="0" shrinkToFit="false"/>
    </xf>
    <xf numFmtId="164" fontId="0" fillId="23" borderId="7" applyFont="true" applyBorder="true" applyAlignment="true" applyProtection="false">
      <alignment horizontal="general" vertical="bottom" textRotation="0" wrapText="false" indent="0" shrinkToFit="false"/>
    </xf>
    <xf numFmtId="164" fontId="0" fillId="23" borderId="7" applyFont="true" applyBorder="true" applyAlignment="true" applyProtection="false">
      <alignment horizontal="general" vertical="bottom" textRotation="0" wrapText="false" indent="0" shrinkToFit="false"/>
    </xf>
    <xf numFmtId="164" fontId="0" fillId="23" borderId="7" applyFont="true" applyBorder="true" applyAlignment="true" applyProtection="false">
      <alignment horizontal="general" vertical="bottom" textRotation="0" wrapText="false" indent="0" shrinkToFit="false"/>
    </xf>
    <xf numFmtId="164" fontId="0" fillId="23" borderId="7" applyFont="true" applyBorder="true" applyAlignment="true" applyProtection="false">
      <alignment horizontal="general" vertical="bottom" textRotation="0" wrapText="false" indent="0" shrinkToFit="false"/>
    </xf>
    <xf numFmtId="164" fontId="0" fillId="23" borderId="7" applyFont="true" applyBorder="true" applyAlignment="true" applyProtection="false">
      <alignment horizontal="general" vertical="bottom" textRotation="0" wrapText="false" indent="0" shrinkToFit="false"/>
    </xf>
    <xf numFmtId="164" fontId="0" fillId="23" borderId="7" applyFont="true" applyBorder="true" applyAlignment="true" applyProtection="false">
      <alignment horizontal="general" vertical="bottom" textRotation="0" wrapText="false" indent="0" shrinkToFit="false"/>
    </xf>
    <xf numFmtId="164" fontId="16" fillId="20" borderId="8" applyFont="true" applyBorder="true" applyAlignment="true" applyProtection="false">
      <alignment horizontal="general" vertical="bottom" textRotation="0" wrapText="false" indent="0" shrinkToFit="false"/>
    </xf>
    <xf numFmtId="164" fontId="16" fillId="20" borderId="8" applyFont="true" applyBorder="true" applyAlignment="true" applyProtection="false">
      <alignment horizontal="general" vertical="bottom" textRotation="0" wrapText="false" indent="0" shrinkToFit="false"/>
    </xf>
    <xf numFmtId="164" fontId="16" fillId="20" borderId="8" applyFont="true" applyBorder="true" applyAlignment="true" applyProtection="false">
      <alignment horizontal="general" vertical="bottom" textRotation="0" wrapText="false" indent="0" shrinkToFit="false"/>
    </xf>
    <xf numFmtId="164" fontId="16" fillId="20" borderId="8" applyFont="true" applyBorder="true" applyAlignment="true" applyProtection="false">
      <alignment horizontal="general" vertical="bottom" textRotation="0" wrapText="false" indent="0" shrinkToFit="false"/>
    </xf>
    <xf numFmtId="164" fontId="16" fillId="20" borderId="8" applyFont="true" applyBorder="true" applyAlignment="true" applyProtection="false">
      <alignment horizontal="general" vertical="bottom" textRotation="0" wrapText="false" indent="0" shrinkToFit="false"/>
    </xf>
    <xf numFmtId="164" fontId="16" fillId="20" borderId="8" applyFont="true" applyBorder="true" applyAlignment="true" applyProtection="false">
      <alignment horizontal="general" vertical="bottom" textRotation="0" wrapText="false" indent="0" shrinkToFit="false"/>
    </xf>
    <xf numFmtId="164" fontId="16" fillId="20" borderId="8" applyFont="true" applyBorder="tru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2" borderId="9" applyFont="true" applyBorder="tru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18" fillId="0" borderId="0" applyFont="true" applyBorder="false" applyAlignment="true" applyProtection="false">
      <alignment horizontal="general" vertical="bottom" textRotation="0" wrapText="false" indent="0" shrinkToFit="false"/>
    </xf>
    <xf numFmtId="164" fontId="18" fillId="0" borderId="0" applyFont="true" applyBorder="false" applyAlignment="true" applyProtection="false">
      <alignment horizontal="general" vertical="bottom" textRotation="0" wrapText="false" indent="0" shrinkToFit="false"/>
    </xf>
    <xf numFmtId="164" fontId="18" fillId="0" borderId="0" applyFont="true" applyBorder="false" applyAlignment="true" applyProtection="false">
      <alignment horizontal="general" vertical="bottom" textRotation="0" wrapText="false" indent="0" shrinkToFit="false"/>
    </xf>
    <xf numFmtId="164" fontId="18" fillId="0" borderId="0" applyFont="true" applyBorder="false" applyAlignment="true" applyProtection="false">
      <alignment horizontal="general" vertical="bottom" textRotation="0" wrapText="false" indent="0" shrinkToFit="false"/>
    </xf>
    <xf numFmtId="164" fontId="18" fillId="0" borderId="0" applyFont="true" applyBorder="false" applyAlignment="true" applyProtection="false">
      <alignment horizontal="general" vertical="bottom" textRotation="0" wrapText="false" indent="0" shrinkToFit="false"/>
    </xf>
    <xf numFmtId="164" fontId="18" fillId="0" borderId="0" applyFont="true" applyBorder="false" applyAlignment="true" applyProtection="false">
      <alignment horizontal="general" vertical="bottom" textRotation="0" wrapText="false" indent="0" shrinkToFit="false"/>
    </xf>
    <xf numFmtId="164" fontId="18" fillId="0" borderId="0" applyFont="true" applyBorder="false" applyAlignment="true" applyProtection="false">
      <alignment horizontal="general" vertical="bottom" textRotation="0" wrapText="false" indent="0" shrinkToFit="false"/>
    </xf>
    <xf numFmtId="164" fontId="17" fillId="0" borderId="10" applyFont="true" applyBorder="true" applyAlignment="true" applyProtection="false">
      <alignment horizontal="general" vertical="bottom" textRotation="0" wrapText="false" indent="0" shrinkToFit="false"/>
    </xf>
    <xf numFmtId="164" fontId="17" fillId="0" borderId="10" applyFont="true" applyBorder="true" applyAlignment="true" applyProtection="false">
      <alignment horizontal="general" vertical="bottom" textRotation="0" wrapText="false" indent="0" shrinkToFit="false"/>
    </xf>
    <xf numFmtId="164" fontId="17" fillId="0" borderId="10" applyFont="true" applyBorder="true" applyAlignment="true" applyProtection="false">
      <alignment horizontal="general" vertical="bottom" textRotation="0" wrapText="false" indent="0" shrinkToFit="false"/>
    </xf>
    <xf numFmtId="164" fontId="17" fillId="0" borderId="10" applyFont="true" applyBorder="true" applyAlignment="true" applyProtection="false">
      <alignment horizontal="general" vertical="bottom" textRotation="0" wrapText="false" indent="0" shrinkToFit="false"/>
    </xf>
    <xf numFmtId="164" fontId="17" fillId="0" borderId="10" applyFont="true" applyBorder="true" applyAlignment="true" applyProtection="false">
      <alignment horizontal="general" vertical="bottom" textRotation="0" wrapText="false" indent="0" shrinkToFit="false"/>
    </xf>
    <xf numFmtId="164" fontId="17" fillId="0" borderId="10" applyFont="true" applyBorder="true" applyAlignment="true" applyProtection="false">
      <alignment horizontal="general" vertical="bottom" textRotation="0" wrapText="false" indent="0" shrinkToFit="false"/>
    </xf>
    <xf numFmtId="164" fontId="17" fillId="0" borderId="10" applyFont="true" applyBorder="true" applyAlignment="true" applyProtection="false">
      <alignment horizontal="general" vertical="bottom" textRotation="0" wrapText="false" indent="0" shrinkToFit="false"/>
    </xf>
    <xf numFmtId="164" fontId="19" fillId="0" borderId="0" applyFont="true" applyBorder="false" applyAlignment="true" applyProtection="false">
      <alignment horizontal="general" vertical="bottom" textRotation="0" wrapText="false" indent="0" shrinkToFit="false"/>
    </xf>
    <xf numFmtId="164" fontId="19" fillId="0" borderId="0" applyFont="true" applyBorder="false" applyAlignment="true" applyProtection="false">
      <alignment horizontal="general" vertical="bottom" textRotation="0" wrapText="false" indent="0" shrinkToFit="false"/>
    </xf>
    <xf numFmtId="164" fontId="19" fillId="0" borderId="0" applyFont="true" applyBorder="false" applyAlignment="true" applyProtection="false">
      <alignment horizontal="general" vertical="bottom" textRotation="0" wrapText="false" indent="0" shrinkToFit="false"/>
    </xf>
    <xf numFmtId="164" fontId="19" fillId="0" borderId="0" applyFont="true" applyBorder="false" applyAlignment="true" applyProtection="false">
      <alignment horizontal="general" vertical="bottom" textRotation="0" wrapText="false" indent="0" shrinkToFit="false"/>
    </xf>
    <xf numFmtId="164" fontId="19" fillId="0" borderId="0" applyFont="true" applyBorder="false" applyAlignment="true" applyProtection="false">
      <alignment horizontal="general" vertical="bottom" textRotation="0" wrapText="false" indent="0" shrinkToFit="false"/>
    </xf>
    <xf numFmtId="164" fontId="19" fillId="0" borderId="0" applyFont="true" applyBorder="false" applyAlignment="true" applyProtection="false">
      <alignment horizontal="general" vertical="bottom" textRotation="0" wrapText="false" indent="0" shrinkToFit="false"/>
    </xf>
    <xf numFmtId="164" fontId="19" fillId="0" borderId="0" applyFont="true" applyBorder="false" applyAlignment="true" applyProtection="false">
      <alignment horizontal="general" vertical="bottom" textRotation="0" wrapText="false" indent="0" shrinkToFit="false"/>
    </xf>
    <xf numFmtId="164" fontId="15" fillId="22" borderId="0" applyFont="true" applyBorder="false" applyAlignment="true" applyProtection="false">
      <alignment horizontal="general" vertical="bottom" textRotation="0" wrapText="false" indent="0" shrinkToFit="false"/>
    </xf>
    <xf numFmtId="164" fontId="11" fillId="0" borderId="4" applyFont="true" applyBorder="tru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cellStyleXfs>
  <cellXfs count="14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5" fontId="0" fillId="0" borderId="0" xfId="0" applyFont="false" applyBorder="false" applyAlignment="true" applyProtection="true">
      <alignment horizontal="general" vertical="bottom" textRotation="0" wrapText="false" indent="0" shrinkToFit="false"/>
      <protection locked="false" hidden="false"/>
    </xf>
    <xf numFmtId="166" fontId="0" fillId="0" borderId="0" xfId="0" applyFont="false" applyBorder="false" applyAlignment="true" applyProtection="true">
      <alignment horizontal="general" vertical="bottom" textRotation="0" wrapText="false" indent="0" shrinkToFit="false"/>
      <protection locked="fals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8" fontId="19" fillId="0" borderId="0" xfId="0" applyFont="true" applyBorder="false" applyAlignment="true" applyProtection="true">
      <alignment horizontal="center" vertical="bottom" textRotation="0" wrapText="false" indent="0" shrinkToFit="false"/>
      <protection locked="true" hidden="false"/>
    </xf>
    <xf numFmtId="169" fontId="24" fillId="0" borderId="11" xfId="0" applyFont="true" applyBorder="true" applyAlignment="true" applyProtection="true">
      <alignment horizontal="center" vertical="bottom" textRotation="0" wrapText="false" indent="0" shrinkToFit="false"/>
      <protection locked="true" hidden="false"/>
    </xf>
    <xf numFmtId="168" fontId="0" fillId="0" borderId="11" xfId="0" applyFont="false" applyBorder="true" applyAlignment="true" applyProtection="true">
      <alignment horizontal="center"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71" fontId="25" fillId="0" borderId="0" xfId="0" applyFont="tru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73" fontId="0"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true" applyAlignment="true" applyProtection="true">
      <alignment horizontal="general" vertical="bottom" textRotation="0" wrapText="false" indent="0" shrinkToFit="false"/>
      <protection locked="true" hidden="false"/>
    </xf>
    <xf numFmtId="174" fontId="0" fillId="0" borderId="0" xfId="0" applyFont="false" applyBorder="false" applyAlignment="true" applyProtection="true">
      <alignment horizontal="general" vertical="bottom" textRotation="0" wrapText="false" indent="0" shrinkToFit="false"/>
      <protection locked="true" hidden="false"/>
    </xf>
    <xf numFmtId="173" fontId="27"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73" fontId="17"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7" fillId="24" borderId="12" xfId="0" applyFont="true" applyBorder="true" applyAlignment="true" applyProtection="true">
      <alignment horizontal="general" vertical="bottom" textRotation="0" wrapText="false" indent="0" shrinkToFit="false"/>
      <protection locked="true" hidden="false"/>
    </xf>
    <xf numFmtId="174" fontId="17" fillId="24" borderId="12" xfId="0" applyFont="true" applyBorder="true" applyAlignment="true" applyProtection="true">
      <alignment horizontal="general" vertical="bottom" textRotation="0" wrapText="false" indent="0" shrinkToFit="false"/>
      <protection locked="true" hidden="false"/>
    </xf>
    <xf numFmtId="164" fontId="0" fillId="24" borderId="12" xfId="0" applyFont="false" applyBorder="true" applyAlignment="true" applyProtection="true">
      <alignment horizontal="general" vertical="bottom" textRotation="0" wrapText="false" indent="0" shrinkToFit="true"/>
      <protection locked="true" hidden="false"/>
    </xf>
    <xf numFmtId="164" fontId="0" fillId="24" borderId="12" xfId="0" applyFont="true" applyBorder="true" applyAlignment="true" applyProtection="true">
      <alignment horizontal="general" vertical="bottom" textRotation="0" wrapText="false" indent="0" shrinkToFit="false"/>
      <protection locked="true" hidden="false"/>
    </xf>
    <xf numFmtId="174" fontId="0" fillId="0" borderId="12" xfId="0" applyFont="false" applyBorder="true" applyAlignment="true" applyProtection="true">
      <alignment horizontal="general" vertical="bottom" textRotation="0" wrapText="false" indent="0" shrinkToFit="false"/>
      <protection locked="true" hidden="false"/>
    </xf>
    <xf numFmtId="164" fontId="0" fillId="0" borderId="12" xfId="0" applyFont="false" applyBorder="true" applyAlignment="true" applyProtection="true">
      <alignment horizontal="general" vertical="bottom" textRotation="0" wrapText="false" indent="0" shrinkToFit="true"/>
      <protection locked="true" hidden="false"/>
    </xf>
    <xf numFmtId="164" fontId="26" fillId="0" borderId="12" xfId="0" applyFont="true" applyBorder="tru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26" fillId="24" borderId="12" xfId="0" applyFont="true" applyBorder="true" applyAlignment="true" applyProtection="true">
      <alignment horizontal="general" vertical="bottom" textRotation="0" wrapText="false" indent="0" shrinkToFit="false"/>
      <protection locked="true" hidden="false"/>
    </xf>
    <xf numFmtId="174" fontId="25" fillId="0" borderId="12" xfId="0" applyFont="true" applyBorder="true" applyAlignment="true" applyProtection="true">
      <alignment horizontal="general" vertical="bottom" textRotation="0" wrapText="false" indent="0" shrinkToFit="false"/>
      <protection locked="true" hidden="false"/>
    </xf>
    <xf numFmtId="164" fontId="25" fillId="0" borderId="12" xfId="0" applyFont="true" applyBorder="true" applyAlignment="true" applyProtection="true">
      <alignment horizontal="general" vertical="bottom" textRotation="0" wrapText="false" indent="0" shrinkToFit="true"/>
      <protection locked="true" hidden="false"/>
    </xf>
    <xf numFmtId="175" fontId="0" fillId="0" borderId="0" xfId="0" applyFont="false" applyBorder="false" applyAlignment="true" applyProtection="true">
      <alignment horizontal="general" vertical="bottom" textRotation="0" wrapText="false" indent="0" shrinkToFit="false"/>
      <protection locked="true" hidden="false"/>
    </xf>
    <xf numFmtId="164" fontId="0" fillId="0" borderId="12" xfId="0" applyFont="true" applyBorder="true" applyAlignment="true" applyProtection="true">
      <alignment horizontal="general" vertical="bottom" textRotation="0" wrapText="false" indent="0" shrinkToFit="false"/>
      <protection locked="true" hidden="false"/>
    </xf>
    <xf numFmtId="176" fontId="0" fillId="0" borderId="12" xfId="0" applyFont="false" applyBorder="true" applyAlignment="true" applyProtection="true">
      <alignment horizontal="general" vertical="bottom" textRotation="0" wrapText="false" indent="0" shrinkToFit="false"/>
      <protection locked="true" hidden="false"/>
    </xf>
    <xf numFmtId="164" fontId="25" fillId="0" borderId="12" xfId="0" applyFont="true" applyBorder="true" applyAlignment="true" applyProtection="true">
      <alignment horizontal="general" vertical="bottom" textRotation="0" wrapText="false" indent="0" shrinkToFit="false"/>
      <protection locked="true" hidden="false"/>
    </xf>
    <xf numFmtId="176" fontId="25" fillId="0" borderId="12"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5" fillId="0" borderId="13" xfId="0" applyFont="true" applyBorder="true" applyAlignment="true" applyProtection="true">
      <alignment horizontal="center" vertical="bottom" textRotation="0" wrapText="false" indent="0" shrinkToFit="false"/>
      <protection locked="true" hidden="false"/>
    </xf>
    <xf numFmtId="164" fontId="25" fillId="0" borderId="12" xfId="0" applyFont="true" applyBorder="true" applyAlignment="true" applyProtection="true">
      <alignment horizontal="center" vertical="bottom" textRotation="0" wrapText="false" indent="0" shrinkToFit="false"/>
      <protection locked="true" hidden="false"/>
    </xf>
    <xf numFmtId="164" fontId="25" fillId="0" borderId="14" xfId="0" applyFont="true" applyBorder="true" applyAlignment="true" applyProtection="true">
      <alignment horizontal="center" vertical="bottom" textRotation="0" wrapText="false" indent="0" shrinkToFit="false"/>
      <protection locked="true" hidden="false"/>
    </xf>
    <xf numFmtId="177" fontId="0" fillId="0" borderId="0" xfId="0" applyFont="false" applyBorder="true" applyAlignment="true" applyProtection="true">
      <alignment horizontal="general" vertical="bottom" textRotation="0" wrapText="false" indent="0" shrinkToFit="false"/>
      <protection locked="true" hidden="false"/>
    </xf>
    <xf numFmtId="178" fontId="0" fillId="0" borderId="0" xfId="0" applyFont="fals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79" fontId="0" fillId="0" borderId="0" xfId="0" applyFont="false" applyBorder="false" applyAlignment="true" applyProtection="true">
      <alignment horizontal="general" vertical="bottom" textRotation="0" wrapText="false" indent="0" shrinkToFit="false"/>
      <protection locked="true" hidden="false"/>
    </xf>
    <xf numFmtId="180" fontId="0" fillId="0" borderId="12" xfId="0" applyFont="false" applyBorder="tru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82" fontId="20" fillId="0" borderId="0" xfId="15" applyFont="true" applyBorder="true" applyAlignment="true" applyProtection="true">
      <alignment horizontal="general" vertical="bottom" textRotation="0" wrapText="false" indent="0" shrinkToFit="false"/>
      <protection locked="true" hidden="false"/>
    </xf>
    <xf numFmtId="183" fontId="0" fillId="0" borderId="0" xfId="0" applyFont="false" applyBorder="false" applyAlignment="true" applyProtection="true">
      <alignment horizontal="general" vertical="bottom" textRotation="0" wrapText="false" indent="0" shrinkToFit="false"/>
      <protection locked="true" hidden="false"/>
    </xf>
    <xf numFmtId="181" fontId="20" fillId="0" borderId="0" xfId="15"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true"/>
      <protection locked="true" hidden="false"/>
    </xf>
    <xf numFmtId="176" fontId="0" fillId="0" borderId="0" xfId="0" applyFont="false" applyBorder="false" applyAlignment="true" applyProtection="true">
      <alignment horizontal="general" vertical="bottom" textRotation="0" wrapText="false" indent="0" shrinkToFit="false"/>
      <protection locked="true" hidden="false"/>
    </xf>
    <xf numFmtId="184" fontId="0" fillId="0" borderId="0" xfId="0" applyFont="false" applyBorder="false" applyAlignment="true" applyProtection="true">
      <alignment horizontal="general" vertical="bottom" textRotation="0" wrapText="false" indent="0" shrinkToFit="false"/>
      <protection locked="true" hidden="false"/>
    </xf>
    <xf numFmtId="164" fontId="25" fillId="7" borderId="12" xfId="0" applyFont="true" applyBorder="true" applyAlignment="true" applyProtection="true">
      <alignment horizontal="general" vertical="bottom" textRotation="0" wrapText="true" indent="0" shrinkToFit="false"/>
      <protection locked="true" hidden="false"/>
    </xf>
    <xf numFmtId="164" fontId="25" fillId="7" borderId="15" xfId="0" applyFont="true" applyBorder="true" applyAlignment="true" applyProtection="true">
      <alignment horizontal="general" vertical="bottom" textRotation="0" wrapText="true" indent="0" shrinkToFit="false"/>
      <protection locked="true" hidden="false"/>
    </xf>
    <xf numFmtId="164" fontId="25" fillId="0" borderId="0" xfId="0" applyFont="true" applyBorder="false" applyAlignment="true" applyProtection="true">
      <alignment horizontal="general" vertical="bottom" textRotation="0" wrapText="true" indent="0" shrinkToFit="false"/>
      <protection locked="true" hidden="false"/>
    </xf>
    <xf numFmtId="164" fontId="0" fillId="0" borderId="12" xfId="0" applyFont="true" applyBorder="true" applyAlignment="true" applyProtection="true">
      <alignment horizontal="general" vertical="bottom" textRotation="0" wrapText="true" indent="0" shrinkToFit="false"/>
      <protection locked="true" hidden="false"/>
    </xf>
    <xf numFmtId="174" fontId="0" fillId="0" borderId="12" xfId="0" applyFont="false" applyBorder="true" applyAlignment="true" applyProtection="true">
      <alignment horizontal="general" vertical="bottom" textRotation="0" wrapText="true" indent="0" shrinkToFit="false"/>
      <protection locked="true" hidden="false"/>
    </xf>
    <xf numFmtId="164" fontId="0" fillId="0" borderId="16" xfId="0" applyFont="false" applyBorder="true" applyAlignment="true" applyProtection="true">
      <alignment horizontal="general" vertical="bottom" textRotation="0" wrapText="false" indent="0" shrinkToFit="false"/>
      <protection locked="true" hidden="false"/>
    </xf>
    <xf numFmtId="176" fontId="0" fillId="0" borderId="16" xfId="0" applyFont="false" applyBorder="true" applyAlignment="true" applyProtection="true">
      <alignment horizontal="general" vertical="bottom" textRotation="0" wrapText="true" indent="0" shrinkToFit="false"/>
      <protection locked="true" hidden="false"/>
    </xf>
    <xf numFmtId="176" fontId="0" fillId="0" borderId="12" xfId="0" applyFont="fals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76" fontId="0" fillId="0" borderId="17" xfId="0" applyFont="false" applyBorder="true" applyAlignment="true" applyProtection="true">
      <alignment horizontal="general" vertical="bottom" textRotation="0" wrapText="true" indent="0" shrinkToFit="false"/>
      <protection locked="true" hidden="false"/>
    </xf>
    <xf numFmtId="164" fontId="31" fillId="0" borderId="0" xfId="0" applyFont="true" applyBorder="false" applyAlignment="true" applyProtection="true">
      <alignment horizontal="center" vertical="bottom" textRotation="0" wrapText="true" indent="0" shrinkToFit="false"/>
      <protection locked="true" hidden="false"/>
    </xf>
    <xf numFmtId="164" fontId="31" fillId="11" borderId="12" xfId="0" applyFont="true" applyBorder="true" applyAlignment="true" applyProtection="true">
      <alignment horizontal="center" vertical="bottom" textRotation="0" wrapText="true" indent="0" shrinkToFit="false"/>
      <protection locked="true" hidden="false"/>
    </xf>
    <xf numFmtId="164" fontId="31" fillId="0" borderId="0" xfId="0" applyFont="true" applyBorder="false" applyAlignment="true" applyProtection="true">
      <alignment horizontal="left" vertical="bottom" textRotation="0" wrapText="true" indent="0" shrinkToFit="false"/>
      <protection locked="true" hidden="false"/>
    </xf>
    <xf numFmtId="164" fontId="0" fillId="25" borderId="18" xfId="0" applyFont="false" applyBorder="true" applyAlignment="true" applyProtection="true">
      <alignment horizontal="center" vertical="center" textRotation="0" wrapText="true" indent="0" shrinkToFit="false"/>
      <protection locked="true" hidden="false"/>
    </xf>
    <xf numFmtId="164" fontId="0" fillId="25" borderId="0" xfId="0" applyFont="false" applyBorder="false" applyAlignment="true" applyProtection="true">
      <alignment horizontal="center" vertical="center" textRotation="0" wrapText="true" indent="0" shrinkToFit="false"/>
      <protection locked="true" hidden="false"/>
    </xf>
    <xf numFmtId="164" fontId="0" fillId="25" borderId="19" xfId="0" applyFont="false" applyBorder="true" applyAlignment="true" applyProtection="true">
      <alignment horizontal="center" vertical="center" textRotation="0" wrapText="true" indent="0" shrinkToFit="false"/>
      <protection locked="true" hidden="false"/>
    </xf>
    <xf numFmtId="164" fontId="0" fillId="25" borderId="20" xfId="0" applyFont="false" applyBorder="true" applyAlignment="true" applyProtection="true">
      <alignment horizontal="center" vertical="center" textRotation="0" wrapText="true" indent="0" shrinkToFit="false"/>
      <protection locked="true" hidden="false"/>
    </xf>
    <xf numFmtId="164" fontId="32" fillId="0" borderId="21" xfId="0" applyFont="true" applyBorder="true" applyAlignment="true" applyProtection="true">
      <alignment horizontal="center" vertical="bottom" textRotation="0" wrapText="true" indent="0" shrinkToFit="false"/>
      <protection locked="true" hidden="false"/>
    </xf>
    <xf numFmtId="164" fontId="31" fillId="11" borderId="21" xfId="0" applyFont="true" applyBorder="true" applyAlignment="true" applyProtection="true">
      <alignment horizontal="center" vertical="bottom" textRotation="0" wrapText="true" indent="0" shrinkToFit="false"/>
      <protection locked="true" hidden="false"/>
    </xf>
    <xf numFmtId="164" fontId="0" fillId="25" borderId="14" xfId="0" applyFont="false" applyBorder="true" applyAlignment="true" applyProtection="true">
      <alignment horizontal="center" vertical="center" textRotation="0" wrapText="true" indent="0" shrinkToFit="false"/>
      <protection locked="true" hidden="false"/>
    </xf>
    <xf numFmtId="164" fontId="0" fillId="0" borderId="12" xfId="0" applyFont="false" applyBorder="true" applyAlignment="true" applyProtection="true">
      <alignment horizontal="center" vertical="center" textRotation="0" wrapText="true" indent="0" shrinkToFit="false"/>
      <protection locked="true" hidden="false"/>
    </xf>
    <xf numFmtId="164" fontId="31" fillId="11" borderId="22" xfId="0" applyFont="true" applyBorder="true" applyAlignment="true" applyProtection="true">
      <alignment horizontal="center" vertical="bottom" textRotation="0" wrapText="tru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36" fillId="26" borderId="23" xfId="0" applyFont="true" applyBorder="true" applyAlignment="true" applyProtection="true">
      <alignment horizontal="general" vertical="top" textRotation="0" wrapText="true" indent="0" shrinkToFit="false"/>
      <protection locked="true" hidden="false"/>
    </xf>
    <xf numFmtId="164" fontId="37" fillId="26" borderId="24" xfId="0" applyFont="true" applyBorder="true" applyAlignment="true" applyProtection="true">
      <alignment horizontal="center" vertical="top" textRotation="0" wrapText="true" indent="0" shrinkToFit="false"/>
      <protection locked="true" hidden="false"/>
    </xf>
    <xf numFmtId="164" fontId="37" fillId="26" borderId="25" xfId="0" applyFont="true" applyBorder="true" applyAlignment="true" applyProtection="true">
      <alignment horizontal="general" vertical="top" textRotation="0" wrapText="false" indent="0" shrinkToFit="false"/>
      <protection locked="true" hidden="false"/>
    </xf>
    <xf numFmtId="164" fontId="37" fillId="26" borderId="26" xfId="0" applyFont="true" applyBorder="true" applyAlignment="true" applyProtection="true">
      <alignment horizontal="center" vertical="top" textRotation="0" wrapText="false" indent="0" shrinkToFit="false"/>
      <protection locked="true" hidden="false"/>
    </xf>
    <xf numFmtId="164" fontId="36" fillId="26" borderId="24" xfId="0" applyFont="true" applyBorder="true" applyAlignment="true" applyProtection="true">
      <alignment horizontal="general" vertical="top" textRotation="0" wrapText="true" indent="0" shrinkToFit="false"/>
      <protection locked="true" hidden="false"/>
    </xf>
    <xf numFmtId="164" fontId="37" fillId="26" borderId="27" xfId="0" applyFont="true" applyBorder="true" applyAlignment="true" applyProtection="true">
      <alignment horizontal="left" vertical="center" textRotation="0" wrapText="false" indent="0" shrinkToFit="false"/>
      <protection locked="true" hidden="false"/>
    </xf>
    <xf numFmtId="164" fontId="36" fillId="26" borderId="28" xfId="0" applyFont="true" applyBorder="true" applyAlignment="true" applyProtection="true">
      <alignment horizontal="general" vertical="top" textRotation="0" wrapText="true" indent="0" shrinkToFit="false"/>
      <protection locked="true" hidden="false"/>
    </xf>
    <xf numFmtId="164" fontId="37" fillId="26" borderId="29" xfId="0" applyFont="true" applyBorder="true" applyAlignment="true" applyProtection="true">
      <alignment horizontal="general" vertical="top" textRotation="0" wrapText="false" indent="0" shrinkToFit="false"/>
      <protection locked="true" hidden="false"/>
    </xf>
    <xf numFmtId="164" fontId="36" fillId="26" borderId="0" xfId="0" applyFont="true" applyBorder="false" applyAlignment="true" applyProtection="true">
      <alignment horizontal="general" vertical="top" textRotation="0" wrapText="true" indent="0" shrinkToFit="false"/>
      <protection locked="true" hidden="false"/>
    </xf>
    <xf numFmtId="164" fontId="37" fillId="26" borderId="28" xfId="0" applyFont="true" applyBorder="true" applyAlignment="true" applyProtection="true">
      <alignment horizontal="right" vertical="center" textRotation="0" wrapText="false" indent="0" shrinkToFit="false"/>
      <protection locked="true" hidden="false"/>
    </xf>
    <xf numFmtId="164" fontId="37" fillId="26" borderId="30" xfId="0" applyFont="true" applyBorder="true" applyAlignment="true" applyProtection="true">
      <alignment horizontal="general" vertical="center" textRotation="0" wrapText="true" indent="0" shrinkToFit="false"/>
      <protection locked="true" hidden="false"/>
    </xf>
    <xf numFmtId="164" fontId="37" fillId="26" borderId="31" xfId="0" applyFont="true" applyBorder="true" applyAlignment="true" applyProtection="true">
      <alignment horizontal="general" vertical="center" textRotation="0" wrapText="false" indent="0" shrinkToFit="false"/>
      <protection locked="true" hidden="false"/>
    </xf>
    <xf numFmtId="164" fontId="36" fillId="26" borderId="32" xfId="0" applyFont="true" applyBorder="true" applyAlignment="true" applyProtection="true">
      <alignment horizontal="center" vertical="center" textRotation="0" wrapText="false" indent="0" shrinkToFit="false"/>
      <protection locked="true" hidden="false"/>
    </xf>
    <xf numFmtId="164" fontId="37" fillId="26" borderId="33" xfId="0" applyFont="true" applyBorder="true" applyAlignment="true" applyProtection="true">
      <alignment horizontal="general" vertical="center" textRotation="0" wrapText="true" indent="0" shrinkToFit="false"/>
      <protection locked="true" hidden="false"/>
    </xf>
    <xf numFmtId="164" fontId="37" fillId="26" borderId="31" xfId="0" applyFont="true" applyBorder="true" applyAlignment="true" applyProtection="true">
      <alignment horizontal="general" vertical="center" textRotation="0" wrapText="true" indent="0" shrinkToFit="false"/>
      <protection locked="true" hidden="false"/>
    </xf>
    <xf numFmtId="164" fontId="37" fillId="26" borderId="25" xfId="0" applyFont="true" applyBorder="true" applyAlignment="true" applyProtection="true">
      <alignment horizontal="general" vertical="bottom" textRotation="0" wrapText="false" indent="0" shrinkToFit="false"/>
      <protection locked="true" hidden="false"/>
    </xf>
    <xf numFmtId="164" fontId="36" fillId="26" borderId="34" xfId="0" applyFont="true" applyBorder="true" applyAlignment="true" applyProtection="true">
      <alignment horizontal="general" vertical="top" textRotation="0" wrapText="true" indent="0" shrinkToFit="false"/>
      <protection locked="true" hidden="false"/>
    </xf>
    <xf numFmtId="164" fontId="37" fillId="26" borderId="35" xfId="0" applyFont="true" applyBorder="true" applyAlignment="true" applyProtection="true">
      <alignment horizontal="center" vertical="bottom" textRotation="0" wrapText="false" indent="0" shrinkToFit="false"/>
      <protection locked="true" hidden="false"/>
    </xf>
    <xf numFmtId="164" fontId="37" fillId="26" borderId="36" xfId="0" applyFont="true" applyBorder="true" applyAlignment="true" applyProtection="true">
      <alignment horizontal="general" vertical="bottom" textRotation="0" wrapText="false" indent="0" shrinkToFit="false"/>
      <protection locked="true" hidden="false"/>
    </xf>
    <xf numFmtId="164" fontId="37" fillId="26" borderId="37" xfId="0" applyFont="true" applyBorder="true" applyAlignment="true" applyProtection="true">
      <alignment horizontal="center" vertical="bottom" textRotation="0" wrapText="true" indent="0" shrinkToFit="false"/>
      <protection locked="true" hidden="false"/>
    </xf>
    <xf numFmtId="164" fontId="36" fillId="26" borderId="35" xfId="0" applyFont="true" applyBorder="true" applyAlignment="true" applyProtection="true">
      <alignment horizontal="general" vertical="top" textRotation="0" wrapText="true" indent="0" shrinkToFit="false"/>
      <protection locked="true" hidden="false"/>
    </xf>
    <xf numFmtId="164" fontId="0" fillId="25" borderId="0" xfId="0" applyFont="false" applyBorder="false" applyAlignment="true" applyProtection="true">
      <alignment horizontal="general" vertical="bottom" textRotation="0" wrapText="false" indent="0" shrinkToFit="false"/>
      <protection locked="true" hidden="false"/>
    </xf>
    <xf numFmtId="166" fontId="38" fillId="27" borderId="38" xfId="0" applyFont="true" applyBorder="true" applyAlignment="true" applyProtection="true">
      <alignment horizontal="general" vertical="bottom" textRotation="0" wrapText="false" indent="0" shrinkToFit="false"/>
      <protection locked="true" hidden="false"/>
    </xf>
    <xf numFmtId="166" fontId="38" fillId="27" borderId="39" xfId="0" applyFont="true" applyBorder="true" applyAlignment="true" applyProtection="true">
      <alignment horizontal="general" vertical="bottom" textRotation="0" wrapText="false" indent="0" shrinkToFit="false"/>
      <protection locked="true" hidden="false"/>
    </xf>
    <xf numFmtId="166" fontId="39" fillId="27" borderId="39" xfId="0" applyFont="true" applyBorder="true" applyAlignment="true" applyProtection="true">
      <alignment horizontal="general" vertical="bottom" textRotation="0" wrapText="false" indent="0" shrinkToFit="false"/>
      <protection locked="true" hidden="false"/>
    </xf>
    <xf numFmtId="166" fontId="39" fillId="27" borderId="38" xfId="0" applyFont="true" applyBorder="true" applyAlignment="true" applyProtection="true">
      <alignment horizontal="general" vertical="bottom" textRotation="0" wrapText="false" indent="0" shrinkToFit="false"/>
      <protection locked="true" hidden="false"/>
    </xf>
    <xf numFmtId="166" fontId="39" fillId="27" borderId="40" xfId="0" applyFont="true" applyBorder="true" applyAlignment="true" applyProtection="true">
      <alignment horizontal="general" vertical="bottom" textRotation="0" wrapText="false" indent="0" shrinkToFit="false"/>
      <protection locked="true" hidden="false"/>
    </xf>
    <xf numFmtId="166" fontId="38" fillId="28" borderId="41" xfId="0" applyFont="true" applyBorder="true" applyAlignment="true" applyProtection="true">
      <alignment horizontal="left" vertical="bottom" textRotation="0" wrapText="false" indent="0" shrinkToFit="false"/>
      <protection locked="true" hidden="false"/>
    </xf>
    <xf numFmtId="164" fontId="40" fillId="7" borderId="42" xfId="0" applyFont="true" applyBorder="true" applyAlignment="true" applyProtection="true">
      <alignment horizontal="left" vertical="bottom" textRotation="0" wrapText="false" indent="0" shrinkToFit="false"/>
      <protection locked="true" hidden="false"/>
    </xf>
    <xf numFmtId="164" fontId="41" fillId="7" borderId="42" xfId="0" applyFont="true" applyBorder="true" applyAlignment="true" applyProtection="true">
      <alignment horizontal="left" vertical="bottom" textRotation="0" wrapText="false" indent="0" shrinkToFit="false"/>
      <protection locked="true" hidden="false"/>
    </xf>
    <xf numFmtId="164" fontId="41" fillId="7" borderId="43" xfId="0" applyFont="true" applyBorder="true" applyAlignment="true" applyProtection="true">
      <alignment horizontal="left" vertical="bottom" textRotation="0" wrapText="false" indent="0" shrinkToFit="false"/>
      <protection locked="true" hidden="false"/>
    </xf>
    <xf numFmtId="164" fontId="42" fillId="7" borderId="42" xfId="0" applyFont="true" applyBorder="true" applyAlignment="true" applyProtection="true">
      <alignment horizontal="left" vertical="bottom" textRotation="0" wrapText="false" indent="0" shrinkToFit="false"/>
      <protection locked="true" hidden="false"/>
    </xf>
    <xf numFmtId="164" fontId="41" fillId="7" borderId="42" xfId="0" applyFont="true" applyBorder="true" applyAlignment="true" applyProtection="true">
      <alignment horizontal="center" vertical="bottom" textRotation="0" wrapText="false" indent="0" shrinkToFit="false"/>
      <protection locked="true" hidden="false"/>
    </xf>
    <xf numFmtId="164" fontId="43" fillId="7" borderId="43" xfId="0" applyFont="true" applyBorder="true" applyAlignment="true" applyProtection="true">
      <alignment horizontal="left" vertical="bottom" textRotation="0" wrapText="false" indent="0" shrinkToFit="false"/>
      <protection locked="true" hidden="false"/>
    </xf>
    <xf numFmtId="164" fontId="43" fillId="7" borderId="42" xfId="0" applyFont="true" applyBorder="true" applyAlignment="true" applyProtection="true">
      <alignment horizontal="left" vertical="bottom" textRotation="0" wrapText="false" indent="0" shrinkToFit="false"/>
      <protection locked="true" hidden="false"/>
    </xf>
    <xf numFmtId="164" fontId="42" fillId="7" borderId="44" xfId="0" applyFont="true" applyBorder="true" applyAlignment="true" applyProtection="true">
      <alignment horizontal="left" vertical="bottom" textRotation="0" wrapText="false" indent="0" shrinkToFit="false"/>
      <protection locked="true" hidden="false"/>
    </xf>
    <xf numFmtId="166" fontId="38" fillId="28" borderId="38" xfId="0" applyFont="true" applyBorder="true" applyAlignment="true" applyProtection="true">
      <alignment horizontal="left" vertical="bottom" textRotation="0" wrapText="false" indent="0" shrinkToFit="false"/>
      <protection locked="true" hidden="false"/>
    </xf>
    <xf numFmtId="166" fontId="44" fillId="29" borderId="45" xfId="0" applyFont="true" applyBorder="true" applyAlignment="true" applyProtection="true">
      <alignment horizontal="general" vertical="bottom" textRotation="0" wrapText="false" indent="0" shrinkToFit="false"/>
      <protection locked="true" hidden="false"/>
    </xf>
    <xf numFmtId="166" fontId="45" fillId="8" borderId="0" xfId="0" applyFont="true" applyBorder="false" applyAlignment="true" applyProtection="true">
      <alignment horizontal="general" vertical="bottom" textRotation="0" wrapText="false" indent="0" shrinkToFit="false"/>
      <protection locked="true" hidden="false"/>
    </xf>
    <xf numFmtId="164" fontId="45" fillId="8" borderId="0" xfId="0" applyFont="true" applyBorder="false" applyAlignment="true" applyProtection="true">
      <alignment horizontal="general" vertical="bottom" textRotation="0" wrapText="false" indent="0" shrinkToFit="false"/>
      <protection locked="true" hidden="false"/>
    </xf>
    <xf numFmtId="164" fontId="46" fillId="8" borderId="0" xfId="0" applyFont="true" applyBorder="false" applyAlignment="true" applyProtection="true">
      <alignment horizontal="general" vertical="bottom" textRotation="0" wrapText="false" indent="0" shrinkToFit="false"/>
      <protection locked="true" hidden="false"/>
    </xf>
    <xf numFmtId="185" fontId="46" fillId="8"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46" xfId="0" applyFont="true" applyBorder="true" applyAlignment="true" applyProtection="true">
      <alignment horizontal="general" vertical="bottom" textRotation="0" wrapText="false" indent="0" shrinkToFit="false"/>
      <protection locked="true" hidden="false"/>
    </xf>
    <xf numFmtId="164" fontId="0" fillId="0" borderId="47" xfId="0" applyFont="true" applyBorder="true" applyAlignment="true" applyProtection="true">
      <alignment horizontal="general" vertical="bottom" textRotation="0" wrapText="false" indent="0" shrinkToFit="false"/>
      <protection locked="true" hidden="false"/>
    </xf>
    <xf numFmtId="164" fontId="0" fillId="0" borderId="48" xfId="0" applyFont="true" applyBorder="true" applyAlignment="true" applyProtection="true">
      <alignment horizontal="general" vertical="bottom" textRotation="0" wrapText="false" indent="0" shrinkToFit="false"/>
      <protection locked="true" hidden="false"/>
    </xf>
    <xf numFmtId="164" fontId="0" fillId="0" borderId="49"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0" fillId="0" borderId="50" xfId="0" applyFont="false" applyBorder="true" applyAlignment="true" applyProtection="true">
      <alignment horizontal="general" vertical="bottom" textRotation="0" wrapText="false" indent="0" shrinkToFit="false"/>
      <protection locked="true" hidden="false"/>
    </xf>
    <xf numFmtId="164" fontId="0" fillId="25" borderId="51" xfId="0" applyFont="false" applyBorder="true" applyAlignment="true" applyProtection="true">
      <alignment horizontal="general" vertical="bottom" textRotation="0" wrapText="false" indent="0" shrinkToFit="false"/>
      <protection locked="true" hidden="false"/>
    </xf>
    <xf numFmtId="164" fontId="0" fillId="0" borderId="52" xfId="0" applyFont="true" applyBorder="true" applyAlignment="true" applyProtection="true">
      <alignment horizontal="general" vertical="bottom" textRotation="0" wrapText="false" indent="0" shrinkToFit="false"/>
      <protection locked="true" hidden="false"/>
    </xf>
    <xf numFmtId="164" fontId="0" fillId="0" borderId="51" xfId="0" applyFont="false" applyBorder="true" applyAlignment="true" applyProtection="true">
      <alignment horizontal="general" vertical="bottom" textRotation="0" wrapText="false" indent="0" shrinkToFit="false"/>
      <protection locked="true" hidden="false"/>
    </xf>
    <xf numFmtId="164" fontId="17" fillId="30" borderId="0" xfId="0" applyFont="true" applyBorder="false" applyAlignment="true" applyProtection="true">
      <alignment horizontal="general" vertical="bottom" textRotation="0" wrapText="false" indent="0" shrinkToFit="false"/>
      <protection locked="true" hidden="false"/>
    </xf>
    <xf numFmtId="164" fontId="17" fillId="30" borderId="0" xfId="0" applyFont="true" applyBorder="false" applyAlignment="true" applyProtection="true">
      <alignment horizontal="center" vertical="center" textRotation="0" wrapText="false" indent="0" shrinkToFit="false"/>
      <protection locked="true" hidden="false"/>
    </xf>
    <xf numFmtId="164" fontId="0" fillId="30" borderId="50" xfId="0" applyFont="false" applyBorder="true" applyAlignment="true" applyProtection="true">
      <alignment horizontal="general" vertical="bottom" textRotation="0" wrapText="false" indent="0" shrinkToFit="false"/>
      <protection locked="true" hidden="false"/>
    </xf>
    <xf numFmtId="164" fontId="0" fillId="30" borderId="51" xfId="0" applyFont="false" applyBorder="true" applyAlignment="true" applyProtection="true">
      <alignment horizontal="general" vertical="bottom" textRotation="0" wrapText="false" indent="0" shrinkToFit="false"/>
      <protection locked="true" hidden="false"/>
    </xf>
    <xf numFmtId="164" fontId="0" fillId="30" borderId="0" xfId="0" applyFont="false" applyBorder="false" applyAlignment="true" applyProtection="true">
      <alignment horizontal="general" vertical="bottom" textRotation="0" wrapText="false" indent="0" shrinkToFit="false"/>
      <protection locked="true" hidden="false"/>
    </xf>
    <xf numFmtId="164" fontId="0" fillId="30" borderId="52" xfId="0" applyFont="true" applyBorder="true" applyAlignment="true" applyProtection="true">
      <alignment horizontal="general" vertical="bottom" textRotation="0" wrapText="false" indent="0" shrinkToFit="false"/>
      <protection locked="true" hidden="false"/>
    </xf>
    <xf numFmtId="164" fontId="0" fillId="0" borderId="53" xfId="0" applyFont="false" applyBorder="true" applyAlignment="true" applyProtection="true">
      <alignment horizontal="general" vertical="bottom" textRotation="0" wrapText="false" indent="0" shrinkToFit="false"/>
      <protection locked="true" hidden="false"/>
    </xf>
    <xf numFmtId="164" fontId="0" fillId="0" borderId="54" xfId="0" applyFont="false" applyBorder="true" applyAlignment="true" applyProtection="true">
      <alignment horizontal="general" vertical="bottom" textRotation="0" wrapText="false" indent="0" shrinkToFit="false"/>
      <protection locked="true" hidden="false"/>
    </xf>
    <xf numFmtId="164" fontId="0" fillId="0" borderId="55" xfId="0" applyFont="false" applyBorder="true" applyAlignment="true" applyProtection="true">
      <alignment horizontal="general" vertical="bottom" textRotation="0" wrapText="false" indent="0" shrinkToFit="false"/>
      <protection locked="true" hidden="false"/>
    </xf>
    <xf numFmtId="164" fontId="0" fillId="0" borderId="56" xfId="0" applyFont="true" applyBorder="true" applyAlignment="true" applyProtection="true">
      <alignment horizontal="general" vertical="bottom" textRotation="0" wrapText="false" indent="0" shrinkToFit="false"/>
      <protection locked="true" hidden="false"/>
    </xf>
    <xf numFmtId="164" fontId="0" fillId="0" borderId="47" xfId="0" applyFont="false" applyBorder="true" applyAlignment="true" applyProtection="true">
      <alignment horizontal="general" vertical="bottom" textRotation="0" wrapText="false" indent="0" shrinkToFit="false"/>
      <protection locked="true" hidden="false"/>
    </xf>
    <xf numFmtId="164" fontId="0" fillId="0" borderId="49" xfId="0" applyFont="true" applyBorder="true" applyAlignment="true" applyProtection="true">
      <alignment horizontal="center" vertical="bottom" textRotation="0" wrapText="false" indent="0" shrinkToFit="false"/>
      <protection locked="true" hidden="false"/>
    </xf>
    <xf numFmtId="164" fontId="0" fillId="0" borderId="46" xfId="0" applyFont="true" applyBorder="true" applyAlignment="true" applyProtection="true">
      <alignment horizontal="center" vertical="bottom" textRotation="0" wrapText="false" indent="0" shrinkToFit="false"/>
      <protection locked="true" hidden="false"/>
    </xf>
    <xf numFmtId="164" fontId="0" fillId="0" borderId="55" xfId="0" applyFont="true" applyBorder="true" applyAlignment="true" applyProtection="true">
      <alignment horizontal="general" vertical="bottom" textRotation="0" wrapText="false" indent="0" shrinkToFit="false"/>
      <protection locked="true" hidden="false"/>
    </xf>
    <xf numFmtId="164" fontId="0" fillId="0" borderId="54" xfId="0" applyFont="true" applyBorder="true" applyAlignment="true" applyProtection="true">
      <alignment horizontal="general" vertical="bottom" textRotation="0" wrapText="false" indent="0" shrinkToFit="false"/>
      <protection locked="true" hidden="false"/>
    </xf>
    <xf numFmtId="164" fontId="0" fillId="0" borderId="51" xfId="0" applyFont="true" applyBorder="true" applyAlignment="true" applyProtection="true">
      <alignment horizontal="general" vertical="bottom" textRotation="0" wrapText="false" indent="0" shrinkToFit="false"/>
      <protection locked="true" hidden="false"/>
    </xf>
    <xf numFmtId="174" fontId="0" fillId="0" borderId="48" xfId="0" applyFont="false" applyBorder="true" applyAlignment="true" applyProtection="true">
      <alignment horizontal="general" vertical="bottom" textRotation="0" wrapText="false" indent="0" shrinkToFit="false"/>
      <protection locked="true" hidden="false"/>
    </xf>
    <xf numFmtId="176" fontId="0" fillId="0" borderId="48" xfId="0" applyFont="false" applyBorder="true" applyAlignment="true" applyProtection="true">
      <alignment horizontal="general" vertical="bottom" textRotation="0" wrapText="false" indent="0" shrinkToFit="false"/>
      <protection locked="true" hidden="false"/>
    </xf>
    <xf numFmtId="186" fontId="0" fillId="0" borderId="49" xfId="0" applyFont="false" applyBorder="true" applyAlignment="true" applyProtection="true">
      <alignment horizontal="general" vertical="bottom" textRotation="0" wrapText="false" indent="0" shrinkToFit="false"/>
      <protection locked="true" hidden="false"/>
    </xf>
    <xf numFmtId="186" fontId="0" fillId="0" borderId="52" xfId="0" applyFont="false" applyBorder="true" applyAlignment="true" applyProtection="true">
      <alignment horizontal="general" vertical="bottom" textRotation="0" wrapText="false" indent="0" shrinkToFit="false"/>
      <protection locked="true" hidden="false"/>
    </xf>
    <xf numFmtId="186" fontId="0" fillId="0" borderId="0" xfId="0" applyFont="false" applyBorder="false" applyAlignment="true" applyProtection="true">
      <alignment horizontal="general" vertical="bottom" textRotation="0" wrapText="false" indent="0" shrinkToFit="false"/>
      <protection locked="true" hidden="false"/>
    </xf>
    <xf numFmtId="174" fontId="0" fillId="0" borderId="47" xfId="0" applyFont="false" applyBorder="true" applyAlignment="true" applyProtection="true">
      <alignment horizontal="general" vertical="bottom" textRotation="0" wrapText="false" indent="0" shrinkToFit="false"/>
      <protection locked="true" hidden="false"/>
    </xf>
    <xf numFmtId="174" fontId="0" fillId="0" borderId="52" xfId="0" applyFont="false" applyBorder="true" applyAlignment="true" applyProtection="true">
      <alignment horizontal="general" vertical="bottom" textRotation="0" wrapText="false" indent="0" shrinkToFit="false"/>
      <protection locked="true" hidden="false"/>
    </xf>
    <xf numFmtId="174" fontId="0" fillId="0" borderId="51" xfId="0" applyFont="false" applyBorder="true" applyAlignment="true" applyProtection="true">
      <alignment horizontal="general" vertical="bottom" textRotation="0" wrapText="false" indent="0" shrinkToFit="false"/>
      <protection locked="true" hidden="false"/>
    </xf>
    <xf numFmtId="174" fontId="15" fillId="22" borderId="51" xfId="320" applyFont="true" applyBorder="true" applyAlignment="true" applyProtection="true">
      <alignment horizontal="general" vertical="bottom" textRotation="0" wrapText="false" indent="0" shrinkToFit="false"/>
      <protection locked="true" hidden="false"/>
    </xf>
    <xf numFmtId="174" fontId="15" fillId="22" borderId="0" xfId="320" applyFont="true" applyBorder="true" applyAlignment="true" applyProtection="true">
      <alignment horizontal="general" vertical="bottom" textRotation="0" wrapText="false" indent="0" shrinkToFit="false"/>
      <protection locked="true" hidden="false"/>
    </xf>
    <xf numFmtId="186" fontId="0" fillId="0" borderId="48" xfId="0" applyFont="false" applyBorder="true" applyAlignment="true" applyProtection="true">
      <alignment horizontal="general" vertical="bottom" textRotation="0" wrapText="false" indent="0" shrinkToFit="false"/>
      <protection locked="true" hidden="false"/>
    </xf>
    <xf numFmtId="174" fontId="0" fillId="0" borderId="49" xfId="0" applyFont="false" applyBorder="true" applyAlignment="true" applyProtection="true">
      <alignment horizontal="general" vertical="bottom" textRotation="0" wrapText="false" indent="0" shrinkToFit="false"/>
      <protection locked="true" hidden="false"/>
    </xf>
    <xf numFmtId="187" fontId="0" fillId="0" borderId="0" xfId="0" applyFont="false" applyBorder="false" applyAlignment="true" applyProtection="true">
      <alignment horizontal="general" vertical="bottom" textRotation="0" wrapText="false" indent="0" shrinkToFit="false"/>
      <protection locked="true" hidden="false"/>
    </xf>
    <xf numFmtId="164" fontId="0" fillId="0" borderId="57" xfId="0" applyFont="true" applyBorder="true" applyAlignment="true" applyProtection="true">
      <alignment horizontal="center" vertical="bottom" textRotation="0" wrapText="false" indent="0" shrinkToFit="false"/>
      <protection locked="true" hidden="false"/>
    </xf>
    <xf numFmtId="174" fontId="0" fillId="0" borderId="57" xfId="0" applyFont="true" applyBorder="true" applyAlignment="true" applyProtection="true">
      <alignment horizontal="center" vertical="bottom" textRotation="0" wrapText="false" indent="0" shrinkToFit="false"/>
      <protection locked="true" hidden="false"/>
    </xf>
    <xf numFmtId="164" fontId="0" fillId="0" borderId="46" xfId="0" applyFont="true" applyBorder="true" applyAlignment="true" applyProtection="true">
      <alignment horizontal="center" vertical="center" textRotation="90" wrapText="false" indent="0" shrinkToFit="false"/>
      <protection locked="true" hidden="false"/>
    </xf>
    <xf numFmtId="164" fontId="0" fillId="0" borderId="57" xfId="0" applyFont="true" applyBorder="true" applyAlignment="true" applyProtection="true">
      <alignment horizontal="center" vertical="bottom" textRotation="90" wrapText="false" indent="0" shrinkToFit="false"/>
      <protection locked="true" hidden="false"/>
    </xf>
    <xf numFmtId="164" fontId="0" fillId="0" borderId="53" xfId="0" applyFont="true" applyBorder="true" applyAlignment="true" applyProtection="true">
      <alignment horizontal="center" vertical="bottom" textRotation="90" wrapText="false" indent="0" shrinkToFit="false"/>
      <protection locked="true" hidden="false"/>
    </xf>
    <xf numFmtId="164" fontId="0" fillId="0" borderId="50" xfId="0" applyFont="true" applyBorder="true" applyAlignment="true" applyProtection="true">
      <alignment horizontal="center" vertical="bottom" textRotation="90" wrapText="true" indent="0" shrinkToFit="false"/>
      <protection locked="true" hidden="false"/>
    </xf>
    <xf numFmtId="164" fontId="0" fillId="0" borderId="50" xfId="0" applyFont="true" applyBorder="true" applyAlignment="true" applyProtection="true">
      <alignment horizontal="center" vertical="center" textRotation="90" wrapText="false" indent="0" shrinkToFit="false"/>
      <protection locked="true" hidden="false"/>
    </xf>
    <xf numFmtId="164" fontId="0" fillId="0" borderId="53" xfId="0" applyFont="true" applyBorder="true" applyAlignment="true" applyProtection="true">
      <alignment horizontal="center" vertical="center" textRotation="90" wrapText="false" indent="0" shrinkToFit="false"/>
      <protection locked="true" hidden="false"/>
    </xf>
    <xf numFmtId="164" fontId="0" fillId="0" borderId="0" xfId="0" applyFont="false" applyBorder="false" applyAlignment="true" applyProtection="true">
      <alignment horizontal="right" vertical="bottom" textRotation="90" wrapText="false" indent="0" shrinkToFit="false"/>
      <protection locked="true" hidden="false"/>
    </xf>
    <xf numFmtId="164" fontId="0" fillId="0" borderId="53" xfId="0" applyFont="true" applyBorder="true" applyAlignment="true" applyProtection="true">
      <alignment horizontal="right" vertical="bottom" textRotation="90" wrapText="false" indent="0" shrinkToFit="false"/>
      <protection locked="true" hidden="false"/>
    </xf>
    <xf numFmtId="164" fontId="0" fillId="0" borderId="56" xfId="0" applyFont="true" applyBorder="true" applyAlignment="true" applyProtection="true">
      <alignment horizontal="right" vertical="bottom" textRotation="90" wrapText="false" indent="0" shrinkToFit="false"/>
      <protection locked="true" hidden="false"/>
    </xf>
    <xf numFmtId="174" fontId="0" fillId="0" borderId="46" xfId="0" applyFont="false" applyBorder="true" applyAlignment="true" applyProtection="true">
      <alignment horizontal="general" vertical="bottom" textRotation="0" wrapText="false" indent="0" shrinkToFit="false"/>
      <protection locked="true" hidden="false"/>
    </xf>
    <xf numFmtId="174" fontId="0" fillId="0" borderId="50" xfId="0" applyFont="false" applyBorder="true" applyAlignment="true" applyProtection="true">
      <alignment horizontal="general" vertical="bottom" textRotation="0" wrapText="false" indent="0" shrinkToFit="false"/>
      <protection locked="true" hidden="false"/>
    </xf>
    <xf numFmtId="174" fontId="0" fillId="0" borderId="58" xfId="0" applyFont="false" applyBorder="true" applyAlignment="true" applyProtection="true">
      <alignment horizontal="general" vertical="bottom" textRotation="0" wrapText="false" indent="0" shrinkToFit="false"/>
      <protection locked="true" hidden="false"/>
    </xf>
    <xf numFmtId="174" fontId="0" fillId="0" borderId="19" xfId="0" applyFont="false" applyBorder="true" applyAlignment="true" applyProtection="true">
      <alignment horizontal="general" vertical="bottom" textRotation="0" wrapText="false" indent="0" shrinkToFit="false"/>
      <protection locked="true" hidden="false"/>
    </xf>
    <xf numFmtId="174" fontId="0" fillId="0" borderId="53" xfId="0" applyFont="false" applyBorder="true" applyAlignment="true" applyProtection="true">
      <alignment horizontal="general" vertical="bottom" textRotation="0" wrapText="false" indent="0" shrinkToFit="false"/>
      <protection locked="true" hidden="false"/>
    </xf>
    <xf numFmtId="174" fontId="0" fillId="0" borderId="55" xfId="0" applyFont="false" applyBorder="true" applyAlignment="true" applyProtection="true">
      <alignment horizontal="general" vertical="bottom" textRotation="0" wrapText="false" indent="0" shrinkToFit="false"/>
      <protection locked="true" hidden="false"/>
    </xf>
    <xf numFmtId="174" fontId="0" fillId="0" borderId="59" xfId="0" applyFont="false" applyBorder="true" applyAlignment="true" applyProtection="true">
      <alignment horizontal="general" vertical="bottom" textRotation="0" wrapText="false" indent="0" shrinkToFit="false"/>
      <protection locked="true" hidden="false"/>
    </xf>
    <xf numFmtId="174" fontId="0" fillId="0" borderId="56" xfId="0" applyFont="false" applyBorder="true" applyAlignment="true" applyProtection="true">
      <alignment horizontal="general" vertical="bottom" textRotation="0" wrapText="false" indent="0" shrinkToFit="false"/>
      <protection locked="true" hidden="false"/>
    </xf>
    <xf numFmtId="174" fontId="0" fillId="0" borderId="54"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48" fillId="0" borderId="12" xfId="0" applyFont="true" applyBorder="true" applyAlignment="true" applyProtection="true">
      <alignment horizontal="left" vertical="top" textRotation="0" wrapText="false" indent="0" shrinkToFit="false"/>
      <protection locked="true" hidden="true"/>
    </xf>
    <xf numFmtId="164" fontId="49" fillId="0" borderId="60" xfId="0" applyFont="true" applyBorder="true" applyAlignment="true" applyProtection="true">
      <alignment horizontal="general" vertical="bottom" textRotation="0" wrapText="false" indent="0" shrinkToFit="false"/>
      <protection locked="true" hidden="false"/>
    </xf>
    <xf numFmtId="164" fontId="49" fillId="0" borderId="61" xfId="0" applyFont="true" applyBorder="true" applyAlignment="true" applyProtection="true">
      <alignment horizontal="general" vertical="bottom" textRotation="0" wrapText="false" indent="0" shrinkToFit="false"/>
      <protection locked="true" hidden="false"/>
    </xf>
    <xf numFmtId="174" fontId="49" fillId="0" borderId="62" xfId="0" applyFont="true" applyBorder="true" applyAlignment="true" applyProtection="true">
      <alignment horizontal="general" vertical="bottom" textRotation="0" wrapText="false" indent="0" shrinkToFit="false"/>
      <protection locked="true" hidden="false"/>
    </xf>
    <xf numFmtId="174" fontId="26" fillId="0" borderId="13" xfId="0" applyFont="true" applyBorder="true" applyAlignment="true" applyProtection="true">
      <alignment horizontal="general" vertical="bottom" textRotation="0" wrapText="false" indent="0" shrinkToFit="false"/>
      <protection locked="fals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73" fontId="0" fillId="0" borderId="13"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13" xfId="0" applyFont="true" applyBorder="true" applyAlignment="true" applyProtection="true">
      <alignment horizontal="general" vertical="bottom" textRotation="0" wrapText="false" indent="0" shrinkToFit="false"/>
      <protection locked="true" hidden="false"/>
    </xf>
    <xf numFmtId="188" fontId="0" fillId="0" borderId="0" xfId="0" applyFont="false" applyBorder="false" applyAlignment="true" applyProtection="true">
      <alignment horizontal="general" vertical="bottom" textRotation="0" wrapText="false" indent="0" shrinkToFit="false"/>
      <protection locked="true" hidden="false"/>
    </xf>
    <xf numFmtId="189" fontId="0" fillId="0" borderId="11" xfId="0" applyFont="false" applyBorder="true" applyAlignment="true" applyProtection="true">
      <alignment horizontal="general" vertical="bottom" textRotation="0" wrapText="false" indent="0" shrinkToFit="false"/>
      <protection locked="true" hidden="false"/>
    </xf>
    <xf numFmtId="164" fontId="25" fillId="0" borderId="13"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27" fillId="0" borderId="13" xfId="0" applyFont="true" applyBorder="true" applyAlignment="true" applyProtection="true">
      <alignment horizontal="general" vertical="bottom" textRotation="0" wrapText="false" indent="0" shrinkToFit="false"/>
      <protection locked="true" hidden="false"/>
    </xf>
    <xf numFmtId="190" fontId="50" fillId="0" borderId="0" xfId="0" applyFont="true" applyBorder="false" applyAlignment="true" applyProtection="true">
      <alignment horizontal="general" vertical="bottom" textRotation="0" wrapText="false" indent="0" shrinkToFit="false"/>
      <protection locked="true" hidden="false"/>
    </xf>
    <xf numFmtId="190" fontId="0" fillId="0" borderId="0" xfId="0" applyFont="false" applyBorder="false" applyAlignment="true" applyProtection="true">
      <alignment horizontal="center"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90" fontId="25" fillId="0" borderId="0" xfId="0" applyFont="true" applyBorder="false" applyAlignment="true" applyProtection="true">
      <alignment horizontal="center" vertical="bottom" textRotation="0" wrapText="false" indent="0" shrinkToFit="false"/>
      <protection locked="true" hidden="false"/>
    </xf>
    <xf numFmtId="191" fontId="25" fillId="0" borderId="0" xfId="0" applyFont="true" applyBorder="false" applyAlignment="true" applyProtection="true">
      <alignment horizontal="center" vertical="bottom" textRotation="0" wrapText="false" indent="0" shrinkToFit="false"/>
      <protection locked="true" hidden="false"/>
    </xf>
    <xf numFmtId="191" fontId="0" fillId="0" borderId="0" xfId="0" applyFont="false" applyBorder="false" applyAlignment="true" applyProtection="true">
      <alignment horizontal="general" vertical="bottom" textRotation="0" wrapText="false" indent="0" shrinkToFit="false"/>
      <protection locked="true" hidden="false"/>
    </xf>
    <xf numFmtId="164" fontId="51" fillId="0" borderId="13" xfId="0" applyFont="true" applyBorder="true" applyAlignment="true" applyProtection="true">
      <alignment horizontal="general" vertical="bottom" textRotation="0" wrapText="false" indent="0" shrinkToFit="false"/>
      <protection locked="true" hidden="false"/>
    </xf>
    <xf numFmtId="191" fontId="51" fillId="0" borderId="11" xfId="0" applyFont="true" applyBorder="true" applyAlignment="true" applyProtection="true">
      <alignment horizontal="general" vertical="bottom" textRotation="0" wrapText="false" indent="0" shrinkToFit="false"/>
      <protection locked="true" hidden="false"/>
    </xf>
    <xf numFmtId="164" fontId="51" fillId="0" borderId="11" xfId="0" applyFont="true" applyBorder="true" applyAlignment="true" applyProtection="true">
      <alignment horizontal="general" vertical="bottom" textRotation="0" wrapText="false" indent="0" shrinkToFit="false"/>
      <protection locked="true" hidden="false"/>
    </xf>
    <xf numFmtId="164" fontId="52" fillId="0" borderId="13" xfId="0" applyFont="true" applyBorder="true" applyAlignment="true" applyProtection="true">
      <alignment horizontal="center" vertical="bottom" textRotation="0" wrapText="false" indent="0" shrinkToFit="false"/>
      <protection locked="true" hidden="false"/>
    </xf>
    <xf numFmtId="190" fontId="51" fillId="0" borderId="1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91" fontId="51" fillId="0" borderId="13" xfId="0" applyFont="true" applyBorder="true" applyAlignment="true" applyProtection="true">
      <alignment horizontal="general" vertical="bottom" textRotation="0" wrapText="false" indent="0" shrinkToFit="false"/>
      <protection locked="true" hidden="false"/>
    </xf>
    <xf numFmtId="191" fontId="27" fillId="0" borderId="11" xfId="0" applyFont="true" applyBorder="true" applyAlignment="true" applyProtection="true">
      <alignment horizontal="general" vertical="bottom" textRotation="0" wrapText="false" indent="0" shrinkToFit="false"/>
      <protection locked="true" hidden="false"/>
    </xf>
    <xf numFmtId="164" fontId="50" fillId="0" borderId="13" xfId="0" applyFont="true" applyBorder="true" applyAlignment="true" applyProtection="true">
      <alignment horizontal="center" vertical="bottom" textRotation="0" wrapText="false" indent="0" shrinkToFit="false"/>
      <protection locked="true" hidden="false"/>
    </xf>
    <xf numFmtId="190" fontId="27" fillId="0" borderId="11" xfId="0" applyFont="true" applyBorder="true" applyAlignment="true" applyProtection="true">
      <alignment horizontal="general" vertical="bottom" textRotation="0" wrapText="false" indent="0" shrinkToFit="false"/>
      <protection locked="true" hidden="false"/>
    </xf>
    <xf numFmtId="191" fontId="27" fillId="0" borderId="13" xfId="0" applyFont="true" applyBorder="true" applyAlignment="true" applyProtection="true">
      <alignment horizontal="general" vertical="bottom" textRotation="0" wrapText="false" indent="0" shrinkToFit="false"/>
      <protection locked="true" hidden="false"/>
    </xf>
    <xf numFmtId="192" fontId="51" fillId="0" borderId="11" xfId="0" applyFont="true" applyBorder="true" applyAlignment="true" applyProtection="true">
      <alignment horizontal="general" vertical="bottom" textRotation="0" wrapText="false" indent="0" shrinkToFit="false"/>
      <protection locked="true" hidden="false"/>
    </xf>
    <xf numFmtId="164" fontId="53" fillId="0" borderId="13" xfId="0" applyFont="true" applyBorder="true" applyAlignment="true" applyProtection="true">
      <alignment horizontal="general" vertical="bottom" textRotation="0" wrapText="false" indent="0" shrinkToFit="false"/>
      <protection locked="true" hidden="false"/>
    </xf>
    <xf numFmtId="191" fontId="53" fillId="0" borderId="11" xfId="0" applyFont="true" applyBorder="true" applyAlignment="true" applyProtection="true">
      <alignment horizontal="general" vertical="bottom" textRotation="0" wrapText="false" indent="0" shrinkToFit="false"/>
      <protection locked="true" hidden="false"/>
    </xf>
    <xf numFmtId="164" fontId="54" fillId="0" borderId="13" xfId="0" applyFont="true" applyBorder="true" applyAlignment="true" applyProtection="true">
      <alignment horizontal="center" vertical="bottom" textRotation="0" wrapText="false" indent="0" shrinkToFit="false"/>
      <protection locked="true" hidden="false"/>
    </xf>
    <xf numFmtId="190" fontId="53" fillId="0" borderId="11" xfId="0" applyFont="true" applyBorder="true" applyAlignment="true" applyProtection="true">
      <alignment horizontal="general" vertical="bottom" textRotation="0" wrapText="false" indent="0" shrinkToFit="false"/>
      <protection locked="true" hidden="false"/>
    </xf>
    <xf numFmtId="189" fontId="27" fillId="0" borderId="11" xfId="0" applyFont="true" applyBorder="true" applyAlignment="true" applyProtection="true">
      <alignment horizontal="center" vertical="bottom" textRotation="0" wrapText="false" indent="0" shrinkToFit="false"/>
      <protection locked="true" hidden="false"/>
    </xf>
    <xf numFmtId="189" fontId="50" fillId="0" borderId="11" xfId="0" applyFont="true" applyBorder="true" applyAlignment="true" applyProtection="true">
      <alignment horizontal="center" vertical="bottom" textRotation="0" wrapText="false" indent="0" shrinkToFit="false"/>
      <protection locked="true" hidden="false"/>
    </xf>
    <xf numFmtId="191" fontId="53" fillId="0" borderId="13" xfId="0" applyFont="true" applyBorder="true" applyAlignment="true" applyProtection="true">
      <alignment horizontal="general" vertical="bottom" textRotation="0" wrapText="false" indent="0" shrinkToFit="false"/>
      <protection locked="true" hidden="false"/>
    </xf>
    <xf numFmtId="164" fontId="27" fillId="0" borderId="63" xfId="0" applyFont="true" applyBorder="true" applyAlignment="true" applyProtection="true">
      <alignment horizontal="general" vertical="bottom" textRotation="0" wrapText="false" indent="0" shrinkToFit="false"/>
      <protection locked="true" hidden="false"/>
    </xf>
    <xf numFmtId="191" fontId="27" fillId="0" borderId="64" xfId="0" applyFont="true" applyBorder="true" applyAlignment="true" applyProtection="true">
      <alignment horizontal="general" vertical="bottom" textRotation="0" wrapText="false" indent="0" shrinkToFit="false"/>
      <protection locked="true" hidden="false"/>
    </xf>
    <xf numFmtId="190" fontId="27" fillId="0" borderId="64" xfId="0" applyFont="true" applyBorder="true" applyAlignment="true" applyProtection="true">
      <alignment horizontal="general" vertical="bottom" textRotation="0" wrapText="false" indent="0" shrinkToFit="false"/>
      <protection locked="true" hidden="false"/>
    </xf>
    <xf numFmtId="191" fontId="27" fillId="0" borderId="63" xfId="0" applyFont="true" applyBorder="true" applyAlignment="true" applyProtection="true">
      <alignment horizontal="general" vertical="bottom" textRotation="0" wrapText="false" indent="0" shrinkToFit="false"/>
      <protection locked="true" hidden="false"/>
    </xf>
    <xf numFmtId="193"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90" fontId="27" fillId="0" borderId="0" xfId="0" applyFont="true" applyBorder="false" applyAlignment="true" applyProtection="true">
      <alignment horizontal="general" vertical="bottom" textRotation="0" wrapText="false" indent="0" shrinkToFit="false"/>
      <protection locked="true" hidden="false"/>
    </xf>
    <xf numFmtId="190" fontId="0" fillId="0" borderId="0" xfId="0" applyFont="false" applyBorder="false" applyAlignment="true" applyProtection="true">
      <alignment horizontal="general" vertical="bottom" textRotation="0" wrapText="false" indent="0" shrinkToFit="false"/>
      <protection locked="true" hidden="false"/>
    </xf>
    <xf numFmtId="174" fontId="27" fillId="25" borderId="0" xfId="0" applyFont="true" applyBorder="false" applyAlignment="true" applyProtection="true">
      <alignment horizontal="general" vertical="bottom" textRotation="0" wrapText="false" indent="0" shrinkToFit="false"/>
      <protection locked="true" hidden="false"/>
    </xf>
    <xf numFmtId="194" fontId="0" fillId="0" borderId="0" xfId="0" applyFont="false" applyBorder="false" applyAlignment="true" applyProtection="true">
      <alignment horizontal="left" vertical="bottom" textRotation="0" wrapText="false" indent="0" shrinkToFit="false"/>
      <protection locked="true" hidden="false"/>
    </xf>
    <xf numFmtId="164" fontId="0" fillId="0" borderId="47" xfId="0" applyFont="false" applyBorder="true" applyAlignment="true" applyProtection="true">
      <alignment horizontal="center" vertical="bottom" textRotation="0" wrapText="false" indent="0" shrinkToFit="false"/>
      <protection locked="true" hidden="false"/>
    </xf>
    <xf numFmtId="164" fontId="0" fillId="0" borderId="48" xfId="0" applyFont="false" applyBorder="true" applyAlignment="true" applyProtection="true">
      <alignment horizontal="center" vertical="bottom" textRotation="0" wrapText="false" indent="0" shrinkToFit="false"/>
      <protection locked="true" hidden="false"/>
    </xf>
    <xf numFmtId="164" fontId="0" fillId="0" borderId="49" xfId="0" applyFont="false" applyBorder="true" applyAlignment="true" applyProtection="true">
      <alignment horizontal="center" vertical="bottom" textRotation="0" wrapText="false" indent="0" shrinkToFit="false"/>
      <protection locked="true" hidden="false"/>
    </xf>
    <xf numFmtId="165" fontId="0" fillId="0" borderId="49" xfId="0" applyFont="false" applyBorder="true" applyAlignment="true" applyProtection="true">
      <alignment horizontal="general" vertical="bottom" textRotation="0" wrapText="false" indent="0" shrinkToFit="false"/>
      <protection locked="true" hidden="false"/>
    </xf>
    <xf numFmtId="176" fontId="27" fillId="0" borderId="0" xfId="0" applyFont="true" applyBorder="false" applyAlignment="true" applyProtection="true">
      <alignment horizontal="general" vertical="bottom" textRotation="0" wrapText="false" indent="0" shrinkToFit="false"/>
      <protection locked="true" hidden="false"/>
    </xf>
    <xf numFmtId="195" fontId="0" fillId="0" borderId="0" xfId="0" applyFont="true" applyBorder="false" applyAlignment="true" applyProtection="true">
      <alignment horizontal="general" vertical="bottom" textRotation="0" wrapText="false" indent="0" shrinkToFit="false"/>
      <protection locked="true" hidden="false"/>
    </xf>
    <xf numFmtId="165" fontId="0" fillId="0" borderId="54" xfId="0" applyFont="false" applyBorder="true" applyAlignment="true" applyProtection="true">
      <alignment horizontal="general" vertical="bottom" textRotation="0" wrapText="false" indent="0" shrinkToFit="false"/>
      <protection locked="true" hidden="false"/>
    </xf>
    <xf numFmtId="165" fontId="0" fillId="0" borderId="54" xfId="0" applyFont="false" applyBorder="true" applyAlignment="true" applyProtection="true">
      <alignment horizontal="center" vertical="bottom" textRotation="0" wrapText="false" indent="0" shrinkToFit="false"/>
      <protection locked="true" hidden="false"/>
    </xf>
    <xf numFmtId="165" fontId="0" fillId="0" borderId="55" xfId="0" applyFont="false" applyBorder="true" applyAlignment="true" applyProtection="true">
      <alignment horizontal="center" vertical="bottom" textRotation="0" wrapText="false" indent="0" shrinkToFit="false"/>
      <protection locked="true" hidden="false"/>
    </xf>
    <xf numFmtId="165" fontId="0" fillId="0" borderId="56" xfId="0" applyFont="false" applyBorder="true" applyAlignment="true" applyProtection="true">
      <alignment horizontal="center" vertical="bottom" textRotation="0" wrapText="false" indent="0" shrinkToFit="false"/>
      <protection locked="true" hidden="false"/>
    </xf>
    <xf numFmtId="164" fontId="0" fillId="25" borderId="12" xfId="0" applyFont="false" applyBorder="true" applyAlignment="true" applyProtection="true">
      <alignment horizontal="general" vertical="bottom" textRotation="0" wrapText="false" indent="0" shrinkToFit="false"/>
      <protection locked="true" hidden="false"/>
    </xf>
    <xf numFmtId="164" fontId="25" fillId="0" borderId="11" xfId="0" applyFont="true" applyBorder="true" applyAlignment="true" applyProtection="true">
      <alignment horizontal="general" vertical="bottom" textRotation="0" wrapText="false" indent="0" shrinkToFit="false"/>
      <protection locked="true" hidden="false"/>
    </xf>
    <xf numFmtId="189" fontId="27" fillId="0" borderId="11" xfId="0" applyFont="true" applyBorder="true" applyAlignment="true" applyProtection="true">
      <alignment horizontal="general" vertical="bottom" textRotation="0" wrapText="false" indent="0" shrinkToFit="false"/>
      <protection locked="true" hidden="false"/>
    </xf>
    <xf numFmtId="190" fontId="51" fillId="0" borderId="0" xfId="0" applyFont="true" applyBorder="false" applyAlignment="true" applyProtection="true">
      <alignment horizontal="general" vertical="bottom" textRotation="0" wrapText="false" indent="0" shrinkToFit="false"/>
      <protection locked="true" hidden="false"/>
    </xf>
    <xf numFmtId="196" fontId="27"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89" fontId="57" fillId="0" borderId="11" xfId="0" applyFont="true" applyBorder="true" applyAlignment="true" applyProtection="true">
      <alignment horizontal="general" vertical="bottom" textRotation="0" wrapText="false" indent="0" shrinkToFit="false"/>
      <protection locked="true" hidden="false"/>
    </xf>
    <xf numFmtId="196" fontId="51" fillId="0" borderId="11" xfId="0" applyFont="true" applyBorder="true" applyAlignment="true" applyProtection="true">
      <alignment horizontal="general" vertical="bottom" textRotation="0" wrapText="false" indent="0" shrinkToFit="false"/>
      <protection locked="true" hidden="false"/>
    </xf>
    <xf numFmtId="189" fontId="27" fillId="0" borderId="0" xfId="0" applyFont="true" applyBorder="false" applyAlignment="true" applyProtection="true">
      <alignment horizontal="general" vertical="bottom" textRotation="0" wrapText="false" indent="0" shrinkToFit="false"/>
      <protection locked="true" hidden="false"/>
    </xf>
    <xf numFmtId="197" fontId="27" fillId="0" borderId="0" xfId="0" applyFont="true" applyBorder="false" applyAlignment="true" applyProtection="true">
      <alignment horizontal="general" vertical="bottom" textRotation="0" wrapText="false" indent="0" shrinkToFit="false"/>
      <protection locked="true" hidden="false"/>
    </xf>
    <xf numFmtId="189" fontId="57" fillId="0" borderId="0" xfId="0" applyFont="true" applyBorder="false" applyAlignment="true" applyProtection="true">
      <alignment horizontal="general" vertical="bottom" textRotation="0" wrapText="false" indent="0" shrinkToFit="false"/>
      <protection locked="true" hidden="false"/>
    </xf>
    <xf numFmtId="189" fontId="51" fillId="0" borderId="11" xfId="0" applyFont="true" applyBorder="true" applyAlignment="true" applyProtection="true">
      <alignment horizontal="general" vertical="bottom" textRotation="0" wrapText="false" indent="0" shrinkToFit="false"/>
      <protection locked="true" hidden="false"/>
    </xf>
    <xf numFmtId="189" fontId="50" fillId="0" borderId="0" xfId="0" applyFont="true" applyBorder="false" applyAlignment="true" applyProtection="true">
      <alignment horizontal="general" vertical="bottom" textRotation="0" wrapText="false" indent="0" shrinkToFit="false"/>
      <protection locked="true" hidden="false"/>
    </xf>
    <xf numFmtId="189" fontId="50" fillId="0" borderId="11" xfId="0" applyFont="true" applyBorder="true" applyAlignment="true" applyProtection="true">
      <alignment horizontal="general" vertical="bottom" textRotation="0" wrapText="false" indent="0" shrinkToFit="false"/>
      <protection locked="true" hidden="false"/>
    </xf>
    <xf numFmtId="164" fontId="50" fillId="0" borderId="13" xfId="0" applyFont="true" applyBorder="true" applyAlignment="true" applyProtection="true">
      <alignment horizontal="general" vertical="bottom" textRotation="0" wrapText="false" indent="0" shrinkToFit="false"/>
      <protection locked="true" hidden="false"/>
    </xf>
    <xf numFmtId="189" fontId="0" fillId="0" borderId="0" xfId="0" applyFont="false" applyBorder="false" applyAlignment="true" applyProtection="true">
      <alignment horizontal="general" vertical="bottom" textRotation="0" wrapText="false" indent="0" shrinkToFit="false"/>
      <protection locked="true" hidden="false"/>
    </xf>
    <xf numFmtId="164" fontId="56" fillId="0" borderId="13" xfId="0" applyFont="true" applyBorder="true" applyAlignment="true" applyProtection="true">
      <alignment horizontal="general" vertical="bottom" textRotation="0" wrapText="false" indent="0" shrinkToFit="false"/>
      <protection locked="true" hidden="false"/>
    </xf>
    <xf numFmtId="190" fontId="56" fillId="0" borderId="0" xfId="0" applyFont="true" applyBorder="false" applyAlignment="true" applyProtection="true">
      <alignment horizontal="general" vertical="bottom" textRotation="0" wrapText="false" indent="0" shrinkToFit="false"/>
      <protection locked="true" hidden="false"/>
    </xf>
    <xf numFmtId="189" fontId="56" fillId="0" borderId="1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right" vertical="bottom" textRotation="0" wrapText="false" indent="0" shrinkToFit="false"/>
      <protection locked="true" hidden="false"/>
    </xf>
    <xf numFmtId="174" fontId="25" fillId="25" borderId="12" xfId="0" applyFont="true" applyBorder="true" applyAlignment="true" applyProtection="true">
      <alignment horizontal="left" vertical="bottom" textRotation="0" wrapText="false" indent="0" shrinkToFit="false"/>
      <protection locked="false" hidden="false"/>
    </xf>
    <xf numFmtId="164" fontId="25" fillId="0" borderId="0" xfId="0" applyFont="true" applyBorder="false" applyAlignment="true" applyProtection="true">
      <alignment horizontal="general" vertical="bottom" textRotation="0" wrapText="false" indent="0" shrinkToFit="false"/>
      <protection locked="fals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96" fontId="0" fillId="0" borderId="0" xfId="0" applyFont="false" applyBorder="false" applyAlignment="true" applyProtection="true">
      <alignment horizontal="general" vertical="bottom" textRotation="0" wrapText="false" indent="0" shrinkToFit="false"/>
      <protection locked="true" hidden="false"/>
    </xf>
    <xf numFmtId="189" fontId="53" fillId="0" borderId="0" xfId="0" applyFont="true" applyBorder="false" applyAlignment="true" applyProtection="true">
      <alignment horizontal="general" vertical="bottom" textRotation="0" wrapText="false" indent="0" shrinkToFit="false"/>
      <protection locked="true" hidden="false"/>
    </xf>
    <xf numFmtId="189" fontId="53" fillId="0" borderId="11" xfId="0" applyFont="true" applyBorder="true" applyAlignment="true" applyProtection="true">
      <alignment horizontal="general" vertical="bottom" textRotation="0" wrapText="false" indent="0" shrinkToFit="false"/>
      <protection locked="true" hidden="false"/>
    </xf>
    <xf numFmtId="196" fontId="53" fillId="0" borderId="0" xfId="0" applyFont="true" applyBorder="false" applyAlignment="true" applyProtection="true">
      <alignment horizontal="general"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64" fontId="27" fillId="0" borderId="65" xfId="0" applyFont="true" applyBorder="true" applyAlignment="true" applyProtection="true">
      <alignment horizontal="general" vertical="bottom" textRotation="0" wrapText="false" indent="0" shrinkToFit="false"/>
      <protection locked="true" hidden="false"/>
    </xf>
    <xf numFmtId="189" fontId="27" fillId="0" borderId="64" xfId="0" applyFont="true" applyBorder="true" applyAlignment="true" applyProtection="true">
      <alignment horizontal="general" vertical="bottom" textRotation="0" wrapText="false" indent="0" shrinkToFit="false"/>
      <protection locked="true" hidden="false"/>
    </xf>
    <xf numFmtId="164" fontId="58" fillId="0" borderId="0" xfId="0" applyFont="true" applyBorder="false" applyAlignment="true" applyProtection="true">
      <alignment horizontal="general" vertical="bottom" textRotation="0" wrapText="false" indent="0" shrinkToFit="false"/>
      <protection locked="true" hidden="false"/>
    </xf>
    <xf numFmtId="198" fontId="0" fillId="0" borderId="0" xfId="0" applyFont="false" applyBorder="false" applyAlignment="true" applyProtection="true">
      <alignment horizontal="general"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false" indent="0" shrinkToFit="false"/>
      <protection locked="true" hidden="false"/>
    </xf>
    <xf numFmtId="198" fontId="0" fillId="25" borderId="0" xfId="0" applyFont="false" applyBorder="false" applyAlignment="true" applyProtection="true">
      <alignment horizontal="general" vertical="bottom" textRotation="0" wrapText="false" indent="0" shrinkToFit="true"/>
      <protection locked="false" hidden="false"/>
    </xf>
    <xf numFmtId="174" fontId="26" fillId="25" borderId="13" xfId="0" applyFont="true" applyBorder="true" applyAlignment="true" applyProtection="true">
      <alignment horizontal="general" vertical="bottom" textRotation="0" wrapText="false" indent="0" shrinkToFit="false"/>
      <protection locked="false" hidden="false"/>
    </xf>
    <xf numFmtId="173" fontId="20" fillId="0" borderId="13" xfId="0" applyFont="true" applyBorder="true" applyAlignment="true" applyProtection="true">
      <alignment horizontal="general" vertical="bottom" textRotation="0" wrapText="false" indent="0" shrinkToFit="false"/>
      <protection locked="true" hidden="false"/>
    </xf>
    <xf numFmtId="180" fontId="58" fillId="0" borderId="0" xfId="0" applyFont="true" applyBorder="true" applyAlignment="true" applyProtection="true">
      <alignment horizontal="general" vertical="bottom" textRotation="0" wrapText="false" indent="0" shrinkToFit="false"/>
      <protection locked="true" hidden="false"/>
    </xf>
    <xf numFmtId="164" fontId="20" fillId="0" borderId="13" xfId="0" applyFont="true" applyBorder="true" applyAlignment="true" applyProtection="true">
      <alignment horizontal="general" vertical="bottom" textRotation="0" wrapText="false" indent="0" shrinkToFit="false"/>
      <protection locked="true" hidden="false"/>
    </xf>
    <xf numFmtId="164" fontId="58" fillId="0" borderId="11" xfId="0" applyFont="true" applyBorder="true" applyAlignment="true" applyProtection="true">
      <alignment horizontal="general" vertical="bottom" textRotation="0" wrapText="false" indent="0" shrinkToFit="false"/>
      <protection locked="true" hidden="false"/>
    </xf>
    <xf numFmtId="164" fontId="60" fillId="0" borderId="0" xfId="0" applyFont="true" applyBorder="false" applyAlignment="true" applyProtection="true">
      <alignment horizontal="general" vertical="bottom" textRotation="0" wrapText="false" indent="0" shrinkToFit="false"/>
      <protection locked="true" hidden="false"/>
    </xf>
    <xf numFmtId="164" fontId="58" fillId="0" borderId="11" xfId="0" applyFont="true" applyBorder="true" applyAlignment="true" applyProtection="true">
      <alignment horizontal="left" vertical="bottom" textRotation="0" wrapText="false" indent="0" shrinkToFit="false"/>
      <protection locked="true" hidden="false"/>
    </xf>
    <xf numFmtId="164" fontId="58" fillId="0" borderId="0" xfId="0" applyFont="true" applyBorder="false" applyAlignment="true" applyProtection="true">
      <alignment horizontal="general" vertical="bottom" textRotation="0" wrapText="false" indent="0" shrinkToFit="false"/>
      <protection locked="false" hidden="false"/>
    </xf>
    <xf numFmtId="174" fontId="0" fillId="0" borderId="0" xfId="0" applyFont="false" applyBorder="false" applyAlignment="true" applyProtection="true">
      <alignment horizontal="general" vertical="bottom" textRotation="0" wrapText="false" indent="0" shrinkToFit="false"/>
      <protection locked="false" hidden="false"/>
    </xf>
    <xf numFmtId="164" fontId="61" fillId="7" borderId="0" xfId="0" applyFont="true" applyBorder="false" applyAlignment="true" applyProtection="true">
      <alignment horizontal="general" vertical="bottom" textRotation="0" wrapText="false" indent="0" shrinkToFit="false"/>
      <protection locked="false" hidden="false"/>
    </xf>
    <xf numFmtId="164" fontId="62" fillId="7" borderId="0" xfId="0" applyFont="true" applyBorder="false" applyAlignment="true" applyProtection="true">
      <alignment horizontal="center" vertical="bottom" textRotation="0" wrapText="false" indent="0" shrinkToFit="false"/>
      <protection locked="false" hidden="false"/>
    </xf>
    <xf numFmtId="164" fontId="61" fillId="7" borderId="0" xfId="0" applyFont="true" applyBorder="false" applyAlignment="true" applyProtection="true">
      <alignment horizontal="center" vertical="bottom" textRotation="0" wrapText="false" indent="0" shrinkToFit="false"/>
      <protection locked="false" hidden="false"/>
    </xf>
    <xf numFmtId="174" fontId="61" fillId="7" borderId="0" xfId="0" applyFont="true" applyBorder="false" applyAlignment="true" applyProtection="true">
      <alignment horizontal="center" vertical="bottom" textRotation="0" wrapText="false" indent="0" shrinkToFit="false"/>
      <protection locked="false" hidden="false"/>
    </xf>
    <xf numFmtId="198" fontId="61" fillId="7" borderId="0" xfId="0" applyFont="true" applyBorder="false" applyAlignment="true" applyProtection="true">
      <alignment horizontal="general" vertical="bottom" textRotation="0" wrapText="false" indent="0" shrinkToFit="false"/>
      <protection locked="true" hidden="false"/>
    </xf>
    <xf numFmtId="164" fontId="61" fillId="7" borderId="0" xfId="0" applyFont="true" applyBorder="false" applyAlignment="true" applyProtection="true">
      <alignment horizontal="general" vertical="bottom" textRotation="0" wrapText="false" indent="0" shrinkToFit="false"/>
      <protection locked="true" hidden="false"/>
    </xf>
    <xf numFmtId="164" fontId="63" fillId="31" borderId="0" xfId="0" applyFont="true" applyBorder="false" applyAlignment="true" applyProtection="true">
      <alignment horizontal="left" vertical="bottom" textRotation="0" wrapText="false" indent="0" shrinkToFit="false"/>
      <protection locked="false" hidden="false"/>
    </xf>
    <xf numFmtId="199" fontId="60" fillId="6" borderId="0" xfId="0" applyFont="true" applyBorder="false" applyAlignment="true" applyProtection="true">
      <alignment horizontal="right" vertical="bottom" textRotation="0" wrapText="false" indent="0" shrinkToFit="false"/>
      <protection locked="false" hidden="false"/>
    </xf>
    <xf numFmtId="199" fontId="20" fillId="6" borderId="0" xfId="0" applyFont="true" applyBorder="false" applyAlignment="true" applyProtection="true">
      <alignment horizontal="right" vertical="bottom" textRotation="0" wrapText="false" indent="0" shrinkToFit="false"/>
      <protection locked="false" hidden="false"/>
    </xf>
    <xf numFmtId="164" fontId="64" fillId="31" borderId="0" xfId="0" applyFont="true" applyBorder="false" applyAlignment="true" applyProtection="true">
      <alignment horizontal="left" vertical="bottom" textRotation="0" wrapText="false" indent="0" shrinkToFit="false"/>
      <protection locked="false" hidden="false"/>
    </xf>
    <xf numFmtId="164" fontId="60" fillId="6" borderId="0" xfId="0" applyFont="true" applyBorder="false" applyAlignment="true" applyProtection="true">
      <alignment horizontal="right" vertical="bottom" textRotation="0" wrapText="false" indent="0" shrinkToFit="false"/>
      <protection locked="false" hidden="false"/>
    </xf>
    <xf numFmtId="164" fontId="20" fillId="6" borderId="0" xfId="0" applyFont="true" applyBorder="false" applyAlignment="true" applyProtection="true">
      <alignment horizontal="right" vertical="bottom" textRotation="0" wrapText="false" indent="0" shrinkToFit="false"/>
      <protection locked="false" hidden="false"/>
    </xf>
    <xf numFmtId="174" fontId="60" fillId="6" borderId="0" xfId="0" applyFont="true" applyBorder="false" applyAlignment="true" applyProtection="true">
      <alignment horizontal="right" vertical="bottom" textRotation="0" wrapText="false" indent="0" shrinkToFit="false"/>
      <protection locked="false" hidden="false"/>
    </xf>
    <xf numFmtId="174" fontId="20" fillId="6" borderId="0" xfId="0" applyFont="true" applyBorder="false" applyAlignment="true" applyProtection="true">
      <alignment horizontal="right" vertical="bottom" textRotation="0" wrapText="false" indent="0" shrinkToFit="false"/>
      <protection locked="false" hidden="false"/>
    </xf>
    <xf numFmtId="198"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276" applyFont="true" applyBorder="false" applyAlignment="true" applyProtection="true">
      <alignment horizontal="general" vertical="bottom" textRotation="0" wrapText="false" indent="0" shrinkToFit="false"/>
      <protection locked="true" hidden="false"/>
    </xf>
    <xf numFmtId="164" fontId="0" fillId="0" borderId="0" xfId="276" applyFont="true" applyBorder="false" applyAlignment="true" applyProtection="true">
      <alignment horizontal="center" vertical="bottom" textRotation="0" wrapText="false" indent="0" shrinkToFit="false"/>
      <protection locked="true" hidden="false"/>
    </xf>
    <xf numFmtId="164" fontId="0" fillId="0" borderId="0" xfId="276" applyFont="true" applyBorder="false" applyAlignment="true" applyProtection="true">
      <alignment horizontal="general" vertical="top" textRotation="0" wrapText="false" indent="0" shrinkToFit="false"/>
      <protection locked="true" hidden="false"/>
    </xf>
    <xf numFmtId="164" fontId="0" fillId="32" borderId="0" xfId="276" applyFont="true" applyBorder="false" applyAlignment="true" applyProtection="true">
      <alignment horizontal="general" vertical="bottom" textRotation="0" wrapText="false" indent="0" shrinkToFit="false"/>
      <protection locked="true" hidden="false"/>
    </xf>
    <xf numFmtId="164" fontId="0" fillId="33" borderId="0" xfId="276" applyFont="true" applyBorder="false" applyAlignment="true" applyProtection="true">
      <alignment horizontal="center" vertical="bottom" textRotation="0" wrapText="false" indent="0" shrinkToFit="false"/>
      <protection locked="true" hidden="false"/>
    </xf>
    <xf numFmtId="164" fontId="0" fillId="0" borderId="66" xfId="293" applyFont="true" applyBorder="true" applyAlignment="false" applyProtection="false">
      <alignment horizontal="general" vertical="bottom" textRotation="0" wrapText="false" indent="0" shrinkToFit="false"/>
      <protection locked="true" hidden="false"/>
    </xf>
    <xf numFmtId="164" fontId="0" fillId="0" borderId="67" xfId="292" applyFont="true" applyBorder="true" applyAlignment="false" applyProtection="false">
      <alignment horizontal="general" vertical="bottom" textRotation="0" wrapText="false" indent="0" shrinkToFit="false"/>
      <protection locked="true" hidden="false"/>
    </xf>
    <xf numFmtId="164" fontId="0" fillId="0" borderId="68" xfId="291" applyFont="false" applyBorder="true" applyAlignment="false" applyProtection="false">
      <alignment horizontal="left" vertical="bottom" textRotation="0" wrapText="false" indent="0" shrinkToFit="false"/>
      <protection locked="true" hidden="false"/>
    </xf>
    <xf numFmtId="164" fontId="0" fillId="0" borderId="69" xfId="296" applyFont="false" applyBorder="true" applyAlignment="false" applyProtection="false">
      <alignment horizontal="general" vertical="bottom" textRotation="0" wrapText="false" indent="0" shrinkToFit="false"/>
      <protection locked="true" hidden="false"/>
    </xf>
    <xf numFmtId="164" fontId="0" fillId="0" borderId="70" xfId="291" applyFont="false" applyBorder="true" applyAlignment="false" applyProtection="false">
      <alignment horizontal="left" vertical="bottom" textRotation="0" wrapText="false" indent="0" shrinkToFit="false"/>
      <protection locked="true" hidden="false"/>
    </xf>
    <xf numFmtId="164" fontId="0" fillId="0" borderId="71" xfId="296" applyFont="false" applyBorder="true" applyAlignment="false" applyProtection="false">
      <alignment horizontal="general" vertical="bottom" textRotation="0" wrapText="false" indent="0" shrinkToFit="false"/>
      <protection locked="true" hidden="false"/>
    </xf>
    <xf numFmtId="164" fontId="0" fillId="0" borderId="72" xfId="296" applyFont="false" applyBorder="true" applyAlignment="false" applyProtection="false">
      <alignment horizontal="general" vertical="bottom" textRotation="0" wrapText="false" indent="0" shrinkToFit="false"/>
      <protection locked="true" hidden="false"/>
    </xf>
    <xf numFmtId="164" fontId="17" fillId="0" borderId="73" xfId="295" applyFont="true" applyBorder="true" applyAlignment="false" applyProtection="false">
      <alignment horizontal="left" vertical="bottom" textRotation="0" wrapText="false" indent="0" shrinkToFit="false"/>
      <protection locked="true" hidden="false"/>
    </xf>
    <xf numFmtId="164" fontId="17" fillId="0" borderId="74" xfId="294" applyFont="false" applyBorder="true" applyAlignment="false" applyProtection="false">
      <alignment horizontal="general" vertical="bottom" textRotation="0" wrapText="false" indent="0" shrinkToFit="false"/>
      <protection locked="true" hidden="false"/>
    </xf>
    <xf numFmtId="164" fontId="65" fillId="13" borderId="47" xfId="0" applyFont="true" applyBorder="true" applyAlignment="true" applyProtection="true">
      <alignment horizontal="general" vertical="center" textRotation="0" wrapText="false" indent="0" shrinkToFit="false"/>
      <protection locked="true" hidden="false"/>
    </xf>
    <xf numFmtId="164" fontId="65" fillId="13" borderId="48" xfId="0" applyFont="true" applyBorder="true" applyAlignment="true" applyProtection="true">
      <alignment horizontal="general" vertical="center" textRotation="0" wrapText="false" indent="0" shrinkToFit="false"/>
      <protection locked="true" hidden="false"/>
    </xf>
    <xf numFmtId="164" fontId="65" fillId="13" borderId="49" xfId="0" applyFont="true" applyBorder="true" applyAlignment="true" applyProtection="true">
      <alignment horizontal="general" vertical="center" textRotation="0" wrapText="false" indent="0" shrinkToFit="false"/>
      <protection locked="true" hidden="false"/>
    </xf>
    <xf numFmtId="164" fontId="20" fillId="0" borderId="47" xfId="0" applyFont="true" applyBorder="true" applyAlignment="true" applyProtection="true">
      <alignment horizontal="left" vertical="center" textRotation="0" wrapText="false" indent="0" shrinkToFit="false"/>
      <protection locked="true" hidden="false"/>
    </xf>
    <xf numFmtId="164" fontId="20" fillId="0" borderId="48" xfId="0" applyFont="true" applyBorder="true" applyAlignment="true" applyProtection="true">
      <alignment horizontal="left" vertical="center" textRotation="0" wrapText="false" indent="0" shrinkToFit="false"/>
      <protection locked="true" hidden="false"/>
    </xf>
    <xf numFmtId="164" fontId="20" fillId="23" borderId="48" xfId="0" applyFont="true" applyBorder="true" applyAlignment="true" applyProtection="true">
      <alignment horizontal="left" vertical="center" textRotation="0" wrapText="false" indent="0" shrinkToFit="false"/>
      <protection locked="true" hidden="false"/>
    </xf>
    <xf numFmtId="164" fontId="20" fillId="0" borderId="49" xfId="0" applyFont="true" applyBorder="true" applyAlignment="true" applyProtection="true">
      <alignment horizontal="left" vertical="center" textRotation="0" wrapText="false" indent="0" shrinkToFit="false"/>
      <protection locked="true" hidden="false"/>
    </xf>
    <xf numFmtId="164" fontId="20" fillId="0" borderId="54" xfId="0" applyFont="true" applyBorder="true" applyAlignment="true" applyProtection="true">
      <alignment horizontal="right" vertical="center" textRotation="0" wrapText="false" indent="0" shrinkToFit="false"/>
      <protection locked="true" hidden="false"/>
    </xf>
    <xf numFmtId="164" fontId="20" fillId="0" borderId="55" xfId="0" applyFont="true" applyBorder="true" applyAlignment="true" applyProtection="true">
      <alignment horizontal="left" vertical="center" textRotation="0" wrapText="false" indent="0" shrinkToFit="false"/>
      <protection locked="true" hidden="false"/>
    </xf>
    <xf numFmtId="164" fontId="20" fillId="0" borderId="56" xfId="0" applyFont="true" applyBorder="true" applyAlignment="true" applyProtection="true">
      <alignment horizontal="left" vertical="center" textRotation="0" wrapText="false" indent="0" shrinkToFit="false"/>
      <protection locked="true" hidden="false"/>
    </xf>
    <xf numFmtId="164" fontId="25" fillId="0" borderId="48" xfId="0" applyFont="true" applyBorder="true" applyAlignment="true" applyProtection="true">
      <alignment horizontal="left" vertical="center" textRotation="0" wrapText="false" indent="0" shrinkToFit="false"/>
      <protection locked="true" hidden="false"/>
    </xf>
    <xf numFmtId="164" fontId="20" fillId="34" borderId="48" xfId="0" applyFont="true" applyBorder="true" applyAlignment="true" applyProtection="true">
      <alignment horizontal="left" vertical="center" textRotation="0" wrapText="false" indent="0" shrinkToFit="false"/>
      <protection locked="true" hidden="false"/>
    </xf>
    <xf numFmtId="164" fontId="20" fillId="0" borderId="54" xfId="0" applyFont="true" applyBorder="true" applyAlignment="true" applyProtection="true">
      <alignment horizontal="center" vertical="center" textRotation="0" wrapText="false" indent="0" shrinkToFit="false"/>
      <protection locked="true" hidden="false"/>
    </xf>
    <xf numFmtId="164" fontId="25" fillId="0" borderId="55" xfId="0" applyFont="true" applyBorder="true" applyAlignment="true" applyProtection="true">
      <alignment horizontal="left" vertical="center" textRotation="0" wrapText="false" indent="0" shrinkToFit="false"/>
      <protection locked="true" hidden="false"/>
    </xf>
    <xf numFmtId="164" fontId="66" fillId="0" borderId="48" xfId="0" applyFont="true" applyBorder="true" applyAlignment="true" applyProtection="true">
      <alignment horizontal="left" vertical="center" textRotation="0" wrapText="false" indent="0" shrinkToFit="false"/>
      <protection locked="true" hidden="false"/>
    </xf>
    <xf numFmtId="164" fontId="26" fillId="0" borderId="48" xfId="0" applyFont="true" applyBorder="true" applyAlignment="true" applyProtection="true">
      <alignment horizontal="left" vertical="center" textRotation="0" wrapText="false" indent="0" shrinkToFit="false"/>
      <protection locked="true" hidden="false"/>
    </xf>
    <xf numFmtId="164" fontId="20" fillId="0" borderId="51"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left" vertical="center" textRotation="0" wrapText="false" indent="0" shrinkToFit="false"/>
      <protection locked="true" hidden="false"/>
    </xf>
    <xf numFmtId="164" fontId="20" fillId="0" borderId="56" xfId="0" applyFont="true" applyBorder="true" applyAlignment="true" applyProtection="true">
      <alignment horizontal="left" vertical="center" textRotation="0" wrapText="true" indent="0" shrinkToFit="false"/>
      <protection locked="true" hidden="false"/>
    </xf>
    <xf numFmtId="164" fontId="20" fillId="0" borderId="75" xfId="0" applyFont="true" applyBorder="true" applyAlignment="true" applyProtection="true">
      <alignment horizontal="left" vertical="center" textRotation="0" wrapText="false" indent="0" shrinkToFit="false"/>
      <protection locked="true" hidden="false"/>
    </xf>
    <xf numFmtId="164" fontId="20" fillId="0" borderId="76" xfId="0" applyFont="true" applyBorder="true" applyAlignment="true" applyProtection="true">
      <alignment horizontal="left" vertical="center" textRotation="0" wrapText="false" indent="0" shrinkToFit="false"/>
      <protection locked="true" hidden="false"/>
    </xf>
    <xf numFmtId="164" fontId="67" fillId="0" borderId="76" xfId="0" applyFont="true" applyBorder="true" applyAlignment="true" applyProtection="true">
      <alignment horizontal="left" vertical="center" textRotation="0" wrapText="false" indent="0" shrinkToFit="false"/>
      <protection locked="true" hidden="false"/>
    </xf>
    <xf numFmtId="164" fontId="20" fillId="33" borderId="76" xfId="0" applyFont="true" applyBorder="true" applyAlignment="true" applyProtection="true">
      <alignment horizontal="left" vertical="center" textRotation="0" wrapText="false" indent="0" shrinkToFit="false"/>
      <protection locked="true" hidden="false"/>
    </xf>
    <xf numFmtId="164" fontId="20" fillId="0" borderId="77" xfId="0" applyFont="true" applyBorder="true" applyAlignment="true" applyProtection="true">
      <alignment horizontal="center" vertical="center" textRotation="0" wrapText="false" indent="0" shrinkToFit="false"/>
      <protection locked="true" hidden="false"/>
    </xf>
    <xf numFmtId="164" fontId="20" fillId="0" borderId="78" xfId="0" applyFont="true" applyBorder="true" applyAlignment="true" applyProtection="true">
      <alignment horizontal="left" vertical="center" textRotation="0" wrapText="false" indent="0" shrinkToFit="false"/>
      <protection locked="true" hidden="false"/>
    </xf>
    <xf numFmtId="164" fontId="20" fillId="33" borderId="48" xfId="0" applyFont="true" applyBorder="true" applyAlignment="true" applyProtection="true">
      <alignment horizontal="left" vertical="center" textRotation="0" wrapText="false" indent="0" shrinkToFit="false"/>
      <protection locked="true" hidden="false"/>
    </xf>
    <xf numFmtId="164" fontId="20" fillId="0" borderId="79" xfId="0" applyFont="true" applyBorder="true" applyAlignment="true" applyProtection="true">
      <alignment horizontal="center" vertical="center" textRotation="0" wrapText="false" indent="0" shrinkToFit="false"/>
      <protection locked="true" hidden="false"/>
    </xf>
    <xf numFmtId="164" fontId="20" fillId="0" borderId="80" xfId="0" applyFont="true" applyBorder="true" applyAlignment="true" applyProtection="true">
      <alignment horizontal="left" vertical="center" textRotation="0" wrapText="false" indent="0" shrinkToFit="false"/>
      <protection locked="true" hidden="false"/>
    </xf>
    <xf numFmtId="164" fontId="20" fillId="0" borderId="51" xfId="0" applyFont="true" applyBorder="true" applyAlignment="true" applyProtection="true">
      <alignment horizontal="left" vertical="center" textRotation="0" wrapText="false" indent="0" shrinkToFit="false"/>
      <protection locked="true" hidden="false"/>
    </xf>
    <xf numFmtId="164" fontId="70" fillId="0" borderId="0" xfId="0" applyFont="true" applyBorder="false" applyAlignment="true" applyProtection="true">
      <alignment horizontal="left" vertical="center" textRotation="0" wrapText="false" indent="0" shrinkToFit="false"/>
      <protection locked="true" hidden="false"/>
    </xf>
    <xf numFmtId="164" fontId="20" fillId="34" borderId="0" xfId="0" applyFont="true" applyBorder="false" applyAlignment="true" applyProtection="true">
      <alignment horizontal="left" vertical="center" textRotation="0" wrapText="false" indent="0" shrinkToFit="false"/>
      <protection locked="true" hidden="false"/>
    </xf>
    <xf numFmtId="164" fontId="71" fillId="0" borderId="48" xfId="0" applyFont="true" applyBorder="true" applyAlignment="true" applyProtection="true">
      <alignment horizontal="left" vertical="center" textRotation="0" wrapText="false" indent="0" shrinkToFit="false"/>
      <protection locked="true" hidden="false"/>
    </xf>
    <xf numFmtId="164" fontId="70" fillId="0" borderId="48" xfId="0" applyFont="true" applyBorder="true" applyAlignment="true" applyProtection="true">
      <alignment horizontal="left" vertical="center" textRotation="0" wrapText="false" indent="0" shrinkToFit="false"/>
      <protection locked="true" hidden="false"/>
    </xf>
    <xf numFmtId="164" fontId="20" fillId="0" borderId="81" xfId="0" applyFont="true" applyBorder="true" applyAlignment="true" applyProtection="true">
      <alignment horizontal="left" vertical="center" textRotation="0" wrapText="false" indent="0" shrinkToFit="false"/>
      <protection locked="true" hidden="false"/>
    </xf>
    <xf numFmtId="164" fontId="25" fillId="0" borderId="0" xfId="0" applyFont="true" applyBorder="false" applyAlignment="true" applyProtection="true">
      <alignment horizontal="left" vertical="center" textRotation="0" wrapText="false" indent="0" shrinkToFit="false"/>
      <protection locked="true" hidden="false"/>
    </xf>
    <xf numFmtId="164" fontId="20" fillId="0" borderId="52" xfId="0" applyFont="true" applyBorder="true" applyAlignment="true" applyProtection="true">
      <alignment horizontal="left" vertical="center" textRotation="0" wrapText="false" indent="0" shrinkToFit="false"/>
      <protection locked="true" hidden="false"/>
    </xf>
    <xf numFmtId="164" fontId="20" fillId="0" borderId="50" xfId="0" applyFont="true" applyBorder="tru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17"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72" fillId="0" borderId="0" xfId="0" applyFont="true" applyBorder="false" applyAlignment="true" applyProtection="true">
      <alignment horizontal="general" vertical="bottom" textRotation="0" wrapText="true" indent="0" shrinkToFit="false"/>
      <protection locked="true" hidden="false"/>
    </xf>
    <xf numFmtId="164" fontId="73"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true"/>
      <protection locked="true" hidden="false"/>
    </xf>
    <xf numFmtId="164" fontId="17" fillId="0" borderId="82" xfId="0" applyFont="true" applyBorder="true" applyAlignment="true" applyProtection="true">
      <alignment horizontal="center" vertical="bottom" textRotation="0" wrapText="false" indent="0" shrinkToFit="true"/>
      <protection locked="true" hidden="false"/>
    </xf>
    <xf numFmtId="164" fontId="74" fillId="0" borderId="82" xfId="0" applyFont="true" applyBorder="true" applyAlignment="true" applyProtection="true">
      <alignment horizontal="center" vertical="bottom" textRotation="0" wrapText="false" indent="0" shrinkToFit="true"/>
      <protection locked="true" hidden="false"/>
    </xf>
    <xf numFmtId="164" fontId="75" fillId="0" borderId="82" xfId="0" applyFont="true" applyBorder="true" applyAlignment="true" applyProtection="true">
      <alignment horizontal="center" vertical="bottom" textRotation="0" wrapText="false" indent="0" shrinkToFit="tru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true" hidden="false"/>
    </xf>
    <xf numFmtId="164" fontId="17" fillId="0" borderId="83" xfId="0" applyFont="true" applyBorder="true" applyAlignment="true" applyProtection="true">
      <alignment horizontal="general" vertical="bottom" textRotation="0" wrapText="false" indent="0" shrinkToFit="false"/>
      <protection locked="true" hidden="false"/>
    </xf>
    <xf numFmtId="164" fontId="74" fillId="0" borderId="9" xfId="0" applyFont="true" applyBorder="true" applyAlignment="true" applyProtection="true">
      <alignment horizontal="general" vertical="bottom" textRotation="0" wrapText="false" indent="0" shrinkToFit="false"/>
      <protection locked="true" hidden="false"/>
    </xf>
    <xf numFmtId="164" fontId="74" fillId="0" borderId="83" xfId="0" applyFont="true" applyBorder="true" applyAlignment="true" applyProtection="true">
      <alignment horizontal="general" vertical="bottom" textRotation="0" wrapText="false" indent="0" shrinkToFit="false"/>
      <protection locked="true" hidden="false"/>
    </xf>
    <xf numFmtId="164" fontId="75" fillId="0" borderId="9" xfId="0" applyFont="true" applyBorder="true" applyAlignment="true" applyProtection="true">
      <alignment horizontal="general" vertical="bottom" textRotation="0" wrapText="false" indent="0" shrinkToFit="false"/>
      <protection locked="true" hidden="false"/>
    </xf>
    <xf numFmtId="164" fontId="75" fillId="0" borderId="83" xfId="0" applyFont="true" applyBorder="true" applyAlignment="true" applyProtection="true">
      <alignment horizontal="general" vertical="bottom" textRotation="0" wrapText="false" indent="0" shrinkToFit="false"/>
      <protection locked="true" hidden="false"/>
    </xf>
    <xf numFmtId="164" fontId="0" fillId="22" borderId="9" xfId="0" applyFont="true" applyBorder="true" applyAlignment="true" applyProtection="true">
      <alignment horizontal="general" vertical="bottom" textRotation="0" wrapText="false" indent="0" shrinkToFit="false"/>
      <protection locked="true" hidden="false"/>
    </xf>
    <xf numFmtId="176" fontId="0" fillId="22" borderId="83" xfId="0" applyFont="false" applyBorder="true" applyAlignment="true" applyProtection="true">
      <alignment horizontal="general" vertical="bottom" textRotation="0" wrapText="false" indent="0" shrinkToFit="false"/>
      <protection locked="true" hidden="false"/>
    </xf>
    <xf numFmtId="164" fontId="17" fillId="6" borderId="9" xfId="0" applyFont="true" applyBorder="true" applyAlignment="true" applyProtection="true">
      <alignment horizontal="general" vertical="bottom" textRotation="0" wrapText="false" indent="0" shrinkToFit="false"/>
      <protection locked="true" hidden="false"/>
    </xf>
    <xf numFmtId="176" fontId="0" fillId="6" borderId="83" xfId="0" applyFont="false" applyBorder="true" applyAlignment="true" applyProtection="true">
      <alignment horizontal="general" vertical="bottom" textRotation="0" wrapText="false" indent="0" shrinkToFit="false"/>
      <protection locked="true" hidden="false"/>
    </xf>
    <xf numFmtId="174" fontId="0" fillId="22" borderId="83" xfId="0" applyFont="false" applyBorder="true" applyAlignment="true" applyProtection="true">
      <alignment horizontal="general" vertical="bottom" textRotation="0" wrapText="false" indent="0" shrinkToFit="false"/>
      <protection locked="true" hidden="false"/>
    </xf>
    <xf numFmtId="164" fontId="0" fillId="0" borderId="9" xfId="0" applyFont="true" applyBorder="true" applyAlignment="true" applyProtection="true">
      <alignment horizontal="general" vertical="bottom" textRotation="0" wrapText="false" indent="0" shrinkToFit="false"/>
      <protection locked="true" hidden="false"/>
    </xf>
    <xf numFmtId="174" fontId="0" fillId="0" borderId="83" xfId="0" applyFont="false" applyBorder="true" applyAlignment="true" applyProtection="true">
      <alignment horizontal="general" vertical="bottom" textRotation="0" wrapText="false" indent="0" shrinkToFit="false"/>
      <protection locked="true" hidden="false"/>
    </xf>
    <xf numFmtId="164" fontId="72" fillId="0" borderId="9" xfId="0" applyFont="true" applyBorder="true" applyAlignment="true" applyProtection="true">
      <alignment horizontal="general" vertical="bottom" textRotation="0" wrapText="false" indent="0" shrinkToFit="false"/>
      <protection locked="true" hidden="false"/>
    </xf>
    <xf numFmtId="174" fontId="72" fillId="0" borderId="83" xfId="0" applyFont="true" applyBorder="true" applyAlignment="true" applyProtection="true">
      <alignment horizontal="general" vertical="bottom" textRotation="0" wrapText="false" indent="0" shrinkToFit="false"/>
      <protection locked="true" hidden="false"/>
    </xf>
    <xf numFmtId="164" fontId="73" fillId="0" borderId="9" xfId="0" applyFont="true" applyBorder="true" applyAlignment="true" applyProtection="true">
      <alignment horizontal="general" vertical="bottom" textRotation="0" wrapText="false" indent="0" shrinkToFit="false"/>
      <protection locked="true" hidden="false"/>
    </xf>
    <xf numFmtId="174" fontId="73" fillId="0" borderId="83" xfId="0" applyFont="true" applyBorder="true" applyAlignment="true" applyProtection="true">
      <alignment horizontal="general" vertical="bottom" textRotation="0" wrapText="false" indent="0" shrinkToFit="false"/>
      <protection locked="true" hidden="false"/>
    </xf>
    <xf numFmtId="164" fontId="0" fillId="2" borderId="9" xfId="0" applyFont="false" applyBorder="true" applyAlignment="true" applyProtection="true">
      <alignment horizontal="general" vertical="bottom" textRotation="0" wrapText="false" indent="0" shrinkToFit="false"/>
      <protection locked="true" hidden="false"/>
    </xf>
    <xf numFmtId="174" fontId="0" fillId="2" borderId="83" xfId="0" applyFont="false" applyBorder="true" applyAlignment="true" applyProtection="true">
      <alignment horizontal="general" vertical="bottom" textRotation="0" wrapText="false" indent="0" shrinkToFit="false"/>
      <protection locked="true" hidden="false"/>
    </xf>
    <xf numFmtId="164" fontId="0" fillId="7" borderId="84" xfId="0" applyFont="true" applyBorder="true" applyAlignment="true" applyProtection="true">
      <alignment horizontal="general" vertical="bottom" textRotation="0" wrapText="false" indent="0" shrinkToFit="false"/>
      <protection locked="true" hidden="false"/>
    </xf>
    <xf numFmtId="176" fontId="0" fillId="7" borderId="85" xfId="0" applyFont="false" applyBorder="true" applyAlignment="true" applyProtection="true">
      <alignment horizontal="general" vertical="bottom" textRotation="0" wrapText="false" indent="0" shrinkToFit="false"/>
      <protection locked="true" hidden="false"/>
    </xf>
    <xf numFmtId="174" fontId="0" fillId="7" borderId="85" xfId="0" applyFont="false" applyBorder="true" applyAlignment="true" applyProtection="true">
      <alignment horizontal="general" vertical="bottom" textRotation="0" wrapText="false" indent="0" shrinkToFit="false"/>
      <protection locked="true" hidden="false"/>
    </xf>
    <xf numFmtId="174" fontId="0" fillId="6" borderId="83" xfId="0" applyFont="false" applyBorder="true" applyAlignment="true" applyProtection="true">
      <alignment horizontal="general" vertical="bottom" textRotation="0" wrapText="false" indent="0" shrinkToFit="false"/>
      <protection locked="true" hidden="false"/>
    </xf>
    <xf numFmtId="164" fontId="0" fillId="7" borderId="9" xfId="0" applyFont="true" applyBorder="true" applyAlignment="true" applyProtection="true">
      <alignment horizontal="general" vertical="bottom" textRotation="0" wrapText="false" indent="0" shrinkToFit="false"/>
      <protection locked="true" hidden="false"/>
    </xf>
    <xf numFmtId="176" fontId="0" fillId="7" borderId="83" xfId="0" applyFont="false" applyBorder="true" applyAlignment="true" applyProtection="true">
      <alignment horizontal="general" vertical="bottom" textRotation="0" wrapText="false" indent="0" shrinkToFit="false"/>
      <protection locked="true" hidden="false"/>
    </xf>
    <xf numFmtId="176" fontId="0" fillId="2" borderId="83" xfId="0" applyFont="false" applyBorder="true" applyAlignment="true" applyProtection="true">
      <alignment horizontal="general" vertical="bottom" textRotation="0" wrapText="false" indent="0" shrinkToFit="false"/>
      <protection locked="true" hidden="false"/>
    </xf>
    <xf numFmtId="174" fontId="0" fillId="7" borderId="9" xfId="0" applyFont="false" applyBorder="true" applyAlignment="true" applyProtection="true">
      <alignment horizontal="general" vertical="bottom" textRotation="0" wrapText="false" indent="0" shrinkToFit="false"/>
      <protection locked="true" hidden="false"/>
    </xf>
    <xf numFmtId="174" fontId="0" fillId="7" borderId="83" xfId="0" applyFont="false" applyBorder="true" applyAlignment="true" applyProtection="true">
      <alignment horizontal="general" vertical="bottom" textRotation="0" wrapText="false" indent="0" shrinkToFit="false"/>
      <protection locked="true" hidden="false"/>
    </xf>
    <xf numFmtId="164" fontId="0" fillId="7" borderId="86" xfId="0" applyFont="true" applyBorder="true" applyAlignment="true" applyProtection="true">
      <alignment horizontal="general" vertical="bottom" textRotation="0" wrapText="false" indent="0" shrinkToFit="false"/>
      <protection locked="true" hidden="false"/>
    </xf>
    <xf numFmtId="176" fontId="0" fillId="7" borderId="87" xfId="0" applyFont="false" applyBorder="true" applyAlignment="true" applyProtection="true">
      <alignment horizontal="general" vertical="bottom" textRotation="0" wrapText="false" indent="0" shrinkToFit="false"/>
      <protection locked="true" hidden="false"/>
    </xf>
    <xf numFmtId="174" fontId="0" fillId="7" borderId="87" xfId="0" applyFont="false" applyBorder="true" applyAlignment="true" applyProtection="true">
      <alignment horizontal="general" vertical="bottom" textRotation="0" wrapText="false" indent="0" shrinkToFit="false"/>
      <protection locked="true" hidden="false"/>
    </xf>
    <xf numFmtId="164" fontId="17" fillId="22" borderId="84" xfId="0" applyFont="true" applyBorder="true" applyAlignment="true" applyProtection="true">
      <alignment horizontal="general" vertical="bottom" textRotation="0" wrapText="false" indent="0" shrinkToFit="false"/>
      <protection locked="true" hidden="false"/>
    </xf>
    <xf numFmtId="176" fontId="0" fillId="22" borderId="85" xfId="0" applyFont="false" applyBorder="true" applyAlignment="true" applyProtection="true">
      <alignment horizontal="general" vertical="bottom" textRotation="0" wrapText="false" indent="0" shrinkToFit="false"/>
      <protection locked="true" hidden="false"/>
    </xf>
    <xf numFmtId="174" fontId="0" fillId="22" borderId="85" xfId="0" applyFont="false" applyBorder="true" applyAlignment="true" applyProtection="true">
      <alignment horizontal="general" vertical="bottom" textRotation="0" wrapText="false" indent="0" shrinkToFit="false"/>
      <protection locked="true" hidden="false"/>
    </xf>
    <xf numFmtId="164" fontId="0" fillId="22" borderId="84" xfId="0" applyFont="false" applyBorder="true" applyAlignment="true" applyProtection="true">
      <alignment horizontal="general" vertical="bottom" textRotation="0" wrapText="false" indent="0" shrinkToFit="false"/>
      <protection locked="true" hidden="false"/>
    </xf>
    <xf numFmtId="164" fontId="17" fillId="22" borderId="9" xfId="0" applyFont="true" applyBorder="true" applyAlignment="true" applyProtection="true">
      <alignment horizontal="general" vertical="bottom" textRotation="0" wrapText="false" indent="0" shrinkToFit="false"/>
      <protection locked="true" hidden="false"/>
    </xf>
    <xf numFmtId="164" fontId="0" fillId="6" borderId="9" xfId="0" applyFont="true" applyBorder="true" applyAlignment="true" applyProtection="true">
      <alignment horizontal="general" vertical="bottom" textRotation="0" wrapText="false" indent="0" shrinkToFit="false"/>
      <protection locked="true" hidden="false"/>
    </xf>
    <xf numFmtId="164" fontId="17" fillId="22" borderId="86" xfId="0" applyFont="true" applyBorder="true" applyAlignment="true" applyProtection="true">
      <alignment horizontal="general" vertical="bottom" textRotation="0" wrapText="false" indent="0" shrinkToFit="false"/>
      <protection locked="true" hidden="false"/>
    </xf>
    <xf numFmtId="176" fontId="0" fillId="22" borderId="87" xfId="0" applyFont="false" applyBorder="true" applyAlignment="true" applyProtection="true">
      <alignment horizontal="general" vertical="bottom" textRotation="0" wrapText="false" indent="0" shrinkToFit="false"/>
      <protection locked="true" hidden="false"/>
    </xf>
    <xf numFmtId="164" fontId="0" fillId="22" borderId="86" xfId="0" applyFont="true" applyBorder="true" applyAlignment="true" applyProtection="true">
      <alignment horizontal="general" vertical="bottom" textRotation="0" wrapText="false" indent="0" shrinkToFit="false"/>
      <protection locked="true" hidden="false"/>
    </xf>
    <xf numFmtId="174" fontId="0" fillId="22" borderId="87" xfId="0" applyFont="false" applyBorder="true" applyAlignment="true" applyProtection="true">
      <alignment horizontal="general" vertical="bottom" textRotation="0" wrapText="false" indent="0" shrinkToFit="false"/>
      <protection locked="true" hidden="false"/>
    </xf>
    <xf numFmtId="164" fontId="17" fillId="7" borderId="84" xfId="0" applyFont="true" applyBorder="true" applyAlignment="true" applyProtection="true">
      <alignment horizontal="general" vertical="bottom" textRotation="0" wrapText="false" indent="0" shrinkToFit="false"/>
      <protection locked="true" hidden="false"/>
    </xf>
    <xf numFmtId="164" fontId="17" fillId="7" borderId="9" xfId="0" applyFont="true" applyBorder="true" applyAlignment="true" applyProtection="true">
      <alignment horizontal="general" vertical="bottom" textRotation="0" wrapText="false" indent="0" shrinkToFit="false"/>
      <protection locked="true" hidden="false"/>
    </xf>
    <xf numFmtId="164" fontId="17" fillId="7" borderId="86" xfId="0" applyFont="true" applyBorder="true" applyAlignment="true" applyProtection="true">
      <alignment horizontal="general" vertical="bottom" textRotation="0" wrapText="false" indent="0" shrinkToFit="false"/>
      <protection locked="true" hidden="false"/>
    </xf>
    <xf numFmtId="174" fontId="0" fillId="22" borderId="9" xfId="0" applyFont="false" applyBorder="true" applyAlignment="true" applyProtection="true">
      <alignment horizontal="general" vertical="bottom" textRotation="0" wrapText="false" indent="0" shrinkToFit="false"/>
      <protection locked="true" hidden="false"/>
    </xf>
    <xf numFmtId="164" fontId="0" fillId="0" borderId="84" xfId="0" applyFont="false" applyBorder="true" applyAlignment="true" applyProtection="true">
      <alignment horizontal="general" vertical="bottom" textRotation="0" wrapText="false" indent="0" shrinkToFit="false"/>
      <protection locked="true" hidden="false"/>
    </xf>
    <xf numFmtId="164" fontId="0" fillId="0" borderId="88" xfId="0" applyFont="true" applyBorder="true" applyAlignment="true" applyProtection="true">
      <alignment horizontal="general" vertical="bottom" textRotation="0" wrapText="false" indent="0" shrinkToFit="false"/>
      <protection locked="true" hidden="false"/>
    </xf>
    <xf numFmtId="174" fontId="0" fillId="0" borderId="88" xfId="0" applyFont="false" applyBorder="true" applyAlignment="true" applyProtection="true">
      <alignment horizontal="general" vertical="bottom" textRotation="0" wrapText="false" indent="0" shrinkToFit="false"/>
      <protection locked="true" hidden="false"/>
    </xf>
    <xf numFmtId="176" fontId="0" fillId="6" borderId="9" xfId="0" applyFont="false" applyBorder="true" applyAlignment="true" applyProtection="true">
      <alignment horizontal="general" vertical="bottom" textRotation="0" wrapText="false" indent="0" shrinkToFit="false"/>
      <protection locked="true" hidden="false"/>
    </xf>
    <xf numFmtId="174" fontId="0" fillId="0" borderId="85" xfId="0" applyFont="false" applyBorder="true" applyAlignment="true" applyProtection="true">
      <alignment horizontal="general" vertical="bottom" textRotation="0" wrapText="false" indent="0" shrinkToFit="false"/>
      <protection locked="true" hidden="false"/>
    </xf>
    <xf numFmtId="164" fontId="0" fillId="6" borderId="84" xfId="0" applyFont="true" applyBorder="true" applyAlignment="true" applyProtection="true">
      <alignment horizontal="general" vertical="bottom" textRotation="0" wrapText="false" indent="0" shrinkToFit="false"/>
      <protection locked="true" hidden="false"/>
    </xf>
    <xf numFmtId="176" fontId="0" fillId="6" borderId="85" xfId="0" applyFont="false" applyBorder="true" applyAlignment="true" applyProtection="true">
      <alignment horizontal="general" vertical="bottom" textRotation="0" wrapText="false" indent="0" shrinkToFit="false"/>
      <protection locked="true" hidden="false"/>
    </xf>
    <xf numFmtId="164" fontId="72" fillId="0" borderId="84" xfId="0" applyFont="true" applyBorder="true" applyAlignment="true" applyProtection="true">
      <alignment horizontal="general" vertical="bottom" textRotation="0" wrapText="false" indent="0" shrinkToFit="false"/>
      <protection locked="true" hidden="false"/>
    </xf>
    <xf numFmtId="174" fontId="72" fillId="0" borderId="85" xfId="0" applyFont="true" applyBorder="true" applyAlignment="true" applyProtection="true">
      <alignment horizontal="general" vertical="bottom" textRotation="0" wrapText="false" indent="0" shrinkToFit="false"/>
      <protection locked="true" hidden="false"/>
    </xf>
    <xf numFmtId="164" fontId="75" fillId="0" borderId="84" xfId="0" applyFont="true" applyBorder="true" applyAlignment="true" applyProtection="true">
      <alignment horizontal="general" vertical="bottom" textRotation="0" wrapText="false" indent="0" shrinkToFit="false"/>
      <protection locked="true" hidden="false"/>
    </xf>
    <xf numFmtId="174" fontId="73" fillId="0" borderId="85" xfId="0" applyFont="true" applyBorder="true" applyAlignment="true" applyProtection="true">
      <alignment horizontal="general" vertical="bottom" textRotation="0" wrapText="false" indent="0" shrinkToFit="false"/>
      <protection locked="true" hidden="false"/>
    </xf>
    <xf numFmtId="174" fontId="17" fillId="22" borderId="87" xfId="0" applyFont="true" applyBorder="true" applyAlignment="true" applyProtection="true">
      <alignment horizontal="general" vertical="bottom" textRotation="0" wrapText="false" indent="0" shrinkToFit="false"/>
      <protection locked="true" hidden="false"/>
    </xf>
    <xf numFmtId="164" fontId="0" fillId="2" borderId="9" xfId="297" applyFont="true" applyBorder="true" applyAlignment="true" applyProtection="true">
      <alignment horizontal="general" vertical="bottom" textRotation="0" wrapText="false" indent="0" shrinkToFit="false"/>
      <protection locked="true" hidden="false"/>
    </xf>
    <xf numFmtId="164" fontId="0" fillId="0" borderId="86" xfId="0" applyFont="false" applyBorder="true" applyAlignment="true" applyProtection="true">
      <alignment horizontal="general" vertical="bottom" textRotation="0" wrapText="false" indent="0" shrinkToFit="false"/>
      <protection locked="true" hidden="false"/>
    </xf>
    <xf numFmtId="164" fontId="0" fillId="0" borderId="87" xfId="0" applyFont="false" applyBorder="true" applyAlignment="true" applyProtection="true">
      <alignment horizontal="general" vertical="bottom" textRotation="0" wrapText="false" indent="0" shrinkToFit="false"/>
      <protection locked="true" hidden="false"/>
    </xf>
    <xf numFmtId="174" fontId="0" fillId="0" borderId="87" xfId="0" applyFont="false" applyBorder="true" applyAlignment="true" applyProtection="true">
      <alignment horizontal="general" vertical="bottom" textRotation="0" wrapText="false" indent="0" shrinkToFit="false"/>
      <protection locked="true" hidden="false"/>
    </xf>
    <xf numFmtId="174" fontId="0" fillId="0" borderId="86" xfId="0" applyFont="false" applyBorder="true" applyAlignment="true" applyProtection="true">
      <alignment horizontal="general" vertical="bottom" textRotation="0" wrapText="false" indent="0" shrinkToFit="false"/>
      <protection locked="true" hidden="false"/>
    </xf>
    <xf numFmtId="164" fontId="72" fillId="0" borderId="86" xfId="0" applyFont="true" applyBorder="true" applyAlignment="true" applyProtection="true">
      <alignment horizontal="general" vertical="bottom" textRotation="0" wrapText="false" indent="0" shrinkToFit="false"/>
      <protection locked="true" hidden="false"/>
    </xf>
    <xf numFmtId="174" fontId="72" fillId="0" borderId="87" xfId="0" applyFont="true" applyBorder="true" applyAlignment="true" applyProtection="true">
      <alignment horizontal="general" vertical="bottom" textRotation="0" wrapText="false" indent="0" shrinkToFit="false"/>
      <protection locked="true" hidden="false"/>
    </xf>
    <xf numFmtId="164" fontId="73" fillId="0" borderId="86" xfId="0" applyFont="true" applyBorder="true" applyAlignment="true" applyProtection="true">
      <alignment horizontal="general" vertical="bottom" textRotation="0" wrapText="false" indent="0" shrinkToFit="false"/>
      <protection locked="true" hidden="false"/>
    </xf>
    <xf numFmtId="174" fontId="73" fillId="0" borderId="87" xfId="0" applyFont="true" applyBorder="true" applyAlignment="true" applyProtection="true">
      <alignment horizontal="general" vertical="bottom" textRotation="0" wrapText="false" indent="0" shrinkToFit="false"/>
      <protection locked="true" hidden="false"/>
    </xf>
    <xf numFmtId="164" fontId="0" fillId="0" borderId="84" xfId="0" applyFont="false" applyBorder="true" applyAlignment="true" applyProtection="true">
      <alignment horizontal="general" vertical="bottom" textRotation="0" wrapText="false" indent="0" shrinkToFit="true"/>
      <protection locked="true" hidden="false"/>
    </xf>
    <xf numFmtId="164" fontId="0" fillId="0" borderId="88" xfId="0" applyFont="true" applyBorder="true" applyAlignment="true" applyProtection="true">
      <alignment horizontal="general" vertical="bottom" textRotation="0" wrapText="false" indent="0" shrinkToFit="true"/>
      <protection locked="true" hidden="false"/>
    </xf>
    <xf numFmtId="170" fontId="17" fillId="25" borderId="0" xfId="0" applyFont="true" applyBorder="false" applyAlignment="true" applyProtection="true">
      <alignment horizontal="general" vertical="bottom" textRotation="0" wrapText="false" indent="0" shrinkToFit="true"/>
      <protection locked="true" hidden="false"/>
    </xf>
    <xf numFmtId="164" fontId="0" fillId="0" borderId="85" xfId="0" applyFont="false" applyBorder="true" applyAlignment="true" applyProtection="true">
      <alignment horizontal="general" vertical="bottom" textRotation="0" wrapText="false" indent="0" shrinkToFit="true"/>
      <protection locked="true" hidden="false"/>
    </xf>
    <xf numFmtId="164" fontId="0" fillId="0" borderId="9" xfId="0" applyFont="false" applyBorder="true" applyAlignment="true" applyProtection="true">
      <alignment horizontal="general" vertical="bottom" textRotation="0" wrapText="false" indent="0" shrinkToFit="true"/>
      <protection locked="true" hidden="false"/>
    </xf>
    <xf numFmtId="164" fontId="17" fillId="25" borderId="0" xfId="0" applyFont="true" applyBorder="false" applyAlignment="true" applyProtection="true">
      <alignment horizontal="general" vertical="bottom" textRotation="0" wrapText="false" indent="0" shrinkToFit="true"/>
      <protection locked="true" hidden="false"/>
    </xf>
    <xf numFmtId="164" fontId="0" fillId="0" borderId="83" xfId="0" applyFont="false" applyBorder="true" applyAlignment="true" applyProtection="true">
      <alignment horizontal="general" vertical="bottom" textRotation="0" wrapText="false" indent="0" shrinkToFit="true"/>
      <protection locked="true" hidden="false"/>
    </xf>
    <xf numFmtId="192" fontId="0" fillId="0" borderId="0" xfId="0" applyFont="false" applyBorder="false" applyAlignment="true" applyProtection="true">
      <alignment horizontal="general" vertical="bottom" textRotation="0" wrapText="false" indent="0" shrinkToFit="true"/>
      <protection locked="true" hidden="false"/>
    </xf>
    <xf numFmtId="170" fontId="0" fillId="0" borderId="0" xfId="0" applyFont="false" applyBorder="false" applyAlignment="true" applyProtection="true">
      <alignment horizontal="general" vertical="bottom" textRotation="0" wrapText="false" indent="0" shrinkToFit="true"/>
      <protection locked="true" hidden="false"/>
    </xf>
    <xf numFmtId="170" fontId="0" fillId="0" borderId="83" xfId="0" applyFont="false" applyBorder="true" applyAlignment="true" applyProtection="true">
      <alignment horizontal="general" vertical="bottom" textRotation="0" wrapText="false" indent="0" shrinkToFit="true"/>
      <protection locked="true" hidden="false"/>
    </xf>
    <xf numFmtId="164" fontId="0" fillId="0" borderId="0" xfId="0" applyFont="false" applyBorder="true" applyAlignment="true" applyProtection="true">
      <alignment horizontal="center" vertical="bottom" textRotation="0" wrapText="true" indent="0" shrinkToFit="true"/>
      <protection locked="true" hidden="false"/>
    </xf>
    <xf numFmtId="174" fontId="0" fillId="0" borderId="0" xfId="0" applyFont="false" applyBorder="false" applyAlignment="true" applyProtection="true">
      <alignment horizontal="general" vertical="bottom" textRotation="0" wrapText="false" indent="0" shrinkToFit="true"/>
      <protection locked="true" hidden="false"/>
    </xf>
    <xf numFmtId="164" fontId="0" fillId="25" borderId="83" xfId="0" applyFont="false" applyBorder="true" applyAlignment="true" applyProtection="true">
      <alignment horizontal="general" vertical="bottom" textRotation="0" wrapText="false" indent="0" shrinkToFit="true"/>
      <protection locked="true" hidden="false"/>
    </xf>
    <xf numFmtId="165" fontId="17" fillId="0" borderId="0" xfId="0" applyFont="true" applyBorder="false" applyAlignment="true" applyProtection="true">
      <alignment horizontal="general" vertical="bottom" textRotation="0" wrapText="true" indent="0" shrinkToFit="true"/>
      <protection locked="true" hidden="false"/>
    </xf>
    <xf numFmtId="165" fontId="17" fillId="0" borderId="83" xfId="0" applyFont="true" applyBorder="true" applyAlignment="true" applyProtection="true">
      <alignment horizontal="general" vertical="bottom" textRotation="0" wrapText="false" indent="0" shrinkToFit="true"/>
      <protection locked="true" hidden="false"/>
    </xf>
    <xf numFmtId="164" fontId="0" fillId="25" borderId="0" xfId="0" applyFont="false" applyBorder="false" applyAlignment="true" applyProtection="true">
      <alignment horizontal="general" vertical="bottom" textRotation="0" wrapText="false" indent="0" shrinkToFit="true"/>
      <protection locked="true" hidden="false"/>
    </xf>
    <xf numFmtId="164" fontId="0" fillId="0" borderId="9" xfId="0" applyFont="false" applyBorder="true" applyAlignment="true" applyProtection="true">
      <alignment horizontal="right" vertical="bottom" textRotation="0" wrapText="false" indent="0" shrinkToFit="true"/>
      <protection locked="true" hidden="false"/>
    </xf>
    <xf numFmtId="164" fontId="17" fillId="0" borderId="0" xfId="0" applyFont="true" applyBorder="false" applyAlignment="true" applyProtection="true">
      <alignment horizontal="center" vertical="bottom" textRotation="0" wrapText="false" indent="0" shrinkToFit="true"/>
      <protection locked="true" hidden="false"/>
    </xf>
    <xf numFmtId="164" fontId="17" fillId="0" borderId="83" xfId="0" applyFont="true" applyBorder="true" applyAlignment="true" applyProtection="true">
      <alignment horizontal="center" vertical="bottom" textRotation="0" wrapText="false" indent="0" shrinkToFit="true"/>
      <protection locked="true" hidden="false"/>
    </xf>
    <xf numFmtId="164" fontId="0" fillId="0" borderId="0" xfId="0" applyFont="true" applyBorder="false" applyAlignment="true" applyProtection="true">
      <alignment horizontal="center" vertical="bottom" textRotation="0" wrapText="false" indent="0" shrinkToFit="true"/>
      <protection locked="true" hidden="false"/>
    </xf>
    <xf numFmtId="174" fontId="0" fillId="0" borderId="0" xfId="0" applyFont="false" applyBorder="false" applyAlignment="true" applyProtection="true">
      <alignment horizontal="center" vertical="bottom" textRotation="0" wrapText="false" indent="0" shrinkToFit="true"/>
      <protection locked="true" hidden="false"/>
    </xf>
    <xf numFmtId="164" fontId="0" fillId="0" borderId="0" xfId="0" applyFont="false" applyBorder="false" applyAlignment="true" applyProtection="true">
      <alignment horizontal="center" vertical="bottom" textRotation="0" wrapText="false" indent="0" shrinkToFit="true"/>
      <protection locked="true" hidden="false"/>
    </xf>
    <xf numFmtId="170" fontId="17" fillId="25" borderId="0" xfId="0" applyFont="true" applyBorder="false" applyAlignment="true" applyProtection="true">
      <alignment horizontal="center" vertical="bottom" textRotation="0" wrapText="false" indent="0" shrinkToFit="true"/>
      <protection locked="true" hidden="false"/>
    </xf>
    <xf numFmtId="170" fontId="0" fillId="0" borderId="83" xfId="0" applyFont="false" applyBorder="true" applyAlignment="true" applyProtection="true">
      <alignment horizontal="center" vertical="bottom" textRotation="0" wrapText="false" indent="0" shrinkToFit="true"/>
      <protection locked="true" hidden="false"/>
    </xf>
    <xf numFmtId="170" fontId="0" fillId="0" borderId="0" xfId="0" applyFont="false" applyBorder="false" applyAlignment="true" applyProtection="true">
      <alignment horizontal="center" vertical="bottom" textRotation="0" wrapText="false" indent="0" shrinkToFit="true"/>
      <protection locked="true" hidden="false"/>
    </xf>
    <xf numFmtId="170" fontId="17" fillId="0" borderId="0" xfId="0" applyFont="true" applyBorder="false" applyAlignment="true" applyProtection="true">
      <alignment horizontal="center" vertical="bottom" textRotation="0" wrapText="false" indent="0" shrinkToFit="true"/>
      <protection locked="true" hidden="false"/>
    </xf>
    <xf numFmtId="170" fontId="17" fillId="0" borderId="83" xfId="0" applyFont="true" applyBorder="true" applyAlignment="true" applyProtection="true">
      <alignment horizontal="center" vertical="bottom" textRotation="0" wrapText="false" indent="0" shrinkToFit="true"/>
      <protection locked="true" hidden="false"/>
    </xf>
    <xf numFmtId="174" fontId="0" fillId="0" borderId="12" xfId="0" applyFont="false" applyBorder="true" applyAlignment="true" applyProtection="true">
      <alignment horizontal="center" vertical="bottom" textRotation="0" wrapText="false" indent="0" shrinkToFit="true"/>
      <protection locked="true" hidden="false"/>
    </xf>
    <xf numFmtId="164" fontId="0" fillId="0" borderId="12" xfId="0" applyFont="false" applyBorder="true" applyAlignment="true" applyProtection="true">
      <alignment horizontal="center" vertical="bottom" textRotation="0" wrapText="false" indent="0" shrinkToFit="true"/>
      <protection locked="true" hidden="false"/>
    </xf>
    <xf numFmtId="170" fontId="0" fillId="0" borderId="12" xfId="0" applyFont="false" applyBorder="true" applyAlignment="true" applyProtection="true">
      <alignment horizontal="center" vertical="bottom" textRotation="0" wrapText="false" indent="0" shrinkToFit="true"/>
      <protection locked="true" hidden="false"/>
    </xf>
    <xf numFmtId="164" fontId="0" fillId="0" borderId="86" xfId="0" applyFont="false" applyBorder="true" applyAlignment="true" applyProtection="true">
      <alignment horizontal="right" vertical="bottom" textRotation="0" wrapText="false" indent="0" shrinkToFit="true"/>
      <protection locked="true" hidden="false"/>
    </xf>
    <xf numFmtId="164" fontId="0" fillId="0" borderId="89" xfId="0" applyFont="false" applyBorder="true" applyAlignment="true" applyProtection="true">
      <alignment horizontal="center" vertical="bottom" textRotation="0" wrapText="false" indent="0" shrinkToFit="true"/>
      <protection locked="true" hidden="false"/>
    </xf>
    <xf numFmtId="170" fontId="0" fillId="0" borderId="89" xfId="0" applyFont="false" applyBorder="true" applyAlignment="true" applyProtection="true">
      <alignment horizontal="center" vertical="bottom" textRotation="0" wrapText="false" indent="0" shrinkToFit="true"/>
      <protection locked="true" hidden="false"/>
    </xf>
    <xf numFmtId="170" fontId="0" fillId="0" borderId="87" xfId="0" applyFont="false" applyBorder="true" applyAlignment="true" applyProtection="true">
      <alignment horizontal="center" vertical="bottom" textRotation="0" wrapText="false" indent="0" shrinkToFit="true"/>
      <protection locked="true" hidden="false"/>
    </xf>
    <xf numFmtId="164" fontId="0" fillId="0" borderId="89" xfId="0" applyFont="false" applyBorder="true" applyAlignment="true" applyProtection="true">
      <alignment horizontal="general" vertical="bottom" textRotation="0" wrapText="false" indent="0" shrinkToFit="true"/>
      <protection locked="true" hidden="false"/>
    </xf>
    <xf numFmtId="174" fontId="0" fillId="0" borderId="89" xfId="0" applyFont="false" applyBorder="true" applyAlignment="true" applyProtection="true">
      <alignment horizontal="general" vertical="bottom" textRotation="0" wrapText="false" indent="0" shrinkToFit="true"/>
      <protection locked="true" hidden="false"/>
    </xf>
    <xf numFmtId="170" fontId="0" fillId="0" borderId="89" xfId="0" applyFont="false" applyBorder="true" applyAlignment="true" applyProtection="true">
      <alignment horizontal="general" vertical="bottom" textRotation="0" wrapText="false" indent="0" shrinkToFit="true"/>
      <protection locked="true" hidden="false"/>
    </xf>
    <xf numFmtId="170" fontId="0" fillId="0" borderId="87" xfId="0" applyFont="false" applyBorder="true" applyAlignment="true" applyProtection="true">
      <alignment horizontal="general" vertical="bottom" textRotation="0" wrapText="false" indent="0" shrinkToFit="true"/>
      <protection locked="true" hidden="false"/>
    </xf>
    <xf numFmtId="164" fontId="0" fillId="0" borderId="86" xfId="0" applyFont="false" applyBorder="true" applyAlignment="true" applyProtection="true">
      <alignment horizontal="general" vertical="bottom" textRotation="0" wrapText="false" indent="0" shrinkToFit="true"/>
      <protection locked="true" hidden="false"/>
    </xf>
    <xf numFmtId="164" fontId="0" fillId="0" borderId="0" xfId="275" applyFont="true" applyBorder="false" applyAlignment="true" applyProtection="true">
      <alignment horizontal="general" vertical="bottom" textRotation="0" wrapText="false" indent="0" shrinkToFit="false"/>
      <protection locked="true" hidden="false"/>
    </xf>
    <xf numFmtId="164" fontId="0" fillId="0" borderId="0" xfId="275" applyFont="true" applyBorder="false" applyAlignment="true" applyProtection="true">
      <alignment horizontal="center" vertical="center" textRotation="0" wrapText="false" indent="0" shrinkToFit="false"/>
      <protection locked="true" hidden="false"/>
    </xf>
    <xf numFmtId="164" fontId="0" fillId="33" borderId="0" xfId="275" applyFont="true" applyBorder="false" applyAlignment="true" applyProtection="true">
      <alignment horizontal="center" vertical="center" textRotation="0" wrapText="false" indent="0" shrinkToFit="false"/>
      <protection locked="true" hidden="false"/>
    </xf>
    <xf numFmtId="164" fontId="0" fillId="35" borderId="90" xfId="275" applyFont="true" applyBorder="true" applyAlignment="true" applyProtection="true">
      <alignment horizontal="center" vertical="center" textRotation="0" wrapText="false" indent="0" shrinkToFit="false"/>
      <protection locked="true" hidden="false"/>
    </xf>
    <xf numFmtId="165" fontId="0" fillId="0" borderId="0" xfId="275" applyFont="true" applyBorder="false" applyAlignment="true" applyProtection="true">
      <alignment horizontal="general" vertical="bottom" textRotation="0" wrapText="false" indent="0" shrinkToFit="false"/>
      <protection locked="true" hidden="false"/>
    </xf>
    <xf numFmtId="164" fontId="0" fillId="33" borderId="90" xfId="275" applyFont="true" applyBorder="true" applyAlignment="true" applyProtection="true">
      <alignment horizontal="center" vertical="center" textRotation="0" wrapText="false" indent="0" shrinkToFit="false"/>
      <protection locked="true" hidden="false"/>
    </xf>
    <xf numFmtId="164" fontId="0" fillId="34" borderId="0" xfId="275" applyFont="true" applyBorder="false" applyAlignment="true" applyProtection="true">
      <alignment horizontal="center" vertical="center" textRotation="0" wrapText="false" indent="0" shrinkToFit="false"/>
      <protection locked="true" hidden="false"/>
    </xf>
    <xf numFmtId="164" fontId="77" fillId="0" borderId="0" xfId="275" applyFont="true" applyBorder="false" applyAlignment="true" applyProtection="true">
      <alignment horizontal="center" vertical="center" textRotation="0" wrapText="false" indent="0" shrinkToFit="false"/>
      <protection locked="true" hidden="false"/>
    </xf>
    <xf numFmtId="164" fontId="78" fillId="0" borderId="0" xfId="0" applyFont="true" applyBorder="false" applyAlignment="true" applyProtection="true">
      <alignment horizontal="general" vertical="bottom" textRotation="0" wrapText="false" indent="0" shrinkToFit="false"/>
      <protection locked="true" hidden="false"/>
    </xf>
    <xf numFmtId="164" fontId="78" fillId="0" borderId="51" xfId="0" applyFont="true" applyBorder="true" applyAlignment="true" applyProtection="true">
      <alignment horizontal="general" vertical="bottom" textRotation="0" wrapText="false" indent="0" shrinkToFit="false"/>
      <protection locked="true" hidden="false"/>
    </xf>
    <xf numFmtId="164" fontId="78" fillId="0" borderId="52" xfId="0" applyFont="true" applyBorder="tru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78" fillId="0" borderId="47" xfId="0" applyFont="true" applyBorder="true" applyAlignment="true" applyProtection="true">
      <alignment horizontal="general" vertical="bottom" textRotation="0" wrapText="false" indent="0" shrinkToFit="false"/>
      <protection locked="true" hidden="false"/>
    </xf>
    <xf numFmtId="164" fontId="78" fillId="0" borderId="48" xfId="0" applyFont="true" applyBorder="true" applyAlignment="true" applyProtection="true">
      <alignment horizontal="general" vertical="bottom" textRotation="0" wrapText="false" indent="0" shrinkToFit="false"/>
      <protection locked="true" hidden="false"/>
    </xf>
    <xf numFmtId="164" fontId="78" fillId="0" borderId="49" xfId="0" applyFont="true" applyBorder="true" applyAlignment="true" applyProtection="true">
      <alignment horizontal="general" vertical="bottom" textRotation="0" wrapText="false" indent="0" shrinkToFit="false"/>
      <protection locked="true" hidden="false"/>
    </xf>
    <xf numFmtId="164" fontId="79" fillId="36" borderId="91" xfId="0" applyFont="true" applyBorder="true" applyAlignment="true" applyProtection="true">
      <alignment horizontal="center" vertical="bottom" textRotation="0" wrapText="false" indent="0" shrinkToFit="false"/>
      <protection locked="true" hidden="false"/>
    </xf>
    <xf numFmtId="164" fontId="78" fillId="36" borderId="91" xfId="0" applyFont="true" applyBorder="true" applyAlignment="true" applyProtection="true">
      <alignment horizontal="general" vertical="bottom" textRotation="0" wrapText="false" indent="0" shrinkToFit="false"/>
      <protection locked="true" hidden="false"/>
    </xf>
    <xf numFmtId="164" fontId="78" fillId="36" borderId="88" xfId="0" applyFont="true" applyBorder="true" applyAlignment="true" applyProtection="true">
      <alignment horizontal="general" vertical="bottom" textRotation="0" wrapText="false" indent="0" shrinkToFit="false"/>
      <protection locked="true" hidden="false"/>
    </xf>
    <xf numFmtId="164" fontId="25" fillId="36" borderId="91" xfId="0" applyFont="true" applyBorder="true" applyAlignment="true" applyProtection="true">
      <alignment horizontal="general" vertical="bottom" textRotation="0" wrapText="false" indent="0" shrinkToFit="false"/>
      <protection locked="true" hidden="false"/>
    </xf>
    <xf numFmtId="164" fontId="78" fillId="36" borderId="91" xfId="0" applyFont="true" applyBorder="true" applyAlignment="true" applyProtection="true">
      <alignment horizontal="center" vertical="center" textRotation="0" wrapText="false" indent="0" shrinkToFit="false"/>
      <protection locked="true" hidden="false"/>
    </xf>
    <xf numFmtId="164" fontId="78" fillId="36" borderId="92" xfId="0" applyFont="true" applyBorder="true" applyAlignment="true" applyProtection="true">
      <alignment horizontal="general" vertical="bottom" textRotation="0" wrapText="false" indent="0" shrinkToFit="false"/>
      <protection locked="true" hidden="false"/>
    </xf>
    <xf numFmtId="164" fontId="78" fillId="36" borderId="93" xfId="0" applyFont="true" applyBorder="true" applyAlignment="true" applyProtection="true">
      <alignment horizontal="general" vertical="bottom" textRotation="0" wrapText="false" indent="0" shrinkToFit="false"/>
      <protection locked="true" hidden="false"/>
    </xf>
    <xf numFmtId="164" fontId="79" fillId="0" borderId="0" xfId="0" applyFont="true" applyBorder="false" applyAlignment="true" applyProtection="true">
      <alignment horizontal="center" vertical="bottom" textRotation="0" wrapText="false" indent="0" shrinkToFit="false"/>
      <protection locked="true" hidden="false"/>
    </xf>
    <xf numFmtId="164" fontId="78" fillId="0" borderId="0" xfId="0" applyFont="true" applyBorder="true" applyAlignment="true" applyProtection="true">
      <alignment horizontal="center" vertical="center" textRotation="0" wrapText="false" indent="0" shrinkToFit="false"/>
      <protection locked="true" hidden="false"/>
    </xf>
    <xf numFmtId="164" fontId="78" fillId="0" borderId="0" xfId="0" applyFont="true" applyBorder="true" applyAlignment="true" applyProtection="true">
      <alignment horizontal="center" vertical="center" textRotation="0" wrapText="true" indent="0" shrinkToFit="false"/>
      <protection locked="true" hidden="false"/>
    </xf>
    <xf numFmtId="164" fontId="78" fillId="0" borderId="0" xfId="0" applyFont="true" applyBorder="false" applyAlignment="true" applyProtection="true">
      <alignment horizontal="center" vertical="bottom" textRotation="0" wrapText="false" indent="0" shrinkToFit="false"/>
      <protection locked="true" hidden="false"/>
    </xf>
    <xf numFmtId="164" fontId="78" fillId="0" borderId="54" xfId="0" applyFont="true" applyBorder="true" applyAlignment="true" applyProtection="true">
      <alignment horizontal="general" vertical="bottom" textRotation="0" wrapText="false" indent="0" shrinkToFit="false"/>
      <protection locked="true" hidden="false"/>
    </xf>
    <xf numFmtId="164" fontId="78" fillId="0" borderId="55" xfId="0" applyFont="true" applyBorder="true" applyAlignment="true" applyProtection="true">
      <alignment horizontal="general" vertical="bottom" textRotation="0" wrapText="false" indent="0" shrinkToFit="false"/>
      <protection locked="true" hidden="false"/>
    </xf>
    <xf numFmtId="164" fontId="78" fillId="0" borderId="56" xfId="0" applyFont="true" applyBorder="true" applyAlignment="true" applyProtection="true">
      <alignment horizontal="general" vertical="bottom" textRotation="0" wrapText="false" indent="0" shrinkToFit="false"/>
      <protection locked="true" hidden="false"/>
    </xf>
    <xf numFmtId="164" fontId="78" fillId="0" borderId="0" xfId="0" applyFont="true" applyBorder="false" applyAlignment="true" applyProtection="true">
      <alignment horizontal="center" vertical="center" textRotation="0" wrapText="false" indent="0" shrinkToFit="false"/>
      <protection locked="true" hidden="false"/>
    </xf>
    <xf numFmtId="164" fontId="78" fillId="0" borderId="0" xfId="0" applyFont="true" applyBorder="true" applyAlignment="true" applyProtection="true">
      <alignment horizontal="center" vertical="bottom" textRotation="0" wrapText="false" indent="0" shrinkToFit="false"/>
      <protection locked="true" hidden="false"/>
    </xf>
    <xf numFmtId="164" fontId="11" fillId="0" borderId="4" xfId="321" applyFont="true" applyBorder="true" applyAlignment="true" applyProtection="true">
      <alignment horizontal="center" vertical="bottom" textRotation="0" wrapText="false" indent="0" shrinkToFit="false"/>
      <protection locked="true" hidden="false"/>
    </xf>
    <xf numFmtId="164" fontId="78" fillId="7" borderId="47" xfId="0" applyFont="true" applyBorder="true" applyAlignment="true" applyProtection="true">
      <alignment horizontal="general" vertical="bottom" textRotation="0" wrapText="false" indent="0" shrinkToFit="false"/>
      <protection locked="true" hidden="false"/>
    </xf>
    <xf numFmtId="164" fontId="78" fillId="10" borderId="48" xfId="0" applyFont="true" applyBorder="true" applyAlignment="true" applyProtection="true">
      <alignment horizontal="general" vertical="bottom" textRotation="0" wrapText="false" indent="0" shrinkToFit="false"/>
      <protection locked="true" hidden="false"/>
    </xf>
    <xf numFmtId="164" fontId="78" fillId="6" borderId="48" xfId="0" applyFont="true" applyBorder="true" applyAlignment="true" applyProtection="true">
      <alignment horizontal="general" vertical="bottom" textRotation="0" wrapText="false" indent="0" shrinkToFit="false"/>
      <protection locked="true" hidden="false"/>
    </xf>
    <xf numFmtId="164" fontId="78" fillId="8" borderId="49" xfId="0" applyFont="true" applyBorder="true" applyAlignment="true" applyProtection="true">
      <alignment horizontal="general" vertical="bottom" textRotation="0" wrapText="false" indent="0" shrinkToFit="false"/>
      <protection locked="true" hidden="false"/>
    </xf>
    <xf numFmtId="164" fontId="78" fillId="7" borderId="51" xfId="0" applyFont="true" applyBorder="true" applyAlignment="true" applyProtection="true">
      <alignment horizontal="general" vertical="bottom" textRotation="0" wrapText="false" indent="0" shrinkToFit="false"/>
      <protection locked="true" hidden="false"/>
    </xf>
    <xf numFmtId="164" fontId="78" fillId="10" borderId="0" xfId="0" applyFont="true" applyBorder="false" applyAlignment="true" applyProtection="true">
      <alignment horizontal="general" vertical="bottom" textRotation="0" wrapText="false" indent="0" shrinkToFit="false"/>
      <protection locked="true" hidden="false"/>
    </xf>
    <xf numFmtId="164" fontId="78" fillId="6" borderId="0" xfId="0" applyFont="true" applyBorder="false" applyAlignment="true" applyProtection="true">
      <alignment horizontal="general" vertical="bottom" textRotation="0" wrapText="false" indent="0" shrinkToFit="false"/>
      <protection locked="true" hidden="false"/>
    </xf>
    <xf numFmtId="164" fontId="78" fillId="8" borderId="52" xfId="0" applyFont="true" applyBorder="true" applyAlignment="true" applyProtection="true">
      <alignment horizontal="general" vertical="bottom" textRotation="0" wrapText="false" indent="0" shrinkToFit="false"/>
      <protection locked="true" hidden="false"/>
    </xf>
    <xf numFmtId="164" fontId="78" fillId="7" borderId="54" xfId="0" applyFont="true" applyBorder="true" applyAlignment="true" applyProtection="true">
      <alignment horizontal="general" vertical="bottom" textRotation="0" wrapText="false" indent="0" shrinkToFit="false"/>
      <protection locked="true" hidden="false"/>
    </xf>
    <xf numFmtId="164" fontId="78" fillId="10" borderId="55" xfId="0" applyFont="true" applyBorder="true" applyAlignment="true" applyProtection="true">
      <alignment horizontal="general" vertical="bottom" textRotation="0" wrapText="false" indent="0" shrinkToFit="false"/>
      <protection locked="true" hidden="false"/>
    </xf>
    <xf numFmtId="164" fontId="78" fillId="6" borderId="55" xfId="0" applyFont="true" applyBorder="true" applyAlignment="true" applyProtection="true">
      <alignment horizontal="general" vertical="bottom" textRotation="0" wrapText="false" indent="0" shrinkToFit="false"/>
      <protection locked="true" hidden="false"/>
    </xf>
    <xf numFmtId="164" fontId="78" fillId="8" borderId="56" xfId="0" applyFont="true" applyBorder="true" applyAlignment="true" applyProtection="true">
      <alignment horizontal="general" vertical="bottom" textRotation="0" wrapText="false" indent="0" shrinkToFit="false"/>
      <protection locked="true" hidden="false"/>
    </xf>
    <xf numFmtId="164" fontId="78" fillId="7" borderId="0" xfId="0" applyFont="true" applyBorder="false" applyAlignment="true" applyProtection="true">
      <alignment horizontal="general" vertical="bottom" textRotation="0" wrapText="false" indent="0" shrinkToFit="false"/>
      <protection locked="true" hidden="false"/>
    </xf>
    <xf numFmtId="164" fontId="78" fillId="8" borderId="0" xfId="0" applyFont="true" applyBorder="false" applyAlignment="true" applyProtection="true">
      <alignment horizontal="general" vertical="bottom" textRotation="0" wrapText="false" indent="0" shrinkToFit="false"/>
      <protection locked="true" hidden="false"/>
    </xf>
    <xf numFmtId="164" fontId="11" fillId="0" borderId="4" xfId="321" applyFont="true" applyBorder="true" applyAlignment="true" applyProtection="true">
      <alignment horizontal="general" vertical="bottom" textRotation="0" wrapText="false" indent="0" shrinkToFit="false"/>
      <protection locked="true" hidden="false"/>
    </xf>
    <xf numFmtId="164" fontId="11" fillId="0" borderId="94" xfId="321" applyFont="true" applyBorder="true" applyAlignment="true" applyProtection="true">
      <alignment horizontal="center" vertical="bottom" textRotation="0" wrapText="false" indent="0" shrinkToFit="false"/>
      <protection locked="true" hidden="false"/>
    </xf>
    <xf numFmtId="164" fontId="78" fillId="37" borderId="9" xfId="0" applyFont="true" applyBorder="true" applyAlignment="true" applyProtection="true">
      <alignment horizontal="general" vertical="bottom" textRotation="0" wrapText="false" indent="0" shrinkToFit="false"/>
      <protection locked="true" hidden="false"/>
    </xf>
    <xf numFmtId="164" fontId="0" fillId="37" borderId="0" xfId="0" applyFont="false" applyBorder="fals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6" borderId="83" xfId="0" applyFont="false" applyBorder="true" applyAlignment="true" applyProtection="true">
      <alignment horizontal="general" vertical="bottom" textRotation="0" wrapText="false" indent="0" shrinkToFit="false"/>
      <protection locked="true" hidden="false"/>
    </xf>
    <xf numFmtId="164" fontId="0" fillId="37" borderId="9" xfId="0" applyFont="false" applyBorder="true" applyAlignment="true" applyProtection="true">
      <alignment horizontal="general" vertical="bottom" textRotation="0" wrapText="false" indent="0" shrinkToFit="false"/>
      <protection locked="true" hidden="false"/>
    </xf>
    <xf numFmtId="164" fontId="0" fillId="0" borderId="83" xfId="0" applyFont="false" applyBorder="true" applyAlignment="true" applyProtection="true">
      <alignment horizontal="general" vertical="bottom" textRotation="0" wrapText="false" indent="0" shrinkToFit="false"/>
      <protection locked="true" hidden="false"/>
    </xf>
    <xf numFmtId="164" fontId="0" fillId="37" borderId="86" xfId="0" applyFont="false" applyBorder="true" applyAlignment="true" applyProtection="true">
      <alignment horizontal="general" vertical="bottom" textRotation="0" wrapText="false" indent="0" shrinkToFit="false"/>
      <protection locked="true" hidden="false"/>
    </xf>
    <xf numFmtId="164" fontId="0" fillId="37" borderId="89" xfId="0" applyFont="false" applyBorder="true" applyAlignment="true" applyProtection="true">
      <alignment horizontal="center" vertical="bottom" textRotation="0" wrapText="false" indent="0" shrinkToFit="false"/>
      <protection locked="true" hidden="false"/>
    </xf>
    <xf numFmtId="164" fontId="0" fillId="0" borderId="89" xfId="0" applyFont="false" applyBorder="true" applyAlignment="true" applyProtection="true">
      <alignment horizontal="general" vertical="bottom" textRotation="0" wrapText="false" indent="0" shrinkToFit="false"/>
      <protection locked="true" hidden="false"/>
    </xf>
    <xf numFmtId="164" fontId="78" fillId="0" borderId="0" xfId="0" applyFont="true" applyBorder="true" applyAlignment="true" applyProtection="true">
      <alignment horizontal="general" vertical="bottom" textRotation="0" wrapText="false" indent="0" shrinkToFit="false"/>
      <protection locked="true" hidden="false"/>
    </xf>
    <xf numFmtId="164" fontId="63" fillId="31" borderId="95" xfId="0" applyFont="true" applyBorder="true" applyAlignment="true" applyProtection="true">
      <alignment horizontal="left" vertical="bottom" textRotation="0" wrapText="false" indent="0" shrinkToFit="false"/>
      <protection locked="true" hidden="false"/>
    </xf>
    <xf numFmtId="164" fontId="63" fillId="38" borderId="96" xfId="0" applyFont="true" applyBorder="true" applyAlignment="true" applyProtection="true">
      <alignment horizontal="center" vertical="bottom" textRotation="0" wrapText="false" indent="0" shrinkToFit="false"/>
      <protection locked="true" hidden="false"/>
    </xf>
    <xf numFmtId="164" fontId="57" fillId="29" borderId="96" xfId="0" applyFont="true" applyBorder="true" applyAlignment="true" applyProtection="true">
      <alignment horizontal="center" vertical="bottom" textRotation="0" wrapText="false" indent="0" shrinkToFit="false"/>
      <protection locked="true" hidden="false"/>
    </xf>
    <xf numFmtId="164" fontId="64" fillId="29" borderId="97" xfId="0" applyFont="true" applyBorder="true" applyAlignment="true" applyProtection="true">
      <alignment horizontal="center" vertical="bottom" textRotation="0" wrapText="false" indent="0" shrinkToFit="false"/>
      <protection locked="true" hidden="false"/>
    </xf>
    <xf numFmtId="164" fontId="63" fillId="38" borderId="84" xfId="0" applyFont="true" applyBorder="true" applyAlignment="true" applyProtection="true">
      <alignment horizontal="center" vertical="bottom" textRotation="0" wrapText="false" indent="0" shrinkToFit="false"/>
      <protection locked="true" hidden="false"/>
    </xf>
    <xf numFmtId="164" fontId="57" fillId="29" borderId="88" xfId="0" applyFont="true" applyBorder="true" applyAlignment="true" applyProtection="true">
      <alignment horizontal="center" vertical="bottom" textRotation="0" wrapText="false" indent="0" shrinkToFit="false"/>
      <protection locked="true" hidden="false"/>
    </xf>
    <xf numFmtId="164" fontId="57" fillId="29" borderId="98" xfId="0" applyFont="true" applyBorder="true" applyAlignment="true" applyProtection="true">
      <alignment horizontal="center" vertical="bottom" textRotation="0" wrapText="false" indent="0" shrinkToFit="false"/>
      <protection locked="true" hidden="false"/>
    </xf>
    <xf numFmtId="164" fontId="57" fillId="29" borderId="99" xfId="0" applyFont="true" applyBorder="true" applyAlignment="true" applyProtection="true">
      <alignment horizontal="center" vertical="bottom" textRotation="0" wrapText="false" indent="0" shrinkToFit="false"/>
      <protection locked="true" hidden="false"/>
    </xf>
    <xf numFmtId="164" fontId="64" fillId="31" borderId="100" xfId="0" applyFont="true" applyBorder="true" applyAlignment="true" applyProtection="true">
      <alignment horizontal="left" vertical="bottom" textRotation="0" wrapText="false" indent="0" shrinkToFit="false"/>
      <protection locked="true" hidden="false"/>
    </xf>
    <xf numFmtId="164" fontId="64" fillId="29" borderId="101" xfId="0" applyFont="true" applyBorder="true" applyAlignment="true" applyProtection="true">
      <alignment horizontal="center" vertical="bottom" textRotation="0" wrapText="false" indent="0" shrinkToFit="false"/>
      <protection locked="true" hidden="false"/>
    </xf>
    <xf numFmtId="164" fontId="57" fillId="29" borderId="101" xfId="0" applyFont="true" applyBorder="true" applyAlignment="true" applyProtection="true">
      <alignment horizontal="center" vertical="bottom" textRotation="0" wrapText="false" indent="0" shrinkToFit="false"/>
      <protection locked="true" hidden="false"/>
    </xf>
    <xf numFmtId="164" fontId="80" fillId="29" borderId="102" xfId="0" applyFont="true" applyBorder="true" applyAlignment="true" applyProtection="true">
      <alignment horizontal="center" vertical="bottom" textRotation="0" wrapText="false" indent="0" shrinkToFit="false"/>
      <protection locked="true" hidden="false"/>
    </xf>
    <xf numFmtId="164" fontId="64" fillId="29" borderId="103" xfId="0" applyFont="true" applyBorder="true" applyAlignment="true" applyProtection="true">
      <alignment horizontal="center" vertical="bottom" textRotation="0" wrapText="false" indent="0" shrinkToFit="false"/>
      <protection locked="true" hidden="false"/>
    </xf>
    <xf numFmtId="164" fontId="57" fillId="29" borderId="104" xfId="0" applyFont="true" applyBorder="true" applyAlignment="true" applyProtection="true">
      <alignment horizontal="center" vertical="bottom" textRotation="0" wrapText="false" indent="0" shrinkToFit="false"/>
      <protection locked="true" hidden="false"/>
    </xf>
    <xf numFmtId="164" fontId="57" fillId="29" borderId="105" xfId="0" applyFont="true" applyBorder="true" applyAlignment="true" applyProtection="true">
      <alignment horizontal="center" vertical="bottom" textRotation="0" wrapText="false" indent="0" shrinkToFit="false"/>
      <protection locked="true" hidden="false"/>
    </xf>
    <xf numFmtId="164" fontId="64" fillId="31" borderId="106" xfId="0" applyFont="true" applyBorder="true" applyAlignment="true" applyProtection="true">
      <alignment horizontal="left" vertical="bottom" textRotation="0" wrapText="false" indent="0" shrinkToFit="false"/>
      <protection locked="true" hidden="false"/>
    </xf>
    <xf numFmtId="164" fontId="64" fillId="29" borderId="107" xfId="0" applyFont="true" applyBorder="true" applyAlignment="true" applyProtection="true">
      <alignment horizontal="center" vertical="bottom" textRotation="0" wrapText="false" indent="0" shrinkToFit="false"/>
      <protection locked="true" hidden="false"/>
    </xf>
    <xf numFmtId="164" fontId="64" fillId="29" borderId="108" xfId="0" applyFont="true" applyBorder="true" applyAlignment="true" applyProtection="true">
      <alignment horizontal="center" vertical="bottom" textRotation="0" wrapText="false" indent="0" shrinkToFit="false"/>
      <protection locked="true" hidden="false"/>
    </xf>
    <xf numFmtId="164" fontId="64" fillId="29" borderId="109" xfId="0" applyFont="true" applyBorder="true" applyAlignment="true" applyProtection="true">
      <alignment horizontal="center" vertical="bottom" textRotation="0" wrapText="false" indent="0" shrinkToFit="false"/>
      <protection locked="true" hidden="false"/>
    </xf>
    <xf numFmtId="164" fontId="57" fillId="29" borderId="110" xfId="0" applyFont="true" applyBorder="true" applyAlignment="true" applyProtection="true">
      <alignment horizontal="center" vertical="bottom" textRotation="0" wrapText="false" indent="0" shrinkToFit="false"/>
      <protection locked="true" hidden="false"/>
    </xf>
    <xf numFmtId="164" fontId="57" fillId="29" borderId="111" xfId="0" applyFont="true" applyBorder="true" applyAlignment="true" applyProtection="true">
      <alignment horizontal="center" vertical="bottom" textRotation="0" wrapText="false" indent="0" shrinkToFit="false"/>
      <protection locked="true" hidden="false"/>
    </xf>
    <xf numFmtId="164" fontId="57" fillId="29" borderId="107" xfId="0" applyFont="true" applyBorder="true" applyAlignment="true" applyProtection="true">
      <alignment horizontal="center" vertical="bottom" textRotation="0" wrapText="false" indent="0" shrinkToFit="false"/>
      <protection locked="true" hidden="false"/>
    </xf>
    <xf numFmtId="164" fontId="57" fillId="29" borderId="112" xfId="0" applyFont="true" applyBorder="true" applyAlignment="true" applyProtection="true">
      <alignment horizontal="center" vertical="bottom" textRotation="0" wrapText="false" indent="0" shrinkToFit="false"/>
      <protection locked="true" hidden="false"/>
    </xf>
    <xf numFmtId="164" fontId="63" fillId="29" borderId="101" xfId="0" applyFont="true" applyBorder="true" applyAlignment="true" applyProtection="true">
      <alignment horizontal="center" vertical="bottom" textRotation="0" wrapText="false" indent="0" shrinkToFit="false"/>
      <protection locked="true" hidden="false"/>
    </xf>
    <xf numFmtId="164" fontId="57" fillId="29" borderId="113" xfId="0" applyFont="true" applyBorder="true" applyAlignment="true" applyProtection="true">
      <alignment horizontal="center" vertical="bottom" textRotation="0" wrapText="false" indent="0" shrinkToFit="false"/>
      <protection locked="true" hidden="false"/>
    </xf>
    <xf numFmtId="164" fontId="57" fillId="29" borderId="114" xfId="0" applyFont="true" applyBorder="true" applyAlignment="true" applyProtection="true">
      <alignment horizontal="center" vertical="bottom" textRotation="0" wrapText="false" indent="0" shrinkToFit="false"/>
      <protection locked="true" hidden="false"/>
    </xf>
    <xf numFmtId="164" fontId="78" fillId="24" borderId="0" xfId="0" applyFont="true" applyBorder="true" applyAlignment="true" applyProtection="true">
      <alignment horizontal="center" vertical="center" textRotation="0" wrapText="false" indent="0" shrinkToFit="false"/>
      <protection locked="true" hidden="false"/>
    </xf>
    <xf numFmtId="166" fontId="57" fillId="29" borderId="101" xfId="0" applyFont="true" applyBorder="true" applyAlignment="true" applyProtection="true">
      <alignment horizontal="center" vertical="bottom" textRotation="0" wrapText="false" indent="0" shrinkToFit="false"/>
      <protection locked="true" hidden="false"/>
    </xf>
    <xf numFmtId="166" fontId="57" fillId="29" borderId="104" xfId="0" applyFont="true" applyBorder="true" applyAlignment="true" applyProtection="true">
      <alignment horizontal="center" vertical="bottom" textRotation="0" wrapText="false" indent="0" shrinkToFit="false"/>
      <protection locked="true" hidden="false"/>
    </xf>
    <xf numFmtId="166" fontId="57" fillId="29" borderId="105" xfId="0" applyFont="true" applyBorder="true" applyAlignment="true" applyProtection="true">
      <alignment horizontal="center" vertical="bottom" textRotation="0" wrapText="false" indent="0" shrinkToFit="false"/>
      <protection locked="true" hidden="false"/>
    </xf>
    <xf numFmtId="164" fontId="57" fillId="29" borderId="60" xfId="0" applyFont="true" applyBorder="true" applyAlignment="true" applyProtection="true">
      <alignment horizontal="center" vertical="bottom" textRotation="0" wrapText="false" indent="0" shrinkToFit="false"/>
      <protection locked="true" hidden="false"/>
    </xf>
    <xf numFmtId="164" fontId="57" fillId="29" borderId="61" xfId="0" applyFont="true" applyBorder="true" applyAlignment="true" applyProtection="true">
      <alignment horizontal="center" vertical="bottom" textRotation="0" wrapText="false" indent="0" shrinkToFit="false"/>
      <protection locked="true" hidden="false"/>
    </xf>
    <xf numFmtId="176" fontId="57" fillId="29" borderId="101" xfId="0" applyFont="true" applyBorder="true" applyAlignment="true" applyProtection="true">
      <alignment horizontal="center" vertical="bottom" textRotation="0" wrapText="false" indent="0" shrinkToFit="false"/>
      <protection locked="true" hidden="false"/>
    </xf>
    <xf numFmtId="166" fontId="64" fillId="29" borderId="115" xfId="0" applyFont="true" applyBorder="true" applyAlignment="true" applyProtection="true">
      <alignment horizontal="center" vertical="bottom" textRotation="0" wrapText="false" indent="0" shrinkToFit="false"/>
      <protection locked="true" hidden="false"/>
    </xf>
    <xf numFmtId="176" fontId="57" fillId="29" borderId="116" xfId="0" applyFont="true" applyBorder="true" applyAlignment="true" applyProtection="true">
      <alignment horizontal="center" vertical="bottom" textRotation="0" wrapText="false" indent="0" shrinkToFit="false"/>
      <protection locked="true" hidden="false"/>
    </xf>
    <xf numFmtId="164" fontId="64" fillId="29" borderId="115" xfId="0" applyFont="true" applyBorder="true" applyAlignment="true" applyProtection="true">
      <alignment horizontal="center" vertical="bottom" textRotation="0" wrapText="false" indent="0" shrinkToFit="false"/>
      <protection locked="true" hidden="false"/>
    </xf>
    <xf numFmtId="176" fontId="57" fillId="29" borderId="117" xfId="0" applyFont="true" applyBorder="true" applyAlignment="true" applyProtection="true">
      <alignment horizontal="center" vertical="bottom" textRotation="0" wrapText="false" indent="0" shrinkToFit="false"/>
      <protection locked="true" hidden="false"/>
    </xf>
    <xf numFmtId="176" fontId="57" fillId="29" borderId="118" xfId="0" applyFont="true" applyBorder="true" applyAlignment="true" applyProtection="true">
      <alignment horizontal="center" vertical="bottom" textRotation="0" wrapText="false" indent="0" shrinkToFit="false"/>
      <protection locked="true" hidden="false"/>
    </xf>
    <xf numFmtId="164" fontId="57" fillId="29" borderId="89"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xf numFmtId="164" fontId="78" fillId="0" borderId="0" xfId="0" applyFont="true" applyBorder="false" applyAlignment="true" applyProtection="true">
      <alignment horizontal="left" vertical="top" textRotation="0" wrapText="false" indent="0" shrinkToFit="false"/>
      <protection locked="true" hidden="false"/>
    </xf>
    <xf numFmtId="164" fontId="48" fillId="0" borderId="0" xfId="0" applyFont="true" applyBorder="false" applyAlignment="true" applyProtection="true">
      <alignment horizontal="left" vertical="top" textRotation="0" wrapText="false" indent="0" shrinkToFit="false"/>
      <protection locked="false" hidden="false"/>
    </xf>
    <xf numFmtId="164" fontId="48" fillId="0" borderId="0" xfId="0" applyFont="true" applyBorder="false" applyAlignment="true" applyProtection="true">
      <alignment horizontal="left" vertical="top" textRotation="0" wrapText="true" indent="0" shrinkToFit="false"/>
      <protection locked="false" hidden="false"/>
    </xf>
    <xf numFmtId="164" fontId="48" fillId="0" borderId="0" xfId="0" applyFont="true" applyBorder="false" applyAlignment="true" applyProtection="true">
      <alignment horizontal="general" vertical="top" textRotation="0" wrapText="false" indent="0" shrinkToFit="false"/>
      <protection locked="false" hidden="false"/>
    </xf>
    <xf numFmtId="164" fontId="48" fillId="0" borderId="0" xfId="0" applyFont="true" applyBorder="false" applyAlignment="true" applyProtection="true">
      <alignment horizontal="general" vertical="top" textRotation="0" wrapText="true" indent="0" shrinkToFit="false"/>
      <protection locked="false" hidden="false"/>
    </xf>
    <xf numFmtId="164" fontId="86" fillId="0" borderId="0" xfId="0" applyFont="true" applyBorder="false" applyAlignment="true" applyProtection="true">
      <alignment horizontal="left" vertical="top" textRotation="0" wrapText="true" indent="0" shrinkToFit="false"/>
      <protection locked="false" hidden="false"/>
    </xf>
    <xf numFmtId="164" fontId="48" fillId="0" borderId="12" xfId="0" applyFont="true" applyBorder="true" applyAlignment="true" applyProtection="true">
      <alignment horizontal="left" vertical="top" textRotation="0" wrapText="false" indent="0" shrinkToFit="false"/>
      <protection locked="true" hidden="false"/>
    </xf>
    <xf numFmtId="164" fontId="48" fillId="0" borderId="0" xfId="0" applyFont="true" applyBorder="false" applyAlignment="true" applyProtection="true">
      <alignment horizontal="left" vertical="top" textRotation="0" wrapText="false" indent="0" shrinkToFit="true"/>
      <protection locked="false" hidden="false"/>
    </xf>
    <xf numFmtId="164" fontId="48" fillId="39" borderId="119" xfId="0" applyFont="true" applyBorder="true" applyAlignment="true" applyProtection="true">
      <alignment horizontal="left" vertical="top" textRotation="0" wrapText="false" indent="0" shrinkToFit="false"/>
      <protection locked="true" hidden="false"/>
    </xf>
    <xf numFmtId="183" fontId="20" fillId="0" borderId="0" xfId="15" applyFont="true" applyBorder="true" applyAlignment="true" applyProtection="true">
      <alignment horizontal="left" vertical="top" textRotation="0" wrapText="false" indent="0" shrinkToFit="false"/>
      <protection locked="false" hidden="false"/>
    </xf>
    <xf numFmtId="174" fontId="48" fillId="0" borderId="0" xfId="0" applyFont="true" applyBorder="false" applyAlignment="true" applyProtection="true">
      <alignment horizontal="left" vertical="top" textRotation="0" wrapText="false" indent="0" shrinkToFit="false"/>
      <protection locked="false" hidden="false"/>
    </xf>
    <xf numFmtId="164" fontId="48" fillId="0" borderId="120" xfId="0" applyFont="true" applyBorder="true" applyAlignment="true" applyProtection="true">
      <alignment horizontal="left" vertical="top" textRotation="0" wrapText="false" indent="0" shrinkToFit="false"/>
      <protection locked="false" hidden="false"/>
    </xf>
    <xf numFmtId="200" fontId="48" fillId="0" borderId="0" xfId="0" applyFont="true" applyBorder="false" applyAlignment="true" applyProtection="true">
      <alignment horizontal="left" vertical="top" textRotation="0" wrapText="false" indent="0" shrinkToFit="false"/>
      <protection locked="false" hidden="false"/>
    </xf>
    <xf numFmtId="201" fontId="48" fillId="0" borderId="0" xfId="0" applyFont="true" applyBorder="false" applyAlignment="true" applyProtection="true">
      <alignment horizontal="left" vertical="top" textRotation="0" wrapText="false" indent="0" shrinkToFit="false"/>
      <protection locked="false" hidden="false"/>
    </xf>
    <xf numFmtId="164" fontId="48" fillId="25" borderId="0" xfId="0" applyFont="true" applyBorder="false" applyAlignment="true" applyProtection="true">
      <alignment horizontal="left" vertical="top" textRotation="0" wrapText="true" indent="0" shrinkToFit="false"/>
      <protection locked="false" hidden="false"/>
    </xf>
    <xf numFmtId="164" fontId="48" fillId="0" borderId="21" xfId="0" applyFont="true" applyBorder="true" applyAlignment="true" applyProtection="true">
      <alignment horizontal="left" vertical="top" textRotation="0" wrapText="false" indent="0" shrinkToFit="false"/>
      <protection locked="false" hidden="false"/>
    </xf>
    <xf numFmtId="164" fontId="48" fillId="0" borderId="21" xfId="0" applyFont="true" applyBorder="true" applyAlignment="true" applyProtection="true">
      <alignment horizontal="left" vertical="top" textRotation="0" wrapText="true" indent="0" shrinkToFit="false"/>
      <protection locked="false" hidden="false"/>
    </xf>
    <xf numFmtId="164" fontId="48" fillId="0" borderId="12" xfId="0" applyFont="true" applyBorder="true" applyAlignment="true" applyProtection="true">
      <alignment horizontal="left" vertical="top" textRotation="0" wrapText="false" indent="0" shrinkToFit="false"/>
      <protection locked="false" hidden="false"/>
    </xf>
    <xf numFmtId="164" fontId="48" fillId="0" borderId="22" xfId="0" applyFont="true" applyBorder="true" applyAlignment="true" applyProtection="true">
      <alignment horizontal="left" vertical="top" textRotation="0" wrapText="false" indent="0" shrinkToFit="false"/>
      <protection locked="false" hidden="false"/>
    </xf>
    <xf numFmtId="164" fontId="86" fillId="0" borderId="0" xfId="0" applyFont="true" applyBorder="false" applyAlignment="true" applyProtection="true">
      <alignment horizontal="left" vertical="top" textRotation="0" wrapText="false" indent="0" shrinkToFit="false"/>
      <protection locked="false" hidden="false"/>
    </xf>
    <xf numFmtId="164" fontId="86" fillId="0" borderId="121" xfId="0" applyFont="true" applyBorder="true" applyAlignment="true" applyProtection="true">
      <alignment horizontal="left" vertical="top" textRotation="0" wrapText="false" indent="0" shrinkToFit="false"/>
      <protection locked="true" hidden="false"/>
    </xf>
    <xf numFmtId="164" fontId="86" fillId="0" borderId="0" xfId="0" applyFont="true" applyBorder="false" applyAlignment="true" applyProtection="true">
      <alignment horizontal="general" vertical="top" textRotation="0" wrapText="false" indent="0" shrinkToFit="false"/>
      <protection locked="false" hidden="false"/>
    </xf>
    <xf numFmtId="164" fontId="86" fillId="0" borderId="0" xfId="0" applyFont="true" applyBorder="false" applyAlignment="true" applyProtection="true">
      <alignment horizontal="general" vertical="top" textRotation="0" wrapText="true" indent="0" shrinkToFit="false"/>
      <protection locked="false" hidden="false"/>
    </xf>
    <xf numFmtId="164" fontId="87" fillId="0" borderId="0" xfId="0" applyFont="true" applyBorder="false" applyAlignment="true" applyProtection="true">
      <alignment horizontal="left" vertical="top" textRotation="0" wrapText="false" indent="0" shrinkToFit="false"/>
      <protection locked="false" hidden="false"/>
    </xf>
    <xf numFmtId="190" fontId="48" fillId="0" borderId="0" xfId="0" applyFont="true" applyBorder="false" applyAlignment="true" applyProtection="true">
      <alignment horizontal="left" vertical="top" textRotation="0" wrapText="false" indent="0" shrinkToFit="false"/>
      <protection locked="false" hidden="false"/>
    </xf>
    <xf numFmtId="183" fontId="48" fillId="0" borderId="0" xfId="0" applyFont="true" applyBorder="false" applyAlignment="true" applyProtection="true">
      <alignment horizontal="left" vertical="top" textRotation="0" wrapText="true" indent="0" shrinkToFit="false"/>
      <protection locked="false" hidden="false"/>
    </xf>
    <xf numFmtId="165" fontId="48" fillId="0" borderId="0" xfId="0" applyFont="true" applyBorder="false" applyAlignment="true" applyProtection="true">
      <alignment horizontal="left" vertical="top" textRotation="0" wrapText="false" indent="0" shrinkToFit="false"/>
      <protection locked="false" hidden="false"/>
    </xf>
    <xf numFmtId="165" fontId="48" fillId="0" borderId="0" xfId="0" applyFont="true" applyBorder="false" applyAlignment="true" applyProtection="true">
      <alignment horizontal="left" vertical="top" textRotation="0" wrapText="true" indent="0" shrinkToFit="false"/>
      <protection locked="false" hidden="false"/>
    </xf>
    <xf numFmtId="164" fontId="88" fillId="0" borderId="0" xfId="0" applyFont="true" applyBorder="false" applyAlignment="true" applyProtection="true">
      <alignment horizontal="left" vertical="top" textRotation="0" wrapText="false" indent="0" shrinkToFit="false"/>
      <protection locked="false" hidden="false"/>
    </xf>
    <xf numFmtId="165" fontId="88" fillId="0" borderId="0" xfId="0" applyFont="true" applyBorder="false" applyAlignment="true" applyProtection="true">
      <alignment horizontal="left" vertical="top" textRotation="0" wrapText="false" indent="0" shrinkToFit="false"/>
      <protection locked="false" hidden="false"/>
    </xf>
    <xf numFmtId="164" fontId="89" fillId="0" borderId="0" xfId="0" applyFont="true" applyBorder="false" applyAlignment="true" applyProtection="true">
      <alignment horizontal="left" vertical="top" textRotation="0" wrapText="false" indent="0" shrinkToFit="false"/>
      <protection locked="false" hidden="false"/>
    </xf>
    <xf numFmtId="164" fontId="90" fillId="24" borderId="122" xfId="0" applyFont="true" applyBorder="true" applyAlignment="true" applyProtection="true">
      <alignment horizontal="general" vertical="top" textRotation="0" wrapText="true" indent="0" shrinkToFit="false"/>
      <protection locked="true" hidden="false"/>
    </xf>
    <xf numFmtId="164" fontId="90" fillId="24" borderId="123" xfId="0" applyFont="true" applyBorder="true" applyAlignment="true" applyProtection="true">
      <alignment horizontal="general" vertical="top" textRotation="0" wrapText="true" indent="0" shrinkToFit="false"/>
      <protection locked="true" hidden="false"/>
    </xf>
    <xf numFmtId="164" fontId="91" fillId="24" borderId="123" xfId="0" applyFont="true" applyBorder="true" applyAlignment="true" applyProtection="true">
      <alignment horizontal="general" vertical="top" textRotation="0" wrapText="true" indent="0" shrinkToFit="false"/>
      <protection locked="true" hidden="false"/>
    </xf>
    <xf numFmtId="164" fontId="92" fillId="0" borderId="0" xfId="0" applyFont="true" applyBorder="false" applyAlignment="true" applyProtection="true">
      <alignment horizontal="left" vertical="top" textRotation="0" wrapText="false" indent="0" shrinkToFit="false"/>
      <protection locked="false" hidden="false"/>
    </xf>
    <xf numFmtId="164" fontId="93" fillId="0" borderId="0" xfId="0" applyFont="true" applyBorder="false" applyAlignment="true" applyProtection="true">
      <alignment horizontal="left" vertical="top" textRotation="0" wrapText="false" indent="0" shrinkToFit="false"/>
      <protection locked="false" hidden="false"/>
    </xf>
    <xf numFmtId="164" fontId="78" fillId="0" borderId="0" xfId="0" applyFont="true" applyBorder="false" applyAlignment="true" applyProtection="true">
      <alignment horizontal="general" vertical="bottom" textRotation="0" wrapText="true" indent="0" shrinkToFit="false"/>
      <protection locked="true" hidden="false"/>
    </xf>
    <xf numFmtId="164" fontId="90" fillId="24" borderId="124" xfId="0" applyFont="true" applyBorder="true" applyAlignment="true" applyProtection="true">
      <alignment horizontal="general" vertical="top" textRotation="0" wrapText="true" indent="0" shrinkToFit="false"/>
      <protection locked="true" hidden="false"/>
    </xf>
    <xf numFmtId="164" fontId="90" fillId="24" borderId="125" xfId="0" applyFont="true" applyBorder="true" applyAlignment="true" applyProtection="true">
      <alignment horizontal="general" vertical="top" textRotation="0" wrapText="true" indent="0" shrinkToFit="false"/>
      <protection locked="true" hidden="false"/>
    </xf>
    <xf numFmtId="174" fontId="86" fillId="0" borderId="0" xfId="0" applyFont="true" applyBorder="false" applyAlignment="true" applyProtection="true">
      <alignment horizontal="left" vertical="top" textRotation="0" wrapText="false" indent="0" shrinkToFit="false"/>
      <protection locked="true" hidden="false"/>
    </xf>
    <xf numFmtId="164" fontId="86" fillId="0" borderId="0" xfId="0" applyFont="true" applyBorder="true" applyAlignment="true" applyProtection="true">
      <alignment horizontal="center" vertical="top" textRotation="0" wrapText="false" indent="0" shrinkToFit="false"/>
      <protection locked="false" hidden="false"/>
    </xf>
    <xf numFmtId="164" fontId="86" fillId="0" borderId="126" xfId="0" applyFont="true" applyBorder="true" applyAlignment="true" applyProtection="true">
      <alignment horizontal="general" vertical="top" textRotation="0" wrapText="false" indent="0" shrinkToFit="false"/>
      <protection locked="false" hidden="false"/>
    </xf>
    <xf numFmtId="166" fontId="94" fillId="0" borderId="127" xfId="0" applyFont="true" applyBorder="true" applyAlignment="true" applyProtection="true">
      <alignment horizontal="left" vertical="top" textRotation="0" wrapText="false" indent="0" shrinkToFit="false"/>
      <protection locked="false" hidden="false"/>
    </xf>
    <xf numFmtId="166" fontId="94" fillId="0" borderId="0" xfId="0" applyFont="true" applyBorder="false" applyAlignment="true" applyProtection="true">
      <alignment horizontal="left" vertical="top" textRotation="0" wrapText="false" indent="0" shrinkToFit="false"/>
      <protection locked="false" hidden="false"/>
    </xf>
    <xf numFmtId="166" fontId="94" fillId="0" borderId="0" xfId="0" applyFont="true" applyBorder="false" applyAlignment="true" applyProtection="true">
      <alignment horizontal="general" vertical="top" textRotation="0" wrapText="false" indent="0" shrinkToFit="false"/>
      <protection locked="false" hidden="false"/>
    </xf>
    <xf numFmtId="166" fontId="94" fillId="0" borderId="128" xfId="0" applyFont="true" applyBorder="true" applyAlignment="true" applyProtection="true">
      <alignment horizontal="left" vertical="top" textRotation="0" wrapText="false" indent="0" shrinkToFit="false"/>
      <protection locked="false" hidden="false"/>
    </xf>
    <xf numFmtId="166" fontId="95" fillId="0" borderId="0" xfId="0" applyFont="true" applyBorder="false" applyAlignment="true" applyProtection="true">
      <alignment horizontal="left" vertical="top" textRotation="0" wrapText="false" indent="0" shrinkToFit="false"/>
      <protection locked="false" hidden="false"/>
    </xf>
    <xf numFmtId="164" fontId="94" fillId="0" borderId="0" xfId="0" applyFont="true" applyBorder="false" applyAlignment="true" applyProtection="true">
      <alignment horizontal="left" vertical="top" textRotation="0" wrapText="false" indent="0" shrinkToFit="false"/>
      <protection locked="false" hidden="false"/>
    </xf>
    <xf numFmtId="164" fontId="17" fillId="0" borderId="0" xfId="0" applyFont="true" applyBorder="false" applyAlignment="true" applyProtection="true">
      <alignment horizontal="general" vertical="top" textRotation="0" wrapText="true" indent="0" shrinkToFit="false"/>
      <protection locked="true" hidden="false"/>
    </xf>
    <xf numFmtId="164" fontId="94" fillId="0" borderId="0" xfId="0" applyFont="true" applyBorder="false" applyAlignment="true" applyProtection="true">
      <alignment horizontal="general" vertical="top" textRotation="0" wrapText="true" indent="0" shrinkToFit="false"/>
      <protection locked="false" hidden="false"/>
    </xf>
    <xf numFmtId="166" fontId="48" fillId="0" borderId="127" xfId="0" applyFont="true" applyBorder="true" applyAlignment="true" applyProtection="true">
      <alignment horizontal="left" vertical="top" textRotation="0" wrapText="false" indent="0" shrinkToFit="false"/>
      <protection locked="false" hidden="false"/>
    </xf>
    <xf numFmtId="164" fontId="48" fillId="0" borderId="84" xfId="0" applyFont="true" applyBorder="true" applyAlignment="true" applyProtection="true">
      <alignment horizontal="left" vertical="top" textRotation="0" wrapText="false" indent="0" shrinkToFit="false"/>
      <protection locked="false" hidden="false"/>
    </xf>
    <xf numFmtId="164" fontId="93" fillId="0" borderId="85" xfId="0" applyFont="true" applyBorder="true" applyAlignment="true" applyProtection="true">
      <alignment horizontal="left" vertical="top" textRotation="0" wrapText="false" indent="0" shrinkToFit="false"/>
      <protection locked="false" hidden="false"/>
    </xf>
    <xf numFmtId="164" fontId="48" fillId="0" borderId="85" xfId="0" applyFont="true" applyBorder="true" applyAlignment="true" applyProtection="true">
      <alignment horizontal="left" vertical="top" textRotation="0" wrapText="false" indent="0" shrinkToFit="false"/>
      <protection locked="false" hidden="false"/>
    </xf>
    <xf numFmtId="164" fontId="48" fillId="0" borderId="0" xfId="0" applyFont="true" applyBorder="false" applyAlignment="true" applyProtection="true">
      <alignment horizontal="left" vertical="top" textRotation="0" wrapText="false" indent="0" shrinkToFit="false"/>
      <protection locked="true" hidden="false"/>
    </xf>
    <xf numFmtId="164" fontId="82" fillId="0" borderId="0" xfId="0" applyFont="true" applyBorder="false" applyAlignment="true" applyProtection="true">
      <alignment horizontal="left" vertical="top" textRotation="0" wrapText="false" indent="0" shrinkToFit="false"/>
      <protection locked="true" hidden="false"/>
    </xf>
    <xf numFmtId="164" fontId="93" fillId="0" borderId="0" xfId="0" applyFont="true" applyBorder="false" applyAlignment="true" applyProtection="true">
      <alignment horizontal="general" vertical="top" textRotation="0" wrapText="false" indent="0" shrinkToFit="false"/>
      <protection locked="false" hidden="false"/>
    </xf>
    <xf numFmtId="185" fontId="48" fillId="0" borderId="0" xfId="0" applyFont="true" applyBorder="false" applyAlignment="true" applyProtection="true">
      <alignment horizontal="left" vertical="top" textRotation="0" wrapText="false" indent="0" shrinkToFit="false"/>
      <protection locked="false" hidden="false"/>
    </xf>
    <xf numFmtId="164" fontId="98" fillId="0" borderId="129" xfId="0" applyFont="true" applyBorder="tru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48" fillId="0" borderId="9" xfId="0" applyFont="true" applyBorder="true" applyAlignment="true" applyProtection="true">
      <alignment horizontal="left" vertical="top" textRotation="0" wrapText="false" indent="0" shrinkToFit="false"/>
      <protection locked="false" hidden="false"/>
    </xf>
    <xf numFmtId="164" fontId="48" fillId="0" borderId="83" xfId="0" applyFont="true" applyBorder="true" applyAlignment="true" applyProtection="true">
      <alignment horizontal="left" vertical="top" textRotation="0" wrapText="false" indent="0" shrinkToFit="false"/>
      <protection locked="false" hidden="false"/>
    </xf>
    <xf numFmtId="164" fontId="0" fillId="25" borderId="0" xfId="0" applyFont="true" applyBorder="false" applyAlignment="true" applyProtection="true">
      <alignment horizontal="general" vertical="top" textRotation="0" wrapText="true" indent="0" shrinkToFit="false"/>
      <protection locked="true" hidden="false"/>
    </xf>
    <xf numFmtId="164" fontId="48" fillId="0" borderId="86" xfId="0" applyFont="true" applyBorder="true" applyAlignment="true" applyProtection="true">
      <alignment horizontal="left" vertical="top" textRotation="0" wrapText="false" indent="0" shrinkToFit="false"/>
      <protection locked="false" hidden="false"/>
    </xf>
    <xf numFmtId="164" fontId="48" fillId="0" borderId="87" xfId="0" applyFont="true" applyBorder="true" applyAlignment="true" applyProtection="true">
      <alignment horizontal="left" vertical="top" textRotation="0" wrapText="false" indent="0" shrinkToFit="false"/>
      <protection locked="false" hidden="false"/>
    </xf>
    <xf numFmtId="164" fontId="93" fillId="0" borderId="83" xfId="0" applyFont="true" applyBorder="true" applyAlignment="true" applyProtection="true">
      <alignment horizontal="left" vertical="top" textRotation="0" wrapText="false" indent="0" shrinkToFit="false"/>
      <protection locked="false" hidden="false"/>
    </xf>
    <xf numFmtId="164" fontId="93" fillId="0" borderId="87" xfId="0" applyFont="true" applyBorder="true" applyAlignment="true" applyProtection="true">
      <alignment horizontal="left" vertical="top" textRotation="0" wrapText="false" indent="0" shrinkToFit="false"/>
      <protection locked="false" hidden="false"/>
    </xf>
    <xf numFmtId="164" fontId="100" fillId="25" borderId="0" xfId="0" applyFont="true" applyBorder="false" applyAlignment="true" applyProtection="true">
      <alignment horizontal="general" vertical="top" textRotation="0" wrapText="true" indent="0" shrinkToFit="false"/>
      <protection locked="true" hidden="false"/>
    </xf>
    <xf numFmtId="164" fontId="100" fillId="0" borderId="0" xfId="0" applyFont="true" applyBorder="false" applyAlignment="true" applyProtection="true">
      <alignment horizontal="general" vertical="top" textRotation="0" wrapText="true" indent="0" shrinkToFit="false"/>
      <protection locked="true" hidden="false"/>
    </xf>
    <xf numFmtId="166" fontId="102" fillId="0" borderId="130" xfId="0" applyFont="true" applyBorder="true" applyAlignment="true" applyProtection="true">
      <alignment horizontal="left" vertical="top" textRotation="0" wrapText="false" indent="0" shrinkToFit="true"/>
      <protection locked="false" hidden="false"/>
    </xf>
    <xf numFmtId="164" fontId="102" fillId="0" borderId="131" xfId="0" applyFont="true" applyBorder="true" applyAlignment="true" applyProtection="true">
      <alignment horizontal="left" vertical="top" textRotation="0" wrapText="false" indent="0" shrinkToFit="true"/>
      <protection locked="false" hidden="false"/>
    </xf>
    <xf numFmtId="164" fontId="102" fillId="0" borderId="0" xfId="0" applyFont="true" applyBorder="false" applyAlignment="true" applyProtection="true">
      <alignment horizontal="left" vertical="top" textRotation="0" wrapText="false" indent="0" shrinkToFit="true"/>
      <protection locked="false" hidden="false"/>
    </xf>
    <xf numFmtId="187" fontId="102" fillId="0" borderId="131" xfId="0" applyFont="true" applyBorder="true" applyAlignment="true" applyProtection="true">
      <alignment horizontal="left" vertical="top" textRotation="0" wrapText="false" indent="0" shrinkToFit="true"/>
      <protection locked="false" hidden="false"/>
    </xf>
    <xf numFmtId="164" fontId="103" fillId="0" borderId="131" xfId="0" applyFont="true" applyBorder="true" applyAlignment="true" applyProtection="true">
      <alignment horizontal="left" vertical="top" textRotation="0" wrapText="false" indent="0" shrinkToFit="true"/>
      <protection locked="true" hidden="false"/>
    </xf>
    <xf numFmtId="164" fontId="102" fillId="0" borderId="0" xfId="0" applyFont="true" applyBorder="false" applyAlignment="true" applyProtection="true">
      <alignment horizontal="general" vertical="top" textRotation="0" wrapText="false" indent="0" shrinkToFit="true"/>
      <protection locked="false" hidden="false"/>
    </xf>
    <xf numFmtId="185" fontId="102" fillId="0" borderId="0" xfId="0" applyFont="true" applyBorder="false" applyAlignment="true" applyProtection="true">
      <alignment horizontal="left" vertical="top" textRotation="0" wrapText="false" indent="0" shrinkToFit="true"/>
      <protection locked="false" hidden="false"/>
    </xf>
    <xf numFmtId="164" fontId="104" fillId="0" borderId="0" xfId="0" applyFont="true" applyBorder="false" applyAlignment="true" applyProtection="true">
      <alignment horizontal="left" vertical="top" textRotation="0" wrapText="false" indent="0" shrinkToFit="true"/>
      <protection locked="false" hidden="false"/>
    </xf>
    <xf numFmtId="164" fontId="102" fillId="0" borderId="0" xfId="0" applyFont="true" applyBorder="false" applyAlignment="true" applyProtection="true">
      <alignment horizontal="left" vertical="top" textRotation="0" wrapText="false" indent="0" shrinkToFit="false"/>
      <protection locked="false" hidden="false"/>
    </xf>
    <xf numFmtId="164" fontId="98" fillId="0" borderId="64" xfId="0" applyFont="true" applyBorder="true" applyAlignment="true" applyProtection="true">
      <alignment horizontal="general" vertical="top" textRotation="0" wrapText="false" indent="0" shrinkToFit="false"/>
      <protection locked="true" hidden="false"/>
    </xf>
    <xf numFmtId="164" fontId="105" fillId="0" borderId="0" xfId="0" applyFont="true" applyBorder="false" applyAlignment="true" applyProtection="true">
      <alignment horizontal="left" vertical="top" textRotation="0" wrapText="false" indent="0" shrinkToFit="false"/>
      <protection locked="false" hidden="false"/>
    </xf>
    <xf numFmtId="166" fontId="48" fillId="0" borderId="0" xfId="0" applyFont="true" applyBorder="false" applyAlignment="true" applyProtection="true">
      <alignment horizontal="left" vertical="top" textRotation="0" wrapText="false" indent="0" shrinkToFit="false"/>
      <protection locked="false" hidden="false"/>
    </xf>
    <xf numFmtId="164" fontId="106" fillId="0" borderId="0" xfId="0" applyFont="true" applyBorder="false" applyAlignment="true" applyProtection="true">
      <alignment horizontal="left" vertical="top" textRotation="0" wrapText="false" indent="0" shrinkToFit="false"/>
      <protection locked="false" hidden="false"/>
    </xf>
    <xf numFmtId="164" fontId="106" fillId="0" borderId="0" xfId="0" applyFont="true" applyBorder="false" applyAlignment="true" applyProtection="true">
      <alignment horizontal="left" vertical="top" textRotation="0" wrapText="false" indent="0" shrinkToFit="false"/>
      <protection locked="true" hidden="false"/>
    </xf>
    <xf numFmtId="202" fontId="48" fillId="0" borderId="0" xfId="0" applyFont="true" applyBorder="false" applyAlignment="true" applyProtection="true">
      <alignment horizontal="left" vertical="top" textRotation="0" wrapText="false" indent="0" shrinkToFit="false"/>
      <protection locked="false" hidden="false"/>
    </xf>
    <xf numFmtId="164" fontId="107" fillId="0" borderId="0" xfId="0" applyFont="true" applyBorder="false" applyAlignment="true" applyProtection="true">
      <alignment horizontal="center" vertical="top" textRotation="0" wrapText="false" indent="0" shrinkToFit="false"/>
      <protection locked="true" hidden="false"/>
    </xf>
    <xf numFmtId="164" fontId="46" fillId="0" borderId="0" xfId="0" applyFont="true" applyBorder="false" applyAlignment="true" applyProtection="true">
      <alignment horizontal="center" vertical="top" textRotation="0" wrapText="false" indent="0" shrinkToFit="false"/>
      <protection locked="true" hidden="false"/>
    </xf>
    <xf numFmtId="185" fontId="48" fillId="0" borderId="132" xfId="0" applyFont="true" applyBorder="true" applyAlignment="true" applyProtection="true">
      <alignment horizontal="left" vertical="top" textRotation="0" wrapText="false" indent="0" shrinkToFit="false"/>
      <protection locked="true" hidden="false"/>
    </xf>
    <xf numFmtId="164" fontId="48" fillId="0" borderId="133" xfId="0" applyFont="true" applyBorder="true" applyAlignment="true" applyProtection="true">
      <alignment horizontal="left" vertical="top" textRotation="0" wrapText="false" indent="0" shrinkToFit="false"/>
      <protection locked="false" hidden="false"/>
    </xf>
    <xf numFmtId="164" fontId="48" fillId="0" borderId="134" xfId="0" applyFont="true" applyBorder="true" applyAlignment="true" applyProtection="true">
      <alignment horizontal="left" vertical="top" textRotation="0" wrapText="false" indent="0" shrinkToFit="false"/>
      <protection locked="false" hidden="false"/>
    </xf>
    <xf numFmtId="164" fontId="48" fillId="0" borderId="134" xfId="0" applyFont="true" applyBorder="true" applyAlignment="true" applyProtection="true">
      <alignment horizontal="left" vertical="top" textRotation="0" wrapText="true" indent="0" shrinkToFit="false"/>
      <protection locked="false" hidden="false"/>
    </xf>
    <xf numFmtId="164" fontId="48" fillId="0" borderId="120" xfId="0" applyFont="true" applyBorder="true" applyAlignment="true" applyProtection="true">
      <alignment horizontal="left" vertical="top" textRotation="0" wrapText="false" indent="0" shrinkToFit="false"/>
      <protection locked="true" hidden="false"/>
    </xf>
    <xf numFmtId="164" fontId="86" fillId="0" borderId="120" xfId="0" applyFont="true" applyBorder="true" applyAlignment="true" applyProtection="true">
      <alignment horizontal="left" vertical="top" textRotation="0" wrapText="true" indent="0" shrinkToFit="false"/>
      <protection locked="true" hidden="false"/>
    </xf>
    <xf numFmtId="164" fontId="86" fillId="0" borderId="0" xfId="0" applyFont="true" applyBorder="false" applyAlignment="true" applyProtection="true">
      <alignment horizontal="left" vertical="top" textRotation="0" wrapText="true" indent="0" shrinkToFit="false"/>
      <protection locked="true" hidden="false"/>
    </xf>
    <xf numFmtId="164" fontId="108" fillId="13" borderId="133" xfId="0" applyFont="true" applyBorder="true" applyAlignment="true" applyProtection="true">
      <alignment horizontal="left" vertical="top" textRotation="0" wrapText="false" indent="0" shrinkToFit="false"/>
      <protection locked="false" hidden="false"/>
    </xf>
    <xf numFmtId="164" fontId="108" fillId="13" borderId="120" xfId="0" applyFont="true" applyBorder="true" applyAlignment="true" applyProtection="true">
      <alignment horizontal="left" vertical="top" textRotation="0" wrapText="false" indent="0" shrinkToFit="false"/>
      <protection locked="false" hidden="false"/>
    </xf>
    <xf numFmtId="164" fontId="108" fillId="13" borderId="0" xfId="0" applyFont="true" applyBorder="false" applyAlignment="true" applyProtection="true">
      <alignment horizontal="left" vertical="top" textRotation="0" wrapText="false" indent="0" shrinkToFit="false"/>
      <protection locked="false" hidden="false"/>
    </xf>
    <xf numFmtId="164" fontId="48" fillId="7" borderId="133" xfId="0" applyFont="true" applyBorder="true" applyAlignment="true" applyProtection="true">
      <alignment horizontal="left" vertical="top" textRotation="0" wrapText="false" indent="0" shrinkToFit="false"/>
      <protection locked="false" hidden="false"/>
    </xf>
    <xf numFmtId="164" fontId="48" fillId="7" borderId="120" xfId="0" applyFont="true" applyBorder="true" applyAlignment="true" applyProtection="true">
      <alignment horizontal="left" vertical="top" textRotation="0" wrapText="false" indent="0" shrinkToFit="false"/>
      <protection locked="false" hidden="false"/>
    </xf>
    <xf numFmtId="164" fontId="48" fillId="7" borderId="120" xfId="0" applyFont="true" applyBorder="true" applyAlignment="true" applyProtection="true">
      <alignment horizontal="left" vertical="top" textRotation="0" wrapText="true" indent="0" shrinkToFit="false"/>
      <protection locked="false" hidden="false"/>
    </xf>
    <xf numFmtId="164" fontId="93" fillId="7" borderId="120" xfId="0" applyFont="true" applyBorder="true" applyAlignment="true" applyProtection="true">
      <alignment horizontal="left" vertical="top" textRotation="0" wrapText="false" indent="0" shrinkToFit="false"/>
      <protection locked="false" hidden="false"/>
    </xf>
    <xf numFmtId="164" fontId="93" fillId="7" borderId="0" xfId="0" applyFont="true" applyBorder="false" applyAlignment="true" applyProtection="true">
      <alignment horizontal="left" vertical="top" textRotation="0" wrapText="false" indent="0" shrinkToFit="false"/>
      <protection locked="false" hidden="false"/>
    </xf>
    <xf numFmtId="164" fontId="48" fillId="0" borderId="0" xfId="0" applyFont="true" applyBorder="false" applyAlignment="true" applyProtection="true">
      <alignment horizontal="general" vertical="bottom" textRotation="0" wrapText="false" indent="0" shrinkToFit="false"/>
      <protection locked="true" hidden="false"/>
    </xf>
    <xf numFmtId="164" fontId="48" fillId="7" borderId="0" xfId="0" applyFont="true" applyBorder="false" applyAlignment="true" applyProtection="true">
      <alignment horizontal="left" vertical="top" textRotation="0" wrapText="false" indent="0" shrinkToFit="false"/>
      <protection locked="false" hidden="false"/>
    </xf>
    <xf numFmtId="188" fontId="48" fillId="0" borderId="0" xfId="0" applyFont="true" applyBorder="false" applyAlignment="true" applyProtection="true">
      <alignment horizontal="left" vertical="top" textRotation="0" wrapText="false" indent="0" shrinkToFit="false"/>
      <protection locked="false" hidden="false"/>
    </xf>
    <xf numFmtId="164" fontId="48" fillId="0" borderId="135" xfId="0" applyFont="true" applyBorder="true" applyAlignment="true" applyProtection="true">
      <alignment horizontal="left" vertical="top" textRotation="0" wrapText="false" indent="0" shrinkToFit="false"/>
      <protection locked="false" hidden="false"/>
    </xf>
    <xf numFmtId="164" fontId="87" fillId="0" borderId="135" xfId="0" applyFont="true" applyBorder="true" applyAlignment="true" applyProtection="true">
      <alignment horizontal="left" vertical="top" textRotation="0" wrapText="false" indent="0" shrinkToFit="false"/>
      <protection locked="false" hidden="false"/>
    </xf>
    <xf numFmtId="188" fontId="48" fillId="0" borderId="135" xfId="0" applyFont="true" applyBorder="true" applyAlignment="true" applyProtection="true">
      <alignment horizontal="left" vertical="top" textRotation="0" wrapText="false" indent="0" shrinkToFit="false"/>
      <protection locked="false" hidden="false"/>
    </xf>
    <xf numFmtId="164" fontId="48" fillId="0" borderId="135" xfId="0" applyFont="true" applyBorder="true" applyAlignment="true" applyProtection="true">
      <alignment horizontal="left" vertical="top" textRotation="0" wrapText="true" indent="0" shrinkToFit="false"/>
      <protection locked="false" hidden="false"/>
    </xf>
    <xf numFmtId="164" fontId="109" fillId="0" borderId="0" xfId="0" applyFont="true" applyBorder="false" applyAlignment="true" applyProtection="true">
      <alignment horizontal="left" vertical="top" textRotation="0" wrapText="false" indent="0" shrinkToFit="false"/>
      <protection locked="false" hidden="false"/>
    </xf>
    <xf numFmtId="164" fontId="110" fillId="0" borderId="0" xfId="0" applyFont="true" applyBorder="false" applyAlignment="true" applyProtection="true">
      <alignment horizontal="left" vertical="top" textRotation="0" wrapText="false" indent="0" shrinkToFit="false"/>
      <protection locked="false" hidden="false"/>
    </xf>
    <xf numFmtId="188" fontId="110" fillId="0" borderId="0" xfId="0" applyFont="true" applyBorder="false" applyAlignment="true" applyProtection="true">
      <alignment horizontal="left" vertical="top" textRotation="0" wrapText="false" indent="0" shrinkToFit="false"/>
      <protection locked="false" hidden="false"/>
    </xf>
    <xf numFmtId="164" fontId="110" fillId="0" borderId="0" xfId="0" applyFont="true" applyBorder="false" applyAlignment="true" applyProtection="true">
      <alignment horizontal="left" vertical="top" textRotation="0" wrapText="true" indent="0" shrinkToFit="false"/>
      <protection locked="false" hidden="false"/>
    </xf>
    <xf numFmtId="164" fontId="110" fillId="0" borderId="0" xfId="0" applyFont="true" applyBorder="false" applyAlignment="true" applyProtection="true">
      <alignment horizontal="general" vertical="top" textRotation="0" wrapText="false" indent="0" shrinkToFit="false"/>
      <protection locked="false" hidden="false"/>
    </xf>
    <xf numFmtId="188" fontId="109" fillId="0" borderId="0" xfId="0" applyFont="true" applyBorder="false" applyAlignment="true" applyProtection="true">
      <alignment horizontal="left" vertical="top" textRotation="0" wrapText="false" indent="0" shrinkToFit="false"/>
      <protection locked="false" hidden="false"/>
    </xf>
    <xf numFmtId="164" fontId="109" fillId="0" borderId="0" xfId="0" applyFont="true" applyBorder="false" applyAlignment="true" applyProtection="true">
      <alignment horizontal="left" vertical="top" textRotation="0" wrapText="true" indent="0" shrinkToFit="false"/>
      <protection locked="false" hidden="false"/>
    </xf>
    <xf numFmtId="164" fontId="109" fillId="0" borderId="0" xfId="0" applyFont="true" applyBorder="false" applyAlignment="true" applyProtection="true">
      <alignment horizontal="general" vertical="top" textRotation="0" wrapText="false" indent="0" shrinkToFit="false"/>
      <protection locked="false" hidden="false"/>
    </xf>
    <xf numFmtId="164" fontId="82" fillId="0" borderId="47" xfId="0" applyFont="true" applyBorder="true" applyAlignment="true" applyProtection="true">
      <alignment horizontal="left" vertical="top" textRotation="0" wrapText="false" indent="0" shrinkToFit="false"/>
      <protection locked="false" hidden="false"/>
    </xf>
    <xf numFmtId="164" fontId="82" fillId="0" borderId="48" xfId="0" applyFont="true" applyBorder="true" applyAlignment="true" applyProtection="true">
      <alignment horizontal="left" vertical="top" textRotation="0" wrapText="false" indent="0" shrinkToFit="false"/>
      <protection locked="false" hidden="false"/>
    </xf>
    <xf numFmtId="164" fontId="82" fillId="0" borderId="49" xfId="0" applyFont="true" applyBorder="true" applyAlignment="true" applyProtection="true">
      <alignment horizontal="left" vertical="top" textRotation="0" wrapText="false" indent="0" shrinkToFit="false"/>
      <protection locked="false" hidden="false"/>
    </xf>
    <xf numFmtId="164" fontId="105" fillId="0" borderId="51" xfId="0" applyFont="true" applyBorder="true" applyAlignment="true" applyProtection="true">
      <alignment horizontal="left" vertical="top" textRotation="0" wrapText="false" indent="0" shrinkToFit="false"/>
      <protection locked="false" hidden="false"/>
    </xf>
    <xf numFmtId="164" fontId="105" fillId="0" borderId="52" xfId="0" applyFont="true" applyBorder="true" applyAlignment="true" applyProtection="true">
      <alignment horizontal="left" vertical="top" textRotation="0" wrapText="false" indent="0" shrinkToFit="false"/>
      <protection locked="false" hidden="false"/>
    </xf>
    <xf numFmtId="164" fontId="105" fillId="0" borderId="54" xfId="0" applyFont="true" applyBorder="true" applyAlignment="true" applyProtection="true">
      <alignment horizontal="left" vertical="top" textRotation="0" wrapText="false" indent="0" shrinkToFit="false"/>
      <protection locked="false" hidden="false"/>
    </xf>
    <xf numFmtId="164" fontId="105" fillId="0" borderId="55" xfId="0" applyFont="true" applyBorder="true" applyAlignment="true" applyProtection="true">
      <alignment horizontal="left" vertical="top" textRotation="0" wrapText="false" indent="0" shrinkToFit="false"/>
      <protection locked="false" hidden="false"/>
    </xf>
    <xf numFmtId="164" fontId="105" fillId="0" borderId="56" xfId="0" applyFont="true" applyBorder="true" applyAlignment="true" applyProtection="true">
      <alignment horizontal="left" vertical="top" textRotation="0" wrapText="false" indent="0" shrinkToFit="false"/>
      <protection locked="false" hidden="false"/>
    </xf>
    <xf numFmtId="164" fontId="111" fillId="0" borderId="0" xfId="0" applyFont="true" applyBorder="false" applyAlignment="true" applyProtection="true">
      <alignment horizontal="general" vertical="top" textRotation="0" wrapText="false" indent="0" shrinkToFit="false"/>
      <protection locked="false" hidden="false"/>
    </xf>
    <xf numFmtId="164" fontId="112" fillId="0" borderId="0" xfId="0" applyFont="true" applyBorder="false" applyAlignment="true" applyProtection="true">
      <alignment horizontal="general" vertical="bottom" textRotation="0" wrapText="false" indent="0" shrinkToFit="false"/>
      <protection locked="true" hidden="false"/>
    </xf>
    <xf numFmtId="199" fontId="48" fillId="0" borderId="0" xfId="0" applyFont="true" applyBorder="false" applyAlignment="true" applyProtection="true">
      <alignment horizontal="left" vertical="top" textRotation="0" wrapText="false" indent="0" shrinkToFit="false"/>
      <protection locked="false" hidden="false"/>
    </xf>
    <xf numFmtId="174" fontId="48" fillId="0" borderId="0" xfId="0" applyFont="true" applyBorder="false" applyAlignment="true" applyProtection="true">
      <alignment horizontal="left" vertical="top" textRotation="0" wrapText="true" indent="0" shrinkToFit="false"/>
      <protection locked="false" hidden="false"/>
    </xf>
    <xf numFmtId="164" fontId="113" fillId="0" borderId="0" xfId="0" applyFont="true" applyBorder="false" applyAlignment="true" applyProtection="true">
      <alignment horizontal="left" vertical="top" textRotation="0" wrapText="false" indent="0" shrinkToFit="false"/>
      <protection locked="false" hidden="false"/>
    </xf>
    <xf numFmtId="164" fontId="48" fillId="0" borderId="121" xfId="0" applyFont="true" applyBorder="true" applyAlignment="true" applyProtection="true">
      <alignment horizontal="left" vertical="top" textRotation="0" wrapText="false" indent="0" shrinkToFit="false"/>
      <protection locked="false" hidden="false"/>
    </xf>
    <xf numFmtId="164" fontId="86" fillId="24" borderId="12" xfId="0" applyFont="true" applyBorder="true" applyAlignment="true" applyProtection="true">
      <alignment horizontal="left" vertical="top" textRotation="0" wrapText="true" indent="0" shrinkToFit="false"/>
      <protection locked="true" hidden="false"/>
    </xf>
    <xf numFmtId="164" fontId="48" fillId="24" borderId="61" xfId="0" applyFont="true" applyBorder="true" applyAlignment="true" applyProtection="true">
      <alignment horizontal="left" vertical="top" textRotation="0" wrapText="true" indent="0" shrinkToFit="false"/>
      <protection locked="true" hidden="false"/>
    </xf>
    <xf numFmtId="164" fontId="48" fillId="0" borderId="0" xfId="0" applyFont="true" applyBorder="true" applyAlignment="true" applyProtection="true">
      <alignment horizontal="left" vertical="top" textRotation="0" wrapText="true" indent="0" shrinkToFit="false"/>
      <protection locked="true" hidden="false"/>
    </xf>
    <xf numFmtId="164" fontId="93" fillId="0" borderId="0" xfId="0" applyFont="true" applyBorder="false" applyAlignment="true" applyProtection="true">
      <alignment horizontal="general" vertical="top" textRotation="0" wrapText="true" indent="0" shrinkToFit="false"/>
      <protection locked="false" hidden="false"/>
    </xf>
    <xf numFmtId="164" fontId="93" fillId="0" borderId="0" xfId="0" applyFont="true" applyBorder="false" applyAlignment="true" applyProtection="true">
      <alignment horizontal="left" vertical="top" textRotation="0" wrapText="false" indent="0" shrinkToFit="false"/>
      <protection locked="true" hidden="false"/>
    </xf>
    <xf numFmtId="164" fontId="114" fillId="13" borderId="47" xfId="0" applyFont="true" applyBorder="true" applyAlignment="true" applyProtection="true">
      <alignment horizontal="left" vertical="top" textRotation="0" wrapText="false" indent="0" shrinkToFit="false"/>
      <protection locked="true" hidden="false"/>
    </xf>
    <xf numFmtId="164" fontId="93" fillId="0" borderId="0" xfId="0" applyFont="true" applyBorder="false" applyAlignment="true" applyProtection="true">
      <alignment horizontal="left" vertical="top" textRotation="0" wrapText="true" indent="0" shrinkToFit="false"/>
      <protection locked="false" hidden="false"/>
    </xf>
    <xf numFmtId="166" fontId="115" fillId="27" borderId="39" xfId="0" applyFont="true" applyBorder="true" applyAlignment="true" applyProtection="true">
      <alignment horizontal="left" vertical="top" textRotation="0" wrapText="false" indent="0" shrinkToFit="false"/>
      <protection locked="false" hidden="false"/>
    </xf>
    <xf numFmtId="164" fontId="116" fillId="0" borderId="0" xfId="0" applyFont="true" applyBorder="false" applyAlignment="true" applyProtection="true">
      <alignment horizontal="left" vertical="top" textRotation="0" wrapText="false" indent="0" shrinkToFit="false"/>
      <protection locked="false" hidden="false"/>
    </xf>
    <xf numFmtId="173" fontId="93" fillId="0" borderId="0" xfId="0" applyFont="true" applyBorder="false" applyAlignment="true" applyProtection="true">
      <alignment horizontal="left" vertical="top" textRotation="0" wrapText="false" indent="0" shrinkToFit="false"/>
      <protection locked="true" hidden="false"/>
    </xf>
    <xf numFmtId="164" fontId="48" fillId="0" borderId="47" xfId="0" applyFont="true" applyBorder="true" applyAlignment="true" applyProtection="true">
      <alignment horizontal="left" vertical="top" textRotation="0" wrapText="false" indent="0" shrinkToFit="false"/>
      <protection locked="true" hidden="false"/>
    </xf>
    <xf numFmtId="164" fontId="116" fillId="0" borderId="82" xfId="0" applyFont="true" applyBorder="true" applyAlignment="true" applyProtection="true">
      <alignment horizontal="left" vertical="top" textRotation="0" wrapText="false" indent="0" shrinkToFit="false"/>
      <protection locked="true" hidden="false"/>
    </xf>
    <xf numFmtId="164" fontId="117" fillId="0" borderId="0" xfId="0" applyFont="true" applyBorder="false" applyAlignment="true" applyProtection="true">
      <alignment horizontal="left" vertical="top" textRotation="0" wrapText="false" indent="0" shrinkToFit="false"/>
      <protection locked="true" hidden="false"/>
    </xf>
    <xf numFmtId="164" fontId="48" fillId="0" borderId="0" xfId="0" applyFont="true" applyBorder="false" applyAlignment="true" applyProtection="true">
      <alignment horizontal="left" vertical="top" textRotation="0" wrapText="true" indent="0" shrinkToFit="false"/>
      <protection locked="true" hidden="false"/>
    </xf>
    <xf numFmtId="164" fontId="87" fillId="0" borderId="0" xfId="0" applyFont="true" applyBorder="false" applyAlignment="true" applyProtection="true">
      <alignment horizontal="left" vertical="top" textRotation="0" wrapText="false" indent="0" shrinkToFit="false"/>
      <protection locked="true" hidden="false"/>
    </xf>
    <xf numFmtId="164" fontId="48" fillId="7" borderId="42" xfId="0" applyFont="true" applyBorder="true" applyAlignment="true" applyProtection="true">
      <alignment horizontal="left" vertical="top" textRotation="0" wrapText="false" indent="0" shrinkToFit="false"/>
      <protection locked="false" hidden="false"/>
    </xf>
    <xf numFmtId="164" fontId="29" fillId="0" borderId="0" xfId="0" applyFont="true" applyBorder="false" applyAlignment="true" applyProtection="true">
      <alignment horizontal="left" vertical="bottom" textRotation="0" wrapText="false" indent="0" shrinkToFit="false"/>
      <protection locked="true" hidden="false"/>
    </xf>
    <xf numFmtId="164" fontId="118" fillId="0" borderId="0" xfId="0" applyFont="true" applyBorder="false" applyAlignment="true" applyProtection="true">
      <alignment horizontal="left" vertical="bottom" textRotation="0" wrapText="false" indent="0" shrinkToFit="false"/>
      <protection locked="true" hidden="false"/>
    </xf>
    <xf numFmtId="164" fontId="87" fillId="0" borderId="0" xfId="0" applyFont="true" applyBorder="false" applyAlignment="true" applyProtection="true">
      <alignment horizontal="general" vertical="top" textRotation="0" wrapText="false" indent="0" shrinkToFit="false"/>
      <protection locked="false" hidden="false"/>
    </xf>
    <xf numFmtId="164" fontId="112" fillId="0" borderId="0" xfId="0" applyFont="true" applyBorder="false" applyAlignment="true" applyProtection="true">
      <alignment horizontal="left" vertical="top" textRotation="0" wrapText="false" indent="0" shrinkToFit="false"/>
      <protection locked="false" hidden="false"/>
    </xf>
    <xf numFmtId="164" fontId="48" fillId="0" borderId="51" xfId="0" applyFont="true" applyBorder="true" applyAlignment="true" applyProtection="true">
      <alignment horizontal="left" vertical="top" textRotation="0" wrapText="false" indent="0" shrinkToFit="false"/>
      <protection locked="true" hidden="false"/>
    </xf>
    <xf numFmtId="164" fontId="86" fillId="0" borderId="82" xfId="0" applyFont="true" applyBorder="true" applyAlignment="true" applyProtection="true">
      <alignment horizontal="left" vertical="top" textRotation="0" wrapText="false" indent="0" shrinkToFit="false"/>
      <protection locked="true" hidden="false"/>
    </xf>
    <xf numFmtId="164" fontId="86" fillId="0" borderId="120" xfId="0" applyFont="true" applyBorder="true" applyAlignment="true" applyProtection="true">
      <alignment horizontal="left" vertical="top" textRotation="0" wrapText="false" indent="0" shrinkToFit="false"/>
      <protection locked="true" hidden="false"/>
    </xf>
    <xf numFmtId="164" fontId="116" fillId="0" borderId="120" xfId="0" applyFont="true" applyBorder="true" applyAlignment="true" applyProtection="true">
      <alignment horizontal="left" vertical="top" textRotation="0" wrapText="false" indent="0" shrinkToFit="false"/>
      <protection locked="true" hidden="false"/>
    </xf>
    <xf numFmtId="164" fontId="117" fillId="0" borderId="0" xfId="0" applyFont="true" applyBorder="false" applyAlignment="true" applyProtection="true">
      <alignment horizontal="left" vertical="top" textRotation="0" wrapText="false" indent="0" shrinkToFit="false"/>
      <protection locked="false" hidden="false"/>
    </xf>
    <xf numFmtId="164" fontId="119" fillId="0" borderId="0" xfId="0" applyFont="true" applyBorder="false" applyAlignment="true" applyProtection="true">
      <alignment horizontal="left" vertical="bottom" textRotation="0" wrapText="false" indent="0" shrinkToFit="false"/>
      <protection locked="true" hidden="false"/>
    </xf>
    <xf numFmtId="164" fontId="19" fillId="0" borderId="0" xfId="0" applyFont="true" applyBorder="false" applyAlignment="true" applyProtection="true">
      <alignment horizontal="left" vertical="bottom" textRotation="0" wrapText="false" indent="0" shrinkToFit="false"/>
      <protection locked="true" hidden="false"/>
    </xf>
    <xf numFmtId="164" fontId="88" fillId="0" borderId="0" xfId="0" applyFont="true" applyBorder="false" applyAlignment="true" applyProtection="true">
      <alignment horizontal="center" vertical="top" textRotation="0" wrapText="false" indent="0" shrinkToFit="false"/>
      <protection locked="false" hidden="false"/>
    </xf>
    <xf numFmtId="164" fontId="88" fillId="0" borderId="0" xfId="0" applyFont="true" applyBorder="false" applyAlignment="true" applyProtection="true">
      <alignment horizontal="general" vertical="top" textRotation="0" wrapText="true" indent="0" shrinkToFit="false"/>
      <protection locked="false" hidden="false"/>
    </xf>
    <xf numFmtId="166" fontId="120" fillId="27" borderId="38" xfId="0" applyFont="true" applyBorder="true" applyAlignment="true" applyProtection="true">
      <alignment horizontal="center" vertical="top" textRotation="0" wrapText="false" indent="0" shrinkToFit="false"/>
      <protection locked="true" hidden="false"/>
    </xf>
    <xf numFmtId="166" fontId="120" fillId="27" borderId="39" xfId="0" applyFont="true" applyBorder="true" applyAlignment="true" applyProtection="true">
      <alignment horizontal="center" vertical="top" textRotation="0" wrapText="false" indent="0" shrinkToFit="false"/>
      <protection locked="true" hidden="false"/>
    </xf>
    <xf numFmtId="164" fontId="88" fillId="0" borderId="0" xfId="0" applyFont="true" applyBorder="false" applyAlignment="true" applyProtection="true">
      <alignment horizontal="general" vertical="top" textRotation="0" wrapText="false" indent="0" shrinkToFit="false"/>
      <protection locked="false" hidden="false"/>
    </xf>
    <xf numFmtId="166" fontId="120" fillId="27" borderId="39" xfId="0" applyFont="true" applyBorder="true" applyAlignment="true" applyProtection="true">
      <alignment horizontal="center" vertical="top" textRotation="0" wrapText="true" indent="0" shrinkToFit="false"/>
      <protection locked="true" hidden="false"/>
    </xf>
    <xf numFmtId="166" fontId="120" fillId="27" borderId="38" xfId="0" applyFont="true" applyBorder="true" applyAlignment="true" applyProtection="true">
      <alignment horizontal="center" vertical="top" textRotation="0" wrapText="true" indent="0" shrinkToFit="false"/>
      <protection locked="true" hidden="false"/>
    </xf>
    <xf numFmtId="166" fontId="120" fillId="28" borderId="41" xfId="0" applyFont="true" applyBorder="true" applyAlignment="true" applyProtection="true">
      <alignment horizontal="center" vertical="top" textRotation="0" wrapText="false" indent="0" shrinkToFit="false"/>
      <protection locked="true" hidden="false"/>
    </xf>
    <xf numFmtId="164" fontId="88" fillId="7" borderId="42" xfId="0" applyFont="true" applyBorder="true" applyAlignment="true" applyProtection="true">
      <alignment horizontal="center" vertical="top" textRotation="0" wrapText="false" indent="0" shrinkToFit="false"/>
      <protection locked="true" hidden="false"/>
    </xf>
    <xf numFmtId="164" fontId="88" fillId="7" borderId="43" xfId="0" applyFont="true" applyBorder="true" applyAlignment="true" applyProtection="true">
      <alignment horizontal="center" vertical="top" textRotation="0" wrapText="false" indent="0" shrinkToFit="false"/>
      <protection locked="true" hidden="false"/>
    </xf>
    <xf numFmtId="166" fontId="120" fillId="28" borderId="38" xfId="0" applyFont="true" applyBorder="true" applyAlignment="true" applyProtection="true">
      <alignment horizontal="center" vertical="top" textRotation="0" wrapText="false" indent="0" shrinkToFit="false"/>
      <protection locked="true" hidden="false"/>
    </xf>
    <xf numFmtId="164" fontId="88" fillId="7" borderId="44" xfId="0" applyFont="true" applyBorder="true" applyAlignment="true" applyProtection="true">
      <alignment horizontal="center" vertical="top" textRotation="0" wrapText="false" indent="0" shrinkToFit="false"/>
      <protection locked="true" hidden="false"/>
    </xf>
    <xf numFmtId="164" fontId="88" fillId="7" borderId="136" xfId="0" applyFont="true" applyBorder="true" applyAlignment="true" applyProtection="true">
      <alignment horizontal="center" vertical="top" textRotation="0" wrapText="false" indent="0" shrinkToFit="false"/>
      <protection locked="true" hidden="false"/>
    </xf>
    <xf numFmtId="164" fontId="88" fillId="0" borderId="0" xfId="0" applyFont="true" applyBorder="false" applyAlignment="true" applyProtection="true">
      <alignment horizontal="left" vertical="top" textRotation="0" wrapText="true" indent="0" shrinkToFit="false"/>
      <protection locked="false" hidden="false"/>
    </xf>
    <xf numFmtId="164" fontId="121" fillId="40" borderId="137" xfId="0" applyFont="true" applyBorder="true" applyAlignment="true" applyProtection="true">
      <alignment horizontal="general" vertical="bottom" textRotation="0" wrapText="true" indent="0" shrinkToFit="false"/>
      <protection locked="true" hidden="false"/>
    </xf>
    <xf numFmtId="164" fontId="121" fillId="40" borderId="138" xfId="0" applyFont="true" applyBorder="true" applyAlignment="true" applyProtection="true">
      <alignment horizontal="general" vertical="bottom" textRotation="0" wrapText="true" indent="0" shrinkToFit="false"/>
      <protection locked="true" hidden="false"/>
    </xf>
    <xf numFmtId="164" fontId="121" fillId="40" borderId="139" xfId="0" applyFont="true" applyBorder="true" applyAlignment="true" applyProtection="true">
      <alignment horizontal="general" vertical="bottom" textRotation="0" wrapText="true" indent="0" shrinkToFit="false"/>
      <protection locked="true" hidden="false"/>
    </xf>
    <xf numFmtId="164" fontId="17" fillId="25" borderId="137" xfId="0" applyFont="true" applyBorder="true" applyAlignment="true" applyProtection="true">
      <alignment horizontal="general" vertical="bottom" textRotation="0" wrapText="true" indent="0" shrinkToFit="false"/>
      <protection locked="true" hidden="false"/>
    </xf>
    <xf numFmtId="164" fontId="17" fillId="25" borderId="138" xfId="0" applyFont="true" applyBorder="true" applyAlignment="true" applyProtection="true">
      <alignment horizontal="general" vertical="bottom" textRotation="0" wrapText="true" indent="0" shrinkToFit="false"/>
      <protection locked="true" hidden="false"/>
    </xf>
    <xf numFmtId="164" fontId="17" fillId="25" borderId="139" xfId="0" applyFont="true" applyBorder="true" applyAlignment="true" applyProtection="true">
      <alignment horizontal="general" vertical="bottom" textRotation="0" wrapText="true" indent="0" shrinkToFit="false"/>
      <protection locked="true" hidden="false"/>
    </xf>
    <xf numFmtId="164" fontId="82" fillId="24" borderId="137" xfId="0" applyFont="true" applyBorder="true" applyAlignment="true" applyProtection="true">
      <alignment horizontal="general" vertical="bottom" textRotation="0" wrapText="true" indent="0" shrinkToFit="false"/>
      <protection locked="true" hidden="false"/>
    </xf>
    <xf numFmtId="164" fontId="82" fillId="24" borderId="138" xfId="0" applyFont="true" applyBorder="true" applyAlignment="true" applyProtection="true">
      <alignment horizontal="general" vertical="bottom" textRotation="0" wrapText="true" indent="0" shrinkToFit="false"/>
      <protection locked="true" hidden="false"/>
    </xf>
    <xf numFmtId="164" fontId="82" fillId="24" borderId="139" xfId="0" applyFont="true" applyBorder="true" applyAlignment="true" applyProtection="true">
      <alignment horizontal="general" vertical="bottom" textRotation="0" wrapText="true" indent="0" shrinkToFit="false"/>
      <protection locked="true" hidden="false"/>
    </xf>
    <xf numFmtId="164" fontId="0" fillId="24" borderId="137" xfId="0" applyFont="true" applyBorder="true" applyAlignment="true" applyProtection="true">
      <alignment horizontal="general" vertical="bottom" textRotation="0" wrapText="true" indent="0" shrinkToFit="false"/>
      <protection locked="true" hidden="false"/>
    </xf>
    <xf numFmtId="164" fontId="0" fillId="24" borderId="138" xfId="0" applyFont="true" applyBorder="true" applyAlignment="true" applyProtection="true">
      <alignment horizontal="general" vertical="bottom" textRotation="0" wrapText="true" indent="0" shrinkToFit="false"/>
      <protection locked="true" hidden="false"/>
    </xf>
    <xf numFmtId="164" fontId="0" fillId="24" borderId="139" xfId="0" applyFont="true" applyBorder="true" applyAlignment="true" applyProtection="true">
      <alignment horizontal="general" vertical="bottom" textRotation="0" wrapText="true" indent="0" shrinkToFit="false"/>
      <protection locked="true" hidden="false"/>
    </xf>
    <xf numFmtId="203" fontId="0" fillId="24" borderId="138" xfId="0" applyFont="false" applyBorder="true" applyAlignment="true" applyProtection="true">
      <alignment horizontal="general" vertical="bottom" textRotation="0" wrapText="true" indent="0" shrinkToFit="false"/>
      <protection locked="true" hidden="false"/>
    </xf>
    <xf numFmtId="203" fontId="0" fillId="24" borderId="139" xfId="0" applyFont="false" applyBorder="true" applyAlignment="true" applyProtection="true">
      <alignment horizontal="general" vertical="bottom" textRotation="0" wrapText="true" indent="0" shrinkToFit="false"/>
      <protection locked="true" hidden="false"/>
    </xf>
    <xf numFmtId="165" fontId="0" fillId="24" borderId="138" xfId="0" applyFont="true" applyBorder="true" applyAlignment="true" applyProtection="true">
      <alignment horizontal="general" vertical="bottom" textRotation="0" wrapText="true" indent="0" shrinkToFit="false"/>
      <protection locked="true" hidden="false"/>
    </xf>
    <xf numFmtId="165" fontId="0" fillId="24" borderId="139" xfId="0" applyFont="true" applyBorder="true" applyAlignment="true" applyProtection="true">
      <alignment horizontal="general" vertical="bottom" textRotation="0" wrapText="true" indent="0" shrinkToFit="false"/>
      <protection locked="true" hidden="false"/>
    </xf>
    <xf numFmtId="204" fontId="0" fillId="24" borderId="138" xfId="0" applyFont="false" applyBorder="true" applyAlignment="true" applyProtection="true">
      <alignment horizontal="right" vertical="bottom" textRotation="0" wrapText="true" indent="0" shrinkToFit="false"/>
      <protection locked="true" hidden="false"/>
    </xf>
    <xf numFmtId="204" fontId="0" fillId="24" borderId="139" xfId="0" applyFont="false" applyBorder="true" applyAlignment="true" applyProtection="true">
      <alignment horizontal="right" vertical="bottom" textRotation="0" wrapText="true" indent="0" shrinkToFit="false"/>
      <protection locked="true" hidden="false"/>
    </xf>
    <xf numFmtId="164" fontId="0" fillId="24" borderId="138" xfId="0" applyFont="false" applyBorder="true" applyAlignment="true" applyProtection="true">
      <alignment horizontal="right" vertical="bottom" textRotation="0" wrapText="true" indent="0" shrinkToFit="false"/>
      <protection locked="true" hidden="false"/>
    </xf>
    <xf numFmtId="164" fontId="0" fillId="24" borderId="139" xfId="0" applyFont="false" applyBorder="true" applyAlignment="true" applyProtection="true">
      <alignment horizontal="right" vertical="bottom" textRotation="0" wrapText="true" indent="0" shrinkToFit="false"/>
      <protection locked="true" hidden="false"/>
    </xf>
    <xf numFmtId="164" fontId="0" fillId="24" borderId="140" xfId="0" applyFont="true" applyBorder="true" applyAlignment="true" applyProtection="true">
      <alignment horizontal="general" vertical="bottom" textRotation="0" wrapText="true" indent="0" shrinkToFit="false"/>
      <protection locked="true" hidden="false"/>
    </xf>
    <xf numFmtId="164" fontId="0" fillId="24" borderId="141" xfId="0" applyFont="true" applyBorder="true" applyAlignment="true" applyProtection="true">
      <alignment horizontal="general" vertical="bottom" textRotation="0" wrapText="true" indent="0" shrinkToFit="false"/>
      <protection locked="true" hidden="false"/>
    </xf>
    <xf numFmtId="164" fontId="0" fillId="24" borderId="142" xfId="0" applyFont="true" applyBorder="true" applyAlignment="true" applyProtection="true">
      <alignment horizontal="general" vertical="bottom" textRotation="0" wrapText="true" indent="0" shrinkToFit="false"/>
      <protection locked="true" hidden="false"/>
    </xf>
    <xf numFmtId="164" fontId="122" fillId="26" borderId="137" xfId="0" applyFont="true" applyBorder="true" applyAlignment="true" applyProtection="true">
      <alignment horizontal="general" vertical="bottom" textRotation="0" wrapText="true" indent="0" shrinkToFit="false"/>
      <protection locked="true" hidden="false"/>
    </xf>
    <xf numFmtId="164" fontId="0" fillId="26" borderId="137" xfId="0" applyFont="true" applyBorder="true" applyAlignment="true" applyProtection="true">
      <alignment horizontal="general" vertical="bottom" textRotation="0" wrapText="true" indent="0" shrinkToFit="false"/>
      <protection locked="true" hidden="false"/>
    </xf>
    <xf numFmtId="164" fontId="82" fillId="26" borderId="137" xfId="0" applyFont="true" applyBorder="true" applyAlignment="true" applyProtection="true">
      <alignment horizontal="general" vertical="bottom" textRotation="0" wrapText="true" indent="0" shrinkToFit="false"/>
      <protection locked="true" hidden="false"/>
    </xf>
    <xf numFmtId="164" fontId="0" fillId="26" borderId="140" xfId="0" applyFont="true" applyBorder="true" applyAlignment="true" applyProtection="true">
      <alignment horizontal="general" vertical="bottom" textRotation="0" wrapText="true" indent="0" shrinkToFit="false"/>
      <protection locked="true" hidden="false"/>
    </xf>
    <xf numFmtId="205" fontId="0" fillId="24" borderId="138" xfId="0" applyFont="false" applyBorder="true" applyAlignment="true" applyProtection="true">
      <alignment horizontal="general" vertical="bottom" textRotation="0" wrapText="true" indent="0" shrinkToFit="false"/>
      <protection locked="true" hidden="false"/>
    </xf>
    <xf numFmtId="205" fontId="0" fillId="24" borderId="139" xfId="0" applyFont="false" applyBorder="true" applyAlignment="true" applyProtection="true">
      <alignment horizontal="general" vertical="bottom" textRotation="0" wrapText="true" indent="0" shrinkToFit="false"/>
      <protection locked="true" hidden="false"/>
    </xf>
    <xf numFmtId="164" fontId="108" fillId="41" borderId="120" xfId="0" applyFont="true" applyBorder="true" applyAlignment="true" applyProtection="true">
      <alignment horizontal="left" vertical="top" textRotation="0" wrapText="true" indent="0" shrinkToFit="false"/>
      <protection locked="true" hidden="false"/>
    </xf>
    <xf numFmtId="164" fontId="86" fillId="15" borderId="120" xfId="0" applyFont="true" applyBorder="true" applyAlignment="true" applyProtection="true">
      <alignment horizontal="left" vertical="top" textRotation="0" wrapText="false" indent="0" shrinkToFit="false"/>
      <protection locked="true" hidden="false"/>
    </xf>
    <xf numFmtId="164" fontId="123" fillId="0" borderId="120" xfId="0" applyFont="true" applyBorder="true" applyAlignment="true" applyProtection="true">
      <alignment horizontal="left" vertical="top" textRotation="0" wrapText="false" indent="0" shrinkToFit="false"/>
      <protection locked="true" hidden="false"/>
    </xf>
    <xf numFmtId="164" fontId="124" fillId="0" borderId="120" xfId="0" applyFont="true" applyBorder="true" applyAlignment="true" applyProtection="true">
      <alignment horizontal="left" vertical="top" textRotation="0" wrapText="false" indent="0" shrinkToFit="false"/>
      <protection locked="true" hidden="false"/>
    </xf>
    <xf numFmtId="164" fontId="125" fillId="0" borderId="120" xfId="0" applyFont="true" applyBorder="true" applyAlignment="true" applyProtection="true">
      <alignment horizontal="left" vertical="top" textRotation="0" wrapText="false" indent="0" shrinkToFit="false"/>
      <protection locked="true" hidden="false"/>
    </xf>
    <xf numFmtId="164" fontId="108" fillId="17" borderId="120" xfId="0" applyFont="true" applyBorder="true" applyAlignment="true" applyProtection="true">
      <alignment horizontal="left" vertical="top" textRotation="0" wrapText="false" indent="0" shrinkToFit="false"/>
      <protection locked="true" hidden="false"/>
    </xf>
    <xf numFmtId="164" fontId="86" fillId="0" borderId="143" xfId="0" applyFont="true" applyBorder="true" applyAlignment="true" applyProtection="true">
      <alignment horizontal="left" vertical="top" textRotation="0" wrapText="false" indent="0" shrinkToFit="false"/>
      <protection locked="true" hidden="false"/>
    </xf>
    <xf numFmtId="164" fontId="86" fillId="17" borderId="120" xfId="0" applyFont="true" applyBorder="true" applyAlignment="true" applyProtection="true">
      <alignment horizontal="left" vertical="top" textRotation="0" wrapText="false" indent="0" shrinkToFit="false"/>
      <protection locked="true" hidden="false"/>
    </xf>
    <xf numFmtId="164" fontId="86" fillId="42" borderId="120" xfId="0" applyFont="true" applyBorder="true" applyAlignment="true" applyProtection="true">
      <alignment horizontal="left" vertical="top" textRotation="0" wrapText="false" indent="0" shrinkToFit="false"/>
      <protection locked="true" hidden="false"/>
    </xf>
    <xf numFmtId="164" fontId="86" fillId="0" borderId="143" xfId="0" applyFont="true" applyBorder="true" applyAlignment="true" applyProtection="true">
      <alignment horizontal="left" vertical="top" textRotation="0" wrapText="true" indent="0" shrinkToFit="false"/>
      <protection locked="true" hidden="false"/>
    </xf>
    <xf numFmtId="164" fontId="86" fillId="10" borderId="120" xfId="0" applyFont="true" applyBorder="true" applyAlignment="true" applyProtection="true">
      <alignment horizontal="left" vertical="top" textRotation="0" wrapText="false" indent="0" shrinkToFit="false"/>
      <protection locked="true" hidden="false"/>
    </xf>
    <xf numFmtId="164" fontId="86" fillId="25" borderId="120" xfId="0" applyFont="true" applyBorder="true" applyAlignment="true" applyProtection="true">
      <alignment horizontal="left" vertical="top" textRotation="0" wrapText="false" indent="0" shrinkToFit="false"/>
      <protection locked="true" hidden="false"/>
    </xf>
    <xf numFmtId="164" fontId="86" fillId="41" borderId="120" xfId="0" applyFont="true" applyBorder="true" applyAlignment="true" applyProtection="true">
      <alignment horizontal="left" vertical="top" textRotation="0" wrapText="false" indent="0" shrinkToFit="false"/>
      <protection locked="true" hidden="false"/>
    </xf>
    <xf numFmtId="164" fontId="0" fillId="0" borderId="120" xfId="0" applyFont="false" applyBorder="true" applyAlignment="true" applyProtection="true">
      <alignment horizontal="general" vertical="bottom" textRotation="0" wrapText="false" indent="0" shrinkToFit="false"/>
      <protection locked="true" hidden="false"/>
    </xf>
    <xf numFmtId="164" fontId="108" fillId="13" borderId="144" xfId="0" applyFont="true" applyBorder="true" applyAlignment="true" applyProtection="true">
      <alignment horizontal="left" vertical="top" textRotation="0" wrapText="false" indent="0" shrinkToFit="false"/>
      <protection locked="false" hidden="false"/>
    </xf>
    <xf numFmtId="164" fontId="48" fillId="0" borderId="82" xfId="0" applyFont="true" applyBorder="true" applyAlignment="true" applyProtection="true">
      <alignment horizontal="left" vertical="top" textRotation="0" wrapText="false" indent="0" shrinkToFit="false"/>
      <protection locked="false" hidden="false"/>
    </xf>
    <xf numFmtId="164" fontId="48" fillId="0" borderId="145" xfId="0" applyFont="true" applyBorder="true" applyAlignment="true" applyProtection="true">
      <alignment horizontal="left" vertical="top" textRotation="0" wrapText="false" indent="0" shrinkToFit="false"/>
      <protection locked="false" hidden="false"/>
    </xf>
    <xf numFmtId="164" fontId="48" fillId="0" borderId="53" xfId="0" applyFont="true" applyBorder="true" applyAlignment="true" applyProtection="true">
      <alignment horizontal="left" vertical="top" textRotation="0" wrapText="false" indent="0" shrinkToFit="false"/>
      <protection locked="false" hidden="false"/>
    </xf>
    <xf numFmtId="164" fontId="48" fillId="0" borderId="0" xfId="0" applyFont="true" applyBorder="true" applyAlignment="true" applyProtection="true">
      <alignment horizontal="left" vertical="top" textRotation="0" wrapText="false" indent="0" shrinkToFit="false"/>
      <protection locked="true" hidden="false"/>
    </xf>
    <xf numFmtId="164" fontId="0" fillId="0" borderId="120" xfId="0" applyFont="true" applyBorder="true" applyAlignment="true" applyProtection="true">
      <alignment horizontal="justify" vertical="bottom" textRotation="0" wrapText="false" indent="0" shrinkToFit="false"/>
      <protection locked="true" hidden="false"/>
    </xf>
    <xf numFmtId="164" fontId="0" fillId="0" borderId="87" xfId="0" applyFont="true" applyBorder="true" applyAlignment="true" applyProtection="true">
      <alignment horizontal="justify" vertical="bottom" textRotation="0" wrapText="false" indent="0" shrinkToFit="false"/>
      <protection locked="true" hidden="false"/>
    </xf>
    <xf numFmtId="164" fontId="0" fillId="0" borderId="145" xfId="0" applyFont="true" applyBorder="true" applyAlignment="true" applyProtection="true">
      <alignment horizontal="justify" vertical="bottom" textRotation="0" wrapText="true" indent="0" shrinkToFit="false"/>
      <protection locked="true" hidden="false"/>
    </xf>
    <xf numFmtId="164" fontId="0" fillId="0" borderId="145" xfId="0" applyFont="true" applyBorder="true" applyAlignment="true" applyProtection="true">
      <alignment horizontal="justify" vertical="bottom" textRotation="0" wrapText="false" indent="0" shrinkToFit="false"/>
      <protection locked="true" hidden="false"/>
    </xf>
    <xf numFmtId="164" fontId="0" fillId="0" borderId="86" xfId="0" applyFont="true" applyBorder="true" applyAlignment="true" applyProtection="true">
      <alignment horizontal="justify" vertical="bottom" textRotation="0" wrapText="false" indent="0" shrinkToFit="false"/>
      <protection locked="true" hidden="false"/>
    </xf>
    <xf numFmtId="164" fontId="0" fillId="0" borderId="145" xfId="0" applyFont="true" applyBorder="true" applyAlignment="true" applyProtection="true">
      <alignment horizontal="justify" vertical="bottom" textRotation="0" wrapText="false" indent="0" shrinkToFit="false"/>
      <protection locked="false" hidden="false"/>
    </xf>
    <xf numFmtId="164" fontId="0" fillId="0" borderId="133" xfId="0" applyFont="true" applyBorder="true" applyAlignment="true" applyProtection="true">
      <alignment horizontal="justify" vertical="bottom" textRotation="0" wrapText="false" indent="0" shrinkToFit="false"/>
      <protection locked="true" hidden="false"/>
    </xf>
    <xf numFmtId="164" fontId="0" fillId="0" borderId="146" xfId="0" applyFont="true" applyBorder="true" applyAlignment="true" applyProtection="true">
      <alignment horizontal="justify" vertical="bottom" textRotation="0" wrapText="false" indent="0" shrinkToFit="false"/>
      <protection locked="true" hidden="false"/>
    </xf>
    <xf numFmtId="164" fontId="0" fillId="0" borderId="120" xfId="0" applyFont="true" applyBorder="true" applyAlignment="true" applyProtection="true">
      <alignment horizontal="justify" vertical="bottom" textRotation="0" wrapText="true" indent="0" shrinkToFit="false"/>
      <protection locked="true" hidden="false"/>
    </xf>
    <xf numFmtId="164" fontId="0" fillId="0" borderId="146" xfId="0" applyFont="true" applyBorder="true" applyAlignment="true" applyProtection="true">
      <alignment horizontal="justify" vertical="bottom" textRotation="0" wrapText="true" indent="0" shrinkToFit="false"/>
      <protection locked="true" hidden="false"/>
    </xf>
    <xf numFmtId="164" fontId="0" fillId="0" borderId="85" xfId="0" applyFont="true" applyBorder="true" applyAlignment="true" applyProtection="true">
      <alignment horizontal="justify" vertical="bottom" textRotation="0" wrapText="false" indent="0" shrinkToFit="false"/>
      <protection locked="true" hidden="false"/>
    </xf>
    <xf numFmtId="164" fontId="0" fillId="0" borderId="82" xfId="0" applyFont="true" applyBorder="true" applyAlignment="true" applyProtection="true">
      <alignment horizontal="justify" vertical="bottom" textRotation="0" wrapText="false" indent="0" shrinkToFit="false"/>
      <protection locked="true" hidden="false"/>
    </xf>
    <xf numFmtId="164" fontId="0" fillId="0" borderId="84" xfId="0" applyFont="true" applyBorder="true" applyAlignment="true" applyProtection="true">
      <alignment horizontal="justify" vertical="bottom" textRotation="0" wrapText="false" indent="0" shrinkToFit="false"/>
      <protection locked="true" hidden="false"/>
    </xf>
    <xf numFmtId="164" fontId="0" fillId="0" borderId="82" xfId="0" applyFont="true" applyBorder="true" applyAlignment="true" applyProtection="true">
      <alignment horizontal="justify" vertical="bottom" textRotation="0" wrapText="true" indent="0" shrinkToFit="false"/>
      <protection locked="true" hidden="false"/>
    </xf>
    <xf numFmtId="164" fontId="129" fillId="0" borderId="65" xfId="0" applyFont="true" applyBorder="true" applyAlignment="true" applyProtection="true">
      <alignment horizontal="general" vertical="bottom" textRotation="0" wrapText="true" indent="0" shrinkToFit="false"/>
      <protection locked="true" hidden="false"/>
    </xf>
    <xf numFmtId="164" fontId="129" fillId="0" borderId="65" xfId="0" applyFont="true" applyBorder="true" applyAlignment="true" applyProtection="true">
      <alignment horizontal="center" vertical="bottom" textRotation="0" wrapText="true" indent="0" shrinkToFit="false"/>
      <protection locked="true" hidden="false"/>
    </xf>
    <xf numFmtId="164" fontId="17" fillId="0" borderId="12" xfId="0" applyFont="true" applyBorder="true" applyAlignment="true" applyProtection="true">
      <alignment horizontal="center" vertical="center" textRotation="0" wrapText="false" indent="0" shrinkToFit="false"/>
      <protection locked="true" hidden="false"/>
    </xf>
    <xf numFmtId="164" fontId="48" fillId="0" borderId="0" xfId="0" applyFont="true" applyBorder="false" applyAlignment="true" applyProtection="true">
      <alignment horizontal="center" vertical="center" textRotation="0" wrapText="false" indent="0" shrinkToFit="false"/>
      <protection locked="false" hidden="false"/>
    </xf>
    <xf numFmtId="164" fontId="17" fillId="0" borderId="19" xfId="0" applyFont="true" applyBorder="true" applyAlignment="true" applyProtection="true">
      <alignment horizontal="center" vertical="center" textRotation="0" wrapText="false" indent="0" shrinkToFit="false"/>
      <protection locked="fals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111" fillId="0" borderId="0" xfId="0" applyFont="true" applyBorder="false" applyAlignment="true" applyProtection="true">
      <alignment horizontal="center" vertical="center" textRotation="0" wrapText="false" indent="0" shrinkToFit="false"/>
      <protection locked="true" hidden="false"/>
    </xf>
    <xf numFmtId="164" fontId="0" fillId="0" borderId="19" xfId="0" applyFont="true" applyBorder="true" applyAlignment="true" applyProtection="true">
      <alignment horizontal="center" vertical="center" textRotation="0" wrapText="false" indent="0" shrinkToFit="false"/>
      <protection locked="true" hidden="false"/>
    </xf>
    <xf numFmtId="164" fontId="48" fillId="0" borderId="0" xfId="0" applyFont="true" applyBorder="false" applyAlignment="true" applyProtection="true">
      <alignment horizontal="center" vertical="top" textRotation="0" wrapText="false" indent="0" shrinkToFit="false"/>
      <protection locked="false" hidden="false"/>
    </xf>
    <xf numFmtId="164" fontId="130" fillId="0" borderId="147" xfId="0" applyFont="true" applyBorder="true" applyAlignment="true" applyProtection="true">
      <alignment horizontal="general" vertical="top" textRotation="0" wrapText="true" indent="0" shrinkToFit="false"/>
      <protection locked="true" hidden="false"/>
    </xf>
    <xf numFmtId="164" fontId="82" fillId="0" borderId="148" xfId="0" applyFont="true" applyBorder="true" applyAlignment="true" applyProtection="true">
      <alignment horizontal="general" vertical="top" textRotation="0" wrapText="true" indent="0" shrinkToFit="false"/>
      <protection locked="true" hidden="false"/>
    </xf>
    <xf numFmtId="164" fontId="82" fillId="0" borderId="149" xfId="0" applyFont="true" applyBorder="true" applyAlignment="true" applyProtection="true">
      <alignment horizontal="general" vertical="top" textRotation="0" wrapText="true" indent="0" shrinkToFit="false"/>
      <protection locked="true" hidden="false"/>
    </xf>
    <xf numFmtId="164" fontId="130" fillId="0" borderId="150" xfId="0" applyFont="true" applyBorder="true" applyAlignment="true" applyProtection="true">
      <alignment horizontal="general" vertical="top" textRotation="0" wrapText="true" indent="0" shrinkToFit="false"/>
      <protection locked="true" hidden="false"/>
    </xf>
    <xf numFmtId="164" fontId="130" fillId="0" borderId="12" xfId="0" applyFont="true" applyBorder="true" applyAlignment="true" applyProtection="true">
      <alignment horizontal="general" vertical="top" textRotation="0" wrapText="true" indent="0" shrinkToFit="false"/>
      <protection locked="true" hidden="false"/>
    </xf>
    <xf numFmtId="164" fontId="130" fillId="0" borderId="151" xfId="0" applyFont="true" applyBorder="true" applyAlignment="true" applyProtection="true">
      <alignment horizontal="general" vertical="top" textRotation="0" wrapText="true" indent="0" shrinkToFit="false"/>
      <protection locked="true" hidden="false"/>
    </xf>
    <xf numFmtId="164" fontId="131" fillId="0" borderId="12" xfId="0" applyFont="true" applyBorder="true" applyAlignment="true" applyProtection="true">
      <alignment horizontal="general" vertical="top" textRotation="0" wrapText="true" indent="0" shrinkToFit="false"/>
      <protection locked="true" hidden="false"/>
    </xf>
    <xf numFmtId="164" fontId="131" fillId="0" borderId="151" xfId="0" applyFont="true" applyBorder="true" applyAlignment="true" applyProtection="true">
      <alignment horizontal="general" vertical="top" textRotation="0" wrapText="true" indent="0" shrinkToFit="false"/>
      <protection locked="true" hidden="false"/>
    </xf>
    <xf numFmtId="164" fontId="30" fillId="0" borderId="12" xfId="0" applyFont="true" applyBorder="true" applyAlignment="true" applyProtection="true">
      <alignment horizontal="general" vertical="top" textRotation="0" wrapText="true" indent="0" shrinkToFit="false"/>
      <protection locked="true" hidden="false"/>
    </xf>
    <xf numFmtId="164" fontId="132" fillId="0" borderId="12" xfId="0" applyFont="true" applyBorder="true" applyAlignment="true" applyProtection="true">
      <alignment horizontal="general" vertical="top" textRotation="0" wrapText="true" indent="0" shrinkToFit="false"/>
      <protection locked="true" hidden="false"/>
    </xf>
    <xf numFmtId="164" fontId="132" fillId="0" borderId="151" xfId="0" applyFont="true" applyBorder="true" applyAlignment="true" applyProtection="true">
      <alignment horizontal="general" vertical="top" textRotation="0" wrapText="true" indent="0" shrinkToFit="false"/>
      <protection locked="true" hidden="false"/>
    </xf>
    <xf numFmtId="164" fontId="130" fillId="0" borderId="152" xfId="0" applyFont="true" applyBorder="true" applyAlignment="true" applyProtection="true">
      <alignment horizontal="general" vertical="top" textRotation="0" wrapText="true" indent="0" shrinkToFit="false"/>
      <protection locked="true" hidden="false"/>
    </xf>
    <xf numFmtId="164" fontId="130" fillId="0" borderId="153" xfId="0" applyFont="true" applyBorder="true" applyAlignment="true" applyProtection="true">
      <alignment horizontal="general" vertical="top" textRotation="0" wrapText="true" indent="0" shrinkToFit="false"/>
      <protection locked="true" hidden="false"/>
    </xf>
    <xf numFmtId="164" fontId="131" fillId="0" borderId="153" xfId="0" applyFont="true" applyBorder="true" applyAlignment="true" applyProtection="true">
      <alignment horizontal="general" vertical="top" textRotation="0" wrapText="true" indent="0" shrinkToFit="false"/>
      <protection locked="true" hidden="false"/>
    </xf>
    <xf numFmtId="164" fontId="130" fillId="0" borderId="154" xfId="0" applyFont="true" applyBorder="true" applyAlignment="true" applyProtection="true">
      <alignment horizontal="general" vertical="top" textRotation="0" wrapText="true" indent="0" shrinkToFit="false"/>
      <protection locked="true" hidden="false"/>
    </xf>
    <xf numFmtId="164" fontId="133" fillId="0" borderId="0" xfId="0" applyFont="true" applyBorder="false" applyAlignment="true" applyProtection="true">
      <alignment horizontal="left" vertical="bottom" textRotation="0" wrapText="false" indent="15" shrinkToFit="false"/>
      <protection locked="true" hidden="false"/>
    </xf>
    <xf numFmtId="164" fontId="0" fillId="0" borderId="53" xfId="0" applyFont="true" applyBorder="true" applyAlignment="true" applyProtection="true">
      <alignment horizontal="center" vertical="bottom" textRotation="0" wrapText="true" indent="0" shrinkToFit="false"/>
      <protection locked="true" hidden="false"/>
    </xf>
    <xf numFmtId="164" fontId="0" fillId="0" borderId="55" xfId="0" applyFont="true" applyBorder="tru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false" hidden="false"/>
    </xf>
    <xf numFmtId="164" fontId="0" fillId="0" borderId="56" xfId="0" applyFont="false" applyBorder="true" applyAlignment="true" applyProtection="true">
      <alignment horizontal="center" vertical="bottom"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false" hidden="false"/>
    </xf>
    <xf numFmtId="164" fontId="17" fillId="0" borderId="56" xfId="0" applyFont="true" applyBorder="true" applyAlignment="true" applyProtection="true">
      <alignment horizontal="center" vertical="bottom" textRotation="0" wrapText="true" indent="0" shrinkToFit="false"/>
      <protection locked="true" hidden="false"/>
    </xf>
    <xf numFmtId="164" fontId="0" fillId="0" borderId="55" xfId="0" applyFont="false" applyBorder="true" applyAlignment="true" applyProtection="true">
      <alignment horizontal="general" vertical="bottom" textRotation="0" wrapText="true" indent="0" shrinkToFit="false"/>
      <protection locked="true" hidden="false"/>
    </xf>
    <xf numFmtId="164" fontId="0" fillId="0" borderId="50" xfId="0" applyFont="true" applyBorder="true" applyAlignment="true" applyProtection="true">
      <alignment horizontal="center" vertical="bottom" textRotation="0" wrapText="true" indent="0" shrinkToFit="false"/>
      <protection locked="true" hidden="false"/>
    </xf>
    <xf numFmtId="164" fontId="0" fillId="0" borderId="52" xfId="0" applyFont="false" applyBorder="true" applyAlignment="true" applyProtection="true">
      <alignment horizontal="center" vertical="bottom" textRotation="0" wrapText="true" indent="0" shrinkToFit="false"/>
      <protection locked="true" hidden="false"/>
    </xf>
    <xf numFmtId="164" fontId="17" fillId="0" borderId="52" xfId="0" applyFont="true" applyBorder="true" applyAlignment="true" applyProtection="true">
      <alignment horizontal="center" vertical="bottom" textRotation="0" wrapText="true" indent="0" shrinkToFit="false"/>
      <protection locked="true" hidden="false"/>
    </xf>
    <xf numFmtId="164" fontId="134" fillId="43" borderId="155" xfId="0" applyFont="true" applyBorder="true" applyAlignment="true" applyProtection="true">
      <alignment horizontal="center" vertical="center" textRotation="0" wrapText="true" indent="0" shrinkToFit="false"/>
      <protection locked="true" hidden="false"/>
    </xf>
    <xf numFmtId="164" fontId="135" fillId="43" borderId="155" xfId="20" applyFont="true" applyBorder="true" applyAlignment="true" applyProtection="true">
      <alignment horizontal="center" vertical="center" textRotation="0" wrapText="true" indent="0" shrinkToFit="false"/>
      <protection locked="true" hidden="false"/>
    </xf>
    <xf numFmtId="164" fontId="135" fillId="43" borderId="155" xfId="20" applyFont="true" applyBorder="true" applyAlignment="true" applyProtection="true">
      <alignment horizontal="center" vertical="center" textRotation="0" wrapText="false" indent="0" shrinkToFit="true"/>
      <protection locked="true" hidden="false"/>
    </xf>
    <xf numFmtId="164" fontId="136" fillId="44" borderId="155" xfId="0" applyFont="true" applyBorder="true" applyAlignment="true" applyProtection="true">
      <alignment horizontal="right" vertical="bottom" textRotation="0" wrapText="true" indent="0" shrinkToFit="false"/>
      <protection locked="true" hidden="false"/>
    </xf>
    <xf numFmtId="164" fontId="136" fillId="35" borderId="155" xfId="0" applyFont="true" applyBorder="true" applyAlignment="true" applyProtection="true">
      <alignment horizontal="general" vertical="bottom" textRotation="0" wrapText="true" indent="0" shrinkToFit="false"/>
      <protection locked="true" hidden="false"/>
    </xf>
    <xf numFmtId="164" fontId="136" fillId="35" borderId="155" xfId="0" applyFont="true" applyBorder="true" applyAlignment="true" applyProtection="true">
      <alignment horizontal="general" vertical="bottom" textRotation="0" wrapText="false" indent="0" shrinkToFit="true"/>
      <protection locked="true" hidden="false"/>
    </xf>
    <xf numFmtId="164" fontId="48" fillId="25" borderId="0" xfId="0" applyFont="true" applyBorder="false" applyAlignment="true" applyProtection="true">
      <alignment horizontal="left" vertical="top" textRotation="0" wrapText="false" indent="0" shrinkToFit="false"/>
      <protection locked="false" hidden="false"/>
    </xf>
    <xf numFmtId="164" fontId="136" fillId="35" borderId="155" xfId="0" applyFont="true" applyBorder="true" applyAlignment="true" applyProtection="true">
      <alignment horizontal="general" vertical="top" textRotation="0" wrapText="false" indent="0" shrinkToFit="true"/>
      <protection locked="true" hidden="false"/>
    </xf>
    <xf numFmtId="164" fontId="136" fillId="35" borderId="155" xfId="0" applyFont="true" applyBorder="true" applyAlignment="true" applyProtection="true">
      <alignment horizontal="left" vertical="top" textRotation="0" wrapText="false" indent="0" shrinkToFit="true"/>
      <protection locked="true" hidden="false"/>
    </xf>
    <xf numFmtId="164" fontId="136" fillId="23" borderId="155" xfId="0" applyFont="true" applyBorder="true" applyAlignment="true" applyProtection="true">
      <alignment horizontal="general" vertical="bottom" textRotation="0" wrapText="true" indent="0" shrinkToFit="false"/>
      <protection locked="true" hidden="false"/>
    </xf>
    <xf numFmtId="164" fontId="136" fillId="23" borderId="155" xfId="0" applyFont="true" applyBorder="true" applyAlignment="true" applyProtection="true">
      <alignment horizontal="general" vertical="bottom" textRotation="0" wrapText="false" indent="0" shrinkToFit="true"/>
      <protection locked="true" hidden="false"/>
    </xf>
    <xf numFmtId="164" fontId="136" fillId="23" borderId="155" xfId="0" applyFont="true" applyBorder="true" applyAlignment="true" applyProtection="true">
      <alignment horizontal="general" vertical="top" textRotation="0" wrapText="false" indent="0" shrinkToFit="true"/>
      <protection locked="true" hidden="false"/>
    </xf>
    <xf numFmtId="164" fontId="134" fillId="23" borderId="155" xfId="0" applyFont="true" applyBorder="true" applyAlignment="true" applyProtection="true">
      <alignment horizontal="general" vertical="bottom" textRotation="0" wrapText="true" indent="0" shrinkToFit="false"/>
      <protection locked="true" hidden="false"/>
    </xf>
    <xf numFmtId="164" fontId="48" fillId="34" borderId="0" xfId="0" applyFont="true" applyBorder="false" applyAlignment="true" applyProtection="true">
      <alignment horizontal="left" vertical="top" textRotation="0" wrapText="false" indent="0" shrinkToFit="false"/>
      <protection locked="false" hidden="false"/>
    </xf>
    <xf numFmtId="164" fontId="136" fillId="45" borderId="155" xfId="0" applyFont="true" applyBorder="true" applyAlignment="true" applyProtection="true">
      <alignment horizontal="general" vertical="bottom" textRotation="0" wrapText="true" indent="0" shrinkToFit="false"/>
      <protection locked="true" hidden="false"/>
    </xf>
    <xf numFmtId="164" fontId="136" fillId="45" borderId="155" xfId="0" applyFont="true" applyBorder="true" applyAlignment="true" applyProtection="true">
      <alignment horizontal="general" vertical="bottom" textRotation="0" wrapText="false" indent="0" shrinkToFit="true"/>
      <protection locked="true" hidden="false"/>
    </xf>
    <xf numFmtId="164" fontId="136" fillId="45" borderId="155" xfId="0" applyFont="true" applyBorder="true" applyAlignment="true" applyProtection="true">
      <alignment horizontal="general" vertical="top" textRotation="0" wrapText="false" indent="0" shrinkToFit="true"/>
      <protection locked="true" hidden="false"/>
    </xf>
    <xf numFmtId="164" fontId="136" fillId="0" borderId="0" xfId="0" applyFont="true" applyBorder="false" applyAlignment="true" applyProtection="true">
      <alignment horizontal="center" vertical="center" textRotation="0" wrapText="false" indent="0" shrinkToFit="false"/>
      <protection locked="false" hidden="false"/>
    </xf>
    <xf numFmtId="164" fontId="136" fillId="0" borderId="0" xfId="0" applyFont="true" applyBorder="false" applyAlignment="true" applyProtection="true">
      <alignment horizontal="general" vertical="top" textRotation="0" wrapText="true" indent="0" shrinkToFit="false"/>
      <protection locked="false" hidden="false"/>
    </xf>
    <xf numFmtId="164" fontId="29" fillId="0" borderId="0" xfId="0" applyFont="true" applyBorder="false" applyAlignment="true" applyProtection="true">
      <alignment horizontal="center" vertical="center" textRotation="0" wrapText="false" indent="0" shrinkToFit="false"/>
      <protection locked="true" hidden="false"/>
    </xf>
    <xf numFmtId="164" fontId="107" fillId="0" borderId="0" xfId="0" applyFont="true" applyBorder="false" applyAlignment="true" applyProtection="true">
      <alignment horizontal="center" vertical="center" textRotation="0" wrapText="false" indent="0" shrinkToFit="false"/>
      <protection locked="true" hidden="false"/>
    </xf>
    <xf numFmtId="164" fontId="30" fillId="40" borderId="156" xfId="0" applyFont="true" applyBorder="true" applyAlignment="true" applyProtection="true">
      <alignment horizontal="center" vertical="center" textRotation="0" wrapText="false" indent="0" shrinkToFit="false"/>
      <protection locked="true" hidden="false"/>
    </xf>
    <xf numFmtId="172" fontId="30" fillId="40" borderId="156" xfId="0" applyFont="true" applyBorder="true" applyAlignment="true" applyProtection="true">
      <alignment horizontal="center" vertical="center" textRotation="0" wrapText="false" indent="0" shrinkToFit="false"/>
      <protection locked="true" hidden="false"/>
    </xf>
    <xf numFmtId="164" fontId="30" fillId="40" borderId="157" xfId="0" applyFont="true" applyBorder="true" applyAlignment="true" applyProtection="true">
      <alignment horizontal="center" vertical="center" textRotation="0" wrapText="false" indent="0" shrinkToFit="false"/>
      <protection locked="true" hidden="false"/>
    </xf>
    <xf numFmtId="164" fontId="30" fillId="40" borderId="158" xfId="0" applyFont="true" applyBorder="true" applyAlignment="true" applyProtection="true">
      <alignment horizontal="center" vertical="center" textRotation="0" wrapText="false" indent="0" shrinkToFit="false"/>
      <protection locked="true" hidden="false"/>
    </xf>
    <xf numFmtId="164" fontId="29" fillId="45" borderId="158" xfId="0" applyFont="true" applyBorder="true" applyAlignment="true" applyProtection="true">
      <alignment horizontal="center" vertical="center" textRotation="0" wrapText="false" indent="0" shrinkToFit="false"/>
      <protection locked="true" hidden="false"/>
    </xf>
    <xf numFmtId="164" fontId="137" fillId="45" borderId="158" xfId="0" applyFont="true" applyBorder="true" applyAlignment="true" applyProtection="true">
      <alignment horizontal="center" vertical="center" textRotation="0" wrapText="false" indent="0" shrinkToFit="false"/>
      <protection locked="true" hidden="false"/>
    </xf>
    <xf numFmtId="164" fontId="138" fillId="45" borderId="159" xfId="0" applyFont="true" applyBorder="true" applyAlignment="true" applyProtection="true">
      <alignment horizontal="center" vertical="center" textRotation="0" wrapText="false" indent="0" shrinkToFit="false"/>
      <protection locked="true" hidden="false"/>
    </xf>
    <xf numFmtId="164" fontId="29" fillId="46" borderId="158" xfId="0" applyFont="true" applyBorder="true" applyAlignment="true" applyProtection="true">
      <alignment horizontal="center" vertical="center" textRotation="0" wrapText="false" indent="0" shrinkToFit="false"/>
      <protection locked="true" hidden="false"/>
    </xf>
    <xf numFmtId="164" fontId="137" fillId="46" borderId="158" xfId="0" applyFont="true" applyBorder="true" applyAlignment="true" applyProtection="true">
      <alignment horizontal="center" vertical="center" textRotation="0" wrapText="false" indent="0" shrinkToFit="false"/>
      <protection locked="true" hidden="false"/>
    </xf>
    <xf numFmtId="164" fontId="138" fillId="46" borderId="158" xfId="0" applyFont="true" applyBorder="true" applyAlignment="true" applyProtection="true">
      <alignment horizontal="center" vertical="center" textRotation="0" wrapText="false" indent="0" shrinkToFit="false"/>
      <protection locked="true" hidden="false"/>
    </xf>
    <xf numFmtId="164" fontId="29" fillId="46" borderId="159" xfId="0" applyFont="true" applyBorder="true" applyAlignment="true" applyProtection="true">
      <alignment horizontal="center" vertical="center" textRotation="0" wrapText="false" indent="0" shrinkToFit="false"/>
      <protection locked="true" hidden="false"/>
    </xf>
    <xf numFmtId="164" fontId="138" fillId="45" borderId="158" xfId="0" applyFont="true" applyBorder="true" applyAlignment="true" applyProtection="true">
      <alignment horizontal="center" vertical="center" textRotation="0" wrapText="false" indent="0" shrinkToFit="false"/>
      <protection locked="true" hidden="false"/>
    </xf>
    <xf numFmtId="164" fontId="29" fillId="45" borderId="159" xfId="0" applyFont="true" applyBorder="true" applyAlignment="true" applyProtection="true">
      <alignment horizontal="center" vertical="center" textRotation="0" wrapText="false" indent="0" shrinkToFit="false"/>
      <protection locked="true" hidden="false"/>
    </xf>
    <xf numFmtId="164" fontId="29" fillId="46" borderId="159" xfId="0" applyFont="true" applyBorder="true" applyAlignment="true" applyProtection="true">
      <alignment horizontal="center" vertical="center" textRotation="0" wrapText="true" indent="0" shrinkToFit="false"/>
      <protection locked="true" hidden="false"/>
    </xf>
    <xf numFmtId="164" fontId="138" fillId="46" borderId="159" xfId="0" applyFont="true" applyBorder="true" applyAlignment="true" applyProtection="true">
      <alignment horizontal="center" vertical="center" textRotation="0" wrapText="false" indent="0" shrinkToFit="false"/>
      <protection locked="true" hidden="false"/>
    </xf>
    <xf numFmtId="164" fontId="30" fillId="40" borderId="160" xfId="0" applyFont="true" applyBorder="true" applyAlignment="true" applyProtection="true">
      <alignment horizontal="center" vertical="center" textRotation="0" wrapText="false" indent="0" shrinkToFit="false"/>
      <protection locked="true" hidden="false"/>
    </xf>
    <xf numFmtId="164" fontId="29" fillId="46" borderId="160" xfId="0" applyFont="true" applyBorder="true" applyAlignment="true" applyProtection="true">
      <alignment horizontal="center" vertical="center" textRotation="0" wrapText="false" indent="0" shrinkToFit="false"/>
      <protection locked="true" hidden="false"/>
    </xf>
    <xf numFmtId="164" fontId="137" fillId="46" borderId="160" xfId="0" applyFont="true" applyBorder="true" applyAlignment="true" applyProtection="true">
      <alignment horizontal="center" vertical="center" textRotation="0" wrapText="false" indent="0" shrinkToFit="false"/>
      <protection locked="true" hidden="false"/>
    </xf>
    <xf numFmtId="164" fontId="138" fillId="46" borderId="160" xfId="0" applyFont="true" applyBorder="true" applyAlignment="true" applyProtection="true">
      <alignment horizontal="center" vertical="center" textRotation="0" wrapText="false" indent="0" shrinkToFit="false"/>
      <protection locked="true" hidden="false"/>
    </xf>
    <xf numFmtId="164" fontId="29" fillId="46" borderId="0" xfId="0" applyFont="true" applyBorder="false" applyAlignment="true" applyProtection="true">
      <alignment horizontal="center" vertical="center" textRotation="0" wrapText="false" indent="0" shrinkToFit="false"/>
      <protection locked="true" hidden="false"/>
    </xf>
    <xf numFmtId="164" fontId="139" fillId="47" borderId="161" xfId="0" applyFont="true" applyBorder="true" applyAlignment="true" applyProtection="true">
      <alignment horizontal="justify" vertical="center" textRotation="0" wrapText="true" indent="0" shrinkToFit="false"/>
      <protection locked="true" hidden="false"/>
    </xf>
    <xf numFmtId="164" fontId="83" fillId="48" borderId="12" xfId="0" applyFont="true" applyBorder="true" applyAlignment="true" applyProtection="true">
      <alignment horizontal="center" vertical="bottom" textRotation="0" wrapText="true" indent="0" shrinkToFit="false"/>
      <protection locked="true" hidden="false"/>
    </xf>
    <xf numFmtId="164" fontId="83" fillId="39" borderId="12" xfId="0" applyFont="true" applyBorder="true" applyAlignment="true" applyProtection="true">
      <alignment horizontal="center" vertical="bottom" textRotation="0" wrapText="true" indent="0" shrinkToFit="false"/>
      <protection locked="true" hidden="false"/>
    </xf>
    <xf numFmtId="164" fontId="83" fillId="0" borderId="12" xfId="0" applyFont="true" applyBorder="true" applyAlignment="true" applyProtection="true">
      <alignment horizontal="center" vertical="bottom" textRotation="0" wrapText="true" indent="0" shrinkToFit="false"/>
      <protection locked="true" hidden="false"/>
    </xf>
    <xf numFmtId="164" fontId="140" fillId="16" borderId="161" xfId="0" applyFont="true" applyBorder="true" applyAlignment="true" applyProtection="true">
      <alignment horizontal="justify" vertical="center" textRotation="0" wrapText="true" indent="0" shrinkToFit="false"/>
      <protection locked="true" hidden="false"/>
    </xf>
    <xf numFmtId="164" fontId="141" fillId="48" borderId="12" xfId="0" applyFont="true" applyBorder="true" applyAlignment="true" applyProtection="true">
      <alignment horizontal="center" vertical="bottom" textRotation="0" wrapText="true" indent="0" shrinkToFit="false"/>
      <protection locked="true" hidden="false"/>
    </xf>
    <xf numFmtId="164" fontId="141" fillId="0" borderId="12" xfId="0" applyFont="true" applyBorder="true" applyAlignment="true" applyProtection="true">
      <alignment horizontal="center" vertical="bottom" textRotation="0" wrapText="true" indent="0" shrinkToFit="false"/>
      <protection locked="true" hidden="false"/>
    </xf>
    <xf numFmtId="164" fontId="141" fillId="39" borderId="12" xfId="0" applyFont="true" applyBorder="true" applyAlignment="true" applyProtection="true">
      <alignment horizontal="center" vertical="bottom" textRotation="0" wrapText="true" indent="0" shrinkToFit="false"/>
      <protection locked="true" hidden="false"/>
    </xf>
    <xf numFmtId="164" fontId="111" fillId="0" borderId="0" xfId="0" applyFont="true" applyBorder="false" applyAlignment="true" applyProtection="true">
      <alignment horizontal="left" vertical="top" textRotation="0" wrapText="false" indent="0" shrinkToFit="false"/>
      <protection locked="false" hidden="false"/>
    </xf>
    <xf numFmtId="164" fontId="142" fillId="0" borderId="0" xfId="0" applyFont="true" applyBorder="false" applyAlignment="true" applyProtection="true">
      <alignment horizontal="left" vertical="top" textRotation="0" wrapText="false" indent="0" shrinkToFit="false"/>
      <protection locked="false" hidden="false"/>
    </xf>
    <xf numFmtId="164" fontId="93" fillId="0" borderId="56" xfId="0" applyFont="true" applyBorder="true" applyAlignment="true" applyProtection="true">
      <alignment horizontal="general" vertical="top" textRotation="0" wrapText="true" indent="0" shrinkToFit="false"/>
      <protection locked="true" hidden="false"/>
    </xf>
    <xf numFmtId="164" fontId="93" fillId="0" borderId="55" xfId="0" applyFont="true" applyBorder="true" applyAlignment="true" applyProtection="true">
      <alignment horizontal="general" vertical="top" textRotation="0" wrapText="true" indent="0" shrinkToFit="false"/>
      <protection locked="true" hidden="false"/>
    </xf>
    <xf numFmtId="164" fontId="93" fillId="0" borderId="53" xfId="0" applyFont="true" applyBorder="true" applyAlignment="true" applyProtection="true">
      <alignment horizontal="general" vertical="top" textRotation="0" wrapText="true" indent="0" shrinkToFit="false"/>
      <protection locked="false" hidden="false"/>
    </xf>
    <xf numFmtId="164" fontId="48" fillId="0" borderId="56" xfId="0" applyFont="true" applyBorder="true" applyAlignment="true" applyProtection="true">
      <alignment horizontal="general" vertical="top" textRotation="0" wrapText="true" indent="0" shrinkToFit="false"/>
      <protection locked="true" hidden="false"/>
    </xf>
    <xf numFmtId="164" fontId="48" fillId="0" borderId="55" xfId="0" applyFont="true" applyBorder="true" applyAlignment="true" applyProtection="true">
      <alignment horizontal="general" vertical="top" textRotation="0" wrapText="true" indent="0" shrinkToFit="false"/>
      <protection locked="true" hidden="false"/>
    </xf>
    <xf numFmtId="164" fontId="48" fillId="0" borderId="52" xfId="0" applyFont="true" applyBorder="true" applyAlignment="true" applyProtection="true">
      <alignment horizontal="general" vertical="top" textRotation="0" wrapText="true" indent="0" shrinkToFit="false"/>
      <protection locked="false" hidden="false"/>
    </xf>
    <xf numFmtId="164" fontId="48" fillId="25" borderId="52" xfId="0" applyFont="true" applyBorder="true" applyAlignment="true" applyProtection="true">
      <alignment horizontal="general" vertical="top" textRotation="0" wrapText="true" indent="0" shrinkToFit="false"/>
      <protection locked="false" hidden="false"/>
    </xf>
    <xf numFmtId="164" fontId="48" fillId="0" borderId="52" xfId="0" applyFont="true" applyBorder="true" applyAlignment="true" applyProtection="true">
      <alignment horizontal="general" vertical="top" textRotation="0" wrapText="true" indent="0" shrinkToFit="false"/>
      <protection locked="true" hidden="false"/>
    </xf>
    <xf numFmtId="164" fontId="48" fillId="0" borderId="0" xfId="0" applyFont="true" applyBorder="false" applyAlignment="true" applyProtection="true">
      <alignment horizontal="general" vertical="top" textRotation="0" wrapText="true" indent="0" shrinkToFit="false"/>
      <protection locked="true" hidden="false"/>
    </xf>
    <xf numFmtId="172" fontId="48" fillId="0" borderId="0" xfId="0" applyFont="true" applyBorder="false" applyAlignment="true" applyProtection="true">
      <alignment horizontal="left" vertical="top" textRotation="0" wrapText="false" indent="0" shrinkToFit="false"/>
      <protection locked="false" hidden="false"/>
    </xf>
    <xf numFmtId="164" fontId="116" fillId="0" borderId="135" xfId="0" applyFont="true" applyBorder="true" applyAlignment="true" applyProtection="true">
      <alignment horizontal="left" vertical="top" textRotation="0" wrapText="false" indent="0" shrinkToFit="false"/>
      <protection locked="false" hidden="false"/>
    </xf>
    <xf numFmtId="164" fontId="48" fillId="0" borderId="162" xfId="0" applyFont="true" applyBorder="true" applyAlignment="true" applyProtection="true">
      <alignment horizontal="left" vertical="top" textRotation="0" wrapText="false" indent="0" shrinkToFit="false"/>
      <protection locked="false" hidden="false"/>
    </xf>
    <xf numFmtId="164" fontId="93" fillId="0" borderId="162" xfId="0" applyFont="true" applyBorder="true" applyAlignment="true" applyProtection="true">
      <alignment horizontal="left" vertical="top" textRotation="0" wrapText="false" indent="0" shrinkToFit="false"/>
      <protection locked="false" hidden="false"/>
    </xf>
    <xf numFmtId="164" fontId="93" fillId="0" borderId="135" xfId="0" applyFont="true" applyBorder="true" applyAlignment="true" applyProtection="true">
      <alignment horizontal="left" vertical="top" textRotation="0" wrapText="false" indent="0" shrinkToFit="false"/>
      <protection locked="false" hidden="false"/>
    </xf>
    <xf numFmtId="164" fontId="48" fillId="33" borderId="132" xfId="0" applyFont="true" applyBorder="true" applyAlignment="true" applyProtection="true">
      <alignment horizontal="left" vertical="top" textRotation="0" wrapText="false" indent="0" shrinkToFit="false"/>
      <protection locked="true" hidden="false"/>
    </xf>
    <xf numFmtId="164" fontId="48" fillId="0" borderId="132" xfId="0" applyFont="true" applyBorder="true" applyAlignment="true" applyProtection="true">
      <alignment horizontal="left" vertical="top" textRotation="0" wrapText="false" indent="0" shrinkToFit="false"/>
      <protection locked="true" hidden="false"/>
    </xf>
    <xf numFmtId="164" fontId="48" fillId="33" borderId="163" xfId="0" applyFont="true" applyBorder="true" applyAlignment="true" applyProtection="true">
      <alignment horizontal="left" vertical="top" textRotation="0" wrapText="false" indent="0" shrinkToFit="false"/>
      <protection locked="true" hidden="false"/>
    </xf>
    <xf numFmtId="164" fontId="102" fillId="0" borderId="164" xfId="0" applyFont="true" applyBorder="true" applyAlignment="true" applyProtection="true">
      <alignment horizontal="left" vertical="top" textRotation="0" wrapText="false" indent="0" shrinkToFit="true"/>
      <protection locked="true" hidden="false"/>
    </xf>
    <xf numFmtId="164" fontId="46" fillId="0" borderId="0" xfId="0" applyFont="true" applyBorder="false" applyAlignment="true" applyProtection="true">
      <alignment horizontal="general" vertical="center" textRotation="0" wrapText="false" indent="0" shrinkToFit="false"/>
      <protection locked="true" hidden="false"/>
    </xf>
    <xf numFmtId="176" fontId="45" fillId="0" borderId="165" xfId="0" applyFont="true" applyBorder="true" applyAlignment="true" applyProtection="true">
      <alignment horizontal="center" vertical="center" textRotation="0" wrapText="true" indent="0" shrinkToFit="false"/>
      <protection locked="true" hidden="false"/>
    </xf>
    <xf numFmtId="176" fontId="45" fillId="0" borderId="166" xfId="0" applyFont="true" applyBorder="true" applyAlignment="true" applyProtection="true">
      <alignment horizontal="center" vertical="center" textRotation="0" wrapText="true" indent="0" shrinkToFit="false"/>
      <protection locked="true" hidden="false"/>
    </xf>
    <xf numFmtId="176" fontId="45" fillId="0" borderId="167" xfId="0" applyFont="true" applyBorder="true" applyAlignment="true" applyProtection="true">
      <alignment horizontal="center" vertical="center" textRotation="0" wrapText="true" indent="0" shrinkToFit="false"/>
      <protection locked="true" hidden="false"/>
    </xf>
    <xf numFmtId="176" fontId="46" fillId="0" borderId="47" xfId="0" applyFont="true" applyBorder="true" applyAlignment="true" applyProtection="true">
      <alignment horizontal="center" vertical="center" textRotation="0" wrapText="true" indent="0" shrinkToFit="false"/>
      <protection locked="true" hidden="false"/>
    </xf>
    <xf numFmtId="176" fontId="45" fillId="0" borderId="168" xfId="0" applyFont="true" applyBorder="true" applyAlignment="true" applyProtection="true">
      <alignment horizontal="center" vertical="center" textRotation="0" wrapText="true" indent="0" shrinkToFit="false"/>
      <protection locked="true" hidden="false"/>
    </xf>
    <xf numFmtId="176" fontId="46" fillId="0" borderId="168" xfId="0" applyFont="true" applyBorder="true" applyAlignment="true" applyProtection="true">
      <alignment horizontal="center" vertical="center" textRotation="0" wrapText="true" indent="0" shrinkToFit="false"/>
      <protection locked="true" hidden="false"/>
    </xf>
    <xf numFmtId="176" fontId="46" fillId="0" borderId="169" xfId="0" applyFont="true" applyBorder="true" applyAlignment="true" applyProtection="true">
      <alignment horizontal="center" vertical="center" textRotation="0" wrapText="true" indent="0" shrinkToFit="false"/>
      <protection locked="true" hidden="false"/>
    </xf>
    <xf numFmtId="176" fontId="46" fillId="0" borderId="170" xfId="0" applyFont="true" applyBorder="true" applyAlignment="true" applyProtection="true">
      <alignment horizontal="center" vertical="center" textRotation="0" wrapText="true" indent="0" shrinkToFit="false"/>
      <protection locked="true" hidden="false"/>
    </xf>
    <xf numFmtId="176" fontId="46" fillId="0" borderId="165" xfId="0" applyFont="true" applyBorder="true" applyAlignment="true" applyProtection="true">
      <alignment horizontal="center" vertical="center" textRotation="0" wrapText="true" indent="0" shrinkToFit="false"/>
      <protection locked="true" hidden="false"/>
    </xf>
    <xf numFmtId="176" fontId="46" fillId="0" borderId="171" xfId="0" applyFont="true" applyBorder="true" applyAlignment="true" applyProtection="true">
      <alignment horizontal="center" vertical="center" textRotation="0" wrapText="true" indent="0" shrinkToFit="false"/>
      <protection locked="true" hidden="false"/>
    </xf>
    <xf numFmtId="176" fontId="45" fillId="0" borderId="170" xfId="0" applyFont="true" applyBorder="true" applyAlignment="true" applyProtection="true">
      <alignment horizontal="center" vertical="center" textRotation="0" wrapText="true" indent="0" shrinkToFit="false"/>
      <protection locked="true" hidden="false"/>
    </xf>
    <xf numFmtId="176" fontId="46" fillId="0" borderId="172" xfId="0" applyFont="true" applyBorder="true" applyAlignment="true" applyProtection="true">
      <alignment horizontal="center" vertical="center" textRotation="0" wrapText="true" indent="0" shrinkToFit="false"/>
      <protection locked="true" hidden="false"/>
    </xf>
    <xf numFmtId="176" fontId="45" fillId="0" borderId="173" xfId="0" applyFont="true" applyBorder="true" applyAlignment="true" applyProtection="true">
      <alignment horizontal="center" vertical="center" textRotation="0" wrapText="true" indent="0" shrinkToFit="false"/>
      <protection locked="true" hidden="false"/>
    </xf>
    <xf numFmtId="176" fontId="46" fillId="0" borderId="173" xfId="0" applyFont="true" applyBorder="true" applyAlignment="true" applyProtection="true">
      <alignment horizontal="center" vertical="center" textRotation="0" wrapText="true" indent="0" shrinkToFit="false"/>
      <protection locked="true" hidden="false"/>
    </xf>
    <xf numFmtId="176" fontId="46" fillId="0" borderId="174" xfId="0" applyFont="true" applyBorder="true" applyAlignment="true" applyProtection="true">
      <alignment horizontal="center" vertical="center" textRotation="0" wrapText="true" indent="0" shrinkToFit="false"/>
      <protection locked="true" hidden="false"/>
    </xf>
    <xf numFmtId="176" fontId="45" fillId="0" borderId="175" xfId="0" applyFont="true" applyBorder="true" applyAlignment="true" applyProtection="true">
      <alignment horizontal="center" vertical="center" textRotation="0" wrapText="true" indent="0" shrinkToFit="false"/>
      <protection locked="true" hidden="false"/>
    </xf>
    <xf numFmtId="176" fontId="45" fillId="0" borderId="176" xfId="0" applyFont="true" applyBorder="true" applyAlignment="true" applyProtection="true">
      <alignment horizontal="center" vertical="center" textRotation="0" wrapText="true" indent="0" shrinkToFit="false"/>
      <protection locked="true" hidden="false"/>
    </xf>
    <xf numFmtId="176" fontId="45" fillId="0" borderId="177" xfId="0" applyFont="true" applyBorder="true" applyAlignment="true" applyProtection="true">
      <alignment horizontal="center" vertical="center" textRotation="0" wrapText="true" indent="0" shrinkToFit="false"/>
      <protection locked="true" hidden="false"/>
    </xf>
    <xf numFmtId="164" fontId="0" fillId="0" borderId="0" xfId="322" applyFont="true" applyBorder="false" applyAlignment="true" applyProtection="true">
      <alignment horizontal="general" vertical="bottom" textRotation="0" wrapText="false" indent="0" shrinkToFit="false"/>
      <protection locked="true" hidden="false"/>
    </xf>
    <xf numFmtId="164" fontId="58" fillId="0" borderId="0" xfId="322" applyFont="true" applyBorder="false" applyAlignment="true" applyProtection="true">
      <alignment horizontal="general" vertical="bottom" textRotation="0" wrapText="false" indent="0" shrinkToFit="false"/>
      <protection locked="true" hidden="false"/>
    </xf>
    <xf numFmtId="164" fontId="0" fillId="0" borderId="0" xfId="322" applyFont="true" applyBorder="true" applyAlignment="true" applyProtection="true">
      <alignment horizontal="general" vertical="bottom" textRotation="0" wrapText="false" indent="0" shrinkToFit="false"/>
      <protection locked="true" hidden="false"/>
    </xf>
    <xf numFmtId="164" fontId="78" fillId="0" borderId="0" xfId="322" applyFont="true" applyBorder="true" applyAlignment="true" applyProtection="true">
      <alignment horizontal="center" vertical="bottom" textRotation="0" wrapText="true" indent="0" shrinkToFit="false"/>
      <protection locked="true" hidden="false"/>
    </xf>
    <xf numFmtId="164" fontId="78" fillId="0" borderId="0" xfId="322" applyFont="true" applyBorder="false" applyAlignment="true" applyProtection="true">
      <alignment horizontal="center" vertical="bottom" textRotation="0" wrapText="true" indent="0" shrinkToFit="false"/>
      <protection locked="true" hidden="false"/>
    </xf>
    <xf numFmtId="164" fontId="78" fillId="0" borderId="47" xfId="322" applyFont="true" applyBorder="true" applyAlignment="true" applyProtection="true">
      <alignment horizontal="center" vertical="bottom" textRotation="0" wrapText="true" indent="0" shrinkToFit="false"/>
      <protection locked="true" hidden="false"/>
    </xf>
    <xf numFmtId="164" fontId="0" fillId="0" borderId="48" xfId="322" applyFont="true" applyBorder="true" applyAlignment="true" applyProtection="true">
      <alignment horizontal="center" vertical="bottom" textRotation="0" wrapText="false" indent="0" shrinkToFit="false"/>
      <protection locked="true" hidden="false"/>
    </xf>
    <xf numFmtId="164" fontId="0" fillId="0" borderId="49" xfId="322" applyFont="true" applyBorder="true" applyAlignment="true" applyProtection="true">
      <alignment horizontal="center" vertical="bottom" textRotation="0" wrapText="false" indent="0" shrinkToFit="false"/>
      <protection locked="true" hidden="false"/>
    </xf>
    <xf numFmtId="164" fontId="0" fillId="0" borderId="84" xfId="322" applyFont="true" applyBorder="true" applyAlignment="true" applyProtection="true">
      <alignment horizontal="general" vertical="bottom" textRotation="0" wrapText="false" indent="0" shrinkToFit="false"/>
      <protection locked="true" hidden="false"/>
    </xf>
    <xf numFmtId="164" fontId="0" fillId="0" borderId="85" xfId="322" applyFont="true" applyBorder="true" applyAlignment="true" applyProtection="true">
      <alignment horizontal="general" vertical="bottom" textRotation="0" wrapText="false" indent="0" shrinkToFit="false"/>
      <protection locked="true" hidden="false"/>
    </xf>
    <xf numFmtId="180" fontId="0" fillId="0" borderId="0" xfId="322" applyFont="true" applyBorder="false" applyAlignment="true" applyProtection="true">
      <alignment horizontal="general" vertical="bottom" textRotation="0" wrapText="false" indent="0" shrinkToFit="false"/>
      <protection locked="true" hidden="false"/>
    </xf>
    <xf numFmtId="164" fontId="78" fillId="0" borderId="51" xfId="322" applyFont="true" applyBorder="true" applyAlignment="true" applyProtection="true">
      <alignment horizontal="center" vertical="bottom" textRotation="0" wrapText="true" indent="0" shrinkToFit="false"/>
      <protection locked="true" hidden="false"/>
    </xf>
    <xf numFmtId="164" fontId="0" fillId="0" borderId="0" xfId="322" applyFont="true" applyBorder="false" applyAlignment="true" applyProtection="true">
      <alignment horizontal="center" vertical="bottom" textRotation="0" wrapText="false" indent="0" shrinkToFit="false"/>
      <protection locked="true" hidden="false"/>
    </xf>
    <xf numFmtId="164" fontId="0" fillId="0" borderId="52" xfId="322" applyFont="true" applyBorder="true" applyAlignment="true" applyProtection="true">
      <alignment horizontal="center" vertical="bottom" textRotation="0" wrapText="false" indent="0" shrinkToFit="false"/>
      <protection locked="true" hidden="false"/>
    </xf>
    <xf numFmtId="164" fontId="0" fillId="0" borderId="9" xfId="322" applyFont="true" applyBorder="true" applyAlignment="true" applyProtection="true">
      <alignment horizontal="general" vertical="bottom" textRotation="0" wrapText="false" indent="0" shrinkToFit="false"/>
      <protection locked="true" hidden="false"/>
    </xf>
    <xf numFmtId="164" fontId="0" fillId="0" borderId="83" xfId="322" applyFont="true" applyBorder="true" applyAlignment="true" applyProtection="true">
      <alignment horizontal="general" vertical="bottom" textRotation="0" wrapText="false" indent="0" shrinkToFit="false"/>
      <protection locked="true" hidden="false"/>
    </xf>
    <xf numFmtId="206" fontId="0" fillId="25" borderId="0" xfId="322" applyFont="true" applyBorder="false" applyAlignment="true" applyProtection="true">
      <alignment horizontal="general" vertical="bottom" textRotation="0" wrapText="false" indent="0" shrinkToFit="false"/>
      <protection locked="true" hidden="false"/>
    </xf>
    <xf numFmtId="164" fontId="78" fillId="0" borderId="54" xfId="322" applyFont="true" applyBorder="true" applyAlignment="true" applyProtection="true">
      <alignment horizontal="center" vertical="bottom" textRotation="0" wrapText="true" indent="0" shrinkToFit="false"/>
      <protection locked="true" hidden="false"/>
    </xf>
    <xf numFmtId="164" fontId="0" fillId="0" borderId="55" xfId="322" applyFont="true" applyBorder="true" applyAlignment="true" applyProtection="true">
      <alignment horizontal="center" vertical="bottom" textRotation="0" wrapText="false" indent="0" shrinkToFit="false"/>
      <protection locked="true" hidden="false"/>
    </xf>
    <xf numFmtId="164" fontId="0" fillId="0" borderId="56" xfId="322" applyFont="true" applyBorder="true" applyAlignment="true" applyProtection="true">
      <alignment horizontal="center" vertical="bottom" textRotation="0" wrapText="false" indent="0" shrinkToFit="false"/>
      <protection locked="true" hidden="false"/>
    </xf>
    <xf numFmtId="164" fontId="0" fillId="0" borderId="86" xfId="322" applyFont="true" applyBorder="true" applyAlignment="true" applyProtection="true">
      <alignment horizontal="general" vertical="bottom" textRotation="0" wrapText="false" indent="0" shrinkToFit="false"/>
      <protection locked="true" hidden="false"/>
    </xf>
    <xf numFmtId="164" fontId="0" fillId="0" borderId="87" xfId="322" applyFont="true" applyBorder="true" applyAlignment="true" applyProtection="true">
      <alignment horizontal="general" vertical="bottom" textRotation="0" wrapText="false" indent="0" shrinkToFit="false"/>
      <protection locked="true" hidden="false"/>
    </xf>
    <xf numFmtId="164" fontId="0" fillId="23" borderId="144" xfId="322" applyFont="true" applyBorder="true" applyAlignment="true" applyProtection="true">
      <alignment horizontal="center" vertical="bottom" textRotation="0" wrapText="false" indent="0" shrinkToFit="false"/>
      <protection locked="true" hidden="false"/>
    </xf>
    <xf numFmtId="164" fontId="0" fillId="23" borderId="178" xfId="322" applyFont="true" applyBorder="true" applyAlignment="true" applyProtection="true">
      <alignment horizontal="center" vertical="bottom" textRotation="0" wrapText="false" indent="0" shrinkToFit="false"/>
      <protection locked="true" hidden="false"/>
    </xf>
    <xf numFmtId="164" fontId="0" fillId="0" borderId="178" xfId="322" applyFont="true" applyBorder="true" applyAlignment="true" applyProtection="true">
      <alignment horizontal="general" vertical="bottom" textRotation="0" wrapText="false" indent="0" shrinkToFit="false"/>
      <protection locked="true" hidden="false"/>
    </xf>
    <xf numFmtId="164" fontId="0" fillId="0" borderId="178" xfId="322" applyFont="true" applyBorder="true" applyAlignment="true" applyProtection="true">
      <alignment horizontal="center" vertical="center" textRotation="0" wrapText="true" indent="0" shrinkToFit="false"/>
      <protection locked="true" hidden="false"/>
    </xf>
    <xf numFmtId="164" fontId="0" fillId="24" borderId="12" xfId="322" applyFont="true" applyBorder="true" applyAlignment="true" applyProtection="true">
      <alignment horizontal="general" vertical="bottom" textRotation="0" wrapText="false" indent="0" shrinkToFit="false"/>
      <protection locked="true" hidden="false"/>
    </xf>
    <xf numFmtId="164" fontId="0" fillId="24" borderId="179" xfId="322" applyFont="true" applyBorder="true" applyAlignment="true" applyProtection="true">
      <alignment horizontal="general" vertical="bottom" textRotation="0" wrapText="false" indent="0" shrinkToFit="false"/>
      <protection locked="true" hidden="false"/>
    </xf>
    <xf numFmtId="164" fontId="0" fillId="0" borderId="49" xfId="322" applyFont="true" applyBorder="true" applyAlignment="true" applyProtection="true">
      <alignment horizontal="general" vertical="bottom" textRotation="0" wrapText="false" indent="0" shrinkToFit="false"/>
      <protection locked="true" hidden="false"/>
    </xf>
    <xf numFmtId="164" fontId="0" fillId="0" borderId="12" xfId="322" applyFont="true" applyBorder="true" applyAlignment="true" applyProtection="true">
      <alignment horizontal="general" vertical="bottom" textRotation="0" wrapText="false" indent="0" shrinkToFit="false"/>
      <protection locked="true" hidden="false"/>
    </xf>
    <xf numFmtId="164" fontId="0" fillId="0" borderId="52" xfId="322" applyFont="true" applyBorder="true" applyAlignment="true" applyProtection="true">
      <alignment horizontal="general" vertical="bottom" textRotation="0" wrapText="false" indent="0" shrinkToFit="false"/>
      <protection locked="true" hidden="false"/>
    </xf>
    <xf numFmtId="206" fontId="0" fillId="0" borderId="0" xfId="322" applyFont="true" applyBorder="false" applyAlignment="true" applyProtection="true">
      <alignment horizontal="general" vertical="bottom" textRotation="0" wrapText="false" indent="0" shrinkToFit="false"/>
      <protection locked="true" hidden="false"/>
    </xf>
    <xf numFmtId="164" fontId="0" fillId="0" borderId="68" xfId="322" applyFont="true" applyBorder="true" applyAlignment="true" applyProtection="true">
      <alignment horizontal="general" vertical="bottom" textRotation="0" wrapText="false" indent="0" shrinkToFit="false"/>
      <protection locked="true" hidden="false"/>
    </xf>
    <xf numFmtId="164" fontId="0" fillId="24" borderId="21" xfId="322" applyFont="true" applyBorder="true" applyAlignment="true" applyProtection="true">
      <alignment horizontal="general" vertical="bottom" textRotation="0" wrapText="false" indent="0" shrinkToFit="false"/>
      <protection locked="true" hidden="false"/>
    </xf>
    <xf numFmtId="164" fontId="0" fillId="0" borderId="21" xfId="322" applyFont="true" applyBorder="true" applyAlignment="true" applyProtection="true">
      <alignment horizontal="general" vertical="bottom" textRotation="0" wrapText="false" indent="0" shrinkToFit="false"/>
      <protection locked="true" hidden="false"/>
    </xf>
    <xf numFmtId="164" fontId="0" fillId="24" borderId="69" xfId="322" applyFont="true" applyBorder="true" applyAlignment="true" applyProtection="true">
      <alignment horizontal="general" vertical="bottom" textRotation="0" wrapText="false" indent="0" shrinkToFit="false"/>
      <protection locked="true" hidden="false"/>
    </xf>
    <xf numFmtId="164" fontId="0" fillId="0" borderId="56" xfId="322" applyFont="true" applyBorder="true" applyAlignment="true" applyProtection="true">
      <alignment horizontal="general" vertical="bottom" textRotation="0" wrapText="false" indent="0" shrinkToFit="false"/>
      <protection locked="true" hidden="false"/>
    </xf>
    <xf numFmtId="164" fontId="0" fillId="0" borderId="66" xfId="322" applyFont="true" applyBorder="true" applyAlignment="true" applyProtection="true">
      <alignment horizontal="general" vertical="bottom" textRotation="0" wrapText="false" indent="0" shrinkToFit="false"/>
      <protection locked="true" hidden="false"/>
    </xf>
    <xf numFmtId="164" fontId="0" fillId="24" borderId="180" xfId="322" applyFont="true" applyBorder="true" applyAlignment="true" applyProtection="true">
      <alignment horizontal="general" vertical="bottom" textRotation="0" wrapText="false" indent="0" shrinkToFit="false"/>
      <protection locked="true" hidden="false"/>
    </xf>
    <xf numFmtId="164" fontId="0" fillId="0" borderId="180" xfId="322" applyFont="true" applyBorder="true" applyAlignment="true" applyProtection="true">
      <alignment horizontal="general" vertical="bottom" textRotation="0" wrapText="false" indent="0" shrinkToFit="false"/>
      <protection locked="true" hidden="false"/>
    </xf>
    <xf numFmtId="164" fontId="0" fillId="24" borderId="67" xfId="322" applyFont="true" applyBorder="true" applyAlignment="true" applyProtection="true">
      <alignment horizontal="general" vertical="bottom" textRotation="0" wrapText="false" indent="0" shrinkToFit="false"/>
      <protection locked="true" hidden="false"/>
    </xf>
    <xf numFmtId="164" fontId="0" fillId="0" borderId="73" xfId="322" applyFont="true" applyBorder="true" applyAlignment="true" applyProtection="true">
      <alignment horizontal="general" vertical="bottom" textRotation="0" wrapText="false" indent="0" shrinkToFit="false"/>
      <protection locked="true" hidden="false"/>
    </xf>
    <xf numFmtId="164" fontId="0" fillId="24" borderId="181" xfId="322" applyFont="true" applyBorder="true" applyAlignment="true" applyProtection="true">
      <alignment horizontal="general" vertical="bottom" textRotation="0" wrapText="false" indent="0" shrinkToFit="false"/>
      <protection locked="true" hidden="false"/>
    </xf>
    <xf numFmtId="164" fontId="0" fillId="0" borderId="181" xfId="322" applyFont="true" applyBorder="true" applyAlignment="true" applyProtection="true">
      <alignment horizontal="general" vertical="bottom" textRotation="0" wrapText="false" indent="0" shrinkToFit="false"/>
      <protection locked="true" hidden="false"/>
    </xf>
    <xf numFmtId="164" fontId="0" fillId="24" borderId="74" xfId="322" applyFont="true" applyBorder="true" applyAlignment="true" applyProtection="true">
      <alignment horizontal="general" vertical="bottom" textRotation="0" wrapText="false" indent="0" shrinkToFit="false"/>
      <protection locked="true" hidden="false"/>
    </xf>
    <xf numFmtId="164" fontId="0" fillId="24" borderId="178" xfId="322" applyFont="true" applyBorder="true" applyAlignment="true" applyProtection="true">
      <alignment horizontal="general" vertical="bottom" textRotation="0" wrapText="false" indent="0" shrinkToFit="false"/>
      <protection locked="true" hidden="false"/>
    </xf>
    <xf numFmtId="164" fontId="0" fillId="0" borderId="51" xfId="322" applyFont="true" applyBorder="true" applyAlignment="true" applyProtection="true">
      <alignment horizontal="general" vertical="bottom" textRotation="0" wrapText="false" indent="0" shrinkToFit="false"/>
      <protection locked="true" hidden="false"/>
    </xf>
    <xf numFmtId="164" fontId="0" fillId="0" borderId="47" xfId="322" applyFont="true" applyBorder="true" applyAlignment="true" applyProtection="true">
      <alignment horizontal="general" vertical="bottom" textRotation="0" wrapText="false" indent="0" shrinkToFit="false"/>
      <protection locked="true" hidden="false"/>
    </xf>
    <xf numFmtId="164" fontId="0" fillId="0" borderId="48" xfId="322" applyFont="true" applyBorder="true" applyAlignment="true" applyProtection="true">
      <alignment horizontal="general" vertical="bottom" textRotation="0" wrapText="false" indent="0" shrinkToFit="false"/>
      <protection locked="true" hidden="false"/>
    </xf>
    <xf numFmtId="164" fontId="0" fillId="0" borderId="54" xfId="322" applyFont="true" applyBorder="true" applyAlignment="true" applyProtection="true">
      <alignment horizontal="general" vertical="bottom" textRotation="0" wrapText="false" indent="0" shrinkToFit="false"/>
      <protection locked="true" hidden="false"/>
    </xf>
    <xf numFmtId="164" fontId="0" fillId="0" borderId="55" xfId="322" applyFont="true" applyBorder="true" applyAlignment="true" applyProtection="true">
      <alignment horizontal="general" vertical="bottom" textRotation="0" wrapText="false" indent="0" shrinkToFit="false"/>
      <protection locked="true" hidden="false"/>
    </xf>
    <xf numFmtId="207" fontId="26" fillId="22" borderId="57" xfId="0" applyFont="true" applyBorder="true" applyAlignment="true" applyProtection="true">
      <alignment horizontal="general" vertical="bottom" textRotation="0" wrapText="false" indent="0" shrinkToFit="false"/>
      <protection locked="true" hidden="false"/>
    </xf>
    <xf numFmtId="207" fontId="26" fillId="0" borderId="0" xfId="0" applyFont="true" applyBorder="false" applyAlignment="true" applyProtection="true">
      <alignment horizontal="general" vertical="bottom" textRotation="0" wrapText="false" indent="0" shrinkToFit="false"/>
      <protection locked="true" hidden="false"/>
    </xf>
    <xf numFmtId="207" fontId="144" fillId="38" borderId="95" xfId="0" applyFont="true" applyBorder="true" applyAlignment="true" applyProtection="true">
      <alignment horizontal="center" vertical="bottom" textRotation="0" wrapText="false" indent="0" shrinkToFit="false"/>
      <protection locked="true" hidden="false"/>
    </xf>
    <xf numFmtId="164" fontId="144" fillId="38" borderId="96" xfId="0" applyFont="true" applyBorder="true" applyAlignment="true" applyProtection="true">
      <alignment horizontal="center" vertical="bottom" textRotation="0" wrapText="false" indent="0" shrinkToFit="false"/>
      <protection locked="true" hidden="false"/>
    </xf>
    <xf numFmtId="164" fontId="144" fillId="38" borderId="97" xfId="0" applyFont="true" applyBorder="true" applyAlignment="true" applyProtection="true">
      <alignment horizontal="center" vertical="bottom" textRotation="0" wrapText="false" indent="0" shrinkToFit="false"/>
      <protection locked="true" hidden="false"/>
    </xf>
    <xf numFmtId="207" fontId="57" fillId="29" borderId="100" xfId="0" applyFont="true" applyBorder="true" applyAlignment="true" applyProtection="true">
      <alignment horizontal="general" vertical="bottom" textRotation="0" wrapText="false" indent="0" shrinkToFit="false"/>
      <protection locked="true" hidden="false"/>
    </xf>
    <xf numFmtId="164" fontId="60" fillId="0" borderId="101" xfId="0" applyFont="true" applyBorder="true" applyAlignment="true" applyProtection="true">
      <alignment horizontal="center" vertical="bottom" textRotation="0" wrapText="false" indent="0" shrinkToFit="false"/>
      <protection locked="true" hidden="false"/>
    </xf>
    <xf numFmtId="164" fontId="145" fillId="0" borderId="101" xfId="0" applyFont="true" applyBorder="true" applyAlignment="true" applyProtection="true">
      <alignment horizontal="center" vertical="bottom" textRotation="0" wrapText="false" indent="0" shrinkToFit="false"/>
      <protection locked="true" hidden="false"/>
    </xf>
    <xf numFmtId="164" fontId="145" fillId="22" borderId="101" xfId="0" applyFont="true" applyBorder="true" applyAlignment="true" applyProtection="true">
      <alignment horizontal="center" vertical="bottom" textRotation="0" wrapText="false" indent="0" shrinkToFit="false"/>
      <protection locked="true" hidden="false"/>
    </xf>
    <xf numFmtId="164" fontId="145" fillId="22" borderId="102" xfId="0" applyFont="true" applyBorder="true" applyAlignment="true" applyProtection="true">
      <alignment horizontal="center" vertical="bottom" textRotation="0" wrapText="false" indent="0" shrinkToFit="false"/>
      <protection locked="true" hidden="false"/>
    </xf>
    <xf numFmtId="207" fontId="57" fillId="29" borderId="106" xfId="0" applyFont="true" applyBorder="true" applyAlignment="true" applyProtection="true">
      <alignment horizontal="general" vertical="bottom" textRotation="0" wrapText="false" indent="0" shrinkToFit="false"/>
      <protection locked="true" hidden="false"/>
    </xf>
    <xf numFmtId="164" fontId="145" fillId="22" borderId="107" xfId="0" applyFont="true" applyBorder="true" applyAlignment="true" applyProtection="true">
      <alignment horizontal="center" vertical="bottom" textRotation="0" wrapText="false" indent="0" shrinkToFit="false"/>
      <protection locked="true" hidden="false"/>
    </xf>
    <xf numFmtId="164" fontId="145" fillId="22" borderId="108" xfId="0" applyFont="true" applyBorder="true" applyAlignment="true" applyProtection="true">
      <alignment horizontal="center" vertical="bottom" textRotation="0" wrapText="false" indent="0" shrinkToFit="false"/>
      <protection locked="true" hidden="false"/>
    </xf>
    <xf numFmtId="207" fontId="50" fillId="0" borderId="0" xfId="0" applyFont="true" applyBorder="true" applyAlignment="true" applyProtection="true">
      <alignment horizontal="general" vertical="bottom" textRotation="0" wrapText="false" indent="0" shrinkToFit="false"/>
      <protection locked="true" hidden="false"/>
    </xf>
    <xf numFmtId="164" fontId="54" fillId="7" borderId="0" xfId="0" applyFont="true" applyBorder="false" applyAlignment="true" applyProtection="true">
      <alignment horizontal="left"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26" fillId="7" borderId="0" xfId="0" applyFont="true" applyBorder="false" applyAlignment="true" applyProtection="true">
      <alignment horizontal="general" vertical="bottom" textRotation="0" wrapText="false" indent="0" shrinkToFit="false"/>
      <protection locked="true" hidden="false"/>
    </xf>
    <xf numFmtId="164" fontId="26" fillId="0" borderId="11" xfId="0" applyFont="true" applyBorder="true" applyAlignment="true" applyProtection="true">
      <alignment horizontal="center" vertical="bottom" textRotation="0" wrapText="false" indent="0" shrinkToFit="false"/>
      <protection locked="true" hidden="false"/>
    </xf>
    <xf numFmtId="164" fontId="26" fillId="22" borderId="12" xfId="0" applyFont="true" applyBorder="true" applyAlignment="true" applyProtection="true">
      <alignment horizontal="center" vertical="bottom" textRotation="0" wrapText="false" indent="0" shrinkToFit="false"/>
      <protection locked="true" hidden="false"/>
    </xf>
    <xf numFmtId="164" fontId="146" fillId="0" borderId="0" xfId="0" applyFont="true" applyBorder="false" applyAlignment="true" applyProtection="true">
      <alignment horizontal="center" vertical="bottom" textRotation="0" wrapText="false" indent="0" shrinkToFit="false"/>
      <protection locked="true" hidden="false"/>
    </xf>
    <xf numFmtId="164" fontId="26" fillId="0" borderId="0" xfId="0" applyFont="true" applyBorder="false" applyAlignment="true" applyProtection="true">
      <alignment horizontal="center" vertical="bottom" textRotation="0" wrapText="false" indent="0" shrinkToFit="false"/>
      <protection locked="true" hidden="false"/>
    </xf>
    <xf numFmtId="164" fontId="26" fillId="23" borderId="12" xfId="0" applyFont="true" applyBorder="true" applyAlignment="true" applyProtection="true">
      <alignment horizontal="center" vertical="bottom" textRotation="0" wrapText="false" indent="0" shrinkToFit="false"/>
      <protection locked="true" hidden="false"/>
    </xf>
    <xf numFmtId="164" fontId="26" fillId="0" borderId="13" xfId="0" applyFont="true" applyBorder="true" applyAlignment="true" applyProtection="true">
      <alignment horizontal="center" vertical="bottom" textRotation="0" wrapText="false" indent="0" shrinkToFit="false"/>
      <protection locked="true" hidden="false"/>
    </xf>
    <xf numFmtId="164" fontId="0" fillId="25" borderId="0" xfId="0" applyFont="false" applyBorder="false" applyAlignment="true" applyProtection="true">
      <alignment horizontal="center" vertical="bottom" textRotation="0" wrapText="false" indent="0" shrinkToFit="false"/>
      <protection locked="true" hidden="false"/>
    </xf>
    <xf numFmtId="164" fontId="26" fillId="25" borderId="0" xfId="0" applyFont="true" applyBorder="false" applyAlignment="true" applyProtection="true">
      <alignment horizontal="center" vertical="bottom" textRotation="0" wrapText="false" indent="0" shrinkToFit="false"/>
      <protection locked="true" hidden="false"/>
    </xf>
    <xf numFmtId="174" fontId="26" fillId="25" borderId="0" xfId="0" applyFont="true" applyBorder="false" applyAlignment="true" applyProtection="true">
      <alignment horizontal="center" vertical="bottom" textRotation="0" wrapText="false" indent="0" shrinkToFit="false"/>
      <protection locked="true" hidden="false"/>
    </xf>
    <xf numFmtId="164" fontId="0" fillId="5" borderId="0" xfId="0" applyFont="true" applyBorder="false" applyAlignment="true" applyProtection="true">
      <alignment horizontal="center" vertical="bottom" textRotation="0" wrapText="true" indent="0" shrinkToFit="false"/>
      <protection locked="true" hidden="false"/>
    </xf>
    <xf numFmtId="164" fontId="20" fillId="0" borderId="0" xfId="0" applyFont="true" applyBorder="false" applyAlignment="true" applyProtection="true">
      <alignment horizontal="center" vertical="bottom" textRotation="0" wrapText="false" indent="0" shrinkToFit="false"/>
      <protection locked="true" hidden="false"/>
    </xf>
    <xf numFmtId="208" fontId="0" fillId="0" borderId="0" xfId="0" applyFont="false" applyBorder="false" applyAlignment="true" applyProtection="true">
      <alignment horizontal="center" vertical="bottom" textRotation="0" wrapText="false" indent="0" shrinkToFit="false"/>
      <protection locked="true" hidden="false"/>
    </xf>
    <xf numFmtId="164" fontId="26" fillId="23" borderId="66" xfId="0" applyFont="true" applyBorder="true" applyAlignment="true" applyProtection="true">
      <alignment horizontal="center" vertical="bottom" textRotation="0" wrapText="false" indent="0" shrinkToFit="false"/>
      <protection locked="true" hidden="false"/>
    </xf>
    <xf numFmtId="207" fontId="0" fillId="0" borderId="54" xfId="0" applyFont="false" applyBorder="true" applyAlignment="true" applyProtection="true">
      <alignment horizontal="center" vertical="bottom" textRotation="0" wrapText="false" indent="0" shrinkToFit="false"/>
      <protection locked="true" hidden="false"/>
    </xf>
    <xf numFmtId="207" fontId="0" fillId="0" borderId="55" xfId="0" applyFont="false" applyBorder="true" applyAlignment="true" applyProtection="true">
      <alignment horizontal="center" vertical="bottom" textRotation="0" wrapText="false" indent="0" shrinkToFit="false"/>
      <protection locked="true" hidden="false"/>
    </xf>
    <xf numFmtId="207" fontId="0" fillId="0" borderId="56" xfId="0" applyFont="false" applyBorder="true" applyAlignment="true" applyProtection="true">
      <alignment horizontal="center" vertical="bottom" textRotation="0" wrapText="false" indent="0" shrinkToFit="false"/>
      <protection locked="true" hidden="false"/>
    </xf>
    <xf numFmtId="164" fontId="0" fillId="7" borderId="0" xfId="0" applyFont="false" applyBorder="false" applyAlignment="true" applyProtection="true">
      <alignment horizontal="center" vertical="bottom" textRotation="0" wrapText="false" indent="0" shrinkToFit="false"/>
      <protection locked="true" hidden="false"/>
    </xf>
    <xf numFmtId="207" fontId="0" fillId="0" borderId="0" xfId="0" applyFont="false" applyBorder="false" applyAlignment="true" applyProtection="true">
      <alignment horizontal="center" vertical="bottom" textRotation="0" wrapText="false" indent="0" shrinkToFit="false"/>
      <protection locked="true" hidden="false"/>
    </xf>
    <xf numFmtId="207" fontId="147" fillId="0"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center" vertical="bottom" textRotation="0" wrapText="false" indent="0" shrinkToFit="false"/>
      <protection locked="true" hidden="false"/>
    </xf>
    <xf numFmtId="173" fontId="0" fillId="0" borderId="0" xfId="0" applyFont="false" applyBorder="false" applyAlignment="true" applyProtection="true">
      <alignment horizontal="center" vertical="bottom" textRotation="0" wrapText="false" indent="0" shrinkToFit="false"/>
      <protection locked="true" hidden="false"/>
    </xf>
    <xf numFmtId="175" fontId="0" fillId="0" borderId="0" xfId="0" applyFont="false" applyBorder="false" applyAlignment="true" applyProtection="true">
      <alignment horizontal="center" vertical="bottom" textRotation="0" wrapText="false" indent="0" shrinkToFit="false"/>
      <protection locked="true" hidden="false"/>
    </xf>
    <xf numFmtId="175" fontId="20" fillId="0" borderId="0" xfId="0" applyFont="true" applyBorder="false" applyAlignment="true" applyProtection="true">
      <alignment horizontal="center" vertical="bottom" textRotation="0" wrapText="false" indent="0" shrinkToFit="false"/>
      <protection locked="true" hidden="false"/>
    </xf>
    <xf numFmtId="196" fontId="0" fillId="0" borderId="0" xfId="0" applyFont="false" applyBorder="false" applyAlignment="true" applyProtection="true">
      <alignment horizontal="center" vertical="bottom" textRotation="0" wrapText="false" indent="0" shrinkToFit="false"/>
      <protection locked="true" hidden="false"/>
    </xf>
    <xf numFmtId="174" fontId="26" fillId="0" borderId="0" xfId="0" applyFont="true" applyBorder="false" applyAlignment="true" applyProtection="true">
      <alignment horizontal="center"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58" fillId="0" borderId="0" xfId="0" applyFont="true" applyBorder="false" applyAlignment="true" applyProtection="true">
      <alignment horizontal="center" vertical="bottom" textRotation="0" wrapText="false" indent="0" shrinkToFit="false"/>
      <protection locked="true" hidden="false"/>
    </xf>
    <xf numFmtId="164" fontId="148" fillId="24" borderId="12" xfId="0" applyFont="true" applyBorder="true" applyAlignment="true" applyProtection="true">
      <alignment horizontal="center" vertical="bottom" textRotation="0" wrapText="true" indent="0" shrinkToFit="false"/>
      <protection locked="true" hidden="false"/>
    </xf>
    <xf numFmtId="164" fontId="148" fillId="49" borderId="12" xfId="0" applyFont="true" applyBorder="true" applyAlignment="true" applyProtection="true">
      <alignment horizontal="center" vertical="bottom" textRotation="0" wrapText="true" indent="0" shrinkToFit="false"/>
      <protection locked="true" hidden="false"/>
    </xf>
    <xf numFmtId="164" fontId="148" fillId="45" borderId="12" xfId="0" applyFont="true" applyBorder="true" applyAlignment="true" applyProtection="true">
      <alignment horizontal="center" vertical="bottom" textRotation="0" wrapText="true" indent="0" shrinkToFit="false"/>
      <protection locked="true" hidden="false"/>
    </xf>
    <xf numFmtId="164" fontId="148" fillId="50" borderId="12" xfId="0" applyFont="true" applyBorder="true" applyAlignment="true" applyProtection="true">
      <alignment horizontal="center" vertical="bottom" textRotation="0" wrapText="true" indent="0" shrinkToFit="false"/>
      <protection locked="true" hidden="false"/>
    </xf>
    <xf numFmtId="164" fontId="148" fillId="35" borderId="12" xfId="0" applyFont="true" applyBorder="true" applyAlignment="true" applyProtection="true">
      <alignment horizontal="center" vertical="bottom" textRotation="0" wrapText="true" indent="0" shrinkToFit="false"/>
      <protection locked="true" hidden="false"/>
    </xf>
    <xf numFmtId="164" fontId="148" fillId="25" borderId="12" xfId="0" applyFont="true" applyBorder="true" applyAlignment="true" applyProtection="true">
      <alignment horizontal="center" vertical="bottom" textRotation="0" wrapText="true" indent="0" shrinkToFit="false"/>
      <protection locked="true" hidden="false"/>
    </xf>
    <xf numFmtId="164" fontId="148" fillId="24" borderId="22" xfId="0" applyFont="true" applyBorder="true" applyAlignment="true" applyProtection="true">
      <alignment horizontal="center" vertical="bottom" textRotation="0" wrapText="true" indent="0" shrinkToFit="false"/>
      <protection locked="true" hidden="false"/>
    </xf>
    <xf numFmtId="164" fontId="148" fillId="24" borderId="161" xfId="0" applyFont="true" applyBorder="true" applyAlignment="true" applyProtection="true">
      <alignment horizontal="center" vertical="bottom" textRotation="0" wrapText="true" indent="0" shrinkToFit="false"/>
      <protection locked="true" hidden="false"/>
    </xf>
    <xf numFmtId="164" fontId="148" fillId="24" borderId="12" xfId="0" applyFont="true" applyBorder="true" applyAlignment="true" applyProtection="true">
      <alignment horizontal="right" vertical="center" textRotation="0" wrapText="true" indent="0" shrinkToFit="false"/>
      <protection locked="true" hidden="false"/>
    </xf>
    <xf numFmtId="164" fontId="148" fillId="24" borderId="12" xfId="0" applyFont="true" applyBorder="true" applyAlignment="true" applyProtection="true">
      <alignment horizontal="left" vertical="center" textRotation="0" wrapText="true" indent="0" shrinkToFit="false"/>
      <protection locked="true" hidden="false"/>
    </xf>
    <xf numFmtId="164" fontId="149" fillId="7" borderId="182" xfId="0" applyFont="true" applyBorder="true" applyAlignment="true" applyProtection="true">
      <alignment horizontal="center" vertical="center" textRotation="0" wrapText="true" indent="0" shrinkToFit="false"/>
      <protection locked="true" hidden="false"/>
    </xf>
    <xf numFmtId="164" fontId="151" fillId="15" borderId="12" xfId="0" applyFont="true" applyBorder="true" applyAlignment="true" applyProtection="true">
      <alignment horizontal="center" vertical="center" textRotation="0" wrapText="true" indent="0" shrinkToFit="false"/>
      <protection locked="true" hidden="false"/>
    </xf>
    <xf numFmtId="164" fontId="151" fillId="15" borderId="182" xfId="0" applyFont="true" applyBorder="true" applyAlignment="true" applyProtection="true">
      <alignment horizontal="center" vertical="center" textRotation="0" wrapText="true" indent="0" shrinkToFit="false"/>
      <protection locked="true" hidden="false"/>
    </xf>
    <xf numFmtId="164" fontId="149" fillId="7" borderId="183" xfId="0" applyFont="true" applyBorder="true" applyAlignment="true" applyProtection="true">
      <alignment horizontal="center" vertical="center" textRotation="0" wrapText="true" indent="0" shrinkToFit="false"/>
      <protection locked="true" hidden="false"/>
    </xf>
    <xf numFmtId="164" fontId="25" fillId="0" borderId="12" xfId="0" applyFont="true" applyBorder="true" applyAlignment="true" applyProtection="true">
      <alignment horizontal="left" vertical="center" textRotation="0" wrapText="true" indent="0" shrinkToFit="false"/>
      <protection locked="true" hidden="false"/>
    </xf>
    <xf numFmtId="164" fontId="148" fillId="24" borderId="161" xfId="0" applyFont="true" applyBorder="true" applyAlignment="true" applyProtection="true">
      <alignment horizontal="left" vertical="center" textRotation="0" wrapText="true" indent="0" shrinkToFit="false"/>
      <protection locked="true" hidden="false"/>
    </xf>
    <xf numFmtId="164" fontId="148" fillId="17" borderId="12" xfId="0" applyFont="true" applyBorder="true" applyAlignment="true" applyProtection="true">
      <alignment horizontal="right" vertical="center" textRotation="0" wrapText="true" indent="0" shrinkToFit="false"/>
      <protection locked="true" hidden="false"/>
    </xf>
    <xf numFmtId="164" fontId="149" fillId="7" borderId="12" xfId="0" applyFont="true" applyBorder="true" applyAlignment="true" applyProtection="true">
      <alignment horizontal="center" vertical="center" textRotation="0" wrapText="true" indent="0" shrinkToFit="false"/>
      <protection locked="true" hidden="false"/>
    </xf>
    <xf numFmtId="164" fontId="151" fillId="15" borderId="22" xfId="0" applyFont="true" applyBorder="true" applyAlignment="true" applyProtection="true">
      <alignment horizontal="center" vertical="center" textRotation="0" wrapText="true" indent="0" shrinkToFit="false"/>
      <protection locked="true" hidden="false"/>
    </xf>
    <xf numFmtId="164" fontId="148" fillId="17" borderId="161" xfId="0" applyFont="true" applyBorder="true" applyAlignment="true" applyProtection="true">
      <alignment horizontal="left" vertical="center" textRotation="0" wrapText="true" indent="0" shrinkToFit="false"/>
      <protection locked="true" hidden="false"/>
    </xf>
    <xf numFmtId="164" fontId="148" fillId="25" borderId="12" xfId="0" applyFont="true" applyBorder="true" applyAlignment="true" applyProtection="true">
      <alignment horizontal="left" vertical="top" textRotation="0" wrapText="true" indent="0" shrinkToFit="false"/>
      <protection locked="true" hidden="false"/>
    </xf>
    <xf numFmtId="164" fontId="148" fillId="25" borderId="12" xfId="0" applyFont="true" applyBorder="true" applyAlignment="true" applyProtection="true">
      <alignment horizontal="right" vertical="center" textRotation="0" wrapText="true" indent="0" shrinkToFit="false"/>
      <protection locked="true" hidden="false"/>
    </xf>
    <xf numFmtId="164" fontId="151" fillId="11" borderId="12" xfId="0" applyFont="true" applyBorder="true" applyAlignment="true" applyProtection="true">
      <alignment horizontal="center" vertical="center" textRotation="0" wrapText="true" indent="0" shrinkToFit="false"/>
      <protection locked="true" hidden="false"/>
    </xf>
    <xf numFmtId="164" fontId="151" fillId="11" borderId="182" xfId="0" applyFont="true" applyBorder="true" applyAlignment="true" applyProtection="true">
      <alignment horizontal="center" vertical="center" textRotation="0" wrapText="true" indent="0" shrinkToFit="false"/>
      <protection locked="true" hidden="false"/>
    </xf>
    <xf numFmtId="164" fontId="151" fillId="15" borderId="183" xfId="0" applyFont="true" applyBorder="true" applyAlignment="true" applyProtection="true">
      <alignment horizontal="center" vertical="center" textRotation="0" wrapText="true" indent="0" shrinkToFit="false"/>
      <protection locked="true" hidden="false"/>
    </xf>
    <xf numFmtId="164" fontId="148" fillId="17" borderId="12" xfId="0" applyFont="true" applyBorder="true" applyAlignment="true" applyProtection="true">
      <alignment horizontal="left" vertical="top" textRotation="0" wrapText="true" indent="0" shrinkToFit="false"/>
      <protection locked="true" hidden="false"/>
    </xf>
    <xf numFmtId="164" fontId="148" fillId="45" borderId="161" xfId="0" applyFont="true" applyBorder="true" applyAlignment="true" applyProtection="true">
      <alignment horizontal="left" vertical="center" textRotation="0" wrapText="true" indent="0" shrinkToFit="false"/>
      <protection locked="true" hidden="false"/>
    </xf>
    <xf numFmtId="164" fontId="148" fillId="49" borderId="12" xfId="0" applyFont="true" applyBorder="true" applyAlignment="true" applyProtection="true">
      <alignment horizontal="left" vertical="top" textRotation="0" wrapText="true" indent="0" shrinkToFit="false"/>
      <protection locked="true" hidden="false"/>
    </xf>
    <xf numFmtId="164" fontId="148" fillId="45" borderId="12" xfId="0" applyFont="true" applyBorder="true" applyAlignment="true" applyProtection="true">
      <alignment horizontal="right" vertical="center" textRotation="0" wrapText="true" indent="0" shrinkToFit="false"/>
      <protection locked="true" hidden="false"/>
    </xf>
    <xf numFmtId="164" fontId="148" fillId="25" borderId="161" xfId="0" applyFont="true" applyBorder="true" applyAlignment="true" applyProtection="true">
      <alignment horizontal="left" vertical="center" textRotation="0" wrapText="true" indent="0" shrinkToFit="false"/>
      <protection locked="true" hidden="false"/>
    </xf>
    <xf numFmtId="164" fontId="148" fillId="45" borderId="12" xfId="0" applyFont="true" applyBorder="true" applyAlignment="true" applyProtection="true">
      <alignment horizontal="left" vertical="top" textRotation="0" wrapText="true" indent="0" shrinkToFit="false"/>
      <protection locked="true" hidden="false"/>
    </xf>
    <xf numFmtId="164" fontId="148" fillId="24" borderId="12" xfId="0" applyFont="true" applyBorder="true" applyAlignment="true" applyProtection="true">
      <alignment horizontal="left" vertical="top" textRotation="0" wrapText="true" indent="0" shrinkToFit="false"/>
      <protection locked="true" hidden="false"/>
    </xf>
    <xf numFmtId="164" fontId="148" fillId="35" borderId="12" xfId="0" applyFont="true" applyBorder="true" applyAlignment="true" applyProtection="true">
      <alignment horizontal="right" vertical="center" textRotation="0" wrapText="true" indent="0" shrinkToFit="false"/>
      <protection locked="true" hidden="false"/>
    </xf>
    <xf numFmtId="164" fontId="148" fillId="35" borderId="161" xfId="0" applyFont="true" applyBorder="true" applyAlignment="true" applyProtection="true">
      <alignment horizontal="left" vertical="center" textRotation="0" wrapText="true" indent="0" shrinkToFit="false"/>
      <protection locked="true" hidden="false"/>
    </xf>
    <xf numFmtId="164" fontId="148" fillId="50" borderId="12" xfId="0" applyFont="true" applyBorder="true" applyAlignment="true" applyProtection="true">
      <alignment horizontal="left" vertical="top" textRotation="0" wrapText="true" indent="0" shrinkToFit="false"/>
      <protection locked="true" hidden="false"/>
    </xf>
    <xf numFmtId="164" fontId="148" fillId="49" borderId="161" xfId="0" applyFont="true" applyBorder="true" applyAlignment="true" applyProtection="true">
      <alignment horizontal="left" vertical="center" textRotation="0" wrapText="true" indent="0" shrinkToFit="false"/>
      <protection locked="true" hidden="false"/>
    </xf>
    <xf numFmtId="164" fontId="148" fillId="35" borderId="12" xfId="0" applyFont="true" applyBorder="true" applyAlignment="true" applyProtection="true">
      <alignment horizontal="left" vertical="top" textRotation="0" wrapText="true" indent="0" shrinkToFit="false"/>
      <protection locked="true" hidden="false"/>
    </xf>
    <xf numFmtId="164" fontId="148" fillId="24" borderId="12" xfId="0" applyFont="true" applyBorder="true" applyAlignment="true" applyProtection="true">
      <alignment horizontal="general" vertical="top" textRotation="0" wrapText="true" indent="0" shrinkToFit="false"/>
      <protection locked="true" hidden="false"/>
    </xf>
    <xf numFmtId="164" fontId="148" fillId="24" borderId="12" xfId="0" applyFont="true" applyBorder="true" applyAlignment="true" applyProtection="true">
      <alignment horizontal="center" vertical="top" textRotation="0" wrapText="true" indent="0" shrinkToFit="false"/>
      <protection locked="true" hidden="false"/>
    </xf>
    <xf numFmtId="164" fontId="148" fillId="35" borderId="12" xfId="0" applyFont="true" applyBorder="true" applyAlignment="true" applyProtection="true">
      <alignment horizontal="center" vertical="top" textRotation="0" wrapText="true" indent="0" shrinkToFit="false"/>
      <protection locked="true" hidden="false"/>
    </xf>
    <xf numFmtId="164" fontId="154" fillId="25" borderId="12" xfId="0" applyFont="true" applyBorder="true" applyAlignment="true" applyProtection="true">
      <alignment horizontal="center" vertical="top" textRotation="0" wrapText="true" indent="0" shrinkToFit="false"/>
      <protection locked="true" hidden="false"/>
    </xf>
    <xf numFmtId="164" fontId="148" fillId="45" borderId="12" xfId="0" applyFont="true" applyBorder="true" applyAlignment="true" applyProtection="true">
      <alignment horizontal="center" vertical="top" textRotation="0" wrapText="true" indent="0" shrinkToFit="false"/>
      <protection locked="true" hidden="false"/>
    </xf>
    <xf numFmtId="164" fontId="148" fillId="17" borderId="12" xfId="0" applyFont="true" applyBorder="true" applyAlignment="true" applyProtection="true">
      <alignment horizontal="center" vertical="top" textRotation="0" wrapText="true" indent="0" shrinkToFit="false"/>
      <protection locked="true" hidden="false"/>
    </xf>
    <xf numFmtId="164" fontId="148" fillId="50" borderId="12" xfId="0" applyFont="true" applyBorder="true" applyAlignment="true" applyProtection="true">
      <alignment horizontal="center" vertical="top" textRotation="0" wrapText="true" indent="0" shrinkToFit="false"/>
      <protection locked="true" hidden="false"/>
    </xf>
    <xf numFmtId="164" fontId="148" fillId="24" borderId="22" xfId="0" applyFont="true" applyBorder="true" applyAlignment="true" applyProtection="true">
      <alignment horizontal="center" vertical="top" textRotation="0" wrapText="true" indent="0" shrinkToFit="false"/>
      <protection locked="true" hidden="false"/>
    </xf>
    <xf numFmtId="164" fontId="0" fillId="0" borderId="2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74" fontId="17"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right" vertical="bottom" textRotation="0" wrapText="false" indent="0" shrinkToFit="false"/>
      <protection locked="true" hidden="false"/>
    </xf>
    <xf numFmtId="174" fontId="0" fillId="0" borderId="12" xfId="0" applyFont="false" applyBorder="true" applyAlignment="true" applyProtection="true">
      <alignment horizontal="general" vertical="bottom" textRotation="0" wrapText="false" indent="0" shrinkToFit="false"/>
      <protection locked="false" hidden="false"/>
    </xf>
    <xf numFmtId="164" fontId="0" fillId="0" borderId="12" xfId="0" applyFont="false" applyBorder="true" applyAlignment="true" applyProtection="true">
      <alignment horizontal="right" vertical="bottom" textRotation="0" wrapText="false" indent="0" shrinkToFit="false"/>
      <protection locked="true" hidden="false"/>
    </xf>
    <xf numFmtId="209" fontId="0" fillId="0" borderId="12" xfId="0" applyFont="false" applyBorder="true" applyAlignment="true" applyProtection="true">
      <alignment horizontal="general" vertical="bottom" textRotation="0" wrapText="false" indent="0" shrinkToFit="false"/>
      <protection locked="true" hidden="false"/>
    </xf>
    <xf numFmtId="209" fontId="0" fillId="0" borderId="19" xfId="0" applyFont="false" applyBorder="true" applyAlignment="true" applyProtection="true">
      <alignment horizontal="general" vertical="bottom" textRotation="0" wrapText="false" indent="0" shrinkToFit="false"/>
      <protection locked="true" hidden="false"/>
    </xf>
    <xf numFmtId="164" fontId="0" fillId="25" borderId="0" xfId="0" applyFont="false" applyBorder="false" applyAlignment="true" applyProtection="true">
      <alignment horizontal="center" vertical="center" textRotation="0" wrapText="false" indent="0" shrinkToFit="false"/>
      <protection locked="true" hidden="false"/>
    </xf>
    <xf numFmtId="164" fontId="0" fillId="13" borderId="0" xfId="0" applyFont="false" applyBorder="false" applyAlignment="true" applyProtection="true">
      <alignment horizontal="center" vertical="center" textRotation="0" wrapText="false" indent="0" shrinkToFit="false"/>
      <protection locked="true" hidden="false"/>
    </xf>
    <xf numFmtId="164" fontId="0" fillId="22" borderId="0" xfId="0" applyFont="false" applyBorder="false" applyAlignment="true" applyProtection="true">
      <alignment horizontal="center" vertical="center" textRotation="0" wrapText="false" indent="0" shrinkToFit="false"/>
      <protection locked="true" hidden="false"/>
    </xf>
    <xf numFmtId="164" fontId="0" fillId="28" borderId="0" xfId="0" applyFont="false" applyBorder="false" applyAlignment="true" applyProtection="true">
      <alignment horizontal="center" vertical="center" textRotation="0" wrapText="false" indent="0" shrinkToFit="false"/>
      <protection locked="true" hidden="false"/>
    </xf>
    <xf numFmtId="164" fontId="0" fillId="41" borderId="0" xfId="0" applyFont="false" applyBorder="false" applyAlignment="true" applyProtection="true">
      <alignment horizontal="center" vertical="center" textRotation="0" wrapText="false" indent="0" shrinkToFit="false"/>
      <protection locked="true" hidden="false"/>
    </xf>
    <xf numFmtId="164" fontId="0" fillId="42" borderId="0" xfId="0" applyFont="false" applyBorder="false" applyAlignment="true" applyProtection="true">
      <alignment horizontal="center" vertical="center" textRotation="0" wrapText="false" indent="0" shrinkToFit="false"/>
      <protection locked="true" hidden="false"/>
    </xf>
    <xf numFmtId="164" fontId="0" fillId="31" borderId="0" xfId="0" applyFont="false" applyBorder="false" applyAlignment="true" applyProtection="true">
      <alignment horizontal="center" vertical="center" textRotation="0" wrapText="false" indent="0" shrinkToFit="false"/>
      <protection locked="true" hidden="false"/>
    </xf>
    <xf numFmtId="164" fontId="0" fillId="10" borderId="0" xfId="0" applyFont="false" applyBorder="false" applyAlignment="true" applyProtection="true">
      <alignment horizontal="center" vertical="center" textRotation="0" wrapText="false" indent="0" shrinkToFit="false"/>
      <protection locked="true" hidden="false"/>
    </xf>
    <xf numFmtId="164" fontId="0" fillId="51" borderId="0" xfId="0" applyFont="false" applyBorder="false" applyAlignment="true" applyProtection="true">
      <alignment horizontal="center" vertical="center" textRotation="0" wrapText="false" indent="0" shrinkToFit="false"/>
      <protection locked="true" hidden="false"/>
    </xf>
    <xf numFmtId="164" fontId="0" fillId="0" borderId="18" xfId="0" applyFont="false" applyBorder="true" applyAlignment="true" applyProtection="true">
      <alignment horizontal="center" vertical="center" textRotation="0" wrapText="false" indent="0" shrinkToFit="false"/>
      <protection locked="true" hidden="false"/>
    </xf>
    <xf numFmtId="164" fontId="0" fillId="0" borderId="20" xfId="0" applyFont="false" applyBorder="true" applyAlignment="true" applyProtection="true">
      <alignment horizontal="center" vertical="center" textRotation="0" wrapText="false" indent="0" shrinkToFit="false"/>
      <protection locked="true" hidden="false"/>
    </xf>
    <xf numFmtId="164" fontId="0" fillId="8" borderId="0" xfId="0" applyFont="false" applyBorder="false" applyAlignment="true" applyProtection="true">
      <alignment horizontal="center" vertical="center" textRotation="0" wrapText="false" indent="0" shrinkToFit="false"/>
      <protection locked="true" hidden="false"/>
    </xf>
    <xf numFmtId="164" fontId="0" fillId="37" borderId="0" xfId="0" applyFont="false" applyBorder="false" applyAlignment="true" applyProtection="true">
      <alignment horizontal="center" vertical="center" textRotation="0" wrapText="false" indent="0" shrinkToFit="false"/>
      <protection locked="true" hidden="false"/>
    </xf>
    <xf numFmtId="164" fontId="0" fillId="29" borderId="0" xfId="0" applyFont="false" applyBorder="false" applyAlignment="true" applyProtection="true">
      <alignment horizontal="center" vertical="center" textRotation="0" wrapText="false" indent="0" shrinkToFit="false"/>
      <protection locked="true" hidden="false"/>
    </xf>
    <xf numFmtId="164" fontId="0" fillId="13" borderId="0" xfId="0" applyFont="false" applyBorder="true" applyAlignment="true" applyProtection="true">
      <alignment horizontal="center" vertical="center" textRotation="0" wrapText="false" indent="0" shrinkToFit="false"/>
      <protection locked="true" hidden="false"/>
    </xf>
    <xf numFmtId="164" fontId="0" fillId="28" borderId="0" xfId="0" applyFont="false" applyBorder="true" applyAlignment="true" applyProtection="true">
      <alignment horizontal="center" vertical="center" textRotation="0" wrapText="false" indent="0" shrinkToFit="false"/>
      <protection locked="true" hidden="false"/>
    </xf>
    <xf numFmtId="164" fontId="0" fillId="42" borderId="0" xfId="0" applyFont="false" applyBorder="true" applyAlignment="true" applyProtection="true">
      <alignment horizontal="center" vertical="center" textRotation="0" wrapText="false" indent="0" shrinkToFit="false"/>
      <protection locked="true" hidden="false"/>
    </xf>
    <xf numFmtId="164" fontId="0" fillId="10" borderId="0" xfId="0" applyFont="false" applyBorder="true" applyAlignment="true" applyProtection="true">
      <alignment horizontal="center" vertical="center" textRotation="0" wrapText="false" indent="0" shrinkToFit="false"/>
      <protection locked="true" hidden="false"/>
    </xf>
    <xf numFmtId="164" fontId="0" fillId="31" borderId="0" xfId="0" applyFont="false" applyBorder="true" applyAlignment="true" applyProtection="true">
      <alignment horizontal="center" vertical="center" textRotation="0" wrapText="false" indent="0" shrinkToFit="false"/>
      <protection locked="true" hidden="false"/>
    </xf>
    <xf numFmtId="164" fontId="0" fillId="41" borderId="0" xfId="0" applyFont="false" applyBorder="true" applyAlignment="true" applyProtection="true">
      <alignment horizontal="center" vertical="center" textRotation="0" wrapText="false" indent="0" shrinkToFit="false"/>
      <protection locked="true" hidden="false"/>
    </xf>
    <xf numFmtId="164" fontId="0" fillId="22" borderId="0" xfId="0" applyFont="false" applyBorder="true" applyAlignment="true" applyProtection="true">
      <alignment horizontal="center" vertical="center" textRotation="0" wrapText="false" indent="0" shrinkToFit="false"/>
      <protection locked="true" hidden="false"/>
    </xf>
    <xf numFmtId="164" fontId="0" fillId="25" borderId="0" xfId="0" applyFont="false" applyBorder="true" applyAlignment="true" applyProtection="true">
      <alignment horizontal="center" vertical="center" textRotation="0" wrapText="false" indent="0" shrinkToFit="false"/>
      <protection locked="true" hidden="false"/>
    </xf>
    <xf numFmtId="164" fontId="29" fillId="0" borderId="84" xfId="0" applyFont="true" applyBorder="true" applyAlignment="true" applyProtection="true">
      <alignment horizontal="center" vertical="bottom" textRotation="0" wrapText="false" indent="0" shrinkToFit="false"/>
      <protection locked="true" hidden="false"/>
    </xf>
    <xf numFmtId="164" fontId="155" fillId="0" borderId="0" xfId="0" applyFont="true" applyBorder="true" applyAlignment="true" applyProtection="true">
      <alignment horizontal="center" vertical="bottom" textRotation="0" wrapText="false" indent="0" shrinkToFit="false"/>
      <protection locked="true" hidden="false"/>
    </xf>
    <xf numFmtId="164" fontId="156" fillId="0" borderId="9" xfId="0" applyFont="true" applyBorder="true" applyAlignment="true" applyProtection="true">
      <alignment horizontal="center" vertical="center" textRotation="0" wrapText="false" indent="0" shrinkToFit="false"/>
      <protection locked="true" hidden="false"/>
    </xf>
    <xf numFmtId="164" fontId="157" fillId="6" borderId="184" xfId="0" applyFont="true" applyBorder="true" applyAlignment="true" applyProtection="true">
      <alignment horizontal="center" vertical="center" textRotation="0" wrapText="false" indent="0" shrinkToFit="false"/>
      <protection locked="true" hidden="false"/>
    </xf>
    <xf numFmtId="164" fontId="157" fillId="6" borderId="185" xfId="0" applyFont="true" applyBorder="true" applyAlignment="true" applyProtection="true">
      <alignment horizontal="center" vertical="center" textRotation="0" wrapText="false" indent="0" shrinkToFit="false"/>
      <protection locked="true" hidden="false"/>
    </xf>
    <xf numFmtId="164" fontId="157" fillId="6" borderId="186" xfId="0" applyFont="true" applyBorder="true" applyAlignment="true" applyProtection="true">
      <alignment horizontal="center" vertical="center" textRotation="0" wrapText="false" indent="0" shrinkToFit="false"/>
      <protection locked="true" hidden="false"/>
    </xf>
    <xf numFmtId="164" fontId="157" fillId="6" borderId="187" xfId="0" applyFont="true" applyBorder="true" applyAlignment="true" applyProtection="true">
      <alignment horizontal="center" vertical="center" textRotation="0" wrapText="false" indent="0" shrinkToFit="false"/>
      <protection locked="true" hidden="false"/>
    </xf>
    <xf numFmtId="164" fontId="157" fillId="6" borderId="188" xfId="0" applyFont="true" applyBorder="true" applyAlignment="true" applyProtection="true">
      <alignment horizontal="center" vertical="center" textRotation="0" wrapText="false" indent="0" shrinkToFit="false"/>
      <protection locked="true" hidden="false"/>
    </xf>
    <xf numFmtId="164" fontId="156" fillId="0" borderId="83" xfId="0" applyFont="true" applyBorder="true" applyAlignment="true" applyProtection="true">
      <alignment horizontal="center" vertical="center" textRotation="0" wrapText="false" indent="0" shrinkToFit="false"/>
      <protection locked="true" hidden="false"/>
    </xf>
    <xf numFmtId="164" fontId="157" fillId="6" borderId="189" xfId="0" applyFont="true" applyBorder="true" applyAlignment="true" applyProtection="true">
      <alignment horizontal="center" vertical="center" textRotation="0" wrapText="false" indent="0" shrinkToFit="false"/>
      <protection locked="true" hidden="false"/>
    </xf>
    <xf numFmtId="164" fontId="157" fillId="6" borderId="0" xfId="0" applyFont="true" applyBorder="false" applyAlignment="true" applyProtection="true">
      <alignment horizontal="center" vertical="center" textRotation="0" wrapText="false" indent="0" shrinkToFit="false"/>
      <protection locked="true" hidden="false"/>
    </xf>
    <xf numFmtId="164" fontId="157" fillId="6" borderId="190" xfId="0" applyFont="true" applyBorder="true" applyAlignment="true" applyProtection="true">
      <alignment horizontal="center" vertical="center" textRotation="0" wrapText="false" indent="0" shrinkToFit="false"/>
      <protection locked="true" hidden="false"/>
    </xf>
    <xf numFmtId="164" fontId="157" fillId="6" borderId="9" xfId="0" applyFont="true" applyBorder="true" applyAlignment="true" applyProtection="true">
      <alignment horizontal="center" vertical="center" textRotation="0" wrapText="false" indent="0" shrinkToFit="false"/>
      <protection locked="true" hidden="false"/>
    </xf>
    <xf numFmtId="164" fontId="157" fillId="6" borderId="191" xfId="0" applyFont="true" applyBorder="true" applyAlignment="true" applyProtection="true">
      <alignment horizontal="center" vertical="center" textRotation="0" wrapText="false" indent="0" shrinkToFit="false"/>
      <protection locked="true" hidden="false"/>
    </xf>
    <xf numFmtId="164" fontId="157" fillId="6" borderId="192" xfId="0" applyFont="true" applyBorder="true" applyAlignment="true" applyProtection="true">
      <alignment horizontal="center" vertical="center" textRotation="0" wrapText="false" indent="0" shrinkToFit="false"/>
      <protection locked="true" hidden="false"/>
    </xf>
    <xf numFmtId="164" fontId="157" fillId="6" borderId="193" xfId="0" applyFont="true" applyBorder="true" applyAlignment="true" applyProtection="true">
      <alignment horizontal="center" vertical="center" textRotation="0" wrapText="false" indent="0" shrinkToFit="false"/>
      <protection locked="true" hidden="false"/>
    </xf>
    <xf numFmtId="164" fontId="157" fillId="6" borderId="194" xfId="0" applyFont="true" applyBorder="true" applyAlignment="true" applyProtection="true">
      <alignment horizontal="center" vertical="center" textRotation="0" wrapText="false" indent="0" shrinkToFit="false"/>
      <protection locked="true" hidden="false"/>
    </xf>
    <xf numFmtId="164" fontId="157" fillId="6" borderId="195" xfId="0" applyFont="true" applyBorder="true" applyAlignment="true" applyProtection="true">
      <alignment horizontal="center" vertical="center" textRotation="0" wrapText="false" indent="0" shrinkToFit="false"/>
      <protection locked="true" hidden="false"/>
    </xf>
    <xf numFmtId="164" fontId="157" fillId="6" borderId="86" xfId="0" applyFont="true" applyBorder="true" applyAlignment="true" applyProtection="true">
      <alignment horizontal="center" vertical="center" textRotation="0" wrapText="false" indent="0" shrinkToFit="false"/>
      <protection locked="true" hidden="false"/>
    </xf>
    <xf numFmtId="164" fontId="157" fillId="6" borderId="89" xfId="0" applyFont="true" applyBorder="true" applyAlignment="true" applyProtection="true">
      <alignment horizontal="center" vertical="center" textRotation="0" wrapText="false" indent="0" shrinkToFit="false"/>
      <protection locked="true" hidden="false"/>
    </xf>
    <xf numFmtId="164" fontId="157" fillId="6" borderId="196" xfId="0" applyFont="true" applyBorder="true" applyAlignment="true" applyProtection="true">
      <alignment horizontal="center" vertical="center" textRotation="0" wrapText="false" indent="0" shrinkToFit="false"/>
      <protection locked="true" hidden="false"/>
    </xf>
    <xf numFmtId="164" fontId="157" fillId="6" borderId="197" xfId="0" applyFont="true" applyBorder="true" applyAlignment="true" applyProtection="true">
      <alignment horizontal="center" vertical="center" textRotation="0" wrapText="false" indent="0" shrinkToFit="false"/>
      <protection locked="true" hidden="false"/>
    </xf>
    <xf numFmtId="164" fontId="157" fillId="6" borderId="88" xfId="0" applyFont="true" applyBorder="true" applyAlignment="true" applyProtection="true">
      <alignment horizontal="center" vertical="center" textRotation="0" wrapText="false" indent="0" shrinkToFit="false"/>
      <protection locked="true" hidden="false"/>
    </xf>
    <xf numFmtId="164" fontId="157" fillId="6" borderId="85" xfId="0" applyFont="true" applyBorder="true" applyAlignment="true" applyProtection="true">
      <alignment horizontal="center" vertical="center" textRotation="0" wrapText="false" indent="0" shrinkToFit="false"/>
      <protection locked="true" hidden="false"/>
    </xf>
    <xf numFmtId="164" fontId="157" fillId="6" borderId="84" xfId="0" applyFont="true" applyBorder="true" applyAlignment="true" applyProtection="true">
      <alignment horizontal="center" vertical="center" textRotation="0" wrapText="false" indent="0" shrinkToFit="false"/>
      <protection locked="true" hidden="false"/>
    </xf>
    <xf numFmtId="164" fontId="157" fillId="6" borderId="198" xfId="0" applyFont="true" applyBorder="true" applyAlignment="true" applyProtection="true">
      <alignment horizontal="center" vertical="center" textRotation="0" wrapText="false" indent="0" shrinkToFit="false"/>
      <protection locked="true" hidden="false"/>
    </xf>
    <xf numFmtId="164" fontId="157" fillId="6" borderId="83" xfId="0" applyFont="true" applyBorder="true" applyAlignment="true" applyProtection="true">
      <alignment horizontal="center" vertical="center" textRotation="0" wrapText="false" indent="0" shrinkToFit="false"/>
      <protection locked="true" hidden="false"/>
    </xf>
    <xf numFmtId="164" fontId="157" fillId="6" borderId="199" xfId="0" applyFont="true" applyBorder="true" applyAlignment="true" applyProtection="true">
      <alignment horizontal="center" vertical="center" textRotation="0" wrapText="false" indent="0" shrinkToFit="false"/>
      <protection locked="true" hidden="false"/>
    </xf>
    <xf numFmtId="164" fontId="157" fillId="6" borderId="200" xfId="0" applyFont="true" applyBorder="true" applyAlignment="true" applyProtection="true">
      <alignment horizontal="center" vertical="center" textRotation="0" wrapText="false" indent="0" shrinkToFit="false"/>
      <protection locked="true" hidden="false"/>
    </xf>
    <xf numFmtId="164" fontId="157" fillId="6" borderId="201" xfId="0" applyFont="true" applyBorder="true" applyAlignment="true" applyProtection="true">
      <alignment horizontal="center" vertical="center" textRotation="0" wrapText="false" indent="0" shrinkToFit="false"/>
      <protection locked="true" hidden="false"/>
    </xf>
    <xf numFmtId="164" fontId="157" fillId="6" borderId="202" xfId="0" applyFont="true" applyBorder="true" applyAlignment="true" applyProtection="true">
      <alignment horizontal="center" vertical="center" textRotation="0" wrapText="false" indent="0" shrinkToFit="false"/>
      <protection locked="true" hidden="false"/>
    </xf>
    <xf numFmtId="164" fontId="157" fillId="6" borderId="203" xfId="0" applyFont="true" applyBorder="true" applyAlignment="true" applyProtection="true">
      <alignment horizontal="center" vertical="center" textRotation="0" wrapText="false" indent="0" shrinkToFit="false"/>
      <protection locked="true" hidden="false"/>
    </xf>
    <xf numFmtId="164" fontId="156" fillId="0" borderId="89" xfId="0" applyFont="true" applyBorder="true" applyAlignment="true" applyProtection="true">
      <alignment horizontal="center" vertical="bottom" textRotation="0" wrapText="false" indent="0" shrinkToFit="false"/>
      <protection locked="true" hidden="false"/>
    </xf>
    <xf numFmtId="164" fontId="0" fillId="0" borderId="84" xfId="0" applyFont="true" applyBorder="true" applyAlignment="true" applyProtection="true">
      <alignment horizontal="center" vertical="bottom" textRotation="0" wrapText="false" indent="0" shrinkToFit="false"/>
      <protection locked="true" hidden="false"/>
    </xf>
    <xf numFmtId="164" fontId="158" fillId="0" borderId="0" xfId="0" applyFont="true" applyBorder="true" applyAlignment="true" applyProtection="true">
      <alignment horizontal="center" vertical="bottom" textRotation="0" wrapText="false" indent="0" shrinkToFit="false"/>
      <protection locked="true" hidden="false"/>
    </xf>
    <xf numFmtId="164" fontId="159" fillId="0" borderId="9" xfId="0" applyFont="true" applyBorder="true" applyAlignment="true" applyProtection="true">
      <alignment horizontal="center" vertical="center" textRotation="90" wrapText="false" indent="0" shrinkToFit="false"/>
      <protection locked="true" hidden="false"/>
    </xf>
    <xf numFmtId="164" fontId="160" fillId="6" borderId="184" xfId="0" applyFont="true" applyBorder="true" applyAlignment="true" applyProtection="true">
      <alignment horizontal="center" vertical="center" textRotation="0" wrapText="false" indent="0" shrinkToFit="false"/>
      <protection locked="true" hidden="false"/>
    </xf>
    <xf numFmtId="164" fontId="160" fillId="6" borderId="185" xfId="0" applyFont="true" applyBorder="true" applyAlignment="true" applyProtection="true">
      <alignment horizontal="center" vertical="center" textRotation="0" wrapText="false" indent="0" shrinkToFit="false"/>
      <protection locked="true" hidden="false"/>
    </xf>
    <xf numFmtId="164" fontId="160" fillId="6" borderId="186" xfId="0" applyFont="true" applyBorder="true" applyAlignment="true" applyProtection="true">
      <alignment horizontal="center" vertical="center" textRotation="0" wrapText="false" indent="0" shrinkToFit="false"/>
      <protection locked="true" hidden="false"/>
    </xf>
    <xf numFmtId="164" fontId="160" fillId="6" borderId="187" xfId="0" applyFont="true" applyBorder="true" applyAlignment="true" applyProtection="true">
      <alignment horizontal="center" vertical="center" textRotation="0" wrapText="false" indent="0" shrinkToFit="false"/>
      <protection locked="true" hidden="false"/>
    </xf>
    <xf numFmtId="164" fontId="160" fillId="6" borderId="188" xfId="0" applyFont="true" applyBorder="true" applyAlignment="true" applyProtection="true">
      <alignment horizontal="center" vertical="center" textRotation="0" wrapText="false" indent="0" shrinkToFit="false"/>
      <protection locked="true" hidden="false"/>
    </xf>
    <xf numFmtId="164" fontId="161" fillId="0" borderId="83" xfId="0" applyFont="true" applyBorder="true" applyAlignment="true" applyProtection="true">
      <alignment horizontal="center" vertical="center" textRotation="0" wrapText="false" indent="0" shrinkToFit="false"/>
      <protection locked="true" hidden="false"/>
    </xf>
    <xf numFmtId="164" fontId="160" fillId="6" borderId="189" xfId="0" applyFont="true" applyBorder="true" applyAlignment="true" applyProtection="true">
      <alignment horizontal="center" vertical="center" textRotation="0" wrapText="false" indent="0" shrinkToFit="false"/>
      <protection locked="true" hidden="false"/>
    </xf>
    <xf numFmtId="164" fontId="160" fillId="6" borderId="0" xfId="0" applyFont="true" applyBorder="false" applyAlignment="true" applyProtection="true">
      <alignment horizontal="center" vertical="center" textRotation="0" wrapText="false" indent="0" shrinkToFit="false"/>
      <protection locked="true" hidden="false"/>
    </xf>
    <xf numFmtId="164" fontId="160" fillId="6" borderId="190" xfId="0" applyFont="true" applyBorder="true" applyAlignment="true" applyProtection="true">
      <alignment horizontal="center" vertical="center" textRotation="0" wrapText="false" indent="0" shrinkToFit="false"/>
      <protection locked="true" hidden="false"/>
    </xf>
    <xf numFmtId="164" fontId="160" fillId="6" borderId="9" xfId="0" applyFont="true" applyBorder="true" applyAlignment="true" applyProtection="true">
      <alignment horizontal="center" vertical="center" textRotation="0" wrapText="false" indent="0" shrinkToFit="false"/>
      <protection locked="true" hidden="false"/>
    </xf>
    <xf numFmtId="164" fontId="160" fillId="6" borderId="191" xfId="0" applyFont="true" applyBorder="true" applyAlignment="true" applyProtection="true">
      <alignment horizontal="center" vertical="center" textRotation="0" wrapText="false" indent="0" shrinkToFit="false"/>
      <protection locked="true" hidden="false"/>
    </xf>
    <xf numFmtId="164" fontId="160" fillId="6" borderId="192" xfId="0" applyFont="true" applyBorder="true" applyAlignment="true" applyProtection="true">
      <alignment horizontal="center" vertical="center" textRotation="0" wrapText="false" indent="0" shrinkToFit="false"/>
      <protection locked="true" hidden="false"/>
    </xf>
    <xf numFmtId="164" fontId="160" fillId="6" borderId="193" xfId="0" applyFont="true" applyBorder="true" applyAlignment="true" applyProtection="true">
      <alignment horizontal="center" vertical="center" textRotation="0" wrapText="false" indent="0" shrinkToFit="false"/>
      <protection locked="true" hidden="false"/>
    </xf>
    <xf numFmtId="164" fontId="160" fillId="6" borderId="194" xfId="0" applyFont="true" applyBorder="true" applyAlignment="true" applyProtection="true">
      <alignment horizontal="center" vertical="center" textRotation="0" wrapText="false" indent="0" shrinkToFit="false"/>
      <protection locked="true" hidden="false"/>
    </xf>
    <xf numFmtId="164" fontId="160" fillId="6" borderId="195" xfId="0" applyFont="true" applyBorder="true" applyAlignment="true" applyProtection="true">
      <alignment horizontal="center" vertical="center" textRotation="0" wrapText="false" indent="0" shrinkToFit="false"/>
      <protection locked="true" hidden="false"/>
    </xf>
    <xf numFmtId="164" fontId="160" fillId="6" borderId="86" xfId="0" applyFont="true" applyBorder="true" applyAlignment="true" applyProtection="true">
      <alignment horizontal="center" vertical="center" textRotation="0" wrapText="false" indent="0" shrinkToFit="false"/>
      <protection locked="true" hidden="false"/>
    </xf>
    <xf numFmtId="164" fontId="160" fillId="6" borderId="89" xfId="0" applyFont="true" applyBorder="true" applyAlignment="true" applyProtection="true">
      <alignment horizontal="center" vertical="center" textRotation="0" wrapText="false" indent="0" shrinkToFit="false"/>
      <protection locked="true" hidden="false"/>
    </xf>
    <xf numFmtId="164" fontId="160" fillId="6" borderId="196" xfId="0" applyFont="true" applyBorder="true" applyAlignment="true" applyProtection="true">
      <alignment horizontal="center" vertical="center" textRotation="0" wrapText="false" indent="0" shrinkToFit="false"/>
      <protection locked="true" hidden="false"/>
    </xf>
    <xf numFmtId="164" fontId="160" fillId="6" borderId="197" xfId="0" applyFont="true" applyBorder="true" applyAlignment="true" applyProtection="true">
      <alignment horizontal="center" vertical="center" textRotation="0" wrapText="false" indent="0" shrinkToFit="false"/>
      <protection locked="true" hidden="false"/>
    </xf>
    <xf numFmtId="164" fontId="160" fillId="6" borderId="88" xfId="0" applyFont="true" applyBorder="true" applyAlignment="true" applyProtection="true">
      <alignment horizontal="center" vertical="center" textRotation="0" wrapText="false" indent="0" shrinkToFit="false"/>
      <protection locked="true" hidden="false"/>
    </xf>
    <xf numFmtId="164" fontId="160" fillId="6" borderId="85" xfId="0" applyFont="true" applyBorder="true" applyAlignment="true" applyProtection="true">
      <alignment horizontal="center" vertical="center" textRotation="0" wrapText="false" indent="0" shrinkToFit="false"/>
      <protection locked="true" hidden="false"/>
    </xf>
    <xf numFmtId="164" fontId="160" fillId="6" borderId="84" xfId="0" applyFont="true" applyBorder="true" applyAlignment="true" applyProtection="true">
      <alignment horizontal="center" vertical="center" textRotation="0" wrapText="false" indent="0" shrinkToFit="false"/>
      <protection locked="true" hidden="false"/>
    </xf>
    <xf numFmtId="164" fontId="160" fillId="6" borderId="198" xfId="0" applyFont="true" applyBorder="true" applyAlignment="true" applyProtection="true">
      <alignment horizontal="center" vertical="center" textRotation="0" wrapText="false" indent="0" shrinkToFit="false"/>
      <protection locked="true" hidden="false"/>
    </xf>
    <xf numFmtId="164" fontId="160" fillId="6" borderId="83" xfId="0" applyFont="true" applyBorder="true" applyAlignment="true" applyProtection="true">
      <alignment horizontal="center" vertical="center" textRotation="0" wrapText="false" indent="0" shrinkToFit="false"/>
      <protection locked="true" hidden="false"/>
    </xf>
    <xf numFmtId="164" fontId="160" fillId="6" borderId="199" xfId="0" applyFont="true" applyBorder="true" applyAlignment="true" applyProtection="true">
      <alignment horizontal="center" vertical="center" textRotation="0" wrapText="false" indent="0" shrinkToFit="false"/>
      <protection locked="true" hidden="false"/>
    </xf>
    <xf numFmtId="164" fontId="160" fillId="6" borderId="200" xfId="0" applyFont="true" applyBorder="true" applyAlignment="true" applyProtection="true">
      <alignment horizontal="center" vertical="center" textRotation="0" wrapText="false" indent="0" shrinkToFit="false"/>
      <protection locked="true" hidden="false"/>
    </xf>
    <xf numFmtId="164" fontId="160" fillId="6" borderId="201" xfId="0" applyFont="true" applyBorder="true" applyAlignment="true" applyProtection="true">
      <alignment horizontal="center" vertical="center" textRotation="0" wrapText="false" indent="0" shrinkToFit="false"/>
      <protection locked="true" hidden="false"/>
    </xf>
    <xf numFmtId="164" fontId="160" fillId="6" borderId="202" xfId="0" applyFont="true" applyBorder="true" applyAlignment="true" applyProtection="true">
      <alignment horizontal="center" vertical="center" textRotation="0" wrapText="false" indent="0" shrinkToFit="false"/>
      <protection locked="true" hidden="false"/>
    </xf>
    <xf numFmtId="164" fontId="160" fillId="6" borderId="203" xfId="0" applyFont="true" applyBorder="true" applyAlignment="true" applyProtection="true">
      <alignment horizontal="center" vertical="center" textRotation="0" wrapText="false" indent="0" shrinkToFit="false"/>
      <protection locked="true" hidden="false"/>
    </xf>
    <xf numFmtId="164" fontId="161" fillId="0" borderId="89" xfId="0" applyFont="true" applyBorder="true" applyAlignment="true" applyProtection="true">
      <alignment horizontal="center" vertical="bottom" textRotation="0" wrapText="false" indent="0" shrinkToFit="false"/>
      <protection locked="true" hidden="false"/>
    </xf>
    <xf numFmtId="164" fontId="162" fillId="0" borderId="88" xfId="0" applyFont="true" applyBorder="true" applyAlignment="true" applyProtection="true">
      <alignment horizontal="center" vertical="bottom" textRotation="0" wrapText="false" indent="0" shrinkToFit="false"/>
      <protection locked="true" hidden="false"/>
    </xf>
    <xf numFmtId="164" fontId="0" fillId="0" borderId="85" xfId="0" applyFont="false" applyBorder="true" applyAlignment="true" applyProtection="true">
      <alignment horizontal="general" vertical="bottom" textRotation="0" wrapText="false" indent="0" shrinkToFit="false"/>
      <protection locked="true" hidden="false"/>
    </xf>
    <xf numFmtId="164" fontId="163" fillId="0" borderId="9" xfId="0" applyFont="true" applyBorder="true" applyAlignment="true" applyProtection="true">
      <alignment horizontal="center" vertical="center" textRotation="90" wrapText="false" indent="0" shrinkToFit="false"/>
      <protection locked="true" hidden="false"/>
    </xf>
    <xf numFmtId="164" fontId="164" fillId="0" borderId="83" xfId="0" applyFont="true" applyBorder="true" applyAlignment="true" applyProtection="true">
      <alignment horizontal="center" vertical="center" textRotation="88" wrapText="false" indent="0" shrinkToFit="false"/>
      <protection locked="true" hidden="false"/>
    </xf>
    <xf numFmtId="164" fontId="157" fillId="6" borderId="192" xfId="0" applyFont="true" applyBorder="true" applyAlignment="true" applyProtection="true">
      <alignment horizontal="center" vertical="center" textRotation="0" wrapText="true" indent="0" shrinkToFit="false"/>
      <protection locked="true" hidden="false"/>
    </xf>
    <xf numFmtId="164" fontId="158" fillId="0" borderId="0" xfId="0" applyFont="true" applyBorder="false" applyAlignment="true" applyProtection="true">
      <alignment horizontal="center" vertical="bottom" textRotation="0" wrapText="false" indent="0" shrinkToFit="false"/>
      <protection locked="true" hidden="false"/>
    </xf>
    <xf numFmtId="164" fontId="161" fillId="0" borderId="9" xfId="0" applyFont="true" applyBorder="true" applyAlignment="true" applyProtection="true">
      <alignment horizontal="center" vertical="center" textRotation="90" wrapText="false" indent="0" shrinkToFit="false"/>
      <protection locked="true" hidden="false"/>
    </xf>
    <xf numFmtId="164" fontId="161" fillId="0" borderId="83" xfId="0" applyFont="true" applyBorder="true" applyAlignment="true" applyProtection="true">
      <alignment horizontal="center" vertical="center" textRotation="88" wrapText="false" indent="0" shrinkToFit="false"/>
      <protection locked="true" hidden="false"/>
    </xf>
    <xf numFmtId="164" fontId="0" fillId="0" borderId="9" xfId="0" applyFont="false" applyBorder="true" applyAlignment="true" applyProtection="true">
      <alignment horizontal="center" vertical="center" textRotation="0" wrapText="false" indent="0" shrinkToFit="false"/>
      <protection locked="true" hidden="false"/>
    </xf>
    <xf numFmtId="164" fontId="0" fillId="0" borderId="83" xfId="0" applyFont="false" applyBorder="true" applyAlignment="true" applyProtection="true">
      <alignment horizontal="center" vertical="center" textRotation="0" wrapText="false" indent="0" shrinkToFit="false"/>
      <protection locked="true" hidden="false"/>
    </xf>
    <xf numFmtId="164" fontId="165" fillId="6" borderId="192" xfId="0" applyFont="true" applyBorder="true" applyAlignment="true" applyProtection="true">
      <alignment horizontal="center" vertical="center" textRotation="0" wrapText="false" indent="0" shrinkToFit="false"/>
      <protection locked="true" hidden="false"/>
    </xf>
    <xf numFmtId="164" fontId="29" fillId="0" borderId="87" xfId="0" applyFont="true" applyBorder="true" applyAlignment="true" applyProtection="true">
      <alignment horizontal="general" vertical="bottom" textRotation="0" wrapText="false" indent="0" shrinkToFit="false"/>
      <protection locked="true" hidden="false"/>
    </xf>
    <xf numFmtId="164" fontId="166" fillId="0" borderId="84" xfId="0" applyFont="true" applyBorder="true" applyAlignment="true" applyProtection="true">
      <alignment horizontal="center" vertical="bottom" textRotation="0" wrapText="true" indent="0" shrinkToFit="false"/>
      <protection locked="true" hidden="false"/>
    </xf>
    <xf numFmtId="164" fontId="166" fillId="0" borderId="9" xfId="0" applyFont="true" applyBorder="true" applyAlignment="true" applyProtection="true">
      <alignment horizontal="general" vertical="bottom" textRotation="0" wrapText="true" indent="0" shrinkToFit="false"/>
      <protection locked="true" hidden="false"/>
    </xf>
    <xf numFmtId="164" fontId="166" fillId="0" borderId="0" xfId="0" applyFont="true" applyBorder="true" applyAlignment="true" applyProtection="true">
      <alignment horizontal="center" vertical="bottom" textRotation="0" wrapText="true" indent="0" shrinkToFit="false"/>
      <protection locked="true" hidden="false"/>
    </xf>
    <xf numFmtId="164" fontId="166" fillId="0" borderId="83" xfId="0" applyFont="true" applyBorder="true" applyAlignment="true" applyProtection="true">
      <alignment horizontal="general" vertical="bottom" textRotation="0" wrapText="true" indent="0" shrinkToFit="false"/>
      <protection locked="true" hidden="false"/>
    </xf>
    <xf numFmtId="164" fontId="166" fillId="0" borderId="9" xfId="0" applyFont="true" applyBorder="true" applyAlignment="true" applyProtection="true">
      <alignment horizontal="right" vertical="center" textRotation="90" wrapText="true" indent="0" shrinkToFit="false"/>
      <protection locked="true" hidden="false"/>
    </xf>
    <xf numFmtId="164" fontId="167" fillId="6" borderId="204" xfId="0" applyFont="true" applyBorder="true" applyAlignment="true" applyProtection="true">
      <alignment horizontal="center" vertical="center" textRotation="0" wrapText="true" indent="0" shrinkToFit="false"/>
      <protection locked="true" hidden="false"/>
    </xf>
    <xf numFmtId="164" fontId="166" fillId="0" borderId="205" xfId="0" applyFont="true" applyBorder="true" applyAlignment="true" applyProtection="true">
      <alignment horizontal="center" vertical="center" textRotation="88" wrapText="true" indent="0" shrinkToFit="false"/>
      <protection locked="true" hidden="false"/>
    </xf>
    <xf numFmtId="164" fontId="166" fillId="0" borderId="86" xfId="0" applyFont="true" applyBorder="true" applyAlignment="true" applyProtection="true">
      <alignment horizontal="general" vertical="bottom" textRotation="0" wrapText="true" indent="0" shrinkToFit="false"/>
      <protection locked="true" hidden="false"/>
    </xf>
    <xf numFmtId="164" fontId="166" fillId="0" borderId="89" xfId="0" applyFont="true" applyBorder="true" applyAlignment="true" applyProtection="true">
      <alignment horizontal="center" vertical="bottom" textRotation="0" wrapText="true" indent="0" shrinkToFit="false"/>
      <protection locked="true" hidden="false"/>
    </xf>
    <xf numFmtId="164" fontId="166" fillId="0" borderId="87" xfId="0" applyFont="true" applyBorder="true" applyAlignment="true" applyProtection="true">
      <alignment horizontal="general" vertical="bottom" textRotation="0" wrapText="true" indent="0" shrinkToFit="false"/>
      <protection locked="true" hidden="false"/>
    </xf>
    <xf numFmtId="164" fontId="0" fillId="52" borderId="0" xfId="0" applyFont="true" applyBorder="false" applyAlignment="true" applyProtection="true">
      <alignment horizontal="center" vertical="center" textRotation="0" wrapText="true" indent="0" shrinkToFit="false"/>
      <protection locked="true" hidden="false"/>
    </xf>
    <xf numFmtId="164" fontId="0" fillId="42" borderId="0" xfId="0" applyFont="true" applyBorder="false" applyAlignment="true" applyProtection="true">
      <alignment horizontal="left" vertical="center" textRotation="0" wrapText="true" indent="0" shrinkToFit="false"/>
      <protection locked="true" hidden="false"/>
    </xf>
    <xf numFmtId="164" fontId="158" fillId="0" borderId="0" xfId="0" applyFont="true" applyBorder="false" applyAlignment="true" applyProtection="true">
      <alignment horizontal="center" vertical="center" textRotation="0" wrapText="false" indent="0" shrinkToFit="false"/>
      <protection locked="true" hidden="false"/>
    </xf>
    <xf numFmtId="164" fontId="0" fillId="2" borderId="0" xfId="0" applyFont="false" applyBorder="false" applyAlignment="true" applyProtection="true">
      <alignment horizontal="center" vertical="center" textRotation="0" wrapText="false" indent="0" shrinkToFit="false"/>
      <protection locked="true" hidden="false"/>
    </xf>
    <xf numFmtId="164" fontId="0" fillId="33" borderId="0" xfId="0" applyFont="false" applyBorder="false" applyAlignment="true" applyProtection="true">
      <alignment horizontal="center" vertical="center" textRotation="0" wrapText="false" indent="0" shrinkToFit="false"/>
      <protection locked="true" hidden="false"/>
    </xf>
    <xf numFmtId="164" fontId="110" fillId="0" borderId="57" xfId="0" applyFont="true" applyBorder="true" applyAlignment="true" applyProtection="true">
      <alignment horizontal="justify" vertical="top" textRotation="0" wrapText="true" indent="0" shrinkToFit="false"/>
      <protection locked="true" hidden="false"/>
    </xf>
    <xf numFmtId="164" fontId="168" fillId="0" borderId="206" xfId="0" applyFont="true" applyBorder="true" applyAlignment="true" applyProtection="true">
      <alignment horizontal="justify" vertical="top" textRotation="0" wrapText="true" indent="0" shrinkToFit="false"/>
      <protection locked="true" hidden="false"/>
    </xf>
    <xf numFmtId="164" fontId="153" fillId="0" borderId="0" xfId="0" applyFont="true" applyBorder="false" applyAlignment="true" applyProtection="true">
      <alignment horizontal="center" vertical="center" textRotation="0" wrapText="false" indent="0" shrinkToFit="false"/>
      <protection locked="true" hidden="false"/>
    </xf>
    <xf numFmtId="164" fontId="110" fillId="0" borderId="53" xfId="0" applyFont="true" applyBorder="true" applyAlignment="true" applyProtection="true">
      <alignment horizontal="justify" vertical="top" textRotation="0" wrapText="true" indent="0" shrinkToFit="false"/>
      <protection locked="true" hidden="false"/>
    </xf>
    <xf numFmtId="164" fontId="168" fillId="0" borderId="56" xfId="0" applyFont="true" applyBorder="true" applyAlignment="true" applyProtection="true">
      <alignment horizontal="justify" vertical="top" textRotation="0" wrapText="true" indent="0" shrinkToFit="false"/>
      <protection locked="true" hidden="false"/>
    </xf>
    <xf numFmtId="164" fontId="0" fillId="6" borderId="0" xfId="0" applyFont="false" applyBorder="false" applyAlignment="true" applyProtection="true">
      <alignment horizontal="center" vertical="center" textRotation="0" wrapText="false" indent="0" shrinkToFit="false"/>
      <protection locked="true" hidden="false"/>
    </xf>
    <xf numFmtId="164" fontId="0" fillId="6" borderId="0" xfId="0" applyFont="true" applyBorder="false" applyAlignment="true" applyProtection="true">
      <alignment horizontal="right" vertical="center" textRotation="0" wrapText="true" indent="0" shrinkToFit="false"/>
      <protection locked="true" hidden="false"/>
    </xf>
    <xf numFmtId="164" fontId="0" fillId="25" borderId="0" xfId="0" applyFont="true" applyBorder="false" applyAlignment="true" applyProtection="true">
      <alignment horizontal="left" vertical="center" textRotation="0" wrapText="true" indent="0" shrinkToFit="false"/>
      <protection locked="true" hidden="false"/>
    </xf>
    <xf numFmtId="164" fontId="0" fillId="12" borderId="0" xfId="0" applyFont="false" applyBorder="false" applyAlignment="true" applyProtection="true">
      <alignment horizontal="center" vertical="center" textRotation="0" wrapText="false" indent="0" shrinkToFit="false"/>
      <protection locked="true" hidden="false"/>
    </xf>
    <xf numFmtId="164" fontId="0" fillId="12" borderId="0" xfId="0" applyFont="true" applyBorder="false" applyAlignment="true" applyProtection="true">
      <alignment horizontal="center" vertical="center" textRotation="0" wrapText="true" indent="0" shrinkToFit="false"/>
      <protection locked="true" hidden="false"/>
    </xf>
    <xf numFmtId="164" fontId="0" fillId="6" borderId="0" xfId="0" applyFont="true" applyBorder="false" applyAlignment="true" applyProtection="true">
      <alignment horizontal="center" vertical="center" textRotation="0" wrapText="true" indent="0" shrinkToFit="false"/>
      <protection locked="true" hidden="false"/>
    </xf>
    <xf numFmtId="164" fontId="0" fillId="52" borderId="0" xfId="0" applyFont="true" applyBorder="false" applyAlignment="true" applyProtection="true">
      <alignment horizontal="left" vertical="center" textRotation="0" wrapText="true" indent="0" shrinkToFit="false"/>
      <protection locked="true" hidden="false"/>
    </xf>
    <xf numFmtId="210" fontId="0" fillId="25" borderId="0" xfId="322" applyFont="true" applyBorder="false" applyAlignment="true" applyProtection="true">
      <alignment horizontal="general" vertical="bottom" textRotation="0" wrapText="false" indent="0" shrinkToFit="false"/>
      <protection locked="true" hidden="false"/>
    </xf>
    <xf numFmtId="174" fontId="0" fillId="0" borderId="0" xfId="322" applyFont="true" applyBorder="false" applyAlignment="true" applyProtection="true">
      <alignment horizontal="general" vertical="bottom" textRotation="0" wrapText="false" indent="0" shrinkToFit="false"/>
      <protection locked="true" hidden="false"/>
    </xf>
    <xf numFmtId="172" fontId="0" fillId="25" borderId="0" xfId="322" applyFont="true" applyBorder="false" applyAlignment="true" applyProtection="true">
      <alignment horizontal="general" vertical="bottom" textRotation="0" wrapText="false" indent="0" shrinkToFit="false"/>
      <protection locked="true" hidden="false"/>
    </xf>
    <xf numFmtId="164" fontId="0" fillId="25" borderId="0" xfId="322" applyFont="true" applyBorder="false" applyAlignment="true" applyProtection="true">
      <alignment horizontal="general" vertical="bottom" textRotation="0" wrapText="false" indent="0" shrinkToFit="false"/>
      <protection locked="true" hidden="false"/>
    </xf>
    <xf numFmtId="202" fontId="0" fillId="0" borderId="0" xfId="0" applyFont="false" applyBorder="false" applyAlignment="true" applyProtection="true">
      <alignment horizontal="general" vertical="bottom" textRotation="0" wrapText="false" indent="0" shrinkToFit="false"/>
      <protection locked="true" hidden="false"/>
    </xf>
    <xf numFmtId="188" fontId="0" fillId="0" borderId="0" xfId="322" applyFont="true" applyBorder="false" applyAlignment="true" applyProtection="true">
      <alignment horizontal="general" vertical="bottom" textRotation="0" wrapText="false" indent="0" shrinkToFit="false"/>
      <protection locked="true" hidden="false"/>
    </xf>
    <xf numFmtId="202" fontId="17" fillId="0" borderId="0" xfId="322" applyFont="true" applyBorder="false" applyAlignment="true" applyProtection="true">
      <alignment horizontal="general" vertical="bottom" textRotation="0" wrapText="false" indent="0" shrinkToFit="false"/>
      <protection locked="true" hidden="false"/>
    </xf>
    <xf numFmtId="186" fontId="0" fillId="0" borderId="0" xfId="322" applyFont="true" applyBorder="false" applyAlignment="true" applyProtection="true">
      <alignment horizontal="general" vertical="bottom" textRotation="0" wrapText="false" indent="0" shrinkToFit="false"/>
      <protection locked="true" hidden="false"/>
    </xf>
    <xf numFmtId="188" fontId="19" fillId="0" borderId="0" xfId="322" applyFont="true" applyBorder="false" applyAlignment="true" applyProtection="true">
      <alignment horizontal="general" vertical="bottom" textRotation="0" wrapText="false" indent="0" shrinkToFit="false"/>
      <protection locked="true" hidden="false"/>
    </xf>
    <xf numFmtId="164" fontId="0" fillId="0" borderId="0" xfId="322" applyFont="true" applyBorder="false" applyAlignment="true" applyProtection="true">
      <alignment horizontal="left" vertical="top" textRotation="0" wrapText="false" indent="0" shrinkToFit="false"/>
      <protection locked="true" hidden="false"/>
    </xf>
    <xf numFmtId="202" fontId="0" fillId="0" borderId="0" xfId="322" applyFont="true" applyBorder="false" applyAlignment="true" applyProtection="true">
      <alignment horizontal="general" vertical="bottom" textRotation="0" wrapText="false" indent="0" shrinkToFit="false"/>
      <protection locked="true" hidden="false"/>
    </xf>
    <xf numFmtId="164" fontId="162" fillId="0" borderId="0" xfId="0" applyFont="true" applyBorder="false" applyAlignment="true" applyProtection="true">
      <alignment horizontal="center" vertical="center" textRotation="0" wrapText="false" indent="0" shrinkToFit="false"/>
      <protection locked="true" hidden="false"/>
    </xf>
    <xf numFmtId="164" fontId="35" fillId="0" borderId="0" xfId="0" applyFont="true" applyBorder="false" applyAlignment="true" applyProtection="true">
      <alignment horizontal="center" vertical="bottom" textRotation="0" wrapText="false" indent="0" shrinkToFit="false"/>
      <protection locked="true" hidden="false"/>
    </xf>
    <xf numFmtId="164" fontId="162" fillId="0" borderId="47" xfId="0" applyFont="true" applyBorder="true" applyAlignment="true" applyProtection="true">
      <alignment horizontal="center" vertical="center" textRotation="0" wrapText="false" indent="0" shrinkToFit="false"/>
      <protection locked="true" hidden="false"/>
    </xf>
    <xf numFmtId="164" fontId="78" fillId="0" borderId="48" xfId="0" applyFont="true" applyBorder="true" applyAlignment="true" applyProtection="true">
      <alignment horizontal="center" vertical="bottom" textRotation="0" wrapText="false" indent="0" shrinkToFit="false"/>
      <protection locked="true" hidden="false"/>
    </xf>
    <xf numFmtId="164" fontId="78" fillId="0" borderId="46" xfId="0" applyFont="true" applyBorder="true" applyAlignment="true" applyProtection="true">
      <alignment horizontal="center" vertical="center" textRotation="0" wrapText="false" indent="0" shrinkToFit="false"/>
      <protection locked="true" hidden="false"/>
    </xf>
    <xf numFmtId="164" fontId="162" fillId="0" borderId="51" xfId="0" applyFont="true" applyBorder="true" applyAlignment="true" applyProtection="true">
      <alignment horizontal="general" vertical="center" textRotation="0" wrapText="true" indent="0" shrinkToFit="false"/>
      <protection locked="true" hidden="false"/>
    </xf>
    <xf numFmtId="164" fontId="7" fillId="14" borderId="0" xfId="0" applyFont="true" applyBorder="false" applyAlignment="true" applyProtection="true">
      <alignment horizontal="general" vertical="center" textRotation="0" wrapText="false" indent="0" shrinkToFit="false"/>
      <protection locked="true" hidden="false"/>
    </xf>
    <xf numFmtId="164" fontId="169" fillId="14" borderId="207" xfId="0" applyFont="true" applyBorder="true" applyAlignment="true" applyProtection="true">
      <alignment horizontal="center" vertical="bottom" textRotation="90" wrapText="false" indent="0" shrinkToFit="false"/>
      <protection locked="true" hidden="false"/>
    </xf>
    <xf numFmtId="164" fontId="169" fillId="14" borderId="160" xfId="0" applyFont="true" applyBorder="true" applyAlignment="true" applyProtection="true">
      <alignment horizontal="center" vertical="bottom" textRotation="90" wrapText="false" indent="0" shrinkToFit="false"/>
      <protection locked="true" hidden="false"/>
    </xf>
    <xf numFmtId="164" fontId="169" fillId="14" borderId="52" xfId="0" applyFont="true" applyBorder="true" applyAlignment="true" applyProtection="true">
      <alignment horizontal="center" vertical="bottom" textRotation="90" wrapText="false" indent="0" shrinkToFit="false"/>
      <protection locked="true" hidden="false"/>
    </xf>
    <xf numFmtId="164" fontId="162" fillId="0" borderId="208" xfId="0" applyFont="true" applyBorder="true" applyAlignment="true" applyProtection="true">
      <alignment horizontal="center" vertical="center" textRotation="0" wrapText="true" indent="0" shrinkToFit="false"/>
      <protection locked="true" hidden="false"/>
    </xf>
    <xf numFmtId="164" fontId="0" fillId="8" borderId="209" xfId="0" applyFont="true" applyBorder="true" applyAlignment="true" applyProtection="true">
      <alignment horizontal="center" vertical="bottom" textRotation="0" wrapText="false" indent="0" shrinkToFit="false"/>
      <protection locked="true" hidden="false"/>
    </xf>
    <xf numFmtId="164" fontId="0" fillId="8" borderId="210" xfId="0" applyFont="false" applyBorder="true" applyAlignment="true" applyProtection="true">
      <alignment horizontal="center" vertical="center" textRotation="0" wrapText="false" indent="0" shrinkToFit="false"/>
      <protection locked="true" hidden="false"/>
    </xf>
    <xf numFmtId="164" fontId="0" fillId="8" borderId="211" xfId="0" applyFont="false" applyBorder="true" applyAlignment="true" applyProtection="true">
      <alignment horizontal="center" vertical="center" textRotation="0" wrapText="false" indent="0" shrinkToFit="false"/>
      <protection locked="true" hidden="false"/>
    </xf>
    <xf numFmtId="164" fontId="0" fillId="8" borderId="212" xfId="0" applyFont="false" applyBorder="true" applyAlignment="true" applyProtection="true">
      <alignment horizontal="center" vertical="center" textRotation="0" wrapText="false" indent="0" shrinkToFit="false"/>
      <protection locked="true" hidden="false"/>
    </xf>
    <xf numFmtId="164" fontId="171" fillId="8" borderId="210" xfId="0" applyFont="true" applyBorder="true" applyAlignment="true" applyProtection="true">
      <alignment horizontal="center" vertical="center" textRotation="0" wrapText="false" indent="0" shrinkToFit="false"/>
      <protection locked="true" hidden="false"/>
    </xf>
    <xf numFmtId="164" fontId="172" fillId="8" borderId="212" xfId="0" applyFont="true" applyBorder="true" applyAlignment="true" applyProtection="true">
      <alignment horizontal="center" vertical="center" textRotation="0" wrapText="false" indent="0" shrinkToFit="false"/>
      <protection locked="true" hidden="false"/>
    </xf>
    <xf numFmtId="164" fontId="0" fillId="6" borderId="159" xfId="0" applyFont="true" applyBorder="true" applyAlignment="true" applyProtection="true">
      <alignment horizontal="center" vertical="bottom" textRotation="0" wrapText="false" indent="0" shrinkToFit="false"/>
      <protection locked="true" hidden="false"/>
    </xf>
    <xf numFmtId="164" fontId="0" fillId="6" borderId="213" xfId="0" applyFont="false" applyBorder="true" applyAlignment="true" applyProtection="true">
      <alignment horizontal="center" vertical="center" textRotation="0" wrapText="false" indent="0" shrinkToFit="false"/>
      <protection locked="true" hidden="false"/>
    </xf>
    <xf numFmtId="164" fontId="173" fillId="6" borderId="158" xfId="0" applyFont="true" applyBorder="true" applyAlignment="true" applyProtection="true">
      <alignment horizontal="center" vertical="center" textRotation="0" wrapText="false" indent="0" shrinkToFit="false"/>
      <protection locked="true" hidden="false"/>
    </xf>
    <xf numFmtId="164" fontId="0" fillId="6" borderId="214" xfId="0" applyFont="false" applyBorder="true" applyAlignment="true" applyProtection="true">
      <alignment horizontal="center" vertical="center" textRotation="0" wrapText="false" indent="0" shrinkToFit="false"/>
      <protection locked="true" hidden="false"/>
    </xf>
    <xf numFmtId="164" fontId="0" fillId="6" borderId="158" xfId="0" applyFont="false" applyBorder="true" applyAlignment="true" applyProtection="true">
      <alignment horizontal="center" vertical="center" textRotation="0" wrapText="false" indent="0" shrinkToFit="false"/>
      <protection locked="true" hidden="false"/>
    </xf>
    <xf numFmtId="164" fontId="171" fillId="6" borderId="213" xfId="0" applyFont="true" applyBorder="true" applyAlignment="true" applyProtection="true">
      <alignment horizontal="center" vertical="center" textRotation="0" wrapText="false" indent="0" shrinkToFit="false"/>
      <protection locked="true" hidden="false"/>
    </xf>
    <xf numFmtId="164" fontId="172" fillId="6" borderId="158" xfId="0" applyFont="true" applyBorder="true" applyAlignment="true" applyProtection="true">
      <alignment horizontal="center" vertical="center" textRotation="0" wrapText="false" indent="0" shrinkToFit="false"/>
      <protection locked="true" hidden="false"/>
    </xf>
    <xf numFmtId="164" fontId="0" fillId="8" borderId="55" xfId="0" applyFont="true" applyBorder="true" applyAlignment="true" applyProtection="true">
      <alignment horizontal="center" vertical="bottom" textRotation="0" wrapText="false" indent="0" shrinkToFit="false"/>
      <protection locked="true" hidden="false"/>
    </xf>
    <xf numFmtId="164" fontId="0" fillId="8" borderId="215" xfId="0" applyFont="false" applyBorder="true" applyAlignment="true" applyProtection="true">
      <alignment horizontal="center" vertical="center" textRotation="0" wrapText="false" indent="0" shrinkToFit="false"/>
      <protection locked="true" hidden="false"/>
    </xf>
    <xf numFmtId="164" fontId="0" fillId="8" borderId="216" xfId="0" applyFont="false" applyBorder="true" applyAlignment="true" applyProtection="true">
      <alignment horizontal="center" vertical="center" textRotation="0" wrapText="false" indent="0" shrinkToFit="false"/>
      <protection locked="true" hidden="false"/>
    </xf>
    <xf numFmtId="164" fontId="0" fillId="8" borderId="56" xfId="0" applyFont="false" applyBorder="true" applyAlignment="true" applyProtection="true">
      <alignment horizontal="center" vertical="center" textRotation="0" wrapText="false" indent="0" shrinkToFit="false"/>
      <protection locked="true" hidden="false"/>
    </xf>
    <xf numFmtId="164" fontId="171" fillId="8" borderId="215" xfId="0" applyFont="true" applyBorder="true" applyAlignment="true" applyProtection="true">
      <alignment horizontal="center" vertical="center" textRotation="0" wrapText="false" indent="0" shrinkToFit="false"/>
      <protection locked="true" hidden="false"/>
    </xf>
    <xf numFmtId="164" fontId="172" fillId="8" borderId="215" xfId="0" applyFont="true" applyBorder="true" applyAlignment="true" applyProtection="true">
      <alignment horizontal="center" vertical="center" textRotation="0" wrapText="false" indent="0" shrinkToFit="false"/>
      <protection locked="true" hidden="false"/>
    </xf>
    <xf numFmtId="164" fontId="0" fillId="6" borderId="209" xfId="0" applyFont="true" applyBorder="true" applyAlignment="true" applyProtection="true">
      <alignment horizontal="center" vertical="bottom" textRotation="0" wrapText="false" indent="0" shrinkToFit="false"/>
      <protection locked="true" hidden="false"/>
    </xf>
    <xf numFmtId="164" fontId="0" fillId="6" borderId="210" xfId="0" applyFont="false" applyBorder="true" applyAlignment="true" applyProtection="true">
      <alignment horizontal="center" vertical="center" textRotation="0" wrapText="false" indent="0" shrinkToFit="false"/>
      <protection locked="true" hidden="false"/>
    </xf>
    <xf numFmtId="164" fontId="0" fillId="6" borderId="211" xfId="0" applyFont="false" applyBorder="true" applyAlignment="true" applyProtection="true">
      <alignment horizontal="center" vertical="center" textRotation="0" wrapText="false" indent="0" shrinkToFit="false"/>
      <protection locked="true" hidden="false"/>
    </xf>
    <xf numFmtId="164" fontId="0" fillId="6" borderId="212" xfId="0" applyFont="false" applyBorder="true" applyAlignment="true" applyProtection="true">
      <alignment horizontal="center" vertical="center" textRotation="0" wrapText="false" indent="0" shrinkToFit="false"/>
      <protection locked="true" hidden="false"/>
    </xf>
    <xf numFmtId="164" fontId="171" fillId="6" borderId="211" xfId="0" applyFont="true" applyBorder="true" applyAlignment="true" applyProtection="true">
      <alignment horizontal="center" vertical="center" textRotation="0" wrapText="false" indent="0" shrinkToFit="false"/>
      <protection locked="true" hidden="false"/>
    </xf>
    <xf numFmtId="164" fontId="172" fillId="6" borderId="212" xfId="0" applyFont="true" applyBorder="true" applyAlignment="true" applyProtection="true">
      <alignment horizontal="center" vertical="center" textRotation="0" wrapText="false" indent="0" shrinkToFit="false"/>
      <protection locked="true" hidden="false"/>
    </xf>
    <xf numFmtId="164" fontId="0" fillId="8" borderId="159" xfId="0" applyFont="true" applyBorder="true" applyAlignment="true" applyProtection="true">
      <alignment horizontal="center" vertical="bottom" textRotation="0" wrapText="false" indent="0" shrinkToFit="false"/>
      <protection locked="true" hidden="false"/>
    </xf>
    <xf numFmtId="164" fontId="0" fillId="8" borderId="213" xfId="0" applyFont="false" applyBorder="true" applyAlignment="true" applyProtection="true">
      <alignment horizontal="center" vertical="center" textRotation="0" wrapText="false" indent="0" shrinkToFit="false"/>
      <protection locked="true" hidden="false"/>
    </xf>
    <xf numFmtId="164" fontId="0" fillId="8" borderId="158" xfId="0" applyFont="false" applyBorder="true" applyAlignment="true" applyProtection="true">
      <alignment horizontal="center" vertical="center" textRotation="0" wrapText="false" indent="0" shrinkToFit="false"/>
      <protection locked="true" hidden="false"/>
    </xf>
    <xf numFmtId="164" fontId="0" fillId="8" borderId="214" xfId="0" applyFont="false" applyBorder="true" applyAlignment="true" applyProtection="true">
      <alignment horizontal="center" vertical="center" textRotation="0" wrapText="false" indent="0" shrinkToFit="false"/>
      <protection locked="true" hidden="false"/>
    </xf>
    <xf numFmtId="164" fontId="171" fillId="8" borderId="158" xfId="0" applyFont="true" applyBorder="true" applyAlignment="true" applyProtection="true">
      <alignment horizontal="center" vertical="center" textRotation="0" wrapText="false" indent="0" shrinkToFit="false"/>
      <protection locked="true" hidden="false"/>
    </xf>
    <xf numFmtId="164" fontId="172" fillId="8" borderId="158" xfId="0" applyFont="true" applyBorder="true" applyAlignment="true" applyProtection="true">
      <alignment horizontal="center" vertical="center" textRotation="0" wrapText="false" indent="0" shrinkToFit="false"/>
      <protection locked="true" hidden="false"/>
    </xf>
    <xf numFmtId="164" fontId="0" fillId="6" borderId="55" xfId="0" applyFont="true" applyBorder="true" applyAlignment="true" applyProtection="true">
      <alignment horizontal="center" vertical="bottom" textRotation="0" wrapText="false" indent="0" shrinkToFit="false"/>
      <protection locked="true" hidden="false"/>
    </xf>
    <xf numFmtId="164" fontId="0" fillId="6" borderId="215" xfId="0" applyFont="false" applyBorder="true" applyAlignment="true" applyProtection="true">
      <alignment horizontal="center" vertical="center" textRotation="0" wrapText="false" indent="0" shrinkToFit="false"/>
      <protection locked="true" hidden="false"/>
    </xf>
    <xf numFmtId="164" fontId="0" fillId="6" borderId="216" xfId="0" applyFont="false" applyBorder="true" applyAlignment="true" applyProtection="true">
      <alignment horizontal="center" vertical="center" textRotation="0" wrapText="false" indent="0" shrinkToFit="false"/>
      <protection locked="true" hidden="false"/>
    </xf>
    <xf numFmtId="164" fontId="0" fillId="6" borderId="56" xfId="0" applyFont="false" applyBorder="true" applyAlignment="true" applyProtection="true">
      <alignment horizontal="center" vertical="center" textRotation="0" wrapText="false" indent="0" shrinkToFit="false"/>
      <protection locked="true" hidden="false"/>
    </xf>
    <xf numFmtId="164" fontId="172" fillId="6" borderId="56" xfId="0" applyFont="true" applyBorder="true" applyAlignment="true" applyProtection="true">
      <alignment horizontal="center" vertical="center" textRotation="0" wrapText="false" indent="0" shrinkToFit="false"/>
      <protection locked="true" hidden="false"/>
    </xf>
    <xf numFmtId="164" fontId="172" fillId="6" borderId="215" xfId="0" applyFont="true" applyBorder="true" applyAlignment="true" applyProtection="true">
      <alignment horizontal="center" vertical="center" textRotation="0" wrapText="false" indent="0" shrinkToFit="false"/>
      <protection locked="true" hidden="false"/>
    </xf>
    <xf numFmtId="164" fontId="171" fillId="6" borderId="216" xfId="0" applyFont="true" applyBorder="true" applyAlignment="true" applyProtection="true">
      <alignment horizontal="center" vertical="center" textRotation="0" wrapText="false" indent="0" shrinkToFit="false"/>
      <protection locked="true" hidden="false"/>
    </xf>
    <xf numFmtId="164" fontId="172" fillId="8" borderId="210" xfId="0" applyFont="true" applyBorder="true" applyAlignment="true" applyProtection="true">
      <alignment horizontal="center" vertical="center" textRotation="0" wrapText="false" indent="0" shrinkToFit="false"/>
      <protection locked="true" hidden="false"/>
    </xf>
    <xf numFmtId="164" fontId="171" fillId="8" borderId="211" xfId="0" applyFont="true" applyBorder="true" applyAlignment="true" applyProtection="true">
      <alignment horizontal="center" vertical="center" textRotation="0" wrapText="false" indent="0" shrinkToFit="false"/>
      <protection locked="true" hidden="false"/>
    </xf>
    <xf numFmtId="164" fontId="171" fillId="6" borderId="158" xfId="0" applyFont="true" applyBorder="true" applyAlignment="true" applyProtection="true">
      <alignment horizontal="center" vertical="center" textRotation="0" wrapText="false" indent="0" shrinkToFit="false"/>
      <protection locked="true" hidden="false"/>
    </xf>
    <xf numFmtId="164" fontId="171" fillId="8" borderId="216" xfId="0" applyFont="true" applyBorder="true" applyAlignment="true" applyProtection="true">
      <alignment horizontal="center" vertical="center" textRotation="0" wrapText="false" indent="0" shrinkToFit="false"/>
      <protection locked="true" hidden="false"/>
    </xf>
    <xf numFmtId="164" fontId="172" fillId="8" borderId="56" xfId="0" applyFont="true" applyBorder="true" applyAlignment="true" applyProtection="true">
      <alignment horizontal="center" vertical="center" textRotation="0" wrapText="false" indent="0" shrinkToFit="false"/>
      <protection locked="true" hidden="false"/>
    </xf>
    <xf numFmtId="164" fontId="172" fillId="6" borderId="210" xfId="0" applyFont="true" applyBorder="true" applyAlignment="true" applyProtection="true">
      <alignment horizontal="center" vertical="center" textRotation="0" wrapText="false" indent="0" shrinkToFit="false"/>
      <protection locked="true" hidden="false"/>
    </xf>
    <xf numFmtId="164" fontId="173" fillId="6" borderId="56" xfId="0" applyFont="true" applyBorder="true" applyAlignment="true" applyProtection="true">
      <alignment horizontal="center" vertical="center" textRotation="0" wrapText="false" indent="0" shrinkToFit="false"/>
      <protection locked="true" hidden="false"/>
    </xf>
    <xf numFmtId="164" fontId="171" fillId="8" borderId="217" xfId="0" applyFont="true" applyBorder="true" applyAlignment="true" applyProtection="true">
      <alignment horizontal="center" vertical="center" textRotation="0" wrapText="false" indent="0" shrinkToFit="false"/>
      <protection locked="true" hidden="false"/>
    </xf>
    <xf numFmtId="164" fontId="171" fillId="6" borderId="218" xfId="0" applyFont="true" applyBorder="true" applyAlignment="true" applyProtection="true">
      <alignment horizontal="center" vertical="center" textRotation="0" wrapText="false" indent="0" shrinkToFit="false"/>
      <protection locked="true" hidden="false"/>
    </xf>
    <xf numFmtId="164" fontId="171" fillId="8" borderId="219" xfId="0" applyFont="true" applyBorder="true" applyAlignment="true" applyProtection="true">
      <alignment horizontal="center" vertical="center" textRotation="0" wrapText="false" indent="0" shrinkToFit="false"/>
      <protection locked="true" hidden="false"/>
    </xf>
    <xf numFmtId="164" fontId="171" fillId="6" borderId="212" xfId="0" applyFont="true" applyBorder="true" applyAlignment="true" applyProtection="true">
      <alignment horizontal="center" vertical="center" textRotation="0" wrapText="false" indent="0" shrinkToFit="false"/>
      <protection locked="true" hidden="false"/>
    </xf>
    <xf numFmtId="164" fontId="171" fillId="8" borderId="214" xfId="0" applyFont="true" applyBorder="true" applyAlignment="true" applyProtection="true">
      <alignment horizontal="center" vertical="center" textRotation="0" wrapText="false" indent="0" shrinkToFit="false"/>
      <protection locked="true" hidden="false"/>
    </xf>
    <xf numFmtId="164" fontId="171" fillId="6" borderId="56" xfId="0" applyFont="true" applyBorder="true" applyAlignment="true" applyProtection="true">
      <alignment horizontal="center" vertical="center" textRotation="0" wrapText="false" indent="0" shrinkToFit="false"/>
      <protection locked="true" hidden="false"/>
    </xf>
    <xf numFmtId="164" fontId="173" fillId="8" borderId="210" xfId="0" applyFont="true" applyBorder="true" applyAlignment="true" applyProtection="true">
      <alignment horizontal="center" vertical="center" textRotation="0" wrapText="false" indent="0" shrinkToFit="false"/>
      <protection locked="true" hidden="false"/>
    </xf>
    <xf numFmtId="164" fontId="174" fillId="6" borderId="56" xfId="0" applyFont="true" applyBorder="true" applyAlignment="true" applyProtection="true">
      <alignment horizontal="center" vertical="center" textRotation="0" wrapText="false" indent="0" shrinkToFit="false"/>
      <protection locked="true" hidden="false"/>
    </xf>
    <xf numFmtId="164" fontId="174" fillId="6" borderId="215" xfId="0" applyFont="true" applyBorder="true" applyAlignment="true" applyProtection="true">
      <alignment horizontal="center" vertical="center" textRotation="0" wrapText="false" indent="0" shrinkToFit="false"/>
      <protection locked="true" hidden="false"/>
    </xf>
    <xf numFmtId="164" fontId="174" fillId="8" borderId="212" xfId="0" applyFont="true" applyBorder="true" applyAlignment="true" applyProtection="true">
      <alignment horizontal="center" vertical="center" textRotation="0" wrapText="false" indent="0" shrinkToFit="false"/>
      <protection locked="true" hidden="false"/>
    </xf>
    <xf numFmtId="164" fontId="174" fillId="8" borderId="210" xfId="0" applyFont="true" applyBorder="true" applyAlignment="true" applyProtection="true">
      <alignment horizontal="center" vertical="center" textRotation="0" wrapText="false" indent="0" shrinkToFit="false"/>
      <protection locked="true" hidden="false"/>
    </xf>
    <xf numFmtId="164" fontId="173" fillId="8" borderId="56" xfId="0" applyFont="true" applyBorder="true" applyAlignment="true" applyProtection="true">
      <alignment horizontal="center" vertical="center" textRotation="0" wrapText="false" indent="0" shrinkToFit="false"/>
      <protection locked="true" hidden="false"/>
    </xf>
    <xf numFmtId="164" fontId="173" fillId="8" borderId="215" xfId="0" applyFont="true" applyBorder="true" applyAlignment="true" applyProtection="true">
      <alignment horizontal="center" vertical="center" textRotation="0" wrapText="false" indent="0" shrinkToFit="false"/>
      <protection locked="true" hidden="false"/>
    </xf>
    <xf numFmtId="164" fontId="162" fillId="0" borderId="54" xfId="0" applyFont="true" applyBorder="true" applyAlignment="true" applyProtection="true">
      <alignment horizontal="center" vertical="center" textRotation="0" wrapText="true" indent="0" shrinkToFit="false"/>
      <protection locked="true" hidden="false"/>
    </xf>
    <xf numFmtId="164" fontId="171" fillId="6" borderId="214" xfId="0" applyFont="true" applyBorder="true" applyAlignment="true" applyProtection="true">
      <alignment horizontal="center" vertical="center" textRotation="0" wrapText="false" indent="0" shrinkToFit="false"/>
      <protection locked="true" hidden="false"/>
    </xf>
    <xf numFmtId="164" fontId="172" fillId="6" borderId="214" xfId="0" applyFont="true" applyBorder="true" applyAlignment="true" applyProtection="true">
      <alignment horizontal="center" vertical="center" textRotation="0" wrapText="false" indent="0" shrinkToFit="false"/>
      <protection locked="true" hidden="false"/>
    </xf>
    <xf numFmtId="164" fontId="173" fillId="6" borderId="214" xfId="0" applyFont="true" applyBorder="true" applyAlignment="true" applyProtection="true">
      <alignment horizontal="center" vertical="center" textRotation="0" wrapText="false" indent="0" shrinkToFit="false"/>
      <protection locked="true" hidden="false"/>
    </xf>
    <xf numFmtId="164" fontId="173" fillId="6" borderId="213" xfId="0" applyFont="true" applyBorder="true" applyAlignment="true" applyProtection="true">
      <alignment horizontal="center" vertical="center" textRotation="0" wrapText="false" indent="0" shrinkToFit="false"/>
      <protection locked="true" hidden="false"/>
    </xf>
    <xf numFmtId="164" fontId="169" fillId="14" borderId="207" xfId="0" applyFont="true" applyBorder="true" applyAlignment="true" applyProtection="true">
      <alignment horizontal="center" vertical="top" textRotation="90" wrapText="false" indent="0" shrinkToFit="false"/>
      <protection locked="true" hidden="false"/>
    </xf>
    <xf numFmtId="164" fontId="169" fillId="14" borderId="160" xfId="0" applyFont="true" applyBorder="true" applyAlignment="true" applyProtection="true">
      <alignment horizontal="center" vertical="top" textRotation="90" wrapText="false" indent="0" shrinkToFit="false"/>
      <protection locked="true" hidden="false"/>
    </xf>
    <xf numFmtId="164" fontId="169" fillId="14" borderId="52" xfId="0" applyFont="true" applyBorder="true" applyAlignment="true" applyProtection="true">
      <alignment horizontal="center" vertical="top" textRotation="90" wrapText="false" indent="0" shrinkToFit="false"/>
      <protection locked="true" hidden="false"/>
    </xf>
    <xf numFmtId="164" fontId="35" fillId="0" borderId="0" xfId="0" applyFont="true" applyBorder="false" applyAlignment="true" applyProtection="true">
      <alignment horizontal="center" vertical="bottom" textRotation="90" wrapText="false" indent="0" shrinkToFit="false"/>
      <protection locked="true" hidden="false"/>
    </xf>
    <xf numFmtId="164" fontId="162" fillId="0" borderId="47" xfId="0" applyFont="true" applyBorder="true" applyAlignment="true" applyProtection="true">
      <alignment horizontal="left" vertical="center" textRotation="0" wrapText="false" indent="0" shrinkToFit="false"/>
      <protection locked="true" hidden="false"/>
    </xf>
    <xf numFmtId="164" fontId="78" fillId="0" borderId="48" xfId="0" applyFont="true" applyBorder="true" applyAlignment="true" applyProtection="true">
      <alignment horizontal="left" vertical="bottom" textRotation="0" wrapText="false" indent="0" shrinkToFit="false"/>
      <protection locked="true" hidden="false"/>
    </xf>
    <xf numFmtId="164" fontId="78" fillId="0" borderId="46" xfId="0" applyFont="true" applyBorder="true" applyAlignment="true" applyProtection="true">
      <alignment horizontal="left" vertical="center" textRotation="0" wrapText="false" indent="0" shrinkToFit="false"/>
      <protection locked="true" hidden="false"/>
    </xf>
    <xf numFmtId="164" fontId="78" fillId="0" borderId="0" xfId="0" applyFont="true" applyBorder="false" applyAlignment="true" applyProtection="true">
      <alignment horizontal="left" vertical="bottom" textRotation="0" wrapText="false" indent="0" shrinkToFit="false"/>
      <protection locked="true" hidden="false"/>
    </xf>
    <xf numFmtId="164" fontId="162" fillId="0" borderId="0" xfId="0" applyFont="true" applyBorder="false" applyAlignment="true" applyProtection="true">
      <alignment horizontal="left" vertical="center" textRotation="0" wrapText="false" indent="0" shrinkToFit="false"/>
      <protection locked="true" hidden="false"/>
    </xf>
    <xf numFmtId="164" fontId="175" fillId="0" borderId="0" xfId="0" applyFont="true" applyBorder="false" applyAlignment="true" applyProtection="true">
      <alignment horizontal="left" vertical="top" textRotation="0" wrapText="false" indent="0" shrinkToFit="false"/>
      <protection locked="true" hidden="false"/>
    </xf>
    <xf numFmtId="164" fontId="176" fillId="0" borderId="0" xfId="0" applyFont="true" applyBorder="false" applyAlignment="true" applyProtection="true">
      <alignment horizontal="left" vertical="top" textRotation="0" wrapText="false" indent="0" shrinkToFit="false"/>
      <protection locked="true" hidden="false"/>
    </xf>
    <xf numFmtId="164" fontId="172" fillId="0"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left" vertical="bottom" textRotation="0" wrapText="false" indent="0" shrinkToFit="false"/>
      <protection locked="true" hidden="false"/>
    </xf>
    <xf numFmtId="164" fontId="177" fillId="0" borderId="0" xfId="0" applyFont="true" applyBorder="false" applyAlignment="true" applyProtection="true">
      <alignment horizontal="left" vertical="bottom" textRotation="0" wrapText="false" indent="0" shrinkToFit="false"/>
      <protection locked="true" hidden="false"/>
    </xf>
    <xf numFmtId="164" fontId="178" fillId="0" borderId="0" xfId="0" applyFont="true" applyBorder="false" applyAlignment="true" applyProtection="true">
      <alignment horizontal="left" vertical="center" textRotation="0" wrapText="false" indent="0" shrinkToFit="false"/>
      <protection locked="true" hidden="false"/>
    </xf>
    <xf numFmtId="164" fontId="179" fillId="31" borderId="12" xfId="0" applyFont="true" applyBorder="true" applyAlignment="true" applyProtection="true">
      <alignment horizontal="center" vertical="bottom" textRotation="0" wrapText="false" indent="0" shrinkToFit="false"/>
      <protection locked="true" hidden="false"/>
    </xf>
    <xf numFmtId="164" fontId="180" fillId="31" borderId="12" xfId="0" applyFont="true" applyBorder="true" applyAlignment="true" applyProtection="true">
      <alignment horizontal="center" vertical="bottom" textRotation="0" wrapText="false" indent="0" shrinkToFit="false"/>
      <protection locked="true" hidden="false"/>
    </xf>
    <xf numFmtId="164" fontId="181" fillId="0" borderId="0" xfId="0" applyFont="true" applyBorder="false" applyAlignment="true" applyProtection="true">
      <alignment horizontal="left" vertical="bottom" textRotation="0" wrapText="false" indent="0" shrinkToFit="false"/>
      <protection locked="true" hidden="false"/>
    </xf>
    <xf numFmtId="164" fontId="29" fillId="24" borderId="0" xfId="0" applyFont="true" applyBorder="true" applyAlignment="true" applyProtection="true">
      <alignment horizontal="center" vertical="bottom" textRotation="0" wrapText="false" indent="0" shrinkToFit="false"/>
      <protection locked="true" hidden="false"/>
    </xf>
    <xf numFmtId="164" fontId="181" fillId="24" borderId="12" xfId="0" applyFont="true" applyBorder="true" applyAlignment="true" applyProtection="true">
      <alignment horizontal="general" vertical="bottom" textRotation="0" wrapText="false" indent="0" shrinkToFit="false"/>
      <protection locked="true" hidden="false"/>
    </xf>
    <xf numFmtId="164" fontId="29" fillId="24" borderId="12" xfId="0" applyFont="true" applyBorder="true" applyAlignment="true" applyProtection="true">
      <alignment horizontal="general" vertical="bottom" textRotation="0" wrapText="false" indent="0" shrinkToFit="false"/>
      <protection locked="true" hidden="false"/>
    </xf>
    <xf numFmtId="171" fontId="180" fillId="0" borderId="12" xfId="0" applyFont="true" applyBorder="true" applyAlignment="true" applyProtection="true">
      <alignment horizontal="left" vertical="bottom" textRotation="0" wrapText="false" indent="0" shrinkToFit="false"/>
      <protection locked="true" hidden="false"/>
    </xf>
    <xf numFmtId="171" fontId="29" fillId="24" borderId="12" xfId="0" applyFont="true" applyBorder="true" applyAlignment="true" applyProtection="true">
      <alignment horizontal="general" vertical="bottom" textRotation="0" wrapText="false" indent="0" shrinkToFit="false"/>
      <protection locked="true" hidden="false"/>
    </xf>
    <xf numFmtId="164" fontId="29" fillId="24" borderId="12" xfId="0" applyFont="true" applyBorder="true" applyAlignment="true" applyProtection="true">
      <alignment horizontal="center" vertical="bottom" textRotation="0" wrapText="false" indent="0" shrinkToFit="false"/>
      <protection locked="true" hidden="false"/>
    </xf>
    <xf numFmtId="164" fontId="29" fillId="24" borderId="0" xfId="0" applyFont="true" applyBorder="false" applyAlignment="true" applyProtection="true">
      <alignment horizontal="general" vertical="bottom" textRotation="0" wrapText="false" indent="0" shrinkToFit="false"/>
      <protection locked="true" hidden="false"/>
    </xf>
    <xf numFmtId="164" fontId="182" fillId="0" borderId="0" xfId="0" applyFont="true" applyBorder="false" applyAlignment="true" applyProtection="true">
      <alignment horizontal="left" vertical="bottom" textRotation="0" wrapText="false" indent="0" shrinkToFit="false"/>
      <protection locked="true" hidden="false"/>
    </xf>
    <xf numFmtId="171" fontId="29" fillId="24" borderId="0" xfId="0" applyFont="true" applyBorder="false" applyAlignment="true" applyProtection="true">
      <alignment horizontal="general" vertical="bottom" textRotation="0" wrapText="false" indent="0" shrinkToFit="false"/>
      <protection locked="true" hidden="false"/>
    </xf>
    <xf numFmtId="164" fontId="17" fillId="25" borderId="0" xfId="0" applyFont="true" applyBorder="false" applyAlignment="true" applyProtection="true">
      <alignment horizontal="general" vertical="bottom" textRotation="0" wrapText="false" indent="0" shrinkToFit="false"/>
      <protection locked="true" hidden="false"/>
    </xf>
    <xf numFmtId="164" fontId="17" fillId="36" borderId="0" xfId="0" applyFont="true" applyBorder="false" applyAlignment="true" applyProtection="true">
      <alignment horizontal="general" vertical="bottom" textRotation="0" wrapText="false" indent="0" shrinkToFit="false"/>
      <protection locked="true" hidden="false"/>
    </xf>
    <xf numFmtId="210" fontId="181" fillId="0" borderId="0" xfId="0" applyFont="true" applyBorder="false" applyAlignment="true" applyProtection="true">
      <alignment horizontal="left" vertical="bottom" textRotation="0" wrapText="false" indent="0" shrinkToFit="false"/>
      <protection locked="true" hidden="false"/>
    </xf>
    <xf numFmtId="202" fontId="181" fillId="0" borderId="0" xfId="0" applyFont="true" applyBorder="false" applyAlignment="true" applyProtection="true">
      <alignment horizontal="left" vertical="bottom" textRotation="0" wrapText="false" indent="0" shrinkToFit="false"/>
      <protection locked="true" hidden="false"/>
    </xf>
    <xf numFmtId="202" fontId="29" fillId="25" borderId="0" xfId="0" applyFont="true" applyBorder="false" applyAlignment="true" applyProtection="true">
      <alignment horizontal="left" vertical="bottom" textRotation="0" wrapText="false" indent="0" shrinkToFit="false"/>
      <protection locked="true" hidden="false"/>
    </xf>
    <xf numFmtId="164" fontId="183" fillId="0" borderId="0" xfId="0" applyFont="true" applyBorder="false" applyAlignment="true" applyProtection="true">
      <alignment horizontal="general" vertical="bottom" textRotation="0" wrapText="false" indent="0" shrinkToFit="false"/>
      <protection locked="true" hidden="false"/>
    </xf>
    <xf numFmtId="164" fontId="183" fillId="0" borderId="0" xfId="0" applyFont="true" applyBorder="false" applyAlignment="true" applyProtection="true">
      <alignment horizontal="center" vertical="bottom" textRotation="0" wrapText="false" indent="0" shrinkToFit="false"/>
      <protection locked="true" hidden="false"/>
    </xf>
    <xf numFmtId="164" fontId="181" fillId="43" borderId="12" xfId="0" applyFont="true" applyBorder="true" applyAlignment="true" applyProtection="true">
      <alignment horizontal="general" vertical="bottom" textRotation="0" wrapText="false" indent="0" shrinkToFit="false"/>
      <protection locked="true" hidden="false"/>
    </xf>
    <xf numFmtId="164" fontId="29" fillId="43" borderId="12" xfId="0" applyFont="true" applyBorder="true" applyAlignment="true" applyProtection="true">
      <alignment horizontal="general" vertical="bottom" textRotation="0" wrapText="false" indent="0" shrinkToFit="false"/>
      <protection locked="true" hidden="false"/>
    </xf>
    <xf numFmtId="171" fontId="180" fillId="43" borderId="12" xfId="0" applyFont="true" applyBorder="true" applyAlignment="true" applyProtection="true">
      <alignment horizontal="left" vertical="bottom" textRotation="0" wrapText="false" indent="0" shrinkToFit="false"/>
      <protection locked="true" hidden="false"/>
    </xf>
    <xf numFmtId="171" fontId="29" fillId="43" borderId="12" xfId="0" applyFont="true" applyBorder="true" applyAlignment="true" applyProtection="true">
      <alignment horizontal="general" vertical="bottom" textRotation="0" wrapText="false" indent="0" shrinkToFit="false"/>
      <protection locked="true" hidden="false"/>
    </xf>
    <xf numFmtId="164" fontId="29" fillId="43" borderId="12" xfId="0" applyFont="true" applyBorder="true" applyAlignment="true" applyProtection="true">
      <alignment horizontal="center" vertical="bottom" textRotation="0" wrapText="false" indent="0" shrinkToFit="false"/>
      <protection locked="true" hidden="false"/>
    </xf>
    <xf numFmtId="202" fontId="182" fillId="0" borderId="0" xfId="0" applyFont="true" applyBorder="false" applyAlignment="true" applyProtection="true">
      <alignment horizontal="left" vertical="bottom" textRotation="0" wrapText="false" indent="0" shrinkToFit="false"/>
      <protection locked="true" hidden="false"/>
    </xf>
    <xf numFmtId="171" fontId="180" fillId="0" borderId="0" xfId="0" applyFont="true" applyBorder="false" applyAlignment="true" applyProtection="true">
      <alignment horizontal="left" vertical="bottom" textRotation="0" wrapText="false" indent="0" shrinkToFit="false"/>
      <protection locked="true" hidden="false"/>
    </xf>
    <xf numFmtId="164" fontId="29" fillId="24" borderId="0" xfId="0" applyFont="true" applyBorder="false" applyAlignment="true" applyProtection="true">
      <alignment horizontal="center" vertical="bottom" textRotation="0" wrapText="false" indent="0" shrinkToFit="false"/>
      <protection locked="true" hidden="false"/>
    </xf>
    <xf numFmtId="164" fontId="0" fillId="0" borderId="0" xfId="273" applyFont="true" applyBorder="false" applyAlignment="true" applyProtection="true">
      <alignment horizontal="general" vertical="bottom" textRotation="0" wrapText="false" indent="0" shrinkToFit="false"/>
      <protection locked="true" hidden="false"/>
    </xf>
    <xf numFmtId="211" fontId="0" fillId="0" borderId="0" xfId="273" applyFont="true" applyBorder="false" applyAlignment="true" applyProtection="true">
      <alignment horizontal="general" vertical="bottom" textRotation="0" wrapText="false" indent="0" shrinkToFit="false"/>
      <protection locked="true" hidden="false"/>
    </xf>
    <xf numFmtId="212" fontId="0" fillId="0" borderId="0" xfId="273" applyFont="true" applyBorder="false" applyAlignment="true" applyProtection="true">
      <alignment horizontal="general" vertical="bottom" textRotation="0" wrapText="false" indent="0" shrinkToFit="false"/>
      <protection locked="true" hidden="false"/>
    </xf>
    <xf numFmtId="202" fontId="0" fillId="0" borderId="0" xfId="273" applyFont="true" applyBorder="false" applyAlignment="true" applyProtection="true">
      <alignment horizontal="general" vertical="bottom" textRotation="0" wrapText="false" indent="0" shrinkToFit="false"/>
      <protection locked="true" hidden="false"/>
    </xf>
    <xf numFmtId="164" fontId="73" fillId="0" borderId="0" xfId="273" applyFont="true" applyBorder="false" applyAlignment="true" applyProtection="true">
      <alignment horizontal="center" vertical="bottom" textRotation="0" wrapText="false" indent="0" shrinkToFit="false"/>
      <protection locked="true" hidden="false"/>
    </xf>
    <xf numFmtId="164" fontId="0" fillId="0" borderId="0" xfId="273" applyFont="true" applyBorder="false" applyAlignment="true" applyProtection="true">
      <alignment horizontal="center" vertical="bottom" textRotation="0" wrapText="false" indent="0" shrinkToFit="false"/>
      <protection locked="true" hidden="false"/>
    </xf>
    <xf numFmtId="213" fontId="0" fillId="0" borderId="0" xfId="273" applyFont="true" applyBorder="false" applyAlignment="true" applyProtection="true">
      <alignment horizontal="center" vertical="bottom" textRotation="0" wrapText="false" indent="0" shrinkToFit="false"/>
      <protection locked="true" hidden="false"/>
    </xf>
    <xf numFmtId="164" fontId="78" fillId="0" borderId="0" xfId="0" applyFont="true" applyBorder="false" applyAlignment="true" applyProtection="true">
      <alignment horizontal="general" vertical="center" textRotation="0" wrapText="false" indent="0" shrinkToFit="false"/>
      <protection locked="true" hidden="false"/>
    </xf>
    <xf numFmtId="164" fontId="78" fillId="0" borderId="66" xfId="0" applyFont="true" applyBorder="true" applyAlignment="true" applyProtection="true">
      <alignment horizontal="general" vertical="center" textRotation="0" wrapText="true" indent="0" shrinkToFit="false"/>
      <protection locked="true" hidden="false"/>
    </xf>
    <xf numFmtId="164" fontId="78" fillId="0" borderId="58" xfId="0" applyFont="true" applyBorder="true" applyAlignment="true" applyProtection="true">
      <alignment horizontal="general" vertical="center" textRotation="0" wrapText="true" indent="0" shrinkToFit="false"/>
      <protection locked="true" hidden="false"/>
    </xf>
    <xf numFmtId="164" fontId="78" fillId="0" borderId="67" xfId="0" applyFont="true" applyBorder="true" applyAlignment="true" applyProtection="true">
      <alignment horizontal="general" vertical="center" textRotation="0" wrapText="true" indent="0" shrinkToFit="false"/>
      <protection locked="true" hidden="false"/>
    </xf>
    <xf numFmtId="164" fontId="78" fillId="0" borderId="220" xfId="0" applyFont="true" applyBorder="true" applyAlignment="true" applyProtection="true">
      <alignment horizontal="general" vertical="center" textRotation="0" wrapText="true" indent="0" shrinkToFit="false"/>
      <protection locked="true" hidden="false"/>
    </xf>
    <xf numFmtId="164" fontId="78" fillId="0" borderId="57" xfId="0" applyFont="true" applyBorder="true" applyAlignment="true" applyProtection="true">
      <alignment horizontal="center" vertical="center" textRotation="0" wrapText="false" indent="0" shrinkToFit="false"/>
      <protection locked="true" hidden="false"/>
    </xf>
    <xf numFmtId="164" fontId="78" fillId="0" borderId="221" xfId="0" applyFont="true" applyBorder="true" applyAlignment="true" applyProtection="true">
      <alignment horizontal="general" vertical="center" textRotation="0" wrapText="true" indent="0" shrinkToFit="false"/>
      <protection locked="true" hidden="false"/>
    </xf>
    <xf numFmtId="213" fontId="0" fillId="0" borderId="0" xfId="273" applyFont="true" applyBorder="false" applyAlignment="true" applyProtection="true">
      <alignment horizontal="general" vertical="bottom" textRotation="0" wrapText="false" indent="0" shrinkToFit="false"/>
      <protection locked="true" hidden="false"/>
    </xf>
    <xf numFmtId="164" fontId="78" fillId="0" borderId="73" xfId="0" applyFont="true" applyBorder="true" applyAlignment="true" applyProtection="true">
      <alignment horizontal="general" vertical="center" textRotation="0" wrapText="true" indent="0" shrinkToFit="false"/>
      <protection locked="true" hidden="false"/>
    </xf>
    <xf numFmtId="164" fontId="78" fillId="0" borderId="59" xfId="0" applyFont="true" applyBorder="true" applyAlignment="true" applyProtection="true">
      <alignment horizontal="general" vertical="center" textRotation="0" wrapText="true" indent="0" shrinkToFit="false"/>
      <protection locked="true" hidden="false"/>
    </xf>
    <xf numFmtId="164" fontId="78" fillId="0" borderId="74" xfId="0" applyFont="true" applyBorder="true" applyAlignment="true" applyProtection="true">
      <alignment horizontal="general" vertical="center" textRotation="0" wrapText="true" indent="0" shrinkToFit="false"/>
      <protection locked="true" hidden="false"/>
    </xf>
    <xf numFmtId="208" fontId="0" fillId="0" borderId="0" xfId="0" applyFont="false" applyBorder="false" applyAlignment="true" applyProtection="true">
      <alignment horizontal="general" vertical="bottom" textRotation="0" wrapText="false" indent="0" shrinkToFit="false"/>
      <protection locked="true" hidden="false"/>
    </xf>
    <xf numFmtId="214" fontId="0" fillId="0" borderId="0" xfId="0" applyFont="false" applyBorder="false" applyAlignment="true" applyProtection="true">
      <alignment horizontal="general" vertical="bottom" textRotation="0" wrapText="false" indent="0" shrinkToFit="false"/>
      <protection locked="true" hidden="false"/>
    </xf>
    <xf numFmtId="210" fontId="0" fillId="0" borderId="0" xfId="0" applyFont="false" applyBorder="false" applyAlignment="true" applyProtection="true">
      <alignment horizontal="general" vertical="bottom" textRotation="0" wrapText="false" indent="0" shrinkToFit="false"/>
      <protection locked="true" hidden="false"/>
    </xf>
    <xf numFmtId="164" fontId="0" fillId="22" borderId="12" xfId="0" applyFont="false" applyBorder="true" applyAlignment="true" applyProtection="true">
      <alignment horizontal="general" vertical="bottom" textRotation="0" wrapText="false" indent="0" shrinkToFit="false"/>
      <protection locked="true" hidden="false"/>
    </xf>
    <xf numFmtId="174" fontId="25" fillId="0" borderId="0" xfId="0" applyFont="true" applyBorder="false" applyAlignment="true" applyProtection="true">
      <alignment horizontal="general" vertical="bottom" textRotation="0" wrapText="false" indent="0" shrinkToFit="false"/>
      <protection locked="true" hidden="false"/>
    </xf>
    <xf numFmtId="192" fontId="0" fillId="0" borderId="0" xfId="0" applyFont="false" applyBorder="false" applyAlignment="true" applyProtection="true">
      <alignment horizontal="general" vertical="bottom" textRotation="0" wrapText="false" indent="0" shrinkToFit="false"/>
      <protection locked="true" hidden="false"/>
    </xf>
    <xf numFmtId="166" fontId="0" fillId="0" borderId="12"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86"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true" applyBorder="true" applyAlignment="true" applyProtection="true">
      <alignment horizontal="general" vertical="top" textRotation="0" wrapText="false" indent="0" shrinkToFit="false"/>
      <protection locked="true" hidden="false"/>
    </xf>
    <xf numFmtId="170" fontId="0" fillId="0" borderId="0" xfId="0" applyFont="false" applyBorder="false" applyAlignment="true" applyProtection="true">
      <alignment horizontal="general" vertical="top" textRotation="0" wrapText="false" indent="0" shrinkToFit="false"/>
      <protection locked="true" hidden="false"/>
    </xf>
    <xf numFmtId="17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false" indent="0" shrinkToFit="false"/>
      <protection locked="true" hidden="false"/>
    </xf>
    <xf numFmtId="164" fontId="0" fillId="0" borderId="85" xfId="0" applyFont="false" applyBorder="true" applyAlignment="true" applyProtection="true">
      <alignment horizontal="general" vertical="top" textRotation="0" wrapText="false" indent="0" shrinkToFit="false"/>
      <protection locked="true" hidden="false"/>
    </xf>
    <xf numFmtId="164" fontId="0" fillId="0" borderId="83" xfId="0" applyFont="false" applyBorder="true" applyAlignment="true" applyProtection="true">
      <alignment horizontal="general" vertical="top" textRotation="0" wrapText="false" indent="0" shrinkToFit="false"/>
      <protection locked="true" hidden="false"/>
    </xf>
    <xf numFmtId="164" fontId="0" fillId="0" borderId="84" xfId="0" applyFont="false" applyBorder="true" applyAlignment="true" applyProtection="true">
      <alignment horizontal="general" vertical="top" textRotation="0" wrapText="false" indent="0" shrinkToFit="false"/>
      <protection locked="true" hidden="false"/>
    </xf>
    <xf numFmtId="164" fontId="17" fillId="0" borderId="88" xfId="0" applyFont="true" applyBorder="true" applyAlignment="true" applyProtection="true">
      <alignment horizontal="general" vertical="top" textRotation="0" wrapText="false" indent="0" shrinkToFit="false"/>
      <protection locked="true" hidden="false"/>
    </xf>
    <xf numFmtId="164" fontId="0" fillId="0" borderId="88" xfId="0" applyFont="true" applyBorder="true" applyAlignment="true" applyProtection="true">
      <alignment horizontal="general" vertical="top" textRotation="0" wrapText="false" indent="0" shrinkToFit="false"/>
      <protection locked="true" hidden="false"/>
    </xf>
    <xf numFmtId="186" fontId="17" fillId="0" borderId="88" xfId="0" applyFont="true" applyBorder="true" applyAlignment="true" applyProtection="true">
      <alignment horizontal="general" vertical="top" textRotation="0" wrapText="false" indent="0" shrinkToFit="false"/>
      <protection locked="true" hidden="false"/>
    </xf>
    <xf numFmtId="164" fontId="0" fillId="0" borderId="9" xfId="0" applyFont="false" applyBorder="true" applyAlignment="true" applyProtection="true">
      <alignment horizontal="general" vertical="top" textRotation="0" wrapText="false" indent="0" shrinkToFit="false"/>
      <protection locked="true" hidden="false"/>
    </xf>
    <xf numFmtId="193" fontId="0" fillId="0" borderId="0" xfId="0" applyFont="false" applyBorder="false" applyAlignment="true" applyProtection="true">
      <alignment horizontal="general" vertical="top" textRotation="0" wrapText="false" indent="0" shrinkToFit="false"/>
      <protection locked="true" hidden="false"/>
    </xf>
    <xf numFmtId="164" fontId="184" fillId="0" borderId="0" xfId="0" applyFont="true" applyBorder="false" applyAlignment="true" applyProtection="true">
      <alignment horizontal="general" vertical="top" textRotation="0" wrapText="false" indent="0" shrinkToFit="false"/>
      <protection locked="true" hidden="false"/>
    </xf>
    <xf numFmtId="186" fontId="184" fillId="0" borderId="0" xfId="0" applyFont="true" applyBorder="false" applyAlignment="true" applyProtection="true">
      <alignment horizontal="general" vertical="top" textRotation="0" wrapText="false" indent="0" shrinkToFit="false"/>
      <protection locked="true" hidden="false"/>
    </xf>
    <xf numFmtId="164" fontId="0" fillId="0" borderId="87" xfId="0" applyFont="true" applyBorder="true" applyAlignment="true" applyProtection="true">
      <alignment horizontal="general" vertical="top" textRotation="0" wrapText="false" indent="0" shrinkToFit="false"/>
      <protection locked="true" hidden="false"/>
    </xf>
    <xf numFmtId="164" fontId="0" fillId="0" borderId="86" xfId="0" applyFont="false" applyBorder="true" applyAlignment="true" applyProtection="true">
      <alignment horizontal="general" vertical="top" textRotation="0" wrapText="false" indent="0" shrinkToFit="false"/>
      <protection locked="true" hidden="false"/>
    </xf>
    <xf numFmtId="164" fontId="0" fillId="0" borderId="89" xfId="0" applyFont="false" applyBorder="true" applyAlignment="true" applyProtection="true">
      <alignment horizontal="general" vertical="top" textRotation="0" wrapText="false" indent="0" shrinkToFit="false"/>
      <protection locked="true" hidden="false"/>
    </xf>
    <xf numFmtId="164" fontId="184" fillId="0" borderId="89" xfId="0" applyFont="true" applyBorder="true" applyAlignment="true" applyProtection="true">
      <alignment horizontal="general" vertical="top" textRotation="0" wrapText="false" indent="0" shrinkToFit="false"/>
      <protection locked="true" hidden="false"/>
    </xf>
    <xf numFmtId="170" fontId="0" fillId="0" borderId="89" xfId="0" applyFont="false" applyBorder="true" applyAlignment="true" applyProtection="true">
      <alignment horizontal="general" vertical="top" textRotation="0" wrapText="false" indent="0" shrinkToFit="false"/>
      <protection locked="true" hidden="false"/>
    </xf>
    <xf numFmtId="186" fontId="0" fillId="0" borderId="89" xfId="0" applyFont="false" applyBorder="true" applyAlignment="true" applyProtection="true">
      <alignment horizontal="general" vertical="top" textRotation="0" wrapText="false" indent="0" shrinkToFit="false"/>
      <protection locked="true" hidden="false"/>
    </xf>
    <xf numFmtId="164" fontId="184" fillId="0" borderId="88" xfId="0" applyFont="true" applyBorder="true" applyAlignment="true" applyProtection="true">
      <alignment horizontal="general" vertical="top" textRotation="0" wrapText="false" indent="0" shrinkToFit="false"/>
      <protection locked="true" hidden="false"/>
    </xf>
    <xf numFmtId="170" fontId="0" fillId="0" borderId="88" xfId="0" applyFont="false" applyBorder="true" applyAlignment="true" applyProtection="true">
      <alignment horizontal="general" vertical="top" textRotation="0" wrapText="false" indent="0" shrinkToFit="false"/>
      <protection locked="true" hidden="false"/>
    </xf>
    <xf numFmtId="186" fontId="0" fillId="0" borderId="88" xfId="0" applyFont="true" applyBorder="true" applyAlignment="true" applyProtection="true">
      <alignment horizontal="general" vertical="top" textRotation="0" wrapText="false" indent="0" shrinkToFit="false"/>
      <protection locked="true" hidden="false"/>
    </xf>
    <xf numFmtId="186" fontId="73" fillId="0" borderId="0" xfId="0" applyFont="true" applyBorder="false" applyAlignment="true" applyProtection="true">
      <alignment horizontal="general" vertical="top" textRotation="0" wrapText="false" indent="0" shrinkToFit="false"/>
      <protection locked="true" hidden="false"/>
    </xf>
    <xf numFmtId="164" fontId="73"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85" fillId="0" borderId="0" xfId="0" applyFont="true" applyBorder="false" applyAlignment="true" applyProtection="true">
      <alignment horizontal="general" vertical="top" textRotation="0" wrapText="false" indent="0" shrinkToFit="false"/>
      <protection locked="true" hidden="false"/>
    </xf>
    <xf numFmtId="164" fontId="82" fillId="0" borderId="0" xfId="0" applyFont="true" applyBorder="false" applyAlignment="true" applyProtection="true">
      <alignment horizontal="general" vertical="top" textRotation="0" wrapText="false" indent="0" shrinkToFit="false"/>
      <protection locked="true" hidden="false"/>
    </xf>
    <xf numFmtId="164" fontId="110" fillId="0" borderId="0" xfId="0" applyFont="true" applyBorder="false" applyAlignment="true" applyProtection="true">
      <alignment horizontal="general" vertical="top" textRotation="0" wrapText="true" indent="0" shrinkToFit="false"/>
      <protection locked="true" hidden="false"/>
    </xf>
    <xf numFmtId="164" fontId="110" fillId="0" borderId="0" xfId="0" applyFont="true" applyBorder="false" applyAlignment="true" applyProtection="true">
      <alignment horizontal="general" vertical="bottom" textRotation="0" wrapText="false" indent="0" shrinkToFit="false"/>
      <protection locked="true" hidden="false"/>
    </xf>
    <xf numFmtId="164" fontId="0" fillId="0" borderId="0" xfId="274" applyFont="true" applyBorder="false" applyAlignment="true" applyProtection="true">
      <alignment horizontal="center" vertical="center" textRotation="0" wrapText="false" indent="0" shrinkToFit="false"/>
      <protection locked="true" hidden="false"/>
    </xf>
    <xf numFmtId="202" fontId="0" fillId="0" borderId="0" xfId="274" applyFont="true" applyBorder="false" applyAlignment="true" applyProtection="true">
      <alignment horizontal="center" vertical="center" textRotation="0" wrapText="false" indent="0" shrinkToFit="false"/>
      <protection locked="true" hidden="false"/>
    </xf>
    <xf numFmtId="164" fontId="0" fillId="0" borderId="0" xfId="274" applyFont="true" applyBorder="false" applyAlignment="true" applyProtection="true">
      <alignment horizontal="left" vertical="top" textRotation="0" wrapText="false" indent="0" shrinkToFit="false"/>
      <protection locked="true" hidden="false"/>
    </xf>
    <xf numFmtId="172" fontId="186" fillId="0" borderId="0" xfId="274" applyFont="true" applyBorder="false" applyAlignment="true" applyProtection="true">
      <alignment horizontal="center" vertical="center" textRotation="0" wrapText="false" indent="0" shrinkToFit="false"/>
      <protection locked="true" hidden="false"/>
    </xf>
    <xf numFmtId="164" fontId="0" fillId="0" borderId="0" xfId="274" applyFont="true" applyBorder="false" applyAlignment="true" applyProtection="true">
      <alignment horizontal="general" vertical="center" textRotation="0" wrapText="false" indent="0" shrinkToFit="false"/>
      <protection locked="true" hidden="false"/>
    </xf>
    <xf numFmtId="164" fontId="0" fillId="0" borderId="0" xfId="274" applyFont="true" applyBorder="true" applyAlignment="true" applyProtection="true">
      <alignment horizontal="center" vertical="center" textRotation="0" wrapText="false" indent="0" shrinkToFit="false"/>
      <protection locked="true" hidden="false"/>
    </xf>
    <xf numFmtId="164" fontId="0" fillId="0" borderId="0" xfId="274" applyFont="true" applyBorder="false" applyAlignment="true" applyProtection="true">
      <alignment horizontal="center" vertical="center" textRotation="0" wrapText="true" indent="0" shrinkToFit="false"/>
      <protection locked="true" hidden="false"/>
    </xf>
    <xf numFmtId="172" fontId="58" fillId="0" borderId="0" xfId="274" applyFont="true" applyBorder="false" applyAlignment="true" applyProtection="true">
      <alignment horizontal="center" vertical="center" textRotation="0" wrapText="false" indent="0" shrinkToFit="false"/>
      <protection locked="true" hidden="false"/>
    </xf>
    <xf numFmtId="172" fontId="0" fillId="0" borderId="0" xfId="274" applyFont="true" applyBorder="false" applyAlignment="true" applyProtection="true">
      <alignment horizontal="center" vertical="center" textRotation="0" wrapText="false" indent="0" shrinkToFit="false"/>
      <protection locked="true" hidden="false"/>
    </xf>
    <xf numFmtId="164" fontId="58" fillId="0" borderId="0" xfId="274" applyFont="true" applyBorder="false" applyAlignment="true" applyProtection="true">
      <alignment horizontal="center" vertical="center" textRotation="0" wrapText="false" indent="0" shrinkToFit="false"/>
      <protection locked="true" hidden="false"/>
    </xf>
    <xf numFmtId="164" fontId="0" fillId="0" borderId="57" xfId="274" applyFont="true" applyBorder="true" applyAlignment="true" applyProtection="true">
      <alignment horizontal="center" vertical="center" textRotation="0" wrapText="true" indent="0" shrinkToFit="false"/>
      <protection locked="true" hidden="false"/>
    </xf>
    <xf numFmtId="164" fontId="58" fillId="0" borderId="48" xfId="274" applyFont="true" applyBorder="true" applyAlignment="true" applyProtection="true">
      <alignment horizontal="center" vertical="center" textRotation="0" wrapText="false" indent="0" shrinkToFit="false"/>
      <protection locked="true" hidden="false"/>
    </xf>
    <xf numFmtId="164" fontId="0" fillId="0" borderId="48" xfId="274" applyFont="true" applyBorder="true" applyAlignment="true" applyProtection="true">
      <alignment horizontal="center" vertical="center" textRotation="0" wrapText="false" indent="0" shrinkToFit="false"/>
      <protection locked="true" hidden="false"/>
    </xf>
    <xf numFmtId="164" fontId="0" fillId="0" borderId="49" xfId="274" applyFont="true" applyBorder="true" applyAlignment="true" applyProtection="true">
      <alignment horizontal="center" vertical="center" textRotation="0" wrapText="false" indent="0" shrinkToFit="false"/>
      <protection locked="true" hidden="false"/>
    </xf>
    <xf numFmtId="164" fontId="0" fillId="0" borderId="47" xfId="274" applyFont="true" applyBorder="true" applyAlignment="true" applyProtection="true">
      <alignment horizontal="center" vertical="center" textRotation="0" wrapText="false" indent="0" shrinkToFit="false"/>
      <protection locked="true" hidden="false"/>
    </xf>
    <xf numFmtId="164" fontId="58" fillId="0" borderId="47" xfId="274" applyFont="true" applyBorder="true" applyAlignment="true" applyProtection="true">
      <alignment horizontal="center" vertical="center" textRotation="0" wrapText="false" indent="0" shrinkToFit="false"/>
      <protection locked="true" hidden="false"/>
    </xf>
    <xf numFmtId="164" fontId="186" fillId="0" borderId="51" xfId="274" applyFont="true" applyBorder="true" applyAlignment="true" applyProtection="true">
      <alignment horizontal="center" vertical="center" textRotation="0" wrapText="true" indent="0" shrinkToFit="false"/>
      <protection locked="true" hidden="false"/>
    </xf>
    <xf numFmtId="164" fontId="0" fillId="0" borderId="52" xfId="274" applyFont="true" applyBorder="true" applyAlignment="true" applyProtection="true">
      <alignment horizontal="center" vertical="center" textRotation="0" wrapText="false" indent="0" shrinkToFit="false"/>
      <protection locked="true" hidden="false"/>
    </xf>
    <xf numFmtId="164" fontId="0" fillId="0" borderId="51" xfId="274" applyFont="true" applyBorder="true" applyAlignment="true" applyProtection="true">
      <alignment horizontal="center" vertical="center" textRotation="0" wrapText="false" indent="0" shrinkToFit="false"/>
      <protection locked="true" hidden="false"/>
    </xf>
    <xf numFmtId="164" fontId="58" fillId="0" borderId="51" xfId="274" applyFont="true" applyBorder="true" applyAlignment="true" applyProtection="true">
      <alignment horizontal="center" vertical="center" textRotation="0" wrapText="false" indent="0" shrinkToFit="false"/>
      <protection locked="true" hidden="false"/>
    </xf>
    <xf numFmtId="164" fontId="58" fillId="0" borderId="55" xfId="274" applyFont="true" applyBorder="true" applyAlignment="true" applyProtection="true">
      <alignment horizontal="center" vertical="center" textRotation="0" wrapText="false" indent="0" shrinkToFit="false"/>
      <protection locked="true" hidden="false"/>
    </xf>
    <xf numFmtId="164" fontId="0" fillId="0" borderId="55" xfId="274" applyFont="true" applyBorder="true" applyAlignment="true" applyProtection="true">
      <alignment horizontal="center" vertical="center" textRotation="0" wrapText="false" indent="0" shrinkToFit="false"/>
      <protection locked="true" hidden="false"/>
    </xf>
    <xf numFmtId="164" fontId="0" fillId="0" borderId="56" xfId="274" applyFont="true" applyBorder="true" applyAlignment="true" applyProtection="true">
      <alignment horizontal="center" vertical="center" textRotation="0" wrapText="false" indent="0" shrinkToFit="false"/>
      <protection locked="true" hidden="false"/>
    </xf>
    <xf numFmtId="164" fontId="0" fillId="0" borderId="54" xfId="274" applyFont="true" applyBorder="true" applyAlignment="true" applyProtection="true">
      <alignment horizontal="center" vertical="center" textRotation="0" wrapText="false" indent="0" shrinkToFit="false"/>
      <protection locked="true" hidden="false"/>
    </xf>
    <xf numFmtId="164" fontId="58" fillId="0" borderId="54" xfId="274" applyFont="true" applyBorder="true" applyAlignment="true" applyProtection="true">
      <alignment horizontal="center" vertical="center" textRotation="0" wrapText="false" indent="0" shrinkToFit="false"/>
      <protection locked="true" hidden="false"/>
    </xf>
    <xf numFmtId="164" fontId="186" fillId="0" borderId="51" xfId="274" applyFont="true" applyBorder="true" applyAlignment="true" applyProtection="true">
      <alignment horizontal="center" vertical="center" textRotation="0" wrapText="false" indent="0" shrinkToFit="false"/>
      <protection locked="true" hidden="false"/>
    </xf>
    <xf numFmtId="164" fontId="0" fillId="0" borderId="51" xfId="274" applyFont="true" applyBorder="true" applyAlignment="true" applyProtection="true">
      <alignment horizontal="center" vertical="center" textRotation="0" wrapText="true" indent="0" shrinkToFit="false"/>
      <protection locked="true" hidden="false"/>
    </xf>
    <xf numFmtId="164" fontId="0" fillId="0" borderId="46" xfId="274" applyFont="true" applyBorder="true" applyAlignment="true" applyProtection="true">
      <alignment horizontal="center" vertical="center" textRotation="0" wrapText="true" indent="0" shrinkToFit="false"/>
      <protection locked="true" hidden="false"/>
    </xf>
    <xf numFmtId="164" fontId="186" fillId="0" borderId="0" xfId="274" applyFont="true" applyBorder="false" applyAlignment="true" applyProtection="true">
      <alignment horizontal="center" vertical="center" textRotation="0" wrapText="false" indent="0" shrinkToFit="false"/>
      <protection locked="true" hidden="false"/>
    </xf>
    <xf numFmtId="164" fontId="0" fillId="0" borderId="50" xfId="274" applyFont="true" applyBorder="true" applyAlignment="true" applyProtection="true">
      <alignment horizontal="center" vertical="center" textRotation="0" wrapText="false" indent="0" shrinkToFit="false"/>
      <protection locked="true" hidden="false"/>
    </xf>
    <xf numFmtId="164" fontId="0" fillId="0" borderId="53" xfId="274" applyFont="true" applyBorder="true" applyAlignment="true" applyProtection="true">
      <alignment horizontal="center" vertical="center" textRotation="0" wrapText="false" indent="0" shrinkToFit="false"/>
      <protection locked="true" hidden="false"/>
    </xf>
    <xf numFmtId="164" fontId="0" fillId="0" borderId="0" xfId="274" applyFont="true" applyBorder="false" applyAlignment="true" applyProtection="true">
      <alignment horizontal="general" vertical="bottom" textRotation="0" wrapText="false" indent="0" shrinkToFit="false"/>
      <protection locked="true" hidden="false"/>
    </xf>
    <xf numFmtId="164" fontId="82" fillId="0" borderId="0" xfId="274" applyFont="true" applyBorder="false" applyAlignment="true" applyProtection="true">
      <alignment horizontal="general" vertical="bottom" textRotation="0" wrapText="false" indent="0" shrinkToFit="false"/>
      <protection locked="true" hidden="false"/>
    </xf>
    <xf numFmtId="164" fontId="0" fillId="35" borderId="0" xfId="274" applyFont="true" applyBorder="false" applyAlignment="true" applyProtection="true">
      <alignment horizontal="general" vertical="bottom" textRotation="0" wrapText="false" indent="0" shrinkToFit="false"/>
      <protection locked="true" hidden="false"/>
    </xf>
    <xf numFmtId="195" fontId="0" fillId="0" borderId="0" xfId="274" applyFont="true" applyBorder="false" applyAlignment="true" applyProtection="true">
      <alignment horizontal="left" vertical="top" textRotation="0" wrapText="false" indent="0" shrinkToFit="false"/>
      <protection locked="true" hidden="false"/>
    </xf>
    <xf numFmtId="195" fontId="73" fillId="0" borderId="0" xfId="274" applyFont="true" applyBorder="false" applyAlignment="true" applyProtection="true">
      <alignment horizontal="left" vertical="top" textRotation="0" wrapText="false" indent="0" shrinkToFit="false"/>
      <protection locked="true" hidden="false"/>
    </xf>
    <xf numFmtId="195" fontId="0" fillId="0" borderId="222" xfId="274" applyFont="true" applyBorder="true" applyAlignment="true" applyProtection="true">
      <alignment horizontal="left" vertical="top" textRotation="0" wrapText="false" indent="0" shrinkToFit="false"/>
      <protection locked="true" hidden="false"/>
    </xf>
    <xf numFmtId="195" fontId="19" fillId="0" borderId="222" xfId="274" applyFont="true" applyBorder="true" applyAlignment="true" applyProtection="true">
      <alignment horizontal="left" vertical="top" textRotation="0" wrapText="false" indent="0" shrinkToFit="false"/>
      <protection locked="true" hidden="false"/>
    </xf>
    <xf numFmtId="195" fontId="0" fillId="0" borderId="223" xfId="274" applyFont="true" applyBorder="true" applyAlignment="true" applyProtection="true">
      <alignment horizontal="left" vertical="top" textRotation="0" wrapText="false" indent="0" shrinkToFit="false"/>
      <protection locked="true" hidden="false"/>
    </xf>
    <xf numFmtId="195" fontId="19" fillId="0" borderId="223" xfId="274" applyFont="true" applyBorder="tru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left" vertical="center" textRotation="180" wrapText="true" indent="0" shrinkToFit="false"/>
      <protection locked="true" hidden="false"/>
    </xf>
    <xf numFmtId="164" fontId="0" fillId="0" borderId="224" xfId="0" applyFont="false" applyBorder="true" applyAlignment="true" applyProtection="true">
      <alignment horizontal="general" vertical="center" textRotation="0" wrapText="true" indent="0" shrinkToFit="false"/>
      <protection locked="true" hidden="false"/>
    </xf>
    <xf numFmtId="164" fontId="0" fillId="0" borderId="225" xfId="0" applyFont="false" applyBorder="true" applyAlignment="true" applyProtection="true">
      <alignment horizontal="general" vertical="center" textRotation="0" wrapText="true" indent="0" shrinkToFit="false"/>
      <protection locked="true" hidden="false"/>
    </xf>
    <xf numFmtId="164" fontId="0" fillId="0" borderId="226" xfId="0" applyFont="false" applyBorder="true" applyAlignment="true" applyProtection="true">
      <alignment horizontal="general" vertical="center" textRotation="0" wrapText="true" indent="0" shrinkToFit="false"/>
      <protection locked="true" hidden="false"/>
    </xf>
    <xf numFmtId="164" fontId="0" fillId="0" borderId="227" xfId="0" applyFont="false" applyBorder="true" applyAlignment="true" applyProtection="true">
      <alignment horizontal="general" vertical="center" textRotation="0" wrapText="true" indent="0" shrinkToFit="false"/>
      <protection locked="true" hidden="false"/>
    </xf>
    <xf numFmtId="164" fontId="0" fillId="0" borderId="90" xfId="0" applyFont="true" applyBorder="true" applyAlignment="true" applyProtection="true">
      <alignment horizontal="center" vertical="center" textRotation="0" wrapText="true" indent="0" shrinkToFit="false"/>
      <protection locked="true" hidden="false"/>
    </xf>
    <xf numFmtId="164" fontId="0" fillId="0" borderId="225" xfId="0" applyFont="true" applyBorder="true" applyAlignment="true" applyProtection="true">
      <alignment horizontal="center" vertical="center" textRotation="0" wrapText="true" indent="0" shrinkToFit="false"/>
      <protection locked="true" hidden="false"/>
    </xf>
    <xf numFmtId="164" fontId="0" fillId="0" borderId="188" xfId="0" applyFont="true" applyBorder="true" applyAlignment="true" applyProtection="true">
      <alignment horizontal="general" vertical="center" textRotation="0" wrapText="true" indent="0" shrinkToFit="false"/>
      <protection locked="true" hidden="false"/>
    </xf>
    <xf numFmtId="164" fontId="0" fillId="0" borderId="228" xfId="0" applyFont="false" applyBorder="true" applyAlignment="true" applyProtection="true">
      <alignment horizontal="general" vertical="center" textRotation="0" wrapText="true" indent="0" shrinkToFit="false"/>
      <protection locked="true" hidden="false"/>
    </xf>
    <xf numFmtId="164" fontId="175" fillId="0" borderId="56" xfId="0" applyFont="true" applyBorder="true" applyAlignment="true" applyProtection="true">
      <alignment horizontal="center" vertical="center" textRotation="0" wrapText="true" indent="0" shrinkToFit="false"/>
      <protection locked="true" hidden="false"/>
    </xf>
    <xf numFmtId="164" fontId="175" fillId="0" borderId="229" xfId="0" applyFont="true" applyBorder="true" applyAlignment="true" applyProtection="true">
      <alignment horizontal="center" vertical="center" textRotation="0" wrapText="true" indent="0" shrinkToFit="false"/>
      <protection locked="true" hidden="false"/>
    </xf>
    <xf numFmtId="164" fontId="175" fillId="0" borderId="230" xfId="0" applyFont="true" applyBorder="true" applyAlignment="true" applyProtection="true">
      <alignment horizontal="center" vertical="center" textRotation="0" wrapText="true" indent="0" shrinkToFit="false"/>
      <protection locked="true" hidden="false"/>
    </xf>
    <xf numFmtId="164" fontId="175" fillId="0" borderId="55" xfId="0" applyFont="true" applyBorder="true" applyAlignment="true" applyProtection="true">
      <alignment horizontal="center" vertical="center" textRotation="0" wrapText="true" indent="0" shrinkToFit="false"/>
      <protection locked="true" hidden="false"/>
    </xf>
    <xf numFmtId="164" fontId="0" fillId="0" borderId="231" xfId="0" applyFont="true" applyBorder="true" applyAlignment="true" applyProtection="true">
      <alignment horizontal="left" vertical="center" textRotation="180" wrapText="true" indent="0" shrinkToFit="false"/>
      <protection locked="true" hidden="false"/>
    </xf>
    <xf numFmtId="164" fontId="0" fillId="0" borderId="90" xfId="0" applyFont="true" applyBorder="true" applyAlignment="true" applyProtection="true">
      <alignment horizontal="center" vertical="center" textRotation="180" wrapText="true" indent="0" shrinkToFit="false"/>
      <protection locked="true" hidden="false"/>
    </xf>
    <xf numFmtId="164" fontId="0" fillId="0" borderId="231" xfId="0" applyFont="false" applyBorder="true" applyAlignment="true" applyProtection="true">
      <alignment horizontal="general" vertical="center" textRotation="0" wrapText="true" indent="0" shrinkToFit="false"/>
      <protection locked="true" hidden="false"/>
    </xf>
    <xf numFmtId="164" fontId="175" fillId="0" borderId="232" xfId="0" applyFont="true" applyBorder="true" applyAlignment="true" applyProtection="true">
      <alignment horizontal="center" vertical="center" textRotation="0" wrapText="true" indent="0" shrinkToFit="false"/>
      <protection locked="true" hidden="false"/>
    </xf>
    <xf numFmtId="164" fontId="175" fillId="0" borderId="32" xfId="0" applyFont="true" applyBorder="true" applyAlignment="true" applyProtection="true">
      <alignment horizontal="center" vertical="center" textRotation="0" wrapText="true" indent="0" shrinkToFit="false"/>
      <protection locked="true" hidden="false"/>
    </xf>
    <xf numFmtId="164" fontId="0" fillId="0" borderId="224" xfId="0" applyFont="false" applyBorder="true" applyAlignment="true" applyProtection="true">
      <alignment horizontal="left" vertical="center" textRotation="180" wrapText="true" indent="0" shrinkToFit="false"/>
      <protection locked="true" hidden="false"/>
    </xf>
    <xf numFmtId="164" fontId="0" fillId="0" borderId="228" xfId="0" applyFont="false" applyBorder="true" applyAlignment="true" applyProtection="true">
      <alignment horizontal="left" vertical="center" textRotation="180" wrapText="true" indent="0" shrinkToFit="false"/>
      <protection locked="true" hidden="false"/>
    </xf>
    <xf numFmtId="164" fontId="175" fillId="0" borderId="49" xfId="0" applyFont="true" applyBorder="true" applyAlignment="true" applyProtection="true">
      <alignment horizontal="center" vertical="center" textRotation="0" wrapText="true" indent="0" shrinkToFit="false"/>
      <protection locked="true" hidden="false"/>
    </xf>
    <xf numFmtId="164" fontId="175" fillId="0" borderId="50" xfId="0" applyFont="true" applyBorder="true" applyAlignment="true" applyProtection="true">
      <alignment horizontal="center" vertical="center" textRotation="0" wrapText="true" indent="0" shrinkToFit="false"/>
      <protection locked="true" hidden="false"/>
    </xf>
    <xf numFmtId="164" fontId="175" fillId="0" borderId="47" xfId="0" applyFont="true" applyBorder="true" applyAlignment="true" applyProtection="true">
      <alignment horizontal="center" vertical="center" textRotation="0" wrapText="true" indent="0" shrinkToFit="false"/>
      <protection locked="true" hidden="false"/>
    </xf>
    <xf numFmtId="164" fontId="0" fillId="0" borderId="203" xfId="0" applyFont="false" applyBorder="true" applyAlignment="true" applyProtection="true">
      <alignment horizontal="left" vertical="center" textRotation="180" wrapText="true" indent="0" shrinkToFit="false"/>
      <protection locked="true" hidden="false"/>
    </xf>
  </cellXfs>
  <cellStyles count="309">
    <cellStyle name="Normal" xfId="0" builtinId="0"/>
    <cellStyle name="Comma" xfId="15" builtinId="3"/>
    <cellStyle name="Comma [0]" xfId="16" builtinId="6"/>
    <cellStyle name="Currency" xfId="17" builtinId="4"/>
    <cellStyle name="Currency [0]" xfId="18" builtinId="7"/>
    <cellStyle name="Percent" xfId="19" builtinId="5"/>
    <cellStyle name="20% - Accent1 1" xfId="21"/>
    <cellStyle name="20% - Accent1 2" xfId="22"/>
    <cellStyle name="20% - Accent1 3" xfId="23"/>
    <cellStyle name="20% - Accent1 4" xfId="24"/>
    <cellStyle name="20% - Accent1 5" xfId="25"/>
    <cellStyle name="20% - Accent1 6" xfId="26"/>
    <cellStyle name="20% - Accent1 7" xfId="27"/>
    <cellStyle name="20% - Accent2 1" xfId="28"/>
    <cellStyle name="20% - Accent2 2" xfId="29"/>
    <cellStyle name="20% - Accent2 3" xfId="30"/>
    <cellStyle name="20% - Accent2 4" xfId="31"/>
    <cellStyle name="20% - Accent2 5" xfId="32"/>
    <cellStyle name="20% - Accent2 6" xfId="33"/>
    <cellStyle name="20% - Accent2 7" xfId="34"/>
    <cellStyle name="20% - Accent3 1" xfId="35"/>
    <cellStyle name="20% - Accent3 2" xfId="36"/>
    <cellStyle name="20% - Accent3 3" xfId="37"/>
    <cellStyle name="20% - Accent3 4" xfId="38"/>
    <cellStyle name="20% - Accent3 5" xfId="39"/>
    <cellStyle name="20% - Accent3 6" xfId="40"/>
    <cellStyle name="20% - Accent3 7" xfId="41"/>
    <cellStyle name="20% - Accent4 1" xfId="42"/>
    <cellStyle name="20% - Accent4 2" xfId="43"/>
    <cellStyle name="20% - Accent4 3" xfId="44"/>
    <cellStyle name="20% - Accent4 4" xfId="45"/>
    <cellStyle name="20% - Accent4 5" xfId="46"/>
    <cellStyle name="20% - Accent4 6" xfId="47"/>
    <cellStyle name="20% - Accent4 7" xfId="48"/>
    <cellStyle name="20% - Accent5 1" xfId="49"/>
    <cellStyle name="20% - Accent5 2" xfId="50"/>
    <cellStyle name="20% - Accent5 3" xfId="51"/>
    <cellStyle name="20% - Accent5 4" xfId="52"/>
    <cellStyle name="20% - Accent5 5" xfId="53"/>
    <cellStyle name="20% - Accent5 6" xfId="54"/>
    <cellStyle name="20% - Accent5 7" xfId="55"/>
    <cellStyle name="20% - Accent6 1" xfId="56"/>
    <cellStyle name="20% - Accent6 2" xfId="57"/>
    <cellStyle name="20% - Accent6 3" xfId="58"/>
    <cellStyle name="20% - Accent6 4" xfId="59"/>
    <cellStyle name="20% - Accent6 5" xfId="60"/>
    <cellStyle name="20% - Accent6 6" xfId="61"/>
    <cellStyle name="20% - Accent6 7" xfId="62"/>
    <cellStyle name="40% - Accent1 1" xfId="63"/>
    <cellStyle name="40% - Accent1 2" xfId="64"/>
    <cellStyle name="40% - Accent1 3" xfId="65"/>
    <cellStyle name="40% - Accent1 4" xfId="66"/>
    <cellStyle name="40% - Accent1 5" xfId="67"/>
    <cellStyle name="40% - Accent1 6" xfId="68"/>
    <cellStyle name="40% - Accent1 7" xfId="69"/>
    <cellStyle name="40% - Accent2 1" xfId="70"/>
    <cellStyle name="40% - Accent2 2" xfId="71"/>
    <cellStyle name="40% - Accent2 3" xfId="72"/>
    <cellStyle name="40% - Accent2 4" xfId="73"/>
    <cellStyle name="40% - Accent2 5" xfId="74"/>
    <cellStyle name="40% - Accent2 6" xfId="75"/>
    <cellStyle name="40% - Accent2 7" xfId="76"/>
    <cellStyle name="40% - Accent3 1" xfId="77"/>
    <cellStyle name="40% - Accent3 2" xfId="78"/>
    <cellStyle name="40% - Accent3 3" xfId="79"/>
    <cellStyle name="40% - Accent3 4" xfId="80"/>
    <cellStyle name="40% - Accent3 5" xfId="81"/>
    <cellStyle name="40% - Accent3 6" xfId="82"/>
    <cellStyle name="40% - Accent3 7" xfId="83"/>
    <cellStyle name="40% - Accent4 1" xfId="84"/>
    <cellStyle name="40% - Accent4 2" xfId="85"/>
    <cellStyle name="40% - Accent4 3" xfId="86"/>
    <cellStyle name="40% - Accent4 4" xfId="87"/>
    <cellStyle name="40% - Accent4 5" xfId="88"/>
    <cellStyle name="40% - Accent4 6" xfId="89"/>
    <cellStyle name="40% - Accent4 7" xfId="90"/>
    <cellStyle name="40% - Accent5 1" xfId="91"/>
    <cellStyle name="40% - Accent5 2" xfId="92"/>
    <cellStyle name="40% - Accent5 3" xfId="93"/>
    <cellStyle name="40% - Accent5 4" xfId="94"/>
    <cellStyle name="40% - Accent5 5" xfId="95"/>
    <cellStyle name="40% - Accent5 6" xfId="96"/>
    <cellStyle name="40% - Accent5 7" xfId="97"/>
    <cellStyle name="40% - Accent6 1" xfId="98"/>
    <cellStyle name="40% - Accent6 2" xfId="99"/>
    <cellStyle name="40% - Accent6 3" xfId="100"/>
    <cellStyle name="40% - Accent6 4" xfId="101"/>
    <cellStyle name="40% - Accent6 5" xfId="102"/>
    <cellStyle name="40% - Accent6 6" xfId="103"/>
    <cellStyle name="40% - Accent6 7" xfId="104"/>
    <cellStyle name="60% - Accent1 1" xfId="105"/>
    <cellStyle name="60% - Accent1 2" xfId="106"/>
    <cellStyle name="60% - Accent1 3" xfId="107"/>
    <cellStyle name="60% - Accent1 4" xfId="108"/>
    <cellStyle name="60% - Accent1 5" xfId="109"/>
    <cellStyle name="60% - Accent1 6" xfId="110"/>
    <cellStyle name="60% - Accent1 7" xfId="111"/>
    <cellStyle name="60% - Accent2 1" xfId="112"/>
    <cellStyle name="60% - Accent2 2" xfId="113"/>
    <cellStyle name="60% - Accent2 3" xfId="114"/>
    <cellStyle name="60% - Accent2 4" xfId="115"/>
    <cellStyle name="60% - Accent2 5" xfId="116"/>
    <cellStyle name="60% - Accent2 6" xfId="117"/>
    <cellStyle name="60% - Accent2 7" xfId="118"/>
    <cellStyle name="60% - Accent3 1" xfId="119"/>
    <cellStyle name="60% - Accent3 2" xfId="120"/>
    <cellStyle name="60% - Accent3 3" xfId="121"/>
    <cellStyle name="60% - Accent3 4" xfId="122"/>
    <cellStyle name="60% - Accent3 5" xfId="123"/>
    <cellStyle name="60% - Accent3 6" xfId="124"/>
    <cellStyle name="60% - Accent3 7" xfId="125"/>
    <cellStyle name="60% - Accent4 1" xfId="126"/>
    <cellStyle name="60% - Accent4 2" xfId="127"/>
    <cellStyle name="60% - Accent4 3" xfId="128"/>
    <cellStyle name="60% - Accent4 4" xfId="129"/>
    <cellStyle name="60% - Accent4 5" xfId="130"/>
    <cellStyle name="60% - Accent4 6" xfId="131"/>
    <cellStyle name="60% - Accent4 7" xfId="132"/>
    <cellStyle name="60% - Accent5 1" xfId="133"/>
    <cellStyle name="60% - Accent5 2" xfId="134"/>
    <cellStyle name="60% - Accent5 3" xfId="135"/>
    <cellStyle name="60% - Accent5 4" xfId="136"/>
    <cellStyle name="60% - Accent5 5" xfId="137"/>
    <cellStyle name="60% - Accent5 6" xfId="138"/>
    <cellStyle name="60% - Accent5 7" xfId="139"/>
    <cellStyle name="60% - Accent6 1" xfId="140"/>
    <cellStyle name="60% - Accent6 2" xfId="141"/>
    <cellStyle name="60% - Accent6 3" xfId="142"/>
    <cellStyle name="60% - Accent6 4" xfId="143"/>
    <cellStyle name="60% - Accent6 5" xfId="144"/>
    <cellStyle name="60% - Accent6 6" xfId="145"/>
    <cellStyle name="60% - Accent6 7" xfId="146"/>
    <cellStyle name="Accent1 1" xfId="147"/>
    <cellStyle name="Accent1 2" xfId="148"/>
    <cellStyle name="Accent1 3" xfId="149"/>
    <cellStyle name="Accent1 4" xfId="150"/>
    <cellStyle name="Accent1 5" xfId="151"/>
    <cellStyle name="Accent1 6" xfId="152"/>
    <cellStyle name="Accent1 7" xfId="153"/>
    <cellStyle name="Accent2 1" xfId="154"/>
    <cellStyle name="Accent2 2" xfId="155"/>
    <cellStyle name="Accent2 3" xfId="156"/>
    <cellStyle name="Accent2 4" xfId="157"/>
    <cellStyle name="Accent2 5" xfId="158"/>
    <cellStyle name="Accent2 6" xfId="159"/>
    <cellStyle name="Accent2 7" xfId="160"/>
    <cellStyle name="Accent3 1" xfId="161"/>
    <cellStyle name="Accent3 2" xfId="162"/>
    <cellStyle name="Accent3 3" xfId="163"/>
    <cellStyle name="Accent3 4" xfId="164"/>
    <cellStyle name="Accent3 5" xfId="165"/>
    <cellStyle name="Accent3 6" xfId="166"/>
    <cellStyle name="Accent3 7" xfId="167"/>
    <cellStyle name="Accent4 1" xfId="168"/>
    <cellStyle name="Accent4 2" xfId="169"/>
    <cellStyle name="Accent4 3" xfId="170"/>
    <cellStyle name="Accent4 4" xfId="171"/>
    <cellStyle name="Accent4 5" xfId="172"/>
    <cellStyle name="Accent4 6" xfId="173"/>
    <cellStyle name="Accent4 7" xfId="174"/>
    <cellStyle name="Accent5 1" xfId="175"/>
    <cellStyle name="Accent5 2" xfId="176"/>
    <cellStyle name="Accent5 3" xfId="177"/>
    <cellStyle name="Accent5 4" xfId="178"/>
    <cellStyle name="Accent5 5" xfId="179"/>
    <cellStyle name="Accent5 6" xfId="180"/>
    <cellStyle name="Accent5 7" xfId="181"/>
    <cellStyle name="Accent6 1" xfId="182"/>
    <cellStyle name="Accent6 2" xfId="183"/>
    <cellStyle name="Accent6 3" xfId="184"/>
    <cellStyle name="Accent6 4" xfId="185"/>
    <cellStyle name="Accent6 5" xfId="186"/>
    <cellStyle name="Accent6 6" xfId="187"/>
    <cellStyle name="Accent6 7" xfId="188"/>
    <cellStyle name="Bad 1" xfId="189"/>
    <cellStyle name="Bad 2" xfId="190"/>
    <cellStyle name="Bad 3" xfId="191"/>
    <cellStyle name="Bad 4" xfId="192"/>
    <cellStyle name="Bad 5" xfId="193"/>
    <cellStyle name="Bad 6" xfId="194"/>
    <cellStyle name="Bad 7" xfId="195"/>
    <cellStyle name="Calculation 1" xfId="196"/>
    <cellStyle name="Calculation 2" xfId="197"/>
    <cellStyle name="Calculation 3" xfId="198"/>
    <cellStyle name="Calculation 4" xfId="199"/>
    <cellStyle name="Calculation 5" xfId="200"/>
    <cellStyle name="Calculation 6" xfId="201"/>
    <cellStyle name="Calculation 7" xfId="202"/>
    <cellStyle name="Check Cell 1" xfId="203"/>
    <cellStyle name="Check Cell 2" xfId="204"/>
    <cellStyle name="Check Cell 3" xfId="205"/>
    <cellStyle name="Check Cell 4" xfId="206"/>
    <cellStyle name="Check Cell 5" xfId="207"/>
    <cellStyle name="Check Cell 6" xfId="208"/>
    <cellStyle name="Check Cell 7" xfId="209"/>
    <cellStyle name="Explanatory Text 1" xfId="210"/>
    <cellStyle name="Explanatory Text 2" xfId="211"/>
    <cellStyle name="Explanatory Text 3" xfId="212"/>
    <cellStyle name="Explanatory Text 4" xfId="213"/>
    <cellStyle name="Explanatory Text 5" xfId="214"/>
    <cellStyle name="Explanatory Text 6" xfId="215"/>
    <cellStyle name="Explanatory Text 7" xfId="216"/>
    <cellStyle name="Good 1" xfId="217"/>
    <cellStyle name="Good 2" xfId="218"/>
    <cellStyle name="Good 3" xfId="219"/>
    <cellStyle name="Good 4" xfId="220"/>
    <cellStyle name="Good 5" xfId="221"/>
    <cellStyle name="Good 6" xfId="222"/>
    <cellStyle name="Good 7" xfId="223"/>
    <cellStyle name="Heading 1 1" xfId="224"/>
    <cellStyle name="Heading 1 2" xfId="225"/>
    <cellStyle name="Heading 1 3" xfId="226"/>
    <cellStyle name="Heading 1 4" xfId="227"/>
    <cellStyle name="Heading 1 5" xfId="228"/>
    <cellStyle name="Heading 1 6" xfId="229"/>
    <cellStyle name="Heading 1 7" xfId="230"/>
    <cellStyle name="Heading 2 1" xfId="231"/>
    <cellStyle name="Heading 2 2" xfId="232"/>
    <cellStyle name="Heading 2 3" xfId="233"/>
    <cellStyle name="Heading 2 4" xfId="234"/>
    <cellStyle name="Heading 2 5" xfId="235"/>
    <cellStyle name="Heading 2 6" xfId="236"/>
    <cellStyle name="Heading 2 7" xfId="237"/>
    <cellStyle name="Heading 3 1" xfId="238"/>
    <cellStyle name="Heading 3 2" xfId="239"/>
    <cellStyle name="Heading 3 3" xfId="240"/>
    <cellStyle name="Heading 3 4" xfId="241"/>
    <cellStyle name="Heading 3 5" xfId="242"/>
    <cellStyle name="Heading 3 6" xfId="243"/>
    <cellStyle name="Heading 3 7" xfId="244"/>
    <cellStyle name="Heading 4 1" xfId="245"/>
    <cellStyle name="Heading 4 2" xfId="246"/>
    <cellStyle name="Heading 4 3" xfId="247"/>
    <cellStyle name="Heading 4 4" xfId="248"/>
    <cellStyle name="Heading 4 5" xfId="249"/>
    <cellStyle name="Heading 4 6" xfId="250"/>
    <cellStyle name="Heading 4 7" xfId="251"/>
    <cellStyle name="Input 1" xfId="252"/>
    <cellStyle name="Input 2" xfId="253"/>
    <cellStyle name="Input 3" xfId="254"/>
    <cellStyle name="Input 4" xfId="255"/>
    <cellStyle name="Input 5" xfId="256"/>
    <cellStyle name="Input 6" xfId="257"/>
    <cellStyle name="Input 7" xfId="258"/>
    <cellStyle name="Linked Cell 1" xfId="259"/>
    <cellStyle name="Linked Cell 2" xfId="260"/>
    <cellStyle name="Linked Cell 3" xfId="261"/>
    <cellStyle name="Linked Cell 4" xfId="262"/>
    <cellStyle name="Linked Cell 5" xfId="263"/>
    <cellStyle name="Linked Cell 6" xfId="264"/>
    <cellStyle name="Linked Cell 7" xfId="265"/>
    <cellStyle name="Neutral 1" xfId="266"/>
    <cellStyle name="Neutral 2" xfId="267"/>
    <cellStyle name="Neutral 3" xfId="268"/>
    <cellStyle name="Neutral 4" xfId="269"/>
    <cellStyle name="Neutral 5" xfId="270"/>
    <cellStyle name="Neutral 6" xfId="271"/>
    <cellStyle name="Neutral 7" xfId="272"/>
    <cellStyle name="Normal 2" xfId="273"/>
    <cellStyle name="Normal 3" xfId="274"/>
    <cellStyle name="Normal 4" xfId="275"/>
    <cellStyle name="Normal 5" xfId="276"/>
    <cellStyle name="Note 1" xfId="277"/>
    <cellStyle name="Note 2" xfId="278"/>
    <cellStyle name="Note 3" xfId="279"/>
    <cellStyle name="Note 4" xfId="280"/>
    <cellStyle name="Note 5" xfId="281"/>
    <cellStyle name="Note 6" xfId="282"/>
    <cellStyle name="Note 7" xfId="283"/>
    <cellStyle name="Output 1" xfId="284"/>
    <cellStyle name="Output 2" xfId="285"/>
    <cellStyle name="Output 3" xfId="286"/>
    <cellStyle name="Output 4" xfId="287"/>
    <cellStyle name="Output 5" xfId="288"/>
    <cellStyle name="Output 6" xfId="289"/>
    <cellStyle name="Output 7" xfId="290"/>
    <cellStyle name="Pivot Table Category" xfId="291"/>
    <cellStyle name="Pivot Table Corner" xfId="292"/>
    <cellStyle name="Pivot Table Field" xfId="293"/>
    <cellStyle name="Pivot Table Result" xfId="294"/>
    <cellStyle name="Pivot Table Title" xfId="295"/>
    <cellStyle name="Pivot Table Value" xfId="296"/>
    <cellStyle name="Sun4" xfId="297"/>
    <cellStyle name="Sun4H" xfId="298"/>
    <cellStyle name="Title 1" xfId="299"/>
    <cellStyle name="Title 2" xfId="300"/>
    <cellStyle name="Title 3" xfId="301"/>
    <cellStyle name="Title 4" xfId="302"/>
    <cellStyle name="Title 5" xfId="303"/>
    <cellStyle name="Title 6" xfId="304"/>
    <cellStyle name="Title 7" xfId="305"/>
    <cellStyle name="Total 1" xfId="306"/>
    <cellStyle name="Total 2" xfId="307"/>
    <cellStyle name="Total 3" xfId="308"/>
    <cellStyle name="Total 4" xfId="309"/>
    <cellStyle name="Total 5" xfId="310"/>
    <cellStyle name="Total 6" xfId="311"/>
    <cellStyle name="Total 7" xfId="312"/>
    <cellStyle name="Warning Text 1" xfId="313"/>
    <cellStyle name="Warning Text 2" xfId="314"/>
    <cellStyle name="Warning Text 3" xfId="315"/>
    <cellStyle name="Warning Text 4" xfId="316"/>
    <cellStyle name="Warning Text 5" xfId="317"/>
    <cellStyle name="Warning Text 6" xfId="318"/>
    <cellStyle name="Warning Text 7" xfId="319"/>
    <cellStyle name="Excel Built-in Neutral" xfId="320"/>
    <cellStyle name="Excel Built-in Heading 2" xfId="321"/>
    <cellStyle name="*unknown*" xfId="20" builtinId="8"/>
    <cellStyle name="Excel Built-in Normal" xfId="322"/>
  </cellStyles>
  <dxfs count="46">
    <dxf>
      <fill>
        <patternFill patternType="solid">
          <bgColor rgb="FF000000"/>
        </patternFill>
      </fill>
    </dxf>
    <dxf>
      <fill>
        <patternFill patternType="solid">
          <fgColor rgb="FF000000"/>
          <bgColor rgb="FF000000"/>
        </patternFill>
      </fill>
    </dxf>
    <dxf>
      <fill>
        <patternFill patternType="solid">
          <fgColor rgb="FFF2E1EA"/>
          <bgColor rgb="FF000000"/>
        </patternFill>
      </fill>
    </dxf>
    <dxf>
      <fill>
        <patternFill patternType="solid">
          <fgColor rgb="FFFFFF00"/>
          <bgColor rgb="FF000000"/>
        </patternFill>
      </fill>
    </dxf>
    <dxf>
      <fill>
        <patternFill patternType="solid">
          <fgColor rgb="FFFFFF99"/>
          <bgColor rgb="FF000000"/>
        </patternFill>
      </fill>
    </dxf>
    <dxf>
      <fill>
        <patternFill patternType="solid">
          <fgColor rgb="FF993300"/>
          <bgColor rgb="FF000000"/>
        </patternFill>
      </fill>
    </dxf>
    <dxf>
      <fill>
        <patternFill patternType="solid">
          <fgColor rgb="FF000080"/>
          <bgColor rgb="FF000000"/>
        </patternFill>
      </fill>
    </dxf>
    <dxf>
      <fill>
        <patternFill patternType="solid">
          <fgColor rgb="FFFFCC99"/>
          <bgColor rgb="FF000000"/>
        </patternFill>
      </fill>
    </dxf>
    <dxf>
      <fill>
        <patternFill patternType="solid">
          <fgColor rgb="FFFFFFFF"/>
          <bgColor rgb="FF000000"/>
        </patternFill>
      </fill>
    </dxf>
    <dxf>
      <fill>
        <patternFill patternType="solid">
          <fgColor rgb="FFCCFFFF"/>
          <bgColor rgb="FF000000"/>
        </patternFill>
      </fill>
    </dxf>
    <dxf>
      <fill>
        <patternFill patternType="solid">
          <fgColor rgb="FFECE4F0"/>
          <bgColor rgb="FF000000"/>
        </patternFill>
      </fill>
    </dxf>
    <dxf>
      <fill>
        <patternFill patternType="solid">
          <fgColor rgb="FFFDEADA"/>
          <bgColor rgb="FF000000"/>
        </patternFill>
      </fill>
    </dxf>
    <dxf>
      <font>
        <name val="Calibri"/>
        <charset val="1"/>
        <family val="2"/>
        <color rgb="FF000000"/>
        <sz val="11"/>
      </font>
    </dxf>
    <dxf>
      <font>
        <name val="Calibri"/>
        <charset val="1"/>
        <family val="2"/>
        <color rgb="FF000000"/>
        <sz val="11"/>
      </font>
    </dxf>
    <dxf>
      <fill>
        <patternFill patternType="solid">
          <fgColor rgb="FFDBEEF4"/>
          <bgColor rgb="FF000000"/>
        </patternFill>
      </fill>
    </dxf>
    <dxf>
      <fill>
        <patternFill patternType="solid">
          <fgColor rgb="FFA6A6A6"/>
          <bgColor rgb="FF000000"/>
        </patternFill>
      </fill>
    </dxf>
    <dxf>
      <fill>
        <patternFill patternType="solid">
          <fgColor rgb="FF003300"/>
          <bgColor rgb="FF000000"/>
        </patternFill>
      </fill>
    </dxf>
    <dxf>
      <fill>
        <patternFill patternType="solid">
          <fgColor rgb="FF02DEFD"/>
          <bgColor rgb="FF000000"/>
        </patternFill>
      </fill>
    </dxf>
    <dxf>
      <fill>
        <patternFill patternType="solid">
          <fgColor rgb="FF003366"/>
          <bgColor rgb="FF000000"/>
        </patternFill>
      </fill>
    </dxf>
    <dxf>
      <fill>
        <patternFill patternType="solid">
          <fgColor rgb="FF017B79"/>
          <bgColor rgb="FF000000"/>
        </patternFill>
      </fill>
    </dxf>
    <dxf>
      <fill>
        <patternFill patternType="solid">
          <fgColor rgb="FF00FF00"/>
          <bgColor rgb="FF000000"/>
        </patternFill>
      </fill>
    </dxf>
    <dxf>
      <fill>
        <patternFill patternType="solid">
          <fgColor rgb="FF99CCFF"/>
          <bgColor rgb="FF000000"/>
        </patternFill>
      </fill>
    </dxf>
    <dxf>
      <font>
        <name val="Calibri"/>
        <charset val="1"/>
        <family val="2"/>
        <color rgb="FF000000"/>
        <sz val="11"/>
      </font>
    </dxf>
    <dxf>
      <font>
        <name val="Calibri"/>
        <charset val="1"/>
        <family val="2"/>
        <color rgb="FF000000"/>
        <sz val="11"/>
      </font>
    </dxf>
    <dxf>
      <font>
        <name val="Calibri"/>
        <charset val="1"/>
        <family val="2"/>
        <color rgb="FF000000"/>
        <sz val="11"/>
      </font>
    </dxf>
    <dxf>
      <font>
        <name val="Calibri"/>
        <charset val="1"/>
        <family val="2"/>
        <color rgb="FF000000"/>
        <sz val="11"/>
      </font>
    </dxf>
    <dxf>
      <font>
        <name val="Calibri"/>
        <charset val="1"/>
        <family val="2"/>
        <color rgb="FF000000"/>
        <sz val="11"/>
      </font>
    </dxf>
    <dxf>
      <font>
        <name val="Calibri"/>
        <charset val="1"/>
        <family val="2"/>
        <color rgb="FF000000"/>
        <sz val="11"/>
      </font>
    </dxf>
    <dxf>
      <font>
        <name val="Calibri"/>
        <charset val="1"/>
        <family val="2"/>
        <color rgb="FF000000"/>
        <sz val="11"/>
      </font>
    </dxf>
    <dxf>
      <font>
        <name val="Calibri"/>
        <charset val="1"/>
        <family val="2"/>
        <color rgb="FF000000"/>
        <sz val="11"/>
      </font>
    </dxf>
    <dxf>
      <font>
        <name val="Calibri"/>
        <charset val="1"/>
        <family val="2"/>
        <color rgb="FF000000"/>
        <sz val="11"/>
      </font>
    </dxf>
    <dxf>
      <fill>
        <patternFill patternType="solid">
          <fgColor rgb="FF606060"/>
          <bgColor rgb="FF000000"/>
        </patternFill>
      </fill>
    </dxf>
    <dxf>
      <fill>
        <patternFill patternType="solid">
          <fgColor rgb="FF800000"/>
          <bgColor rgb="FF000000"/>
        </patternFill>
      </fill>
    </dxf>
    <dxf>
      <fill>
        <patternFill patternType="solid">
          <fgColor rgb="FFC9211E"/>
          <bgColor rgb="FF000000"/>
        </patternFill>
      </fill>
    </dxf>
    <dxf>
      <fill>
        <patternFill patternType="solid">
          <fgColor rgb="FFF0F1EF"/>
          <bgColor rgb="FF000000"/>
        </patternFill>
      </fill>
    </dxf>
    <dxf>
      <fill>
        <patternFill patternType="solid">
          <fgColor rgb="FF800080"/>
          <bgColor rgb="FF000000"/>
        </patternFill>
      </fill>
    </dxf>
    <dxf>
      <font>
        <name val="Calibri"/>
        <charset val="1"/>
        <family val="2"/>
        <color rgb="FF000000"/>
        <sz val="11"/>
      </font>
    </dxf>
    <dxf>
      <font>
        <name val="Calibri"/>
        <charset val="1"/>
        <family val="2"/>
        <color rgb="FF000000"/>
        <sz val="11"/>
      </font>
    </dxf>
    <dxf>
      <font>
        <name val="Calibri"/>
        <charset val="1"/>
        <family val="2"/>
        <color rgb="FF000000"/>
        <sz val="11"/>
      </font>
    </dxf>
    <dxf>
      <font>
        <name val="Calibri"/>
        <charset val="1"/>
        <family val="2"/>
        <color rgb="FF000000"/>
        <sz val="11"/>
      </font>
    </dxf>
    <dxf>
      <font>
        <name val="Calibri"/>
        <charset val="1"/>
        <family val="2"/>
        <color rgb="FF000000"/>
        <sz val="11"/>
      </font>
    </dxf>
    <dxf>
      <font>
        <name val="Calibri"/>
        <charset val="1"/>
        <family val="2"/>
        <color rgb="FF000000"/>
        <sz val="11"/>
      </font>
    </dxf>
    <dxf>
      <font>
        <name val="Calibri"/>
        <charset val="1"/>
        <family val="2"/>
        <color rgb="FF000000"/>
        <sz val="11"/>
      </font>
    </dxf>
    <dxf>
      <font>
        <name val="Calibri"/>
        <charset val="1"/>
        <family val="2"/>
        <color rgb="FF000000"/>
        <sz val="11"/>
      </font>
    </dxf>
    <dxf>
      <fill>
        <patternFill patternType="solid">
          <fgColor rgb="FFFF0000"/>
          <bgColor rgb="FF000000"/>
        </patternFill>
      </fill>
    </dxf>
    <dxf>
      <fill>
        <patternFill patternType="solid">
          <fgColor rgb="FFEAE6F2"/>
          <bgColor rgb="FF000000"/>
        </patternFill>
      </fill>
    </dxf>
  </dxfs>
  <colors>
    <indexedColors>
      <rgbColor rgb="FF000000"/>
      <rgbColor rgb="FFFFFFFF"/>
      <rgbColor rgb="FFFF0000"/>
      <rgbColor rgb="FF00FF00"/>
      <rgbColor rgb="FF0000FF"/>
      <rgbColor rgb="FFFFFF00"/>
      <rgbColor rgb="FFFF00FF"/>
      <rgbColor rgb="FF00FFFF"/>
      <rgbColor rgb="FF840000"/>
      <rgbColor rgb="FF008001"/>
      <rgbColor rgb="FF000080"/>
      <rgbColor rgb="FF808004"/>
      <rgbColor rgb="FF800080"/>
      <rgbColor rgb="FF017B79"/>
      <rgbColor rgb="FFC0C0C0"/>
      <rgbColor rgb="FF808080"/>
      <rgbColor rgb="FFAAAAAA"/>
      <rgbColor rgb="FFD99694"/>
      <rgbColor rgb="FFFFFFCC"/>
      <rgbColor rgb="FFCCFFFF"/>
      <rgbColor rgb="FF610476"/>
      <rgbColor rgb="FFFF8080"/>
      <rgbColor rgb="FF016BCA"/>
      <rgbColor rgb="FFCCCCFF"/>
      <rgbColor rgb="FFF2F3F1"/>
      <rgbColor rgb="FFFED3C0"/>
      <rgbColor rgb="FFFFC000"/>
      <rgbColor rgb="FFD9D9D9"/>
      <rgbColor rgb="FFEAE6F2"/>
      <rgbColor rgb="FFFDEADA"/>
      <rgbColor rgb="FF9BBB59"/>
      <rgbColor rgb="FFF0F1EF"/>
      <rgbColor rgb="FF03DEFD"/>
      <rgbColor rgb="FFDBEEF4"/>
      <rgbColor rgb="FFCCFFCC"/>
      <rgbColor rgb="FFFFFF99"/>
      <rgbColor rgb="FF99CCFF"/>
      <rgbColor rgb="FFFF99CC"/>
      <rgbColor rgb="FFCC99FF"/>
      <rgbColor rgb="FFFFCC99"/>
      <rgbColor rgb="FFCCCDCB"/>
      <rgbColor rgb="FF24D3DB"/>
      <rgbColor rgb="FF92D050"/>
      <rgbColor rgb="FFFFCC00"/>
      <rgbColor rgb="FFFF9900"/>
      <rgbColor rgb="FFFF6600"/>
      <rgbColor rgb="FF625D67"/>
      <rgbColor rgb="FF969696"/>
      <rgbColor rgb="FF023275"/>
      <rgbColor rgb="FF339966"/>
      <rgbColor rgb="FF003300"/>
      <rgbColor rgb="FF333300"/>
      <rgbColor rgb="FFC62107"/>
      <rgbColor rgb="FFF79646"/>
      <rgbColor rgb="FFF2E1E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externalLink" Target="externalLinks/externalLink1.xml"/><Relationship Id="rId33" Type="http://schemas.openxmlformats.org/officeDocument/2006/relationships/sharedStrings" Target="sharedStrings.xml"/><Relationship Id="rId34" Type="http://schemas.openxmlformats.org/officeDocument/2006/relationships/pivotCacheDefinition" Target="pivotCache/pivotCacheDefinition1.xml"/><Relationship Id="rId35" Type="http://schemas.openxmlformats.org/officeDocument/2006/relationships/pivotCacheDefinition" Target="pivotCache/pivotCacheDefinition2.xml"/>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6</xdr:col>
      <xdr:colOff>56160</xdr:colOff>
      <xdr:row>4</xdr:row>
      <xdr:rowOff>29160</xdr:rowOff>
    </xdr:from>
    <xdr:to>
      <xdr:col>27</xdr:col>
      <xdr:colOff>77040</xdr:colOff>
      <xdr:row>15</xdr:row>
      <xdr:rowOff>187920</xdr:rowOff>
    </xdr:to>
    <xdr:sp>
      <xdr:nvSpPr>
        <xdr:cNvPr id="0" name="CustomShape 1"/>
        <xdr:cNvSpPr/>
      </xdr:nvSpPr>
      <xdr:spPr>
        <a:xfrm>
          <a:off x="3851640" y="791280"/>
          <a:ext cx="3821400" cy="2254320"/>
        </a:xfrm>
        <a:prstGeom prst="rect">
          <a:avLst/>
        </a:prstGeom>
        <a:solidFill>
          <a:srgbClr val="729fcf"/>
        </a:solidFill>
        <a:ln w="0">
          <a:solidFill>
            <a:srgbClr val="7d5fa0"/>
          </a:solidFill>
        </a:ln>
        <a:effectLst>
          <a:outerShdw blurRad="39960" dir="5400000" dist="20160" rotWithShape="0">
            <a:srgbClr val="000000">
              <a:alpha val="38000"/>
            </a:srgbClr>
          </a:outerShdw>
        </a:effectLst>
      </xdr:spPr>
      <xdr:style>
        <a:lnRef idx="1">
          <a:schemeClr val="accent4"/>
        </a:lnRef>
        <a:fillRef idx="2">
          <a:schemeClr val="accent4"/>
        </a:fillRef>
        <a:effectRef idx="1">
          <a:schemeClr val="accent4"/>
        </a:effectRef>
        <a:fontRef idx="minor"/>
      </xdr:style>
      <xdr:txBody>
        <a:bodyPr lIns="90000" rIns="90000" tIns="45000" bIns="45000" anchor="t">
          <a:noAutofit/>
        </a:bodyPr>
        <a:p>
          <a:pPr>
            <a:lnSpc>
              <a:spcPct val="100000"/>
            </a:lnSpc>
          </a:pPr>
          <a:r>
            <a:rPr b="0" lang="en-IN" sz="1100" strike="noStrike" u="none">
              <a:solidFill>
                <a:srgbClr val="000000"/>
              </a:solidFill>
              <a:effectLst/>
              <a:uFillTx/>
              <a:latin typeface="Calibri"/>
            </a:rPr>
            <a:t>*This sheet contains the text pasted from Jagannatha Hora software.  In the Jhora software open your chart, select edit copy basic calculations (this should have your chart text in clipboard) and then do paste in A2 cell here,</a:t>
          </a:r>
          <a:endParaRPr b="0" lang="en-US" sz="1100" strike="noStrike" u="none">
            <a:effectLst/>
            <a:uFillTx/>
            <a:latin typeface="Times New Roman"/>
          </a:endParaRPr>
        </a:p>
        <a:p>
          <a:pPr>
            <a:lnSpc>
              <a:spcPct val="100000"/>
            </a:lnSpc>
          </a:pPr>
          <a:r>
            <a:rPr b="0" lang="en-IN" sz="1100" strike="noStrike" u="none">
              <a:solidFill>
                <a:srgbClr val="000000"/>
              </a:solidFill>
              <a:effectLst/>
              <a:uFillTx/>
              <a:latin typeface="Calibri"/>
            </a:rPr>
            <a:t>*The 2</a:t>
          </a:r>
          <a:r>
            <a:rPr b="0" lang="en-IN" sz="1100" strike="noStrike" u="none" baseline="33000">
              <a:solidFill>
                <a:srgbClr val="000000"/>
              </a:solidFill>
              <a:effectLst/>
              <a:uFillTx/>
              <a:latin typeface="Calibri"/>
            </a:rPr>
            <a:t>nd</a:t>
          </a:r>
          <a:r>
            <a:rPr b="0" lang="en-IN" sz="1100" strike="noStrike" u="none">
              <a:solidFill>
                <a:srgbClr val="000000"/>
              </a:solidFill>
              <a:effectLst/>
              <a:uFillTx/>
              <a:latin typeface="Calibri"/>
            </a:rPr>
            <a:t> and 3 column can be used by you to note important dates and events descriptions.</a:t>
          </a:r>
          <a:endParaRPr b="0" lang="en-US" sz="1100" strike="noStrike" u="none">
            <a:effectLst/>
            <a:uFillTx/>
            <a:latin typeface="Times New Roman"/>
          </a:endParaRPr>
        </a:p>
        <a:p>
          <a:pPr>
            <a:lnSpc>
              <a:spcPct val="100000"/>
            </a:lnSpc>
          </a:pPr>
          <a:r>
            <a:rPr b="0" lang="en-IN" sz="1100" strike="noStrike" u="none">
              <a:solidFill>
                <a:srgbClr val="000000"/>
              </a:solidFill>
              <a:effectLst/>
              <a:uFillTx/>
              <a:latin typeface="Calibri"/>
            </a:rPr>
            <a:t>*You use this sheet as indirect reference to 1st sheet from HoraGanakaData.xls.</a:t>
          </a:r>
          <a:endParaRPr b="0" lang="en-US" sz="1100" strike="noStrike" u="none">
            <a:effectLst/>
            <a:uFillTx/>
            <a:latin typeface="Times New Roman"/>
          </a:endParaRPr>
        </a:p>
        <a:p>
          <a:pPr>
            <a:lnSpc>
              <a:spcPct val="100000"/>
            </a:lnSpc>
          </a:pPr>
          <a:r>
            <a:rPr b="0" lang="en-IN" sz="1100" strike="noStrike" u="none">
              <a:solidFill>
                <a:srgbClr val="000000"/>
              </a:solidFill>
              <a:effectLst/>
              <a:uFillTx/>
              <a:latin typeface="Calibri"/>
            </a:rPr>
            <a:t>You can keep many charts, pasted with basic information from Jagannatha Hora Software.</a:t>
          </a:r>
          <a:endParaRPr b="0" lang="en-US" sz="1100" strike="noStrike" u="none">
            <a:effectLst/>
            <a:uFillTx/>
            <a:latin typeface="Times New Roman"/>
          </a:endParaRPr>
        </a:p>
        <a:p>
          <a:pPr>
            <a:lnSpc>
              <a:spcPct val="100000"/>
            </a:lnSpc>
          </a:pPr>
          <a:r>
            <a:rPr b="0" lang="en-IN" sz="1100" strike="noStrike" u="none">
              <a:solidFill>
                <a:srgbClr val="000000"/>
              </a:solidFill>
              <a:effectLst/>
              <a:uFillTx/>
              <a:latin typeface="Calibri"/>
            </a:rPr>
            <a:t>HoraGanakaData.xls will contain the 1st sheet with Selected data for calculation in this sheet (HoraGanaka.xls).</a:t>
          </a:r>
          <a:endParaRPr b="0" lang="en-US" sz="1100" strike="noStrike" u="none">
            <a:effectLst/>
            <a:uFillTx/>
            <a:latin typeface="Times New Roman"/>
          </a:endParaRPr>
        </a:p>
        <a:p>
          <a:pPr>
            <a:lnSpc>
              <a:spcPct val="100000"/>
            </a:lnSpc>
          </a:pPr>
          <a:r>
            <a:rPr b="0" lang="en-IN" sz="1100" strike="noStrike" u="none">
              <a:solidFill>
                <a:srgbClr val="000000"/>
              </a:solidFill>
              <a:effectLst/>
              <a:uFillTx/>
              <a:latin typeface="Calibri"/>
            </a:rPr>
            <a:t>Basics: Sheet will contain the degrees etc of grahas pulled from this sheet.</a:t>
          </a:r>
          <a:endParaRPr b="0" lang="en-US" sz="1100" strike="noStrike" u="none">
            <a:effectLst/>
            <a:uFillTx/>
            <a:latin typeface="Times New Roman"/>
          </a:endParaRPr>
        </a:p>
        <a:p>
          <a:pPr>
            <a:lnSpc>
              <a:spcPct val="100000"/>
            </a:lnSpc>
          </a:pPr>
          <a:endParaRPr b="0" lang="en-US" sz="1100" strike="noStrike" u="non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444240</xdr:colOff>
      <xdr:row>2</xdr:row>
      <xdr:rowOff>15840</xdr:rowOff>
    </xdr:from>
    <xdr:to>
      <xdr:col>9</xdr:col>
      <xdr:colOff>547560</xdr:colOff>
      <xdr:row>2</xdr:row>
      <xdr:rowOff>571320</xdr:rowOff>
    </xdr:to>
    <xdr:sp>
      <xdr:nvSpPr>
        <xdr:cNvPr id="1" name="Line 1"/>
        <xdr:cNvSpPr/>
      </xdr:nvSpPr>
      <xdr:spPr>
        <a:xfrm>
          <a:off x="5117760" y="1158840"/>
          <a:ext cx="687600" cy="555480"/>
        </a:xfrm>
        <a:prstGeom prst="line">
          <a:avLst/>
        </a:prstGeom>
        <a:ln w="9360">
          <a:solidFill>
            <a:srgbClr val="000000"/>
          </a:solidFill>
          <a:round/>
        </a:ln>
      </xdr:spPr>
      <xdr:style>
        <a:lnRef idx="0"/>
        <a:fillRef idx="0"/>
        <a:effectRef idx="0"/>
        <a:fontRef idx="minor"/>
      </xdr:style>
    </xdr:sp>
    <xdr:clientData/>
  </xdr:twoCellAnchor>
  <xdr:twoCellAnchor editAs="twoCell">
    <xdr:from>
      <xdr:col>8</xdr:col>
      <xdr:colOff>428400</xdr:colOff>
      <xdr:row>3</xdr:row>
      <xdr:rowOff>39600</xdr:rowOff>
    </xdr:from>
    <xdr:to>
      <xdr:col>9</xdr:col>
      <xdr:colOff>547560</xdr:colOff>
      <xdr:row>3</xdr:row>
      <xdr:rowOff>547560</xdr:rowOff>
    </xdr:to>
    <xdr:sp>
      <xdr:nvSpPr>
        <xdr:cNvPr id="2" name="Line 1"/>
        <xdr:cNvSpPr/>
      </xdr:nvSpPr>
      <xdr:spPr>
        <a:xfrm flipH="1">
          <a:off x="5101920" y="1754280"/>
          <a:ext cx="703440" cy="507960"/>
        </a:xfrm>
        <a:prstGeom prst="line">
          <a:avLst/>
        </a:prstGeom>
        <a:ln w="9360">
          <a:solidFill>
            <a:srgbClr val="000000"/>
          </a:solidFill>
          <a:round/>
        </a:ln>
      </xdr:spPr>
      <xdr:style>
        <a:lnRef idx="0"/>
        <a:fillRef idx="0"/>
        <a:effectRef idx="0"/>
        <a:fontRef idx="minor"/>
      </xdr:style>
    </xdr:sp>
    <xdr:clientData/>
  </xdr:twoCellAnchor>
  <xdr:twoCellAnchor editAs="twoCell">
    <xdr:from>
      <xdr:col>8</xdr:col>
      <xdr:colOff>23760</xdr:colOff>
      <xdr:row>3</xdr:row>
      <xdr:rowOff>0</xdr:rowOff>
    </xdr:from>
    <xdr:to>
      <xdr:col>8</xdr:col>
      <xdr:colOff>404640</xdr:colOff>
      <xdr:row>3</xdr:row>
      <xdr:rowOff>523800</xdr:rowOff>
    </xdr:to>
    <xdr:sp>
      <xdr:nvSpPr>
        <xdr:cNvPr id="3" name="Line 1"/>
        <xdr:cNvSpPr/>
      </xdr:nvSpPr>
      <xdr:spPr>
        <a:xfrm flipH="1" flipV="1">
          <a:off x="4697280" y="1714680"/>
          <a:ext cx="380880" cy="523800"/>
        </a:xfrm>
        <a:prstGeom prst="line">
          <a:avLst/>
        </a:prstGeom>
        <a:ln w="9360">
          <a:solidFill>
            <a:srgbClr val="000000"/>
          </a:solidFill>
          <a:round/>
        </a:ln>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7</xdr:col>
      <xdr:colOff>24840</xdr:colOff>
      <xdr:row>0</xdr:row>
      <xdr:rowOff>107640</xdr:rowOff>
    </xdr:from>
    <xdr:to>
      <xdr:col>10</xdr:col>
      <xdr:colOff>50400</xdr:colOff>
      <xdr:row>7</xdr:row>
      <xdr:rowOff>58680</xdr:rowOff>
    </xdr:to>
    <xdr:sp>
      <xdr:nvSpPr>
        <xdr:cNvPr id="4" name="CustomShape 1"/>
        <xdr:cNvSpPr/>
      </xdr:nvSpPr>
      <xdr:spPr>
        <a:xfrm>
          <a:off x="3884400" y="107640"/>
          <a:ext cx="1052280" cy="1284480"/>
        </a:xfrm>
        <a:prstGeom prst="circularArrow">
          <a:avLst>
            <a:gd name="adj1" fmla="val 12500"/>
            <a:gd name="adj2" fmla="val 1142319"/>
            <a:gd name="adj3" fmla="val 20457681"/>
            <a:gd name="adj4" fmla="val 10800000"/>
            <a:gd name="adj5" fmla="val 12500"/>
          </a:avLst>
        </a:prstGeom>
        <a:solidFill>
          <a:srgbClr val="ffffff"/>
        </a:solidFill>
        <a:ln w="9360">
          <a:solidFill>
            <a:srgbClr val="000000"/>
          </a:solidFill>
          <a:round/>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23</xdr:col>
      <xdr:colOff>133200</xdr:colOff>
      <xdr:row>1</xdr:row>
      <xdr:rowOff>47520</xdr:rowOff>
    </xdr:from>
    <xdr:to>
      <xdr:col>40</xdr:col>
      <xdr:colOff>125640</xdr:colOff>
      <xdr:row>15</xdr:row>
      <xdr:rowOff>135360</xdr:rowOff>
    </xdr:to>
    <xdr:pic>
      <xdr:nvPicPr>
        <xdr:cNvPr id="5" name="Picture 4" descr=""/>
        <xdr:cNvPicPr/>
      </xdr:nvPicPr>
      <xdr:blipFill>
        <a:blip r:embed="rId1"/>
        <a:stretch/>
      </xdr:blipFill>
      <xdr:spPr>
        <a:xfrm>
          <a:off x="7771680" y="237960"/>
          <a:ext cx="5638320" cy="4278960"/>
        </a:xfrm>
        <a:prstGeom prst="rect">
          <a:avLst/>
        </a:prstGeom>
        <a:noFill/>
        <a:ln w="936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file:///home/sanjay/github/HoraGanaka/HoraGanakaData.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elected Chart"/>
      <sheetName val="Sanjay Prabhakaran"/>
      <sheetName val="Narayan"/>
      <sheetName val="Sonia Gandhi"/>
      <sheetName val="PVR"/>
    </sheetNames>
    <sheetDataSet>
      <sheetData sheetId="0">
        <row r="2">
          <cell r="A2" t="str">
            <v>Chart</v>
          </cell>
          <cell r="B2" t="str">
            <v>Date</v>
          </cell>
          <cell r="C2" t="str">
            <v>Event</v>
          </cell>
        </row>
      </sheetData>
      <sheetData sheetId="1"/>
      <sheetData sheetId="2"/>
      <sheetData sheetId="3"/>
      <sheetData sheetId="4"/>
    </sheetDataSet>
  </externalBook>
</externalLink>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r:id="rId1" recordCount="127" createdVersion="3">
  <cacheSource type="worksheet">
    <worksheetSource ref="A1:S128" sheet="Yuti Yoga"/>
  </cacheSource>
  <cacheFields count="19">
    <cacheField name="Yoga#" numFmtId="0">
      <sharedItems containsSemiMixedTypes="0" containsString="0" containsNumber="1" containsInteger="1" minValue="1" maxValue="127" count="12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sharedItems>
    </cacheField>
    <cacheField name="Sat" numFmtId="0">
      <sharedItems containsSemiMixedTypes="0" containsString="0" containsNumber="1" containsInteger="1" minValue="0" maxValue="1" count="2">
        <n v="0"/>
        <n v="1"/>
      </sharedItems>
    </cacheField>
    <cacheField name="Ve" numFmtId="0">
      <sharedItems containsSemiMixedTypes="0" containsString="0" containsNumber="1" containsInteger="1" minValue="0" maxValue="1" count="2">
        <n v="0"/>
        <n v="1"/>
      </sharedItems>
    </cacheField>
    <cacheField name="Ju" numFmtId="0">
      <sharedItems containsSemiMixedTypes="0" containsString="0" containsNumber="1" containsInteger="1" minValue="0" maxValue="1" count="2">
        <n v="0"/>
        <n v="1"/>
      </sharedItems>
    </cacheField>
    <cacheField name="Me" numFmtId="0">
      <sharedItems containsSemiMixedTypes="0" containsString="0" containsNumber="1" containsInteger="1" minValue="0" maxValue="1" count="2">
        <n v="0"/>
        <n v="1"/>
      </sharedItems>
    </cacheField>
    <cacheField name="Ma" numFmtId="0">
      <sharedItems containsSemiMixedTypes="0" containsString="0" containsNumber="1" containsInteger="1" minValue="0" maxValue="1" count="2">
        <n v="0"/>
        <n v="1"/>
      </sharedItems>
    </cacheField>
    <cacheField name="Mo" numFmtId="0">
      <sharedItems containsSemiMixedTypes="0" containsString="0" containsNumber="1" containsInteger="1" minValue="0" maxValue="1" count="2">
        <n v="0"/>
        <n v="1"/>
      </sharedItems>
    </cacheField>
    <cacheField name="Su" numFmtId="0">
      <sharedItems containsSemiMixedTypes="0" containsString="0" containsNumber="1" containsInteger="1" minValue="0" maxValue="1" count="2">
        <n v="0"/>
        <n v="1"/>
      </sharedItems>
    </cacheField>
    <cacheField name="Grahas" numFmtId="0">
      <sharedItems containsSemiMixedTypes="0" containsString="0" containsNumber="1" containsInteger="1" minValue="1" maxValue="7" count="7">
        <n v="1"/>
        <n v="2"/>
        <n v="3"/>
        <n v="4"/>
        <n v="5"/>
        <n v="6"/>
        <n v="7"/>
      </sharedItems>
    </cacheField>
    <cacheField name="Yoga Name/Results" numFmtId="0">
      <sharedItems containsBlank="1" count="32">
        <s v="Dharmi,Shaastra Para, Vichitra Gunavaan"/>
        <s v="Dwi Guru"/>
        <s v="GiriVana Tapasvi Sarvavandya"/>
        <s v="Gola Yoga"/>
        <s v="Jatadhara Valka Dharini"/>
        <s v="Kustriika, pitru dooshaka, gata dhana"/>
        <s v="Muni Tapasvi"/>
        <s v="Muni Tapasvi//Tapasvi Aayata Aksha"/>
        <s v="paapaatma, krivikriya kushala"/>
        <s v="Praayamati(Dull), Sapatna(Enemy)Vashaga"/>
        <s v="Saadhu Janaa Aashraya, Atimatimaan."/>
        <s v="Shoora,Satkula,Dharma,Vitta,Gunavaan"/>
        <s v="Shraddha Karma Para, Nripapriya, Dhani"/>
        <s v="Stree Vasha, Kriya Nipuna"/>
        <s v="Strimula Archita Bandumaan, Praangya,"/>
        <s v="Tapasi"/>
        <s v="Tapasvi"/>
        <s v="Tapasvi Moola Phala Ashna"/>
        <s v="Tapasvi Shaanta"/>
        <s v="Tejasvi, Bala Satvavaan, Anrita Vaak, Paapi"/>
        <s v="Vagmi, Aushadhisha,"/>
        <s v="Vanaparya"/>
        <s v="Vidya Muni Astradooshaka"/>
        <s v="Vidya,Rupa,Balanvita, Astiramati"/>
        <s v="Vrata"/>
        <s v="Vrati"/>
        <s v="Vrati/Tapasvi Aayata Aksha"/>
        <s v="Yati Dukhita Deena"/>
        <s v="Yati Valka Phala Ashna"/>
        <s v="Yati Valka Phala Ashna (?)/GiriVana Tapasvi Sarvavandya"/>
        <s v="Yati ValkalaBhuti Dhara"/>
        <m/>
      </sharedItems>
    </cacheField>
    <cacheField name="References" numFmtId="0">
      <sharedItems containsBlank="1" count="35">
        <s v="BPHS Nabhasa Yoga"/>
        <s v="JP15.24"/>
        <s v="JP15.26"/>
        <s v="JP15.27"/>
        <s v="JP15.28"/>
        <s v="JP15.29 (1)/JP15.39 (1)"/>
        <s v="JP15.29 (2)"/>
        <s v="JP15.29 (3)"/>
        <s v="JP15.30 (1)//JP15.39 (2)"/>
        <s v="JP15.30 (2)"/>
        <s v="JP15.31  (1)"/>
        <s v="JP15.31  (2)"/>
        <s v="JP15.32 (1)"/>
        <s v="JP15.32 (2)"/>
        <s v="JP15.32 (3)"/>
        <s v="JP15.33 (1)"/>
        <s v="JP15.33 (2)"/>
        <s v="JP15.34 (1)"/>
        <s v="JP15.34 (2)"/>
        <s v="JP15.35 (1)"/>
        <s v="JP15.35 (2)"/>
        <s v="JP15.35 (3)?/JP15.36 (4)"/>
        <s v="JP15.36 (1)"/>
        <s v="JP15.36 (2)"/>
        <s v="JP15.36 (3)"/>
        <s v="JP15.36 (4)"/>
        <s v="JP15.37 (1)"/>
        <s v="JP15.37 (2)"/>
        <s v="JP15.37 (3)"/>
        <s v="JP15.38 (1)"/>
        <s v="JP15.38 (2)"/>
        <s v="JP8.1"/>
        <s v="JP8.2"/>
        <s v="JP8.3"/>
        <m/>
      </sharedItems>
    </cacheField>
    <cacheField name="Conjoined Grahas" numFmtId="0">
      <sharedItems count="127">
        <s v="      Su"/>
        <s v="     Mo "/>
        <s v="     Mo Su"/>
        <s v="    Ma  "/>
        <s v="    Ma  Su"/>
        <s v="    Ma Mo "/>
        <s v="    Ma Mo Su"/>
        <s v="   Me   "/>
        <s v="   Me   Su"/>
        <s v="   Me  Mo "/>
        <s v="   Me  Mo Su"/>
        <s v="   Me Ma  "/>
        <s v="   Me Ma  Su"/>
        <s v="   Me Ma Mo "/>
        <s v="   Me Ma Mo Su"/>
        <s v="  Ju    "/>
        <s v="  Ju    Su"/>
        <s v="  Ju   Mo "/>
        <s v="  Ju   Mo Su"/>
        <s v="  Ju  Ma  "/>
        <s v="  Ju  Ma  Su"/>
        <s v="  Ju  Ma Mo "/>
        <s v="  Ju  Ma Mo Su"/>
        <s v="  Ju Me   "/>
        <s v="  Ju Me   Su"/>
        <s v="  Ju Me  Mo "/>
        <s v="  Ju Me  Mo Su"/>
        <s v="  Ju Me Ma  "/>
        <s v="  Ju Me Ma  Su"/>
        <s v="  Ju Me Ma Mo "/>
        <s v="  Ju Me Ma Mo Su"/>
        <s v=" Ve     "/>
        <s v=" Ve     Su"/>
        <s v=" Ve    Mo "/>
        <s v=" Ve    Mo Su"/>
        <s v=" Ve   Ma  "/>
        <s v=" Ve   Ma  Su"/>
        <s v=" Ve   Ma Mo "/>
        <s v=" Ve   Ma Mo Su"/>
        <s v=" Ve  Me   "/>
        <s v=" Ve  Me   Su"/>
        <s v=" Ve  Me  Mo "/>
        <s v=" Ve  Me  Mo Su"/>
        <s v=" Ve  Me Ma  "/>
        <s v=" Ve  Me Ma  Su"/>
        <s v=" Ve  Me Ma Mo "/>
        <s v=" Ve  Me Ma Mo Su"/>
        <s v=" Ve Ju    "/>
        <s v=" Ve Ju    Su"/>
        <s v=" Ve Ju   Mo "/>
        <s v=" Ve Ju   Mo Su"/>
        <s v=" Ve Ju  Ma  "/>
        <s v=" Ve Ju  Ma  Su"/>
        <s v=" Ve Ju  Ma Mo "/>
        <s v=" Ve Ju  Ma Mo Su"/>
        <s v=" Ve Ju Me   "/>
        <s v=" Ve Ju Me   Su"/>
        <s v=" Ve Ju Me  Mo "/>
        <s v=" Ve Ju Me  Mo Su"/>
        <s v=" Ve Ju Me Ma  "/>
        <s v=" Ve Ju Me Ma  Su"/>
        <s v=" Ve Ju Me Ma Mo "/>
        <s v=" Ve Ju Me Ma Mo Su"/>
        <s v="Sat      "/>
        <s v="Sat      Su"/>
        <s v="Sat     Mo "/>
        <s v="Sat     Mo Su"/>
        <s v="Sat    Ma  "/>
        <s v="Sat    Ma  Su"/>
        <s v="Sat    Ma Mo "/>
        <s v="Sat    Ma Mo Su"/>
        <s v="Sat   Me   "/>
        <s v="Sat   Me   Su"/>
        <s v="Sat   Me  Mo "/>
        <s v="Sat   Me  Mo Su"/>
        <s v="Sat   Me Ma  "/>
        <s v="Sat   Me Ma  Su"/>
        <s v="Sat   Me Ma Mo "/>
        <s v="Sat   Me Ma Mo Su"/>
        <s v="Sat  Ju    "/>
        <s v="Sat  Ju    Su"/>
        <s v="Sat  Ju   Mo "/>
        <s v="Sat  Ju   Mo Su"/>
        <s v="Sat  Ju  Ma  "/>
        <s v="Sat  Ju  Ma  Su"/>
        <s v="Sat  Ju  Ma Mo "/>
        <s v="Sat  Ju  Ma Mo Su"/>
        <s v="Sat  Ju Me   "/>
        <s v="Sat  Ju Me   Su"/>
        <s v="Sat  Ju Me  Mo "/>
        <s v="Sat  Ju Me  Mo Su"/>
        <s v="Sat  Ju Me Ma  "/>
        <s v="Sat  Ju Me Ma  Su"/>
        <s v="Sat  Ju Me Ma Mo "/>
        <s v="Sat  Ju Me Ma Mo Su"/>
        <s v="Sat Ve     "/>
        <s v="Sat Ve     Su"/>
        <s v="Sat Ve    Mo "/>
        <s v="Sat Ve    Mo Su"/>
        <s v="Sat Ve   Ma  "/>
        <s v="Sat Ve   Ma  Su"/>
        <s v="Sat Ve   Ma Mo "/>
        <s v="Sat Ve   Ma Mo Su"/>
        <s v="Sat Ve  Me   "/>
        <s v="Sat Ve  Me   Su"/>
        <s v="Sat Ve  Me  Mo "/>
        <s v="Sat Ve  Me  Mo Su"/>
        <s v="Sat Ve  Me Ma  "/>
        <s v="Sat Ve  Me Ma  Su"/>
        <s v="Sat Ve  Me Ma Mo "/>
        <s v="Sat Ve  Me Ma Mo Su"/>
        <s v="Sat Ve Ju    "/>
        <s v="Sat Ve Ju    Su"/>
        <s v="Sat Ve Ju   Mo "/>
        <s v="Sat Ve Ju   Mo Su"/>
        <s v="Sat Ve Ju  Ma  "/>
        <s v="Sat Ve Ju  Ma  Su"/>
        <s v="Sat Ve Ju  Ma Mo "/>
        <s v="Sat Ve Ju  Ma Mo Su"/>
        <s v="Sat Ve Ju Me   "/>
        <s v="Sat Ve Ju Me   Su"/>
        <s v="Sat Ve Ju Me  Mo "/>
        <s v="Sat Ve Ju Me  Mo Su"/>
        <s v="Sat Ve Ju Me Ma  "/>
        <s v="Sat Ve Ju Me Ma  Su"/>
        <s v="Sat Ve Ju Me Ma Mo "/>
        <s v="Sat Ve Ju Me Ma Mo Su"/>
      </sharedItems>
    </cacheField>
    <cacheField name="Sat2" numFmtId="0">
      <sharedItems count="2">
        <s v=""/>
        <s v="Sat"/>
      </sharedItems>
    </cacheField>
    <cacheField name="Column2" numFmtId="0">
      <sharedItems count="2">
        <s v=""/>
        <s v="Ve"/>
      </sharedItems>
    </cacheField>
    <cacheField name="Column3" numFmtId="0">
      <sharedItems count="2">
        <s v=""/>
        <s v="Ju"/>
      </sharedItems>
    </cacheField>
    <cacheField name="Column4" numFmtId="0">
      <sharedItems count="2">
        <s v=""/>
        <s v="Me"/>
      </sharedItems>
    </cacheField>
    <cacheField name="Column5" numFmtId="0">
      <sharedItems count="2">
        <s v=""/>
        <s v="Ma"/>
      </sharedItems>
    </cacheField>
    <cacheField name="Column6" numFmtId="0">
      <sharedItems count="2">
        <s v=""/>
        <s v="Mo"/>
      </sharedItems>
    </cacheField>
    <cacheField name="Column7" numFmtId="0">
      <sharedItems count="2">
        <s v=""/>
        <s v="Su"/>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36" createdVersion="3">
  <cacheSource type="worksheet">
    <worksheetSource ref="A731:E767" sheet="DATA"/>
  </cacheSource>
  <cacheFields count="5">
    <cacheField name="D3" numFmtId="0">
      <sharedItems containsSemiMixedTypes="0" containsString="0" containsNumber="1" containsInteger="1" minValue="1" maxValue="36" count="36">
        <n v="1"/>
        <n v="2"/>
        <n v="3"/>
        <n v="4"/>
        <n v="5"/>
        <n v="6"/>
        <n v="7"/>
        <n v="8"/>
        <n v="9"/>
        <n v="10"/>
        <n v="11"/>
        <n v="12"/>
        <n v="13"/>
        <n v="14"/>
        <n v="15"/>
        <n v="16"/>
        <n v="17"/>
        <n v="18"/>
        <n v="19"/>
        <n v="20"/>
        <n v="21"/>
        <n v="22"/>
        <n v="23"/>
        <n v="24"/>
        <n v="25"/>
        <n v="26"/>
        <n v="27"/>
        <n v="28"/>
        <n v="29"/>
        <n v="30"/>
        <n v="31"/>
        <n v="32"/>
        <n v="33"/>
        <n v="34"/>
        <n v="35"/>
        <n v="36"/>
      </sharedItems>
    </cacheField>
    <cacheField name="Sign" numFmtId="0">
      <sharedItems count="12">
        <s v="Dhanura"/>
        <s v="Kanya"/>
        <s v="Karka"/>
        <s v="Kumbha"/>
        <s v="Makara"/>
        <s v="Meena"/>
        <s v="Mesha"/>
        <s v="Mithuna"/>
        <s v="Simha"/>
        <s v="Tula"/>
        <s v="Vrishabha"/>
        <s v="Vrishchika"/>
      </sharedItems>
    </cacheField>
    <cacheField name="Drekkana" numFmtId="0">
      <sharedItems containsSemiMixedTypes="0" containsString="0" containsNumber="1" containsInteger="1" minValue="1" maxValue="3" count="3">
        <n v="1"/>
        <n v="2"/>
        <n v="3"/>
      </sharedItems>
    </cacheField>
    <cacheField name="VaidyanaathaDx" numFmtId="0">
      <sharedItems count="4">
        <s v="Benefic"/>
        <s v="Malefic"/>
        <s v="Mixed"/>
        <s v="WaterBearing"/>
      </sharedItems>
    </cacheField>
    <cacheField name="Varaahamihira" numFmtId="0">
      <sharedItems containsBlank="1" count="16">
        <s v="Female having lotus on head?,with bhogi, between branches of phalaasha, crying?"/>
        <s v="Man Cruel,Artist, Yellow(Kapila), Task Minded, Unprincipled, Holding Baton, Red cloth, Agressive (Chanda)"/>
        <s v="Man decorated, like varuna, many jewels,armoured with quiver and bow, skilled in dancing,arts and poetry."/>
        <s v="Man holding leaves fruits and roots, with elephant features,(forest resident?), feet like sharabha(like tiger?), horse necked"/>
        <s v="Man in Garden with armour, bow. Brave, Face like Garuda,Playful,with children,ornaments and wealth"/>
        <s v="Man knowing Agriculture and animals with carts, ox like shoulders, "/>
        <s v="Man wearing dirty clother and on shaalmali tree a vulture,a jackal, dog, crying parents, brahmans?,"/>
        <s v="Man with bears face, behaves like monkey, holds a baton, has fruits and meats, rough/curled hair?"/>
        <s v="Man with Elephant features, white teeth,legs like sharabha (like tiger), yellowish, catches of sheep and deer."/>
        <s v="Man with horse like body, wearing white garlands, wearing black blanket, fierce like lion with bow in hand and bent nose."/>
        <s v="Man with white dhoti, dark complexion, protecting with axe, red eyes "/>
        <s v="Man with Wife,jewels, travelling ocean, with ships,wearing snakes(like dress?), in search of wealth."/>
        <s v="Woman wearing Red, fond of ornaments and food, pot shapped, horse faced,thirsty,(eka paden/one legged?)"/>
        <s v="Women curled/dishealve/cut hair, pot shapped, burnt cloths, thirsty, fond of food and ornaments"/>
        <s v="Women fond of needle work,goodlooking and fond of ornaments, less children, raised hand?"/>
        <m/>
      </sharedItems>
    </cacheField>
  </cacheFields>
</pivotCacheDefinition>
</file>

<file path=xl/pivotCache/pivotCacheRecords1.xml><?xml version="1.0" encoding="utf-8"?>
<pivotCacheRecords xmlns="http://schemas.openxmlformats.org/spreadsheetml/2006/main" xmlns:r="http://schemas.openxmlformats.org/officeDocument/2006/relationships" count="127">
  <r>
    <x v="0"/>
    <x v="0"/>
    <x v="0"/>
    <x v="0"/>
    <x v="0"/>
    <x v="0"/>
    <x v="0"/>
    <x v="1"/>
    <x v="0"/>
    <x v="31"/>
    <x v="34"/>
    <x v="0"/>
    <x v="0"/>
    <x v="0"/>
    <x v="0"/>
    <x v="0"/>
    <x v="0"/>
    <x v="0"/>
    <x v="1"/>
  </r>
  <r>
    <x v="1"/>
    <x v="0"/>
    <x v="0"/>
    <x v="0"/>
    <x v="0"/>
    <x v="0"/>
    <x v="1"/>
    <x v="0"/>
    <x v="0"/>
    <x v="31"/>
    <x v="34"/>
    <x v="1"/>
    <x v="0"/>
    <x v="0"/>
    <x v="0"/>
    <x v="0"/>
    <x v="0"/>
    <x v="1"/>
    <x v="0"/>
  </r>
  <r>
    <x v="2"/>
    <x v="0"/>
    <x v="0"/>
    <x v="0"/>
    <x v="0"/>
    <x v="0"/>
    <x v="1"/>
    <x v="1"/>
    <x v="1"/>
    <x v="13"/>
    <x v="31"/>
    <x v="2"/>
    <x v="0"/>
    <x v="0"/>
    <x v="0"/>
    <x v="0"/>
    <x v="0"/>
    <x v="1"/>
    <x v="1"/>
  </r>
  <r>
    <x v="3"/>
    <x v="0"/>
    <x v="0"/>
    <x v="0"/>
    <x v="0"/>
    <x v="1"/>
    <x v="0"/>
    <x v="0"/>
    <x v="0"/>
    <x v="31"/>
    <x v="34"/>
    <x v="3"/>
    <x v="0"/>
    <x v="0"/>
    <x v="0"/>
    <x v="0"/>
    <x v="1"/>
    <x v="0"/>
    <x v="0"/>
  </r>
  <r>
    <x v="4"/>
    <x v="0"/>
    <x v="0"/>
    <x v="0"/>
    <x v="0"/>
    <x v="1"/>
    <x v="0"/>
    <x v="1"/>
    <x v="1"/>
    <x v="19"/>
    <x v="31"/>
    <x v="4"/>
    <x v="0"/>
    <x v="0"/>
    <x v="0"/>
    <x v="0"/>
    <x v="1"/>
    <x v="0"/>
    <x v="1"/>
  </r>
  <r>
    <x v="5"/>
    <x v="0"/>
    <x v="0"/>
    <x v="0"/>
    <x v="0"/>
    <x v="1"/>
    <x v="1"/>
    <x v="0"/>
    <x v="1"/>
    <x v="11"/>
    <x v="32"/>
    <x v="5"/>
    <x v="0"/>
    <x v="0"/>
    <x v="0"/>
    <x v="0"/>
    <x v="1"/>
    <x v="1"/>
    <x v="0"/>
  </r>
  <r>
    <x v="6"/>
    <x v="0"/>
    <x v="0"/>
    <x v="0"/>
    <x v="0"/>
    <x v="1"/>
    <x v="1"/>
    <x v="1"/>
    <x v="2"/>
    <x v="31"/>
    <x v="34"/>
    <x v="6"/>
    <x v="0"/>
    <x v="0"/>
    <x v="0"/>
    <x v="0"/>
    <x v="1"/>
    <x v="1"/>
    <x v="1"/>
  </r>
  <r>
    <x v="7"/>
    <x v="0"/>
    <x v="0"/>
    <x v="0"/>
    <x v="1"/>
    <x v="0"/>
    <x v="0"/>
    <x v="0"/>
    <x v="0"/>
    <x v="31"/>
    <x v="34"/>
    <x v="7"/>
    <x v="0"/>
    <x v="0"/>
    <x v="0"/>
    <x v="1"/>
    <x v="0"/>
    <x v="0"/>
    <x v="0"/>
  </r>
  <r>
    <x v="8"/>
    <x v="0"/>
    <x v="0"/>
    <x v="0"/>
    <x v="1"/>
    <x v="0"/>
    <x v="0"/>
    <x v="1"/>
    <x v="1"/>
    <x v="23"/>
    <x v="31"/>
    <x v="8"/>
    <x v="0"/>
    <x v="0"/>
    <x v="0"/>
    <x v="1"/>
    <x v="0"/>
    <x v="0"/>
    <x v="1"/>
  </r>
  <r>
    <x v="9"/>
    <x v="0"/>
    <x v="0"/>
    <x v="0"/>
    <x v="1"/>
    <x v="0"/>
    <x v="1"/>
    <x v="0"/>
    <x v="1"/>
    <x v="0"/>
    <x v="32"/>
    <x v="9"/>
    <x v="0"/>
    <x v="0"/>
    <x v="0"/>
    <x v="1"/>
    <x v="0"/>
    <x v="1"/>
    <x v="0"/>
  </r>
  <r>
    <x v="10"/>
    <x v="0"/>
    <x v="0"/>
    <x v="0"/>
    <x v="1"/>
    <x v="0"/>
    <x v="1"/>
    <x v="1"/>
    <x v="2"/>
    <x v="31"/>
    <x v="34"/>
    <x v="10"/>
    <x v="0"/>
    <x v="0"/>
    <x v="0"/>
    <x v="1"/>
    <x v="0"/>
    <x v="1"/>
    <x v="1"/>
  </r>
  <r>
    <x v="11"/>
    <x v="0"/>
    <x v="0"/>
    <x v="0"/>
    <x v="1"/>
    <x v="1"/>
    <x v="0"/>
    <x v="0"/>
    <x v="1"/>
    <x v="20"/>
    <x v="34"/>
    <x v="11"/>
    <x v="0"/>
    <x v="0"/>
    <x v="0"/>
    <x v="1"/>
    <x v="1"/>
    <x v="0"/>
    <x v="0"/>
  </r>
  <r>
    <x v="12"/>
    <x v="0"/>
    <x v="0"/>
    <x v="0"/>
    <x v="1"/>
    <x v="1"/>
    <x v="0"/>
    <x v="1"/>
    <x v="2"/>
    <x v="31"/>
    <x v="34"/>
    <x v="12"/>
    <x v="0"/>
    <x v="0"/>
    <x v="0"/>
    <x v="1"/>
    <x v="1"/>
    <x v="0"/>
    <x v="1"/>
  </r>
  <r>
    <x v="13"/>
    <x v="0"/>
    <x v="0"/>
    <x v="0"/>
    <x v="1"/>
    <x v="1"/>
    <x v="1"/>
    <x v="0"/>
    <x v="2"/>
    <x v="31"/>
    <x v="34"/>
    <x v="13"/>
    <x v="0"/>
    <x v="0"/>
    <x v="0"/>
    <x v="1"/>
    <x v="1"/>
    <x v="1"/>
    <x v="0"/>
  </r>
  <r>
    <x v="14"/>
    <x v="0"/>
    <x v="0"/>
    <x v="0"/>
    <x v="1"/>
    <x v="1"/>
    <x v="1"/>
    <x v="1"/>
    <x v="3"/>
    <x v="2"/>
    <x v="23"/>
    <x v="14"/>
    <x v="0"/>
    <x v="0"/>
    <x v="0"/>
    <x v="1"/>
    <x v="1"/>
    <x v="1"/>
    <x v="1"/>
  </r>
  <r>
    <x v="15"/>
    <x v="0"/>
    <x v="0"/>
    <x v="1"/>
    <x v="0"/>
    <x v="0"/>
    <x v="0"/>
    <x v="0"/>
    <x v="0"/>
    <x v="31"/>
    <x v="34"/>
    <x v="15"/>
    <x v="0"/>
    <x v="0"/>
    <x v="1"/>
    <x v="0"/>
    <x v="0"/>
    <x v="0"/>
    <x v="0"/>
  </r>
  <r>
    <x v="16"/>
    <x v="0"/>
    <x v="0"/>
    <x v="1"/>
    <x v="0"/>
    <x v="0"/>
    <x v="0"/>
    <x v="1"/>
    <x v="1"/>
    <x v="12"/>
    <x v="31"/>
    <x v="16"/>
    <x v="0"/>
    <x v="0"/>
    <x v="1"/>
    <x v="0"/>
    <x v="0"/>
    <x v="0"/>
    <x v="1"/>
  </r>
  <r>
    <x v="17"/>
    <x v="0"/>
    <x v="0"/>
    <x v="1"/>
    <x v="0"/>
    <x v="0"/>
    <x v="1"/>
    <x v="0"/>
    <x v="1"/>
    <x v="10"/>
    <x v="33"/>
    <x v="17"/>
    <x v="0"/>
    <x v="0"/>
    <x v="1"/>
    <x v="0"/>
    <x v="0"/>
    <x v="1"/>
    <x v="0"/>
  </r>
  <r>
    <x v="18"/>
    <x v="0"/>
    <x v="0"/>
    <x v="1"/>
    <x v="0"/>
    <x v="0"/>
    <x v="1"/>
    <x v="1"/>
    <x v="2"/>
    <x v="31"/>
    <x v="34"/>
    <x v="18"/>
    <x v="0"/>
    <x v="0"/>
    <x v="1"/>
    <x v="0"/>
    <x v="0"/>
    <x v="1"/>
    <x v="1"/>
  </r>
  <r>
    <x v="19"/>
    <x v="0"/>
    <x v="0"/>
    <x v="1"/>
    <x v="0"/>
    <x v="1"/>
    <x v="0"/>
    <x v="0"/>
    <x v="1"/>
    <x v="31"/>
    <x v="34"/>
    <x v="19"/>
    <x v="0"/>
    <x v="0"/>
    <x v="1"/>
    <x v="0"/>
    <x v="1"/>
    <x v="0"/>
    <x v="0"/>
  </r>
  <r>
    <x v="20"/>
    <x v="0"/>
    <x v="0"/>
    <x v="1"/>
    <x v="0"/>
    <x v="1"/>
    <x v="0"/>
    <x v="1"/>
    <x v="2"/>
    <x v="31"/>
    <x v="34"/>
    <x v="20"/>
    <x v="0"/>
    <x v="0"/>
    <x v="1"/>
    <x v="0"/>
    <x v="1"/>
    <x v="0"/>
    <x v="1"/>
  </r>
  <r>
    <x v="21"/>
    <x v="0"/>
    <x v="0"/>
    <x v="1"/>
    <x v="0"/>
    <x v="1"/>
    <x v="1"/>
    <x v="0"/>
    <x v="2"/>
    <x v="31"/>
    <x v="34"/>
    <x v="21"/>
    <x v="0"/>
    <x v="0"/>
    <x v="1"/>
    <x v="0"/>
    <x v="1"/>
    <x v="1"/>
    <x v="0"/>
  </r>
  <r>
    <x v="22"/>
    <x v="0"/>
    <x v="0"/>
    <x v="1"/>
    <x v="0"/>
    <x v="1"/>
    <x v="1"/>
    <x v="1"/>
    <x v="3"/>
    <x v="31"/>
    <x v="34"/>
    <x v="22"/>
    <x v="0"/>
    <x v="0"/>
    <x v="1"/>
    <x v="0"/>
    <x v="1"/>
    <x v="1"/>
    <x v="1"/>
  </r>
  <r>
    <x v="23"/>
    <x v="0"/>
    <x v="0"/>
    <x v="1"/>
    <x v="1"/>
    <x v="0"/>
    <x v="0"/>
    <x v="0"/>
    <x v="1"/>
    <x v="31"/>
    <x v="34"/>
    <x v="23"/>
    <x v="0"/>
    <x v="0"/>
    <x v="1"/>
    <x v="1"/>
    <x v="0"/>
    <x v="0"/>
    <x v="0"/>
  </r>
  <r>
    <x v="24"/>
    <x v="0"/>
    <x v="0"/>
    <x v="1"/>
    <x v="1"/>
    <x v="0"/>
    <x v="0"/>
    <x v="1"/>
    <x v="2"/>
    <x v="31"/>
    <x v="34"/>
    <x v="24"/>
    <x v="0"/>
    <x v="0"/>
    <x v="1"/>
    <x v="1"/>
    <x v="0"/>
    <x v="0"/>
    <x v="1"/>
  </r>
  <r>
    <x v="25"/>
    <x v="0"/>
    <x v="0"/>
    <x v="1"/>
    <x v="1"/>
    <x v="0"/>
    <x v="1"/>
    <x v="0"/>
    <x v="2"/>
    <x v="31"/>
    <x v="34"/>
    <x v="25"/>
    <x v="0"/>
    <x v="0"/>
    <x v="1"/>
    <x v="1"/>
    <x v="0"/>
    <x v="1"/>
    <x v="0"/>
  </r>
  <r>
    <x v="26"/>
    <x v="0"/>
    <x v="0"/>
    <x v="1"/>
    <x v="1"/>
    <x v="0"/>
    <x v="1"/>
    <x v="1"/>
    <x v="3"/>
    <x v="31"/>
    <x v="34"/>
    <x v="26"/>
    <x v="0"/>
    <x v="0"/>
    <x v="1"/>
    <x v="1"/>
    <x v="0"/>
    <x v="1"/>
    <x v="1"/>
  </r>
  <r>
    <x v="27"/>
    <x v="0"/>
    <x v="0"/>
    <x v="1"/>
    <x v="1"/>
    <x v="1"/>
    <x v="0"/>
    <x v="0"/>
    <x v="2"/>
    <x v="31"/>
    <x v="34"/>
    <x v="27"/>
    <x v="0"/>
    <x v="0"/>
    <x v="1"/>
    <x v="1"/>
    <x v="1"/>
    <x v="0"/>
    <x v="0"/>
  </r>
  <r>
    <x v="28"/>
    <x v="0"/>
    <x v="0"/>
    <x v="1"/>
    <x v="1"/>
    <x v="1"/>
    <x v="0"/>
    <x v="1"/>
    <x v="3"/>
    <x v="17"/>
    <x v="14"/>
    <x v="28"/>
    <x v="0"/>
    <x v="0"/>
    <x v="1"/>
    <x v="1"/>
    <x v="1"/>
    <x v="0"/>
    <x v="1"/>
  </r>
  <r>
    <x v="29"/>
    <x v="0"/>
    <x v="0"/>
    <x v="1"/>
    <x v="1"/>
    <x v="1"/>
    <x v="1"/>
    <x v="0"/>
    <x v="3"/>
    <x v="30"/>
    <x v="16"/>
    <x v="29"/>
    <x v="0"/>
    <x v="0"/>
    <x v="1"/>
    <x v="1"/>
    <x v="1"/>
    <x v="1"/>
    <x v="0"/>
  </r>
  <r>
    <x v="30"/>
    <x v="0"/>
    <x v="0"/>
    <x v="1"/>
    <x v="1"/>
    <x v="1"/>
    <x v="1"/>
    <x v="1"/>
    <x v="4"/>
    <x v="22"/>
    <x v="4"/>
    <x v="30"/>
    <x v="0"/>
    <x v="0"/>
    <x v="1"/>
    <x v="1"/>
    <x v="1"/>
    <x v="1"/>
    <x v="1"/>
  </r>
  <r>
    <x v="31"/>
    <x v="0"/>
    <x v="1"/>
    <x v="0"/>
    <x v="0"/>
    <x v="0"/>
    <x v="0"/>
    <x v="0"/>
    <x v="0"/>
    <x v="31"/>
    <x v="34"/>
    <x v="31"/>
    <x v="0"/>
    <x v="1"/>
    <x v="0"/>
    <x v="0"/>
    <x v="0"/>
    <x v="0"/>
    <x v="0"/>
  </r>
  <r>
    <x v="32"/>
    <x v="0"/>
    <x v="1"/>
    <x v="0"/>
    <x v="0"/>
    <x v="0"/>
    <x v="0"/>
    <x v="1"/>
    <x v="1"/>
    <x v="14"/>
    <x v="32"/>
    <x v="32"/>
    <x v="0"/>
    <x v="1"/>
    <x v="0"/>
    <x v="0"/>
    <x v="0"/>
    <x v="0"/>
    <x v="1"/>
  </r>
  <r>
    <x v="33"/>
    <x v="0"/>
    <x v="1"/>
    <x v="0"/>
    <x v="0"/>
    <x v="0"/>
    <x v="1"/>
    <x v="0"/>
    <x v="1"/>
    <x v="8"/>
    <x v="33"/>
    <x v="33"/>
    <x v="0"/>
    <x v="1"/>
    <x v="0"/>
    <x v="0"/>
    <x v="0"/>
    <x v="1"/>
    <x v="0"/>
  </r>
  <r>
    <x v="34"/>
    <x v="0"/>
    <x v="1"/>
    <x v="0"/>
    <x v="0"/>
    <x v="0"/>
    <x v="1"/>
    <x v="1"/>
    <x v="2"/>
    <x v="31"/>
    <x v="34"/>
    <x v="34"/>
    <x v="0"/>
    <x v="1"/>
    <x v="0"/>
    <x v="0"/>
    <x v="0"/>
    <x v="1"/>
    <x v="1"/>
  </r>
  <r>
    <x v="35"/>
    <x v="0"/>
    <x v="1"/>
    <x v="0"/>
    <x v="0"/>
    <x v="1"/>
    <x v="0"/>
    <x v="0"/>
    <x v="1"/>
    <x v="31"/>
    <x v="34"/>
    <x v="35"/>
    <x v="0"/>
    <x v="1"/>
    <x v="0"/>
    <x v="0"/>
    <x v="1"/>
    <x v="0"/>
    <x v="0"/>
  </r>
  <r>
    <x v="36"/>
    <x v="0"/>
    <x v="1"/>
    <x v="0"/>
    <x v="0"/>
    <x v="1"/>
    <x v="0"/>
    <x v="1"/>
    <x v="2"/>
    <x v="31"/>
    <x v="34"/>
    <x v="36"/>
    <x v="0"/>
    <x v="1"/>
    <x v="0"/>
    <x v="0"/>
    <x v="1"/>
    <x v="0"/>
    <x v="1"/>
  </r>
  <r>
    <x v="37"/>
    <x v="0"/>
    <x v="1"/>
    <x v="0"/>
    <x v="0"/>
    <x v="1"/>
    <x v="1"/>
    <x v="0"/>
    <x v="2"/>
    <x v="31"/>
    <x v="34"/>
    <x v="37"/>
    <x v="0"/>
    <x v="1"/>
    <x v="0"/>
    <x v="0"/>
    <x v="1"/>
    <x v="1"/>
    <x v="0"/>
  </r>
  <r>
    <x v="38"/>
    <x v="0"/>
    <x v="1"/>
    <x v="0"/>
    <x v="0"/>
    <x v="1"/>
    <x v="1"/>
    <x v="1"/>
    <x v="3"/>
    <x v="2"/>
    <x v="22"/>
    <x v="38"/>
    <x v="0"/>
    <x v="1"/>
    <x v="0"/>
    <x v="0"/>
    <x v="1"/>
    <x v="1"/>
    <x v="1"/>
  </r>
  <r>
    <x v="39"/>
    <x v="0"/>
    <x v="1"/>
    <x v="0"/>
    <x v="1"/>
    <x v="0"/>
    <x v="0"/>
    <x v="0"/>
    <x v="1"/>
    <x v="31"/>
    <x v="34"/>
    <x v="39"/>
    <x v="0"/>
    <x v="1"/>
    <x v="0"/>
    <x v="1"/>
    <x v="0"/>
    <x v="0"/>
    <x v="0"/>
  </r>
  <r>
    <x v="40"/>
    <x v="0"/>
    <x v="1"/>
    <x v="0"/>
    <x v="1"/>
    <x v="0"/>
    <x v="0"/>
    <x v="1"/>
    <x v="2"/>
    <x v="31"/>
    <x v="34"/>
    <x v="40"/>
    <x v="0"/>
    <x v="1"/>
    <x v="0"/>
    <x v="1"/>
    <x v="0"/>
    <x v="0"/>
    <x v="1"/>
  </r>
  <r>
    <x v="41"/>
    <x v="0"/>
    <x v="1"/>
    <x v="0"/>
    <x v="1"/>
    <x v="0"/>
    <x v="1"/>
    <x v="0"/>
    <x v="2"/>
    <x v="31"/>
    <x v="34"/>
    <x v="41"/>
    <x v="0"/>
    <x v="1"/>
    <x v="0"/>
    <x v="1"/>
    <x v="0"/>
    <x v="1"/>
    <x v="0"/>
  </r>
  <r>
    <x v="42"/>
    <x v="0"/>
    <x v="1"/>
    <x v="0"/>
    <x v="1"/>
    <x v="0"/>
    <x v="1"/>
    <x v="1"/>
    <x v="3"/>
    <x v="28"/>
    <x v="19"/>
    <x v="42"/>
    <x v="0"/>
    <x v="1"/>
    <x v="0"/>
    <x v="1"/>
    <x v="0"/>
    <x v="1"/>
    <x v="1"/>
  </r>
  <r>
    <x v="43"/>
    <x v="0"/>
    <x v="1"/>
    <x v="0"/>
    <x v="1"/>
    <x v="1"/>
    <x v="0"/>
    <x v="0"/>
    <x v="2"/>
    <x v="31"/>
    <x v="34"/>
    <x v="43"/>
    <x v="0"/>
    <x v="1"/>
    <x v="0"/>
    <x v="1"/>
    <x v="1"/>
    <x v="0"/>
    <x v="0"/>
  </r>
  <r>
    <x v="44"/>
    <x v="0"/>
    <x v="1"/>
    <x v="0"/>
    <x v="1"/>
    <x v="1"/>
    <x v="0"/>
    <x v="1"/>
    <x v="3"/>
    <x v="30"/>
    <x v="15"/>
    <x v="44"/>
    <x v="0"/>
    <x v="1"/>
    <x v="0"/>
    <x v="1"/>
    <x v="1"/>
    <x v="0"/>
    <x v="1"/>
  </r>
  <r>
    <x v="45"/>
    <x v="0"/>
    <x v="1"/>
    <x v="0"/>
    <x v="1"/>
    <x v="1"/>
    <x v="1"/>
    <x v="0"/>
    <x v="3"/>
    <x v="2"/>
    <x v="25"/>
    <x v="45"/>
    <x v="0"/>
    <x v="1"/>
    <x v="0"/>
    <x v="1"/>
    <x v="1"/>
    <x v="1"/>
    <x v="0"/>
  </r>
  <r>
    <x v="46"/>
    <x v="0"/>
    <x v="1"/>
    <x v="0"/>
    <x v="1"/>
    <x v="1"/>
    <x v="1"/>
    <x v="1"/>
    <x v="4"/>
    <x v="22"/>
    <x v="4"/>
    <x v="46"/>
    <x v="0"/>
    <x v="1"/>
    <x v="0"/>
    <x v="1"/>
    <x v="1"/>
    <x v="1"/>
    <x v="1"/>
  </r>
  <r>
    <x v="47"/>
    <x v="0"/>
    <x v="1"/>
    <x v="1"/>
    <x v="0"/>
    <x v="0"/>
    <x v="0"/>
    <x v="0"/>
    <x v="1"/>
    <x v="1"/>
    <x v="34"/>
    <x v="47"/>
    <x v="0"/>
    <x v="1"/>
    <x v="1"/>
    <x v="0"/>
    <x v="0"/>
    <x v="0"/>
    <x v="0"/>
  </r>
  <r>
    <x v="48"/>
    <x v="0"/>
    <x v="1"/>
    <x v="1"/>
    <x v="0"/>
    <x v="0"/>
    <x v="0"/>
    <x v="1"/>
    <x v="2"/>
    <x v="31"/>
    <x v="34"/>
    <x v="48"/>
    <x v="0"/>
    <x v="1"/>
    <x v="1"/>
    <x v="0"/>
    <x v="0"/>
    <x v="0"/>
    <x v="1"/>
  </r>
  <r>
    <x v="49"/>
    <x v="0"/>
    <x v="1"/>
    <x v="1"/>
    <x v="0"/>
    <x v="0"/>
    <x v="1"/>
    <x v="0"/>
    <x v="2"/>
    <x v="31"/>
    <x v="34"/>
    <x v="49"/>
    <x v="0"/>
    <x v="1"/>
    <x v="1"/>
    <x v="0"/>
    <x v="0"/>
    <x v="1"/>
    <x v="0"/>
  </r>
  <r>
    <x v="50"/>
    <x v="0"/>
    <x v="1"/>
    <x v="1"/>
    <x v="0"/>
    <x v="0"/>
    <x v="1"/>
    <x v="1"/>
    <x v="3"/>
    <x v="31"/>
    <x v="34"/>
    <x v="50"/>
    <x v="0"/>
    <x v="1"/>
    <x v="1"/>
    <x v="0"/>
    <x v="0"/>
    <x v="1"/>
    <x v="1"/>
  </r>
  <r>
    <x v="51"/>
    <x v="0"/>
    <x v="1"/>
    <x v="1"/>
    <x v="0"/>
    <x v="1"/>
    <x v="0"/>
    <x v="0"/>
    <x v="2"/>
    <x v="31"/>
    <x v="34"/>
    <x v="51"/>
    <x v="0"/>
    <x v="1"/>
    <x v="1"/>
    <x v="0"/>
    <x v="1"/>
    <x v="0"/>
    <x v="0"/>
  </r>
  <r>
    <x v="52"/>
    <x v="0"/>
    <x v="1"/>
    <x v="1"/>
    <x v="0"/>
    <x v="1"/>
    <x v="0"/>
    <x v="1"/>
    <x v="3"/>
    <x v="31"/>
    <x v="34"/>
    <x v="52"/>
    <x v="0"/>
    <x v="1"/>
    <x v="1"/>
    <x v="0"/>
    <x v="1"/>
    <x v="0"/>
    <x v="1"/>
  </r>
  <r>
    <x v="53"/>
    <x v="0"/>
    <x v="1"/>
    <x v="1"/>
    <x v="0"/>
    <x v="1"/>
    <x v="1"/>
    <x v="0"/>
    <x v="3"/>
    <x v="31"/>
    <x v="34"/>
    <x v="53"/>
    <x v="0"/>
    <x v="1"/>
    <x v="1"/>
    <x v="0"/>
    <x v="1"/>
    <x v="1"/>
    <x v="0"/>
  </r>
  <r>
    <x v="54"/>
    <x v="0"/>
    <x v="1"/>
    <x v="1"/>
    <x v="0"/>
    <x v="1"/>
    <x v="1"/>
    <x v="1"/>
    <x v="4"/>
    <x v="31"/>
    <x v="34"/>
    <x v="54"/>
    <x v="0"/>
    <x v="1"/>
    <x v="1"/>
    <x v="0"/>
    <x v="1"/>
    <x v="1"/>
    <x v="1"/>
  </r>
  <r>
    <x v="55"/>
    <x v="0"/>
    <x v="1"/>
    <x v="1"/>
    <x v="1"/>
    <x v="0"/>
    <x v="0"/>
    <x v="0"/>
    <x v="2"/>
    <x v="31"/>
    <x v="34"/>
    <x v="55"/>
    <x v="0"/>
    <x v="1"/>
    <x v="1"/>
    <x v="1"/>
    <x v="0"/>
    <x v="0"/>
    <x v="0"/>
  </r>
  <r>
    <x v="56"/>
    <x v="0"/>
    <x v="1"/>
    <x v="1"/>
    <x v="1"/>
    <x v="0"/>
    <x v="0"/>
    <x v="1"/>
    <x v="3"/>
    <x v="31"/>
    <x v="34"/>
    <x v="56"/>
    <x v="0"/>
    <x v="1"/>
    <x v="1"/>
    <x v="1"/>
    <x v="0"/>
    <x v="0"/>
    <x v="1"/>
  </r>
  <r>
    <x v="57"/>
    <x v="0"/>
    <x v="1"/>
    <x v="1"/>
    <x v="1"/>
    <x v="0"/>
    <x v="1"/>
    <x v="0"/>
    <x v="3"/>
    <x v="31"/>
    <x v="34"/>
    <x v="57"/>
    <x v="0"/>
    <x v="1"/>
    <x v="1"/>
    <x v="1"/>
    <x v="0"/>
    <x v="1"/>
    <x v="0"/>
  </r>
  <r>
    <x v="58"/>
    <x v="0"/>
    <x v="1"/>
    <x v="1"/>
    <x v="1"/>
    <x v="0"/>
    <x v="1"/>
    <x v="1"/>
    <x v="4"/>
    <x v="31"/>
    <x v="34"/>
    <x v="58"/>
    <x v="0"/>
    <x v="1"/>
    <x v="1"/>
    <x v="1"/>
    <x v="0"/>
    <x v="1"/>
    <x v="1"/>
  </r>
  <r>
    <x v="59"/>
    <x v="0"/>
    <x v="1"/>
    <x v="1"/>
    <x v="1"/>
    <x v="1"/>
    <x v="0"/>
    <x v="0"/>
    <x v="3"/>
    <x v="31"/>
    <x v="34"/>
    <x v="59"/>
    <x v="0"/>
    <x v="1"/>
    <x v="1"/>
    <x v="1"/>
    <x v="1"/>
    <x v="0"/>
    <x v="0"/>
  </r>
  <r>
    <x v="60"/>
    <x v="0"/>
    <x v="1"/>
    <x v="1"/>
    <x v="1"/>
    <x v="1"/>
    <x v="0"/>
    <x v="1"/>
    <x v="4"/>
    <x v="31"/>
    <x v="34"/>
    <x v="60"/>
    <x v="0"/>
    <x v="1"/>
    <x v="1"/>
    <x v="1"/>
    <x v="1"/>
    <x v="0"/>
    <x v="1"/>
  </r>
  <r>
    <x v="61"/>
    <x v="0"/>
    <x v="1"/>
    <x v="1"/>
    <x v="1"/>
    <x v="1"/>
    <x v="1"/>
    <x v="0"/>
    <x v="4"/>
    <x v="27"/>
    <x v="27"/>
    <x v="61"/>
    <x v="0"/>
    <x v="1"/>
    <x v="1"/>
    <x v="1"/>
    <x v="1"/>
    <x v="1"/>
    <x v="0"/>
  </r>
  <r>
    <x v="62"/>
    <x v="0"/>
    <x v="1"/>
    <x v="1"/>
    <x v="1"/>
    <x v="1"/>
    <x v="1"/>
    <x v="1"/>
    <x v="5"/>
    <x v="26"/>
    <x v="5"/>
    <x v="62"/>
    <x v="0"/>
    <x v="1"/>
    <x v="1"/>
    <x v="1"/>
    <x v="1"/>
    <x v="1"/>
    <x v="1"/>
  </r>
  <r>
    <x v="63"/>
    <x v="1"/>
    <x v="0"/>
    <x v="0"/>
    <x v="0"/>
    <x v="0"/>
    <x v="0"/>
    <x v="0"/>
    <x v="0"/>
    <x v="31"/>
    <x v="34"/>
    <x v="63"/>
    <x v="1"/>
    <x v="0"/>
    <x v="0"/>
    <x v="0"/>
    <x v="0"/>
    <x v="0"/>
    <x v="0"/>
  </r>
  <r>
    <x v="64"/>
    <x v="1"/>
    <x v="0"/>
    <x v="0"/>
    <x v="0"/>
    <x v="0"/>
    <x v="0"/>
    <x v="1"/>
    <x v="1"/>
    <x v="9"/>
    <x v="32"/>
    <x v="64"/>
    <x v="1"/>
    <x v="0"/>
    <x v="0"/>
    <x v="0"/>
    <x v="0"/>
    <x v="0"/>
    <x v="1"/>
  </r>
  <r>
    <x v="65"/>
    <x v="1"/>
    <x v="0"/>
    <x v="0"/>
    <x v="0"/>
    <x v="0"/>
    <x v="1"/>
    <x v="0"/>
    <x v="1"/>
    <x v="5"/>
    <x v="33"/>
    <x v="65"/>
    <x v="1"/>
    <x v="0"/>
    <x v="0"/>
    <x v="0"/>
    <x v="0"/>
    <x v="1"/>
    <x v="0"/>
  </r>
  <r>
    <x v="66"/>
    <x v="1"/>
    <x v="0"/>
    <x v="0"/>
    <x v="0"/>
    <x v="0"/>
    <x v="1"/>
    <x v="1"/>
    <x v="2"/>
    <x v="31"/>
    <x v="34"/>
    <x v="66"/>
    <x v="1"/>
    <x v="0"/>
    <x v="0"/>
    <x v="0"/>
    <x v="0"/>
    <x v="1"/>
    <x v="1"/>
  </r>
  <r>
    <x v="67"/>
    <x v="1"/>
    <x v="0"/>
    <x v="0"/>
    <x v="0"/>
    <x v="1"/>
    <x v="0"/>
    <x v="0"/>
    <x v="1"/>
    <x v="31"/>
    <x v="34"/>
    <x v="67"/>
    <x v="1"/>
    <x v="0"/>
    <x v="0"/>
    <x v="0"/>
    <x v="1"/>
    <x v="0"/>
    <x v="0"/>
  </r>
  <r>
    <x v="68"/>
    <x v="1"/>
    <x v="0"/>
    <x v="0"/>
    <x v="0"/>
    <x v="1"/>
    <x v="0"/>
    <x v="1"/>
    <x v="2"/>
    <x v="31"/>
    <x v="34"/>
    <x v="68"/>
    <x v="1"/>
    <x v="0"/>
    <x v="0"/>
    <x v="0"/>
    <x v="1"/>
    <x v="0"/>
    <x v="1"/>
  </r>
  <r>
    <x v="69"/>
    <x v="1"/>
    <x v="0"/>
    <x v="0"/>
    <x v="0"/>
    <x v="1"/>
    <x v="1"/>
    <x v="0"/>
    <x v="2"/>
    <x v="31"/>
    <x v="34"/>
    <x v="69"/>
    <x v="1"/>
    <x v="0"/>
    <x v="0"/>
    <x v="0"/>
    <x v="1"/>
    <x v="1"/>
    <x v="0"/>
  </r>
  <r>
    <x v="70"/>
    <x v="1"/>
    <x v="0"/>
    <x v="0"/>
    <x v="0"/>
    <x v="1"/>
    <x v="1"/>
    <x v="1"/>
    <x v="3"/>
    <x v="31"/>
    <x v="34"/>
    <x v="70"/>
    <x v="1"/>
    <x v="0"/>
    <x v="0"/>
    <x v="0"/>
    <x v="1"/>
    <x v="1"/>
    <x v="1"/>
  </r>
  <r>
    <x v="71"/>
    <x v="1"/>
    <x v="0"/>
    <x v="0"/>
    <x v="1"/>
    <x v="0"/>
    <x v="0"/>
    <x v="0"/>
    <x v="1"/>
    <x v="31"/>
    <x v="34"/>
    <x v="71"/>
    <x v="1"/>
    <x v="0"/>
    <x v="0"/>
    <x v="1"/>
    <x v="0"/>
    <x v="0"/>
    <x v="0"/>
  </r>
  <r>
    <x v="72"/>
    <x v="1"/>
    <x v="0"/>
    <x v="0"/>
    <x v="1"/>
    <x v="0"/>
    <x v="0"/>
    <x v="1"/>
    <x v="2"/>
    <x v="31"/>
    <x v="34"/>
    <x v="72"/>
    <x v="1"/>
    <x v="0"/>
    <x v="0"/>
    <x v="1"/>
    <x v="0"/>
    <x v="0"/>
    <x v="1"/>
  </r>
  <r>
    <x v="73"/>
    <x v="1"/>
    <x v="0"/>
    <x v="0"/>
    <x v="1"/>
    <x v="0"/>
    <x v="1"/>
    <x v="0"/>
    <x v="2"/>
    <x v="31"/>
    <x v="34"/>
    <x v="73"/>
    <x v="1"/>
    <x v="0"/>
    <x v="0"/>
    <x v="1"/>
    <x v="0"/>
    <x v="1"/>
    <x v="0"/>
  </r>
  <r>
    <x v="74"/>
    <x v="1"/>
    <x v="0"/>
    <x v="0"/>
    <x v="1"/>
    <x v="0"/>
    <x v="1"/>
    <x v="1"/>
    <x v="3"/>
    <x v="31"/>
    <x v="34"/>
    <x v="74"/>
    <x v="1"/>
    <x v="0"/>
    <x v="0"/>
    <x v="1"/>
    <x v="0"/>
    <x v="1"/>
    <x v="1"/>
  </r>
  <r>
    <x v="75"/>
    <x v="1"/>
    <x v="0"/>
    <x v="0"/>
    <x v="1"/>
    <x v="1"/>
    <x v="0"/>
    <x v="0"/>
    <x v="2"/>
    <x v="31"/>
    <x v="34"/>
    <x v="75"/>
    <x v="1"/>
    <x v="0"/>
    <x v="0"/>
    <x v="1"/>
    <x v="1"/>
    <x v="0"/>
    <x v="0"/>
  </r>
  <r>
    <x v="76"/>
    <x v="1"/>
    <x v="0"/>
    <x v="0"/>
    <x v="1"/>
    <x v="1"/>
    <x v="0"/>
    <x v="1"/>
    <x v="3"/>
    <x v="31"/>
    <x v="34"/>
    <x v="76"/>
    <x v="1"/>
    <x v="0"/>
    <x v="0"/>
    <x v="1"/>
    <x v="1"/>
    <x v="0"/>
    <x v="1"/>
  </r>
  <r>
    <x v="77"/>
    <x v="1"/>
    <x v="0"/>
    <x v="0"/>
    <x v="1"/>
    <x v="1"/>
    <x v="1"/>
    <x v="0"/>
    <x v="3"/>
    <x v="18"/>
    <x v="17"/>
    <x v="77"/>
    <x v="1"/>
    <x v="0"/>
    <x v="0"/>
    <x v="1"/>
    <x v="1"/>
    <x v="1"/>
    <x v="0"/>
  </r>
  <r>
    <x v="78"/>
    <x v="1"/>
    <x v="0"/>
    <x v="0"/>
    <x v="1"/>
    <x v="1"/>
    <x v="1"/>
    <x v="1"/>
    <x v="4"/>
    <x v="4"/>
    <x v="30"/>
    <x v="78"/>
    <x v="1"/>
    <x v="0"/>
    <x v="0"/>
    <x v="1"/>
    <x v="1"/>
    <x v="1"/>
    <x v="1"/>
  </r>
  <r>
    <x v="79"/>
    <x v="1"/>
    <x v="0"/>
    <x v="1"/>
    <x v="0"/>
    <x v="0"/>
    <x v="0"/>
    <x v="0"/>
    <x v="1"/>
    <x v="31"/>
    <x v="34"/>
    <x v="79"/>
    <x v="1"/>
    <x v="0"/>
    <x v="1"/>
    <x v="0"/>
    <x v="0"/>
    <x v="0"/>
    <x v="0"/>
  </r>
  <r>
    <x v="80"/>
    <x v="1"/>
    <x v="0"/>
    <x v="1"/>
    <x v="0"/>
    <x v="0"/>
    <x v="0"/>
    <x v="1"/>
    <x v="2"/>
    <x v="31"/>
    <x v="34"/>
    <x v="80"/>
    <x v="1"/>
    <x v="0"/>
    <x v="1"/>
    <x v="0"/>
    <x v="0"/>
    <x v="0"/>
    <x v="1"/>
  </r>
  <r>
    <x v="81"/>
    <x v="1"/>
    <x v="0"/>
    <x v="1"/>
    <x v="0"/>
    <x v="0"/>
    <x v="1"/>
    <x v="0"/>
    <x v="2"/>
    <x v="31"/>
    <x v="34"/>
    <x v="81"/>
    <x v="1"/>
    <x v="0"/>
    <x v="1"/>
    <x v="0"/>
    <x v="0"/>
    <x v="1"/>
    <x v="0"/>
  </r>
  <r>
    <x v="82"/>
    <x v="1"/>
    <x v="0"/>
    <x v="1"/>
    <x v="0"/>
    <x v="0"/>
    <x v="1"/>
    <x v="1"/>
    <x v="3"/>
    <x v="17"/>
    <x v="12"/>
    <x v="82"/>
    <x v="1"/>
    <x v="0"/>
    <x v="1"/>
    <x v="0"/>
    <x v="0"/>
    <x v="1"/>
    <x v="1"/>
  </r>
  <r>
    <x v="83"/>
    <x v="1"/>
    <x v="0"/>
    <x v="1"/>
    <x v="0"/>
    <x v="1"/>
    <x v="0"/>
    <x v="0"/>
    <x v="2"/>
    <x v="31"/>
    <x v="34"/>
    <x v="83"/>
    <x v="1"/>
    <x v="0"/>
    <x v="1"/>
    <x v="0"/>
    <x v="1"/>
    <x v="0"/>
    <x v="0"/>
  </r>
  <r>
    <x v="84"/>
    <x v="1"/>
    <x v="0"/>
    <x v="1"/>
    <x v="0"/>
    <x v="1"/>
    <x v="0"/>
    <x v="1"/>
    <x v="3"/>
    <x v="31"/>
    <x v="34"/>
    <x v="84"/>
    <x v="1"/>
    <x v="0"/>
    <x v="1"/>
    <x v="0"/>
    <x v="1"/>
    <x v="0"/>
    <x v="1"/>
  </r>
  <r>
    <x v="85"/>
    <x v="1"/>
    <x v="0"/>
    <x v="1"/>
    <x v="0"/>
    <x v="1"/>
    <x v="1"/>
    <x v="0"/>
    <x v="3"/>
    <x v="15"/>
    <x v="1"/>
    <x v="85"/>
    <x v="1"/>
    <x v="0"/>
    <x v="1"/>
    <x v="0"/>
    <x v="1"/>
    <x v="1"/>
    <x v="0"/>
  </r>
  <r>
    <x v="86"/>
    <x v="1"/>
    <x v="0"/>
    <x v="1"/>
    <x v="0"/>
    <x v="1"/>
    <x v="1"/>
    <x v="1"/>
    <x v="4"/>
    <x v="24"/>
    <x v="2"/>
    <x v="86"/>
    <x v="1"/>
    <x v="0"/>
    <x v="1"/>
    <x v="0"/>
    <x v="1"/>
    <x v="1"/>
    <x v="1"/>
  </r>
  <r>
    <x v="87"/>
    <x v="1"/>
    <x v="0"/>
    <x v="1"/>
    <x v="1"/>
    <x v="0"/>
    <x v="0"/>
    <x v="0"/>
    <x v="2"/>
    <x v="31"/>
    <x v="34"/>
    <x v="87"/>
    <x v="1"/>
    <x v="0"/>
    <x v="1"/>
    <x v="1"/>
    <x v="0"/>
    <x v="0"/>
    <x v="0"/>
  </r>
  <r>
    <x v="88"/>
    <x v="1"/>
    <x v="0"/>
    <x v="1"/>
    <x v="1"/>
    <x v="0"/>
    <x v="0"/>
    <x v="1"/>
    <x v="3"/>
    <x v="31"/>
    <x v="34"/>
    <x v="88"/>
    <x v="1"/>
    <x v="0"/>
    <x v="1"/>
    <x v="1"/>
    <x v="0"/>
    <x v="0"/>
    <x v="1"/>
  </r>
  <r>
    <x v="89"/>
    <x v="1"/>
    <x v="0"/>
    <x v="1"/>
    <x v="1"/>
    <x v="0"/>
    <x v="1"/>
    <x v="0"/>
    <x v="3"/>
    <x v="31"/>
    <x v="34"/>
    <x v="89"/>
    <x v="1"/>
    <x v="0"/>
    <x v="1"/>
    <x v="1"/>
    <x v="0"/>
    <x v="1"/>
    <x v="0"/>
  </r>
  <r>
    <x v="90"/>
    <x v="1"/>
    <x v="0"/>
    <x v="1"/>
    <x v="1"/>
    <x v="0"/>
    <x v="1"/>
    <x v="1"/>
    <x v="4"/>
    <x v="31"/>
    <x v="34"/>
    <x v="90"/>
    <x v="1"/>
    <x v="0"/>
    <x v="1"/>
    <x v="1"/>
    <x v="0"/>
    <x v="1"/>
    <x v="1"/>
  </r>
  <r>
    <x v="91"/>
    <x v="1"/>
    <x v="0"/>
    <x v="1"/>
    <x v="1"/>
    <x v="1"/>
    <x v="0"/>
    <x v="0"/>
    <x v="3"/>
    <x v="18"/>
    <x v="18"/>
    <x v="91"/>
    <x v="1"/>
    <x v="0"/>
    <x v="1"/>
    <x v="1"/>
    <x v="1"/>
    <x v="0"/>
    <x v="0"/>
  </r>
  <r>
    <x v="92"/>
    <x v="1"/>
    <x v="0"/>
    <x v="1"/>
    <x v="1"/>
    <x v="1"/>
    <x v="0"/>
    <x v="1"/>
    <x v="4"/>
    <x v="27"/>
    <x v="28"/>
    <x v="92"/>
    <x v="1"/>
    <x v="0"/>
    <x v="1"/>
    <x v="1"/>
    <x v="1"/>
    <x v="0"/>
    <x v="1"/>
  </r>
  <r>
    <x v="93"/>
    <x v="1"/>
    <x v="0"/>
    <x v="1"/>
    <x v="1"/>
    <x v="1"/>
    <x v="1"/>
    <x v="0"/>
    <x v="4"/>
    <x v="21"/>
    <x v="3"/>
    <x v="93"/>
    <x v="1"/>
    <x v="0"/>
    <x v="1"/>
    <x v="1"/>
    <x v="1"/>
    <x v="1"/>
    <x v="0"/>
  </r>
  <r>
    <x v="94"/>
    <x v="1"/>
    <x v="0"/>
    <x v="1"/>
    <x v="1"/>
    <x v="1"/>
    <x v="1"/>
    <x v="1"/>
    <x v="5"/>
    <x v="25"/>
    <x v="6"/>
    <x v="94"/>
    <x v="1"/>
    <x v="0"/>
    <x v="1"/>
    <x v="1"/>
    <x v="1"/>
    <x v="1"/>
    <x v="1"/>
  </r>
  <r>
    <x v="95"/>
    <x v="1"/>
    <x v="1"/>
    <x v="0"/>
    <x v="0"/>
    <x v="0"/>
    <x v="0"/>
    <x v="0"/>
    <x v="1"/>
    <x v="31"/>
    <x v="34"/>
    <x v="95"/>
    <x v="1"/>
    <x v="1"/>
    <x v="0"/>
    <x v="0"/>
    <x v="0"/>
    <x v="0"/>
    <x v="0"/>
  </r>
  <r>
    <x v="96"/>
    <x v="1"/>
    <x v="1"/>
    <x v="0"/>
    <x v="0"/>
    <x v="0"/>
    <x v="0"/>
    <x v="1"/>
    <x v="2"/>
    <x v="31"/>
    <x v="34"/>
    <x v="96"/>
    <x v="1"/>
    <x v="1"/>
    <x v="0"/>
    <x v="0"/>
    <x v="0"/>
    <x v="0"/>
    <x v="1"/>
  </r>
  <r>
    <x v="97"/>
    <x v="1"/>
    <x v="1"/>
    <x v="0"/>
    <x v="0"/>
    <x v="0"/>
    <x v="1"/>
    <x v="0"/>
    <x v="2"/>
    <x v="31"/>
    <x v="34"/>
    <x v="97"/>
    <x v="1"/>
    <x v="1"/>
    <x v="0"/>
    <x v="0"/>
    <x v="0"/>
    <x v="1"/>
    <x v="0"/>
  </r>
  <r>
    <x v="98"/>
    <x v="1"/>
    <x v="1"/>
    <x v="0"/>
    <x v="0"/>
    <x v="0"/>
    <x v="1"/>
    <x v="1"/>
    <x v="3"/>
    <x v="17"/>
    <x v="13"/>
    <x v="98"/>
    <x v="1"/>
    <x v="1"/>
    <x v="0"/>
    <x v="0"/>
    <x v="0"/>
    <x v="1"/>
    <x v="1"/>
  </r>
  <r>
    <x v="99"/>
    <x v="1"/>
    <x v="1"/>
    <x v="0"/>
    <x v="0"/>
    <x v="1"/>
    <x v="0"/>
    <x v="0"/>
    <x v="2"/>
    <x v="31"/>
    <x v="34"/>
    <x v="99"/>
    <x v="1"/>
    <x v="1"/>
    <x v="0"/>
    <x v="0"/>
    <x v="1"/>
    <x v="0"/>
    <x v="0"/>
  </r>
  <r>
    <x v="100"/>
    <x v="1"/>
    <x v="1"/>
    <x v="0"/>
    <x v="0"/>
    <x v="1"/>
    <x v="0"/>
    <x v="1"/>
    <x v="3"/>
    <x v="15"/>
    <x v="1"/>
    <x v="100"/>
    <x v="1"/>
    <x v="1"/>
    <x v="0"/>
    <x v="0"/>
    <x v="1"/>
    <x v="0"/>
    <x v="1"/>
  </r>
  <r>
    <x v="101"/>
    <x v="1"/>
    <x v="1"/>
    <x v="0"/>
    <x v="0"/>
    <x v="1"/>
    <x v="1"/>
    <x v="0"/>
    <x v="3"/>
    <x v="31"/>
    <x v="34"/>
    <x v="101"/>
    <x v="1"/>
    <x v="1"/>
    <x v="0"/>
    <x v="0"/>
    <x v="1"/>
    <x v="1"/>
    <x v="0"/>
  </r>
  <r>
    <x v="102"/>
    <x v="1"/>
    <x v="1"/>
    <x v="0"/>
    <x v="0"/>
    <x v="1"/>
    <x v="1"/>
    <x v="1"/>
    <x v="4"/>
    <x v="24"/>
    <x v="2"/>
    <x v="102"/>
    <x v="1"/>
    <x v="1"/>
    <x v="0"/>
    <x v="0"/>
    <x v="1"/>
    <x v="1"/>
    <x v="1"/>
  </r>
  <r>
    <x v="103"/>
    <x v="1"/>
    <x v="1"/>
    <x v="0"/>
    <x v="1"/>
    <x v="0"/>
    <x v="0"/>
    <x v="0"/>
    <x v="2"/>
    <x v="31"/>
    <x v="34"/>
    <x v="103"/>
    <x v="1"/>
    <x v="1"/>
    <x v="0"/>
    <x v="1"/>
    <x v="0"/>
    <x v="0"/>
    <x v="0"/>
  </r>
  <r>
    <x v="104"/>
    <x v="1"/>
    <x v="1"/>
    <x v="0"/>
    <x v="1"/>
    <x v="0"/>
    <x v="0"/>
    <x v="1"/>
    <x v="3"/>
    <x v="31"/>
    <x v="34"/>
    <x v="104"/>
    <x v="1"/>
    <x v="1"/>
    <x v="0"/>
    <x v="1"/>
    <x v="0"/>
    <x v="0"/>
    <x v="1"/>
  </r>
  <r>
    <x v="105"/>
    <x v="1"/>
    <x v="1"/>
    <x v="0"/>
    <x v="1"/>
    <x v="0"/>
    <x v="1"/>
    <x v="0"/>
    <x v="3"/>
    <x v="31"/>
    <x v="34"/>
    <x v="105"/>
    <x v="1"/>
    <x v="1"/>
    <x v="0"/>
    <x v="1"/>
    <x v="0"/>
    <x v="1"/>
    <x v="0"/>
  </r>
  <r>
    <x v="106"/>
    <x v="1"/>
    <x v="1"/>
    <x v="0"/>
    <x v="1"/>
    <x v="0"/>
    <x v="1"/>
    <x v="1"/>
    <x v="4"/>
    <x v="31"/>
    <x v="34"/>
    <x v="106"/>
    <x v="1"/>
    <x v="1"/>
    <x v="0"/>
    <x v="1"/>
    <x v="0"/>
    <x v="1"/>
    <x v="1"/>
  </r>
  <r>
    <x v="107"/>
    <x v="1"/>
    <x v="1"/>
    <x v="0"/>
    <x v="1"/>
    <x v="1"/>
    <x v="0"/>
    <x v="0"/>
    <x v="3"/>
    <x v="28"/>
    <x v="20"/>
    <x v="107"/>
    <x v="1"/>
    <x v="1"/>
    <x v="0"/>
    <x v="1"/>
    <x v="1"/>
    <x v="0"/>
    <x v="0"/>
  </r>
  <r>
    <x v="108"/>
    <x v="1"/>
    <x v="1"/>
    <x v="0"/>
    <x v="1"/>
    <x v="1"/>
    <x v="0"/>
    <x v="1"/>
    <x v="4"/>
    <x v="24"/>
    <x v="2"/>
    <x v="108"/>
    <x v="1"/>
    <x v="1"/>
    <x v="0"/>
    <x v="1"/>
    <x v="1"/>
    <x v="0"/>
    <x v="1"/>
  </r>
  <r>
    <x v="109"/>
    <x v="1"/>
    <x v="1"/>
    <x v="0"/>
    <x v="1"/>
    <x v="1"/>
    <x v="1"/>
    <x v="0"/>
    <x v="4"/>
    <x v="21"/>
    <x v="3"/>
    <x v="109"/>
    <x v="1"/>
    <x v="1"/>
    <x v="0"/>
    <x v="1"/>
    <x v="1"/>
    <x v="1"/>
    <x v="0"/>
  </r>
  <r>
    <x v="110"/>
    <x v="1"/>
    <x v="1"/>
    <x v="0"/>
    <x v="1"/>
    <x v="1"/>
    <x v="1"/>
    <x v="1"/>
    <x v="5"/>
    <x v="25"/>
    <x v="7"/>
    <x v="110"/>
    <x v="1"/>
    <x v="1"/>
    <x v="0"/>
    <x v="1"/>
    <x v="1"/>
    <x v="1"/>
    <x v="1"/>
  </r>
  <r>
    <x v="111"/>
    <x v="1"/>
    <x v="1"/>
    <x v="1"/>
    <x v="0"/>
    <x v="0"/>
    <x v="0"/>
    <x v="0"/>
    <x v="2"/>
    <x v="31"/>
    <x v="34"/>
    <x v="111"/>
    <x v="1"/>
    <x v="1"/>
    <x v="1"/>
    <x v="0"/>
    <x v="0"/>
    <x v="0"/>
    <x v="0"/>
  </r>
  <r>
    <x v="112"/>
    <x v="1"/>
    <x v="1"/>
    <x v="1"/>
    <x v="0"/>
    <x v="0"/>
    <x v="0"/>
    <x v="1"/>
    <x v="3"/>
    <x v="2"/>
    <x v="24"/>
    <x v="112"/>
    <x v="1"/>
    <x v="1"/>
    <x v="1"/>
    <x v="0"/>
    <x v="0"/>
    <x v="0"/>
    <x v="1"/>
  </r>
  <r>
    <x v="113"/>
    <x v="1"/>
    <x v="1"/>
    <x v="1"/>
    <x v="0"/>
    <x v="0"/>
    <x v="1"/>
    <x v="0"/>
    <x v="3"/>
    <x v="29"/>
    <x v="21"/>
    <x v="113"/>
    <x v="1"/>
    <x v="1"/>
    <x v="1"/>
    <x v="0"/>
    <x v="0"/>
    <x v="1"/>
    <x v="0"/>
  </r>
  <r>
    <x v="114"/>
    <x v="1"/>
    <x v="1"/>
    <x v="1"/>
    <x v="0"/>
    <x v="0"/>
    <x v="1"/>
    <x v="1"/>
    <x v="4"/>
    <x v="31"/>
    <x v="34"/>
    <x v="114"/>
    <x v="1"/>
    <x v="1"/>
    <x v="1"/>
    <x v="0"/>
    <x v="0"/>
    <x v="1"/>
    <x v="1"/>
  </r>
  <r>
    <x v="115"/>
    <x v="1"/>
    <x v="1"/>
    <x v="1"/>
    <x v="0"/>
    <x v="1"/>
    <x v="0"/>
    <x v="0"/>
    <x v="3"/>
    <x v="31"/>
    <x v="34"/>
    <x v="115"/>
    <x v="1"/>
    <x v="1"/>
    <x v="1"/>
    <x v="0"/>
    <x v="1"/>
    <x v="0"/>
    <x v="0"/>
  </r>
  <r>
    <x v="116"/>
    <x v="1"/>
    <x v="1"/>
    <x v="1"/>
    <x v="0"/>
    <x v="1"/>
    <x v="0"/>
    <x v="1"/>
    <x v="4"/>
    <x v="21"/>
    <x v="3"/>
    <x v="116"/>
    <x v="1"/>
    <x v="1"/>
    <x v="1"/>
    <x v="0"/>
    <x v="1"/>
    <x v="0"/>
    <x v="1"/>
  </r>
  <r>
    <x v="117"/>
    <x v="1"/>
    <x v="1"/>
    <x v="1"/>
    <x v="0"/>
    <x v="1"/>
    <x v="1"/>
    <x v="0"/>
    <x v="4"/>
    <x v="27"/>
    <x v="26"/>
    <x v="117"/>
    <x v="1"/>
    <x v="1"/>
    <x v="1"/>
    <x v="0"/>
    <x v="1"/>
    <x v="1"/>
    <x v="0"/>
  </r>
  <r>
    <x v="118"/>
    <x v="1"/>
    <x v="1"/>
    <x v="1"/>
    <x v="0"/>
    <x v="1"/>
    <x v="1"/>
    <x v="1"/>
    <x v="5"/>
    <x v="7"/>
    <x v="8"/>
    <x v="118"/>
    <x v="1"/>
    <x v="1"/>
    <x v="1"/>
    <x v="0"/>
    <x v="1"/>
    <x v="1"/>
    <x v="1"/>
  </r>
  <r>
    <x v="119"/>
    <x v="1"/>
    <x v="1"/>
    <x v="1"/>
    <x v="1"/>
    <x v="0"/>
    <x v="0"/>
    <x v="0"/>
    <x v="3"/>
    <x v="31"/>
    <x v="34"/>
    <x v="119"/>
    <x v="1"/>
    <x v="1"/>
    <x v="1"/>
    <x v="1"/>
    <x v="0"/>
    <x v="0"/>
    <x v="0"/>
  </r>
  <r>
    <x v="120"/>
    <x v="1"/>
    <x v="1"/>
    <x v="1"/>
    <x v="1"/>
    <x v="0"/>
    <x v="0"/>
    <x v="1"/>
    <x v="4"/>
    <x v="31"/>
    <x v="34"/>
    <x v="120"/>
    <x v="1"/>
    <x v="1"/>
    <x v="1"/>
    <x v="1"/>
    <x v="0"/>
    <x v="0"/>
    <x v="1"/>
  </r>
  <r>
    <x v="121"/>
    <x v="1"/>
    <x v="1"/>
    <x v="1"/>
    <x v="1"/>
    <x v="0"/>
    <x v="1"/>
    <x v="0"/>
    <x v="4"/>
    <x v="31"/>
    <x v="34"/>
    <x v="121"/>
    <x v="1"/>
    <x v="1"/>
    <x v="1"/>
    <x v="1"/>
    <x v="0"/>
    <x v="1"/>
    <x v="0"/>
  </r>
  <r>
    <x v="122"/>
    <x v="1"/>
    <x v="1"/>
    <x v="1"/>
    <x v="1"/>
    <x v="0"/>
    <x v="1"/>
    <x v="1"/>
    <x v="5"/>
    <x v="6"/>
    <x v="9"/>
    <x v="122"/>
    <x v="1"/>
    <x v="1"/>
    <x v="1"/>
    <x v="1"/>
    <x v="0"/>
    <x v="1"/>
    <x v="1"/>
  </r>
  <r>
    <x v="123"/>
    <x v="1"/>
    <x v="1"/>
    <x v="1"/>
    <x v="1"/>
    <x v="1"/>
    <x v="0"/>
    <x v="0"/>
    <x v="4"/>
    <x v="4"/>
    <x v="29"/>
    <x v="123"/>
    <x v="1"/>
    <x v="1"/>
    <x v="1"/>
    <x v="1"/>
    <x v="1"/>
    <x v="0"/>
    <x v="0"/>
  </r>
  <r>
    <x v="124"/>
    <x v="1"/>
    <x v="1"/>
    <x v="1"/>
    <x v="1"/>
    <x v="1"/>
    <x v="0"/>
    <x v="1"/>
    <x v="5"/>
    <x v="16"/>
    <x v="10"/>
    <x v="124"/>
    <x v="1"/>
    <x v="1"/>
    <x v="1"/>
    <x v="1"/>
    <x v="1"/>
    <x v="0"/>
    <x v="1"/>
  </r>
  <r>
    <x v="125"/>
    <x v="1"/>
    <x v="1"/>
    <x v="1"/>
    <x v="1"/>
    <x v="1"/>
    <x v="1"/>
    <x v="0"/>
    <x v="5"/>
    <x v="16"/>
    <x v="11"/>
    <x v="125"/>
    <x v="1"/>
    <x v="1"/>
    <x v="1"/>
    <x v="1"/>
    <x v="1"/>
    <x v="1"/>
    <x v="0"/>
  </r>
  <r>
    <x v="126"/>
    <x v="1"/>
    <x v="1"/>
    <x v="1"/>
    <x v="1"/>
    <x v="1"/>
    <x v="1"/>
    <x v="1"/>
    <x v="6"/>
    <x v="3"/>
    <x v="0"/>
    <x v="126"/>
    <x v="1"/>
    <x v="1"/>
    <x v="1"/>
    <x v="1"/>
    <x v="1"/>
    <x v="1"/>
    <x v="1"/>
  </r>
</pivotCacheRecords>
</file>

<file path=xl/pivotCache/pivotCacheRecords2.xml><?xml version="1.0" encoding="utf-8"?>
<pivotCacheRecords xmlns="http://schemas.openxmlformats.org/spreadsheetml/2006/main" xmlns:r="http://schemas.openxmlformats.org/officeDocument/2006/relationships" count="36">
  <r>
    <x v="0"/>
    <x v="6"/>
    <x v="0"/>
    <x v="1"/>
    <x v="10"/>
  </r>
  <r>
    <x v="1"/>
    <x v="6"/>
    <x v="1"/>
    <x v="0"/>
    <x v="12"/>
  </r>
  <r>
    <x v="2"/>
    <x v="6"/>
    <x v="2"/>
    <x v="2"/>
    <x v="1"/>
  </r>
  <r>
    <x v="3"/>
    <x v="10"/>
    <x v="0"/>
    <x v="2"/>
    <x v="13"/>
  </r>
  <r>
    <x v="4"/>
    <x v="10"/>
    <x v="1"/>
    <x v="0"/>
    <x v="5"/>
  </r>
  <r>
    <x v="5"/>
    <x v="10"/>
    <x v="2"/>
    <x v="3"/>
    <x v="8"/>
  </r>
  <r>
    <x v="6"/>
    <x v="7"/>
    <x v="0"/>
    <x v="0"/>
    <x v="14"/>
  </r>
  <r>
    <x v="7"/>
    <x v="7"/>
    <x v="1"/>
    <x v="2"/>
    <x v="4"/>
  </r>
  <r>
    <x v="8"/>
    <x v="7"/>
    <x v="2"/>
    <x v="3"/>
    <x v="2"/>
  </r>
  <r>
    <x v="9"/>
    <x v="2"/>
    <x v="0"/>
    <x v="3"/>
    <x v="3"/>
  </r>
  <r>
    <x v="10"/>
    <x v="2"/>
    <x v="1"/>
    <x v="1"/>
    <x v="0"/>
  </r>
  <r>
    <x v="11"/>
    <x v="2"/>
    <x v="2"/>
    <x v="2"/>
    <x v="11"/>
  </r>
  <r>
    <x v="12"/>
    <x v="8"/>
    <x v="0"/>
    <x v="1"/>
    <x v="6"/>
  </r>
  <r>
    <x v="13"/>
    <x v="8"/>
    <x v="1"/>
    <x v="2"/>
    <x v="9"/>
  </r>
  <r>
    <x v="14"/>
    <x v="8"/>
    <x v="2"/>
    <x v="1"/>
    <x v="7"/>
  </r>
  <r>
    <x v="15"/>
    <x v="1"/>
    <x v="0"/>
    <x v="0"/>
    <x v="15"/>
  </r>
  <r>
    <x v="16"/>
    <x v="1"/>
    <x v="1"/>
    <x v="3"/>
    <x v="15"/>
  </r>
  <r>
    <x v="17"/>
    <x v="1"/>
    <x v="2"/>
    <x v="0"/>
    <x v="15"/>
  </r>
  <r>
    <x v="18"/>
    <x v="9"/>
    <x v="0"/>
    <x v="0"/>
    <x v="15"/>
  </r>
  <r>
    <x v="19"/>
    <x v="9"/>
    <x v="1"/>
    <x v="2"/>
    <x v="15"/>
  </r>
  <r>
    <x v="20"/>
    <x v="9"/>
    <x v="2"/>
    <x v="1"/>
    <x v="15"/>
  </r>
  <r>
    <x v="21"/>
    <x v="11"/>
    <x v="0"/>
    <x v="1"/>
    <x v="15"/>
  </r>
  <r>
    <x v="22"/>
    <x v="11"/>
    <x v="1"/>
    <x v="1"/>
    <x v="15"/>
  </r>
  <r>
    <x v="23"/>
    <x v="11"/>
    <x v="2"/>
    <x v="1"/>
    <x v="15"/>
  </r>
  <r>
    <x v="24"/>
    <x v="0"/>
    <x v="0"/>
    <x v="2"/>
    <x v="15"/>
  </r>
  <r>
    <x v="25"/>
    <x v="0"/>
    <x v="1"/>
    <x v="0"/>
    <x v="15"/>
  </r>
  <r>
    <x v="26"/>
    <x v="0"/>
    <x v="2"/>
    <x v="0"/>
    <x v="15"/>
  </r>
  <r>
    <x v="27"/>
    <x v="4"/>
    <x v="0"/>
    <x v="1"/>
    <x v="15"/>
  </r>
  <r>
    <x v="28"/>
    <x v="4"/>
    <x v="1"/>
    <x v="0"/>
    <x v="15"/>
  </r>
  <r>
    <x v="29"/>
    <x v="4"/>
    <x v="2"/>
    <x v="2"/>
    <x v="15"/>
  </r>
  <r>
    <x v="30"/>
    <x v="3"/>
    <x v="0"/>
    <x v="1"/>
    <x v="15"/>
  </r>
  <r>
    <x v="31"/>
    <x v="3"/>
    <x v="1"/>
    <x v="0"/>
    <x v="15"/>
  </r>
  <r>
    <x v="32"/>
    <x v="3"/>
    <x v="2"/>
    <x v="0"/>
    <x v="15"/>
  </r>
  <r>
    <x v="33"/>
    <x v="5"/>
    <x v="0"/>
    <x v="3"/>
    <x v="15"/>
  </r>
  <r>
    <x v="34"/>
    <x v="5"/>
    <x v="1"/>
    <x v="3"/>
    <x v="15"/>
  </r>
  <r>
    <x v="35"/>
    <x v="5"/>
    <x v="2"/>
    <x v="1"/>
    <x v="15"/>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0" dataCaption="Values" showDrill="1" useAutoFormatting="0" itemPrintTitles="1" indent="0" outline="1" outlineData="1" compact="0" compactData="0">
  <location ref="U5:V13" firstHeaderRow="1" firstDataRow="1" firstDataCol="1"/>
  <pivotFields count="19">
    <pivotField compact="0" showAll="0"/>
    <pivotField compact="0" showAll="0"/>
    <pivotField compact="0" showAll="0"/>
    <pivotField compact="0" showAll="0"/>
    <pivotField compact="0" showAll="0"/>
    <pivotField compact="0" showAll="0"/>
    <pivotField compact="0" showAll="0"/>
    <pivotField compact="0" showAll="0"/>
    <pivotField axis="axisRow" dataField="1" compact="0" showAll="0">
      <items count="8">
        <item x="0"/>
        <item x="1"/>
        <item x="2"/>
        <item x="3"/>
        <item x="4"/>
        <item x="5"/>
        <item x="6"/>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8"/>
  </rowFields>
  <rowItems count="8">
    <i>
      <x v="0"/>
    </i>
    <i>
      <x v="1"/>
    </i>
    <i>
      <x v="2"/>
    </i>
    <i>
      <x v="3"/>
    </i>
    <i>
      <x v="4"/>
    </i>
    <i>
      <x v="5"/>
    </i>
    <i>
      <x v="6"/>
    </i>
    <i t="grand">
      <x v="7"/>
    </i>
  </rowItems>
  <colItems count="1">
    <i t="grand">
      <x v="0"/>
    </i>
  </colItems>
  <dataFields count="1">
    <dataField name="Count - Grahas*" fld="8" subtotal="count" numFmtId="164"/>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DataPilot1" cacheId="2" applyNumberFormats="0" applyBorderFormats="0" applyFontFormats="0" applyPatternFormats="0" applyAlignmentFormats="0" applyWidthHeightFormats="0" dataCaption="Values" showDrill="1" useAutoFormatting="0" itemPrintTitles="1" indent="0" outline="0" outlineData="0" compact="0" compactData="0">
  <location ref="L733:M738" firstHeaderRow="1" firstDataRow="1" firstDataCol="1"/>
  <pivotFields count="5">
    <pivotField compact="0" showAll="0" outline="0"/>
    <pivotField compact="0" showAll="0" outline="0"/>
    <pivotField compact="0" showAll="0" outline="0"/>
    <pivotField axis="axisRow" dataField="1" compact="0" showAll="0" outline="0">
      <items count="5">
        <item x="0"/>
        <item x="1"/>
        <item x="2"/>
        <item x="3"/>
        <item t="default"/>
      </items>
    </pivotField>
    <pivotField compact="0" showAll="0"/>
  </pivotFields>
  <rowFields count="1">
    <field x="3"/>
  </rowFields>
  <rowItems count="5">
    <i>
      <x v="0"/>
    </i>
    <i>
      <x v="1"/>
    </i>
    <i>
      <x v="2"/>
    </i>
    <i>
      <x v="3"/>
    </i>
    <i t="grand">
      <x v="4"/>
    </i>
  </rowItems>
  <colItems count="1">
    <i t="grand">
      <x v="0"/>
    </i>
  </colItems>
  <dataFields count="1">
    <dataField name="Count - VaidyanaathaDx*" fld="3" subtotal="count" numFmtId="164"/>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Akathaha" displayName="Akathaha" ref="A170:J179" headerRowCount="1" totalsRowCount="0" totalsRowShown="0">
  <autoFilter ref="A170:J179"/>
  <tableColumns count="10">
    <tableColumn id="1" name="Akathaha"/>
    <tableColumn id="2" name="1"/>
    <tableColumn id="3" name="2"/>
    <tableColumn id="4" name="3"/>
    <tableColumn id="5" name="4"/>
    <tableColumn id="6" name="akathaha Chakra"/>
    <tableColumn id="7" name="C1"/>
    <tableColumn id="8" name="C2"/>
    <tableColumn id="9" name="C3"/>
    <tableColumn id="10" name="C4"/>
  </tableColumns>
</table>
</file>

<file path=xl/tables/table2.xml><?xml version="1.0" encoding="utf-8"?>
<table xmlns="http://schemas.openxmlformats.org/spreadsheetml/2006/main" id="2" name="Ayush3Pairs" displayName="Ayush3Pairs" ref="A204:D212" headerRowCount="1" totalsRowCount="0" totalsRowShown="0">
  <autoFilter ref="A204:D212"/>
  <tableColumns count="4">
    <tableColumn id="1" name="Term of Life"/>
    <tableColumn id="2" name="if signs are:"/>
    <tableColumn id="3" name="or signs are:"/>
    <tableColumn id="4" name="Lifespan"/>
  </tableColumns>
</table>
</file>

<file path=xl/tables/table3.xml><?xml version="1.0" encoding="utf-8"?>
<table xmlns="http://schemas.openxmlformats.org/spreadsheetml/2006/main" id="3" name="BhaavaDescription" displayName="BhaavaDescription" ref="A31:AA44" headerRowCount="1" totalsRowCount="0" totalsRowShown="0">
  <autoFilter ref="A31:AA44"/>
  <tableColumns count="27">
    <tableColumn id="1" name="Bhava Number"/>
    <tableColumn id="2" name="Name"/>
    <tableColumn id="3" name="Sanskrit Name"/>
    <tableColumn id="4" name="Strength (LP)"/>
    <tableColumn id="5" name="Navakkari"/>
    <tableColumn id="6" name="Signifies"/>
    <tableColumn id="7" name="What We…."/>
    <tableColumn id="8" name="At Work"/>
    <tableColumn id="9" name="House (Business)"/>
    <tableColumn id="10" name="Lord (Business)"/>
    <tableColumn id="11" name="House(Jobs)"/>
    <tableColumn id="12" name="Lords(Jobs)"/>
    <tableColumn id="13" name="Deva praśna"/>
    <tableColumn id="14" name="Rāja praśna- Coronation"/>
    <tableColumn id="15" name="Rāja praśna-Rāja bhāgya"/>
    <tableColumn id="16" name="Rāja praśna-National chart"/>
    <tableColumn id="17" name="Charakāraka &amp; bhāva"/>
    <tableColumn id="18" name="Nashta Prashna"/>
    <tableColumn id="19" name="Posture"/>
    <tableColumn id="20" name="Transliteration"/>
    <tableColumn id="21" name="Translation"/>
    <tableColumn id="22" name="Body Part"/>
    <tableColumn id="23" name="1st Dreshkana"/>
    <tableColumn id="24" name="2nd Drekkana"/>
    <tableColumn id="25" name="3rd Drekkana"/>
    <tableColumn id="26" name="Bhojana Prashna"/>
    <tableColumn id="27" name="Suratha Prashna"/>
  </tableColumns>
</table>
</file>

<file path=xl/tables/table4.xml><?xml version="1.0" encoding="utf-8"?>
<table xmlns="http://schemas.openxmlformats.org/spreadsheetml/2006/main" id="4" name="D24Deity" displayName="D24Deity" ref="AF214:AG226" headerRowCount="1" totalsRowCount="0" totalsRowShown="0">
  <autoFilter ref="AF214:AG226"/>
  <tableColumns count="2">
    <tableColumn id="1" name="D24 Deities"/>
    <tableColumn id="2" name="Meanigng"/>
  </tableColumns>
</table>
</file>

<file path=xl/tables/table5.xml><?xml version="1.0" encoding="utf-8"?>
<table xmlns="http://schemas.openxmlformats.org/spreadsheetml/2006/main" id="5" name="D30Results" displayName="D30Results" ref="A706:F713" headerRowCount="1" totalsRowCount="0" totalsRowShown="0">
  <autoFilter ref="A706:F713"/>
  <tableColumns count="6">
    <tableColumn id="1" name="D1/D30-&gt;"/>
    <tableColumn id="2" name="Mars"/>
    <tableColumn id="3" name="Venus"/>
    <tableColumn id="4" name="Mercury"/>
    <tableColumn id="5" name="Guru"/>
    <tableColumn id="6" name="Saturn"/>
  </tableColumns>
</table>
</file>

<file path=xl/tables/table6.xml><?xml version="1.0" encoding="utf-8"?>
<table xmlns="http://schemas.openxmlformats.org/spreadsheetml/2006/main" id="6" name="Drekkana" displayName="Drekkana" ref="A731:E767" headerRowCount="1" totalsRowCount="0" totalsRowShown="0">
  <autoFilter ref="A731:E767"/>
  <tableColumns count="5">
    <tableColumn id="1" name="D3"/>
    <tableColumn id="2" name="Sign"/>
    <tableColumn id="3" name="Drekkana"/>
    <tableColumn id="4" name="VaidyanaathaDx"/>
    <tableColumn id="5" name="Varaahamihira"/>
  </tableColumns>
</table>
</file>

<file path=xl/tables/table7.xml><?xml version="1.0" encoding="utf-8"?>
<table xmlns="http://schemas.openxmlformats.org/spreadsheetml/2006/main" id="7" name="FinancialRelation" displayName="FinancialRelation" ref="A520:M529" headerRowCount="1" totalsRowCount="0" totalsRowShown="0">
  <autoFilter ref="A520:M529"/>
  <tableColumns count="13">
    <tableColumn id="1" name="Planet"/>
    <tableColumn id="2" name="Exaltation/&#10;Debilitation"/>
    <tableColumn id="3" name="Own&#10;Sign"/>
    <tableColumn id="4" name="Friends"/>
    <tableColumn id="5" name="Friendly Sign"/>
    <tableColumn id="6" name="Friend 1"/>
    <tableColumn id="7" name="Friend 2"/>
    <tableColumn id="8" name="Friend 3"/>
    <tableColumn id="9" name="Friend 4"/>
    <tableColumn id="10" name="Friend 5"/>
    <tableColumn id="11" name="Friend 6"/>
    <tableColumn id="12" name="Friend 7"/>
    <tableColumn id="13" name="From Notes/Dhana Yogada"/>
  </tableColumns>
</table>
</file>

<file path=xl/tables/table8.xml><?xml version="1.0" encoding="utf-8"?>
<table xmlns="http://schemas.openxmlformats.org/spreadsheetml/2006/main" id="8" name="GrahaMaturity" displayName="GrahaMaturity" ref="A586:E595" headerRowCount="1" totalsRowCount="0" totalsRowShown="0">
  <autoFilter ref="A586:E595"/>
  <tableColumns count="5">
    <tableColumn id="1" name="Graha"/>
    <tableColumn id="2" name="Number"/>
    <tableColumn id="3" name="Primary"/>
    <tableColumn id="4" name="Secondary"/>
    <tableColumn id="5" name="Column1"/>
  </tableColumns>
</table>
</file>

<file path=xl/tables/table9.xml><?xml version="1.0" encoding="utf-8"?>
<table xmlns="http://schemas.openxmlformats.org/spreadsheetml/2006/main" id="9" name="HoraTable" displayName="HoraTable" ref="A770:H819" headerRowCount="1" totalsRowCount="0" totalsRowShown="0">
  <tableColumns count="8">
    <tableColumn id="1" name="Hours"/>
    <tableColumn id="2" name="Sunday"/>
    <tableColumn id="3" name="Monday"/>
    <tableColumn id="4" name="Tuesday"/>
    <tableColumn id="5" name="Wednesday"/>
    <tableColumn id="6" name="Thursday"/>
    <tableColumn id="7" name="Friday"/>
    <tableColumn id="8" name="Saturday"/>
  </tableColumns>
</table>
</file>

<file path=xl/tables/table10.xml><?xml version="1.0" encoding="utf-8"?>
<table xmlns="http://schemas.openxmlformats.org/spreadsheetml/2006/main" id="10" name="KaranaTable" displayName="KaranaTable" ref="A136:F147" headerRowCount="1" totalsRowCount="0" totalsRowShown="0">
  <autoFilter ref="A136:F147"/>
  <tableColumns count="6">
    <tableColumn id="1" name="KaranaTable"/>
    <tableColumn id="2" name="करण"/>
    <tableColumn id="3" name="karaṇa"/>
    <tableColumn id="4" name="Ruler"/>
    <tableColumn id="5" name="Tithi"/>
    <tableColumn id="6" name="Other Spellings"/>
  </tableColumns>
</table>
</file>

<file path=xl/tables/table11.xml><?xml version="1.0" encoding="utf-8"?>
<table xmlns="http://schemas.openxmlformats.org/spreadsheetml/2006/main" id="11" name="KC" displayName="KC" ref="A1:H49" headerRowCount="1" totalsRowCount="0" totalsRowShown="0">
  <autoFilter ref="A1:H49"/>
  <tableColumns count="8">
    <tableColumn id="1" name="Seq"/>
    <tableColumn id="2" name="Dasa"/>
    <tableColumn id="3" name="Years"/>
    <tableColumn id="4" name="Pada"/>
    <tableColumn id="5" name="KD9"/>
    <tableColumn id="6" name="Ayush"/>
    <tableColumn id="7" name="D9Savya"/>
    <tableColumn id="8" name="Savya2"/>
  </tableColumns>
</table>
</file>

<file path=xl/tables/table12.xml><?xml version="1.0" encoding="utf-8"?>
<table xmlns="http://schemas.openxmlformats.org/spreadsheetml/2006/main" id="12" name="KutaTable" displayName="KutaTable" ref="A187:G202" headerRowCount="1" totalsRowCount="1" totalsRowShown="1">
  <autoFilter ref="A187:G202"/>
  <tableColumns count="7">
    <tableColumn id="1" name="#"/>
    <tableColumn id="2" name="Kuta"/>
    <tableColumn id="3" name="Definition"/>
    <tableColumn id="4" name="Promote"/>
    <tableColumn id="5" name="Points"/>
    <tableColumn id="6" name="Example"/>
    <tableColumn id="7" name="Example Points"/>
  </tableColumns>
</table>
</file>

<file path=xl/tables/table13.xml><?xml version="1.0" encoding="utf-8"?>
<table xmlns="http://schemas.openxmlformats.org/spreadsheetml/2006/main" id="13" name="Nakshatra" displayName="Nakshatra" ref="A47:BD76" headerRowCount="1" totalsRowCount="0" totalsRowShown="0">
  <tableColumns count="56">
    <tableColumn id="1" name="Seq27"/>
    <tableColumn id="2" name="Name"/>
    <tableColumn id="3" name="Other Names"/>
    <tableColumn id="4" name="Lord"/>
    <tableColumn id="5" name="Sign(s)"/>
    <tableColumn id="6" name="Tatva Group"/>
    <tableColumn id="7" name="Tatva"/>
    <tableColumn id="8" name="Andhaadi"/>
    <tableColumn id="9" name="Adhomukhaadi/Sight"/>
    <tableColumn id="10" name="Guna(8)"/>
    <tableColumn id="11" name="Gana(9)"/>
    <tableColumn id="12" name="Type"/>
    <tableColumn id="13" name="Symbol"/>
    <tableColumn id="14" name="Symbol2"/>
    <tableColumn id="15" name="Sex*"/>
    <tableColumn id="16" name="Animal"/>
    <tableColumn id="17" name="Deity"/>
    <tableColumn id="18" name="Rajju"/>
    <tableColumn id="19" name="Prakruti"/>
    <tableColumn id="20" name="Varna"/>
    <tableColumn id="21" name="Start"/>
    <tableColumn id="22" name="End"/>
    <tableColumn id="23" name="Phonemes"/>
    <tableColumn id="24" name="Akshara"/>
    <tableColumn id="25" name="Gotra(25)"/>
    <tableColumn id="26" name="DoshaX8"/>
    <tableColumn id="27" name="Pada1"/>
    <tableColumn id="28" name="Pada2"/>
    <tableColumn id="29" name="Pada3"/>
    <tableColumn id="30" name="Pada4"/>
    <tableColumn id="31" name="Yoga"/>
    <tableColumn id="32" name="Direction"/>
    <tableColumn id="33" name="Astronomical Name"/>
    <tableColumn id="34" name="0:Gh:Vg"/>
    <tableColumn id="35" name="Degrees"/>
    <tableColumn id="36" name="PROFESSIONS, ARTICLES ETC. SIGNIFIED"/>
    <tableColumn id="37" name="PanchaPakshiShuklaP (Prashna Marga)"/>
    <tableColumn id="38" name="PanchaPakshiKrishnaP"/>
    <tableColumn id="39" name="Sanjya chakra"/>
    <tableColumn id="40" name="Paata Chakra"/>
    <tableColumn id="41" name="Paata (Up,Mr,Ka, Sa)"/>
    <tableColumn id="42" name="Body Parts (Kamkoti.org)"/>
    <tableColumn id="43" name="Visha"/>
    <tableColumn id="44" name="Amrit"/>
    <tableColumn id="45" name="Mrityu"/>
    <tableColumn id="46" name="Ushna-sikha Start"/>
    <tableColumn id="47" name="Ushna-sikha End"/>
    <tableColumn id="48" name="Savya"/>
    <tableColumn id="49" name="Meaning"/>
    <tableColumn id="50" name="Pada 1"/>
    <tableColumn id="51" name="Pada 2"/>
    <tableColumn id="52" name="Pada 3"/>
    <tableColumn id="53" name="Pada 4"/>
    <tableColumn id="54" name="Shiva Names"/>
    <tableColumn id="55" name="Tree"/>
    <tableColumn id="56" name="ChandraAshtama"/>
  </tableColumns>
</table>
</file>

<file path=xl/tables/table14.xml><?xml version="1.0" encoding="utf-8"?>
<table xmlns="http://schemas.openxmlformats.org/spreadsheetml/2006/main" id="14" name="Table1" displayName="Table1" ref="A2:E11" headerRowCount="1" totalsRowCount="0" totalsRowShown="0">
  <tableColumns count="5">
    <tableColumn id="1" name="Title"/>
    <tableColumn id="2" name="Sign"/>
    <tableColumn id="3" name="2000"/>
    <tableColumn id="4" name="2014"/>
    <tableColumn id="5" name="2013"/>
  </tableColumns>
</table>
</file>

<file path=xl/tables/table15.xml><?xml version="1.0" encoding="utf-8"?>
<table xmlns="http://schemas.openxmlformats.org/spreadsheetml/2006/main" id="15" name="Table112" displayName="Table112" ref="A31:AA36" headerRowCount="1" totalsRowCount="0" totalsRowShown="0">
  <autoFilter ref="A31:AA36"/>
  <tableColumns count="27">
    <tableColumn id="1" name="Bird"/>
    <tableColumn id="2" name="Vowel"/>
    <tableColumn id="3" name="Anti(படு) Pakshi Vaara"/>
    <tableColumn id="4" name="Friend1"/>
    <tableColumn id="5" name="Friend2"/>
    <tableColumn id="6" name="Enemy"/>
    <tableColumn id="7" name="Enemy2"/>
    <tableColumn id="8" name="x"/>
    <tableColumn id="9" name="Column4"/>
    <tableColumn id="10" name="deity"/>
    <tableColumn id="11" name="Column1"/>
    <tableColumn id="12" name="Column2"/>
    <tableColumn id="13" name="Column3"/>
    <tableColumn id="14" name="Tithi"/>
    <tableColumn id="15" name="Vowel2"/>
    <tableColumn id="16" name="Pakshi becomes Anti(படு) on"/>
    <tableColumn id="17" name="Friend12"/>
    <tableColumn id="18" name="Friend23"/>
    <tableColumn id="19" name="Enemy4"/>
    <tableColumn id="20" name="Enemy25"/>
    <tableColumn id="21" name="Column11"/>
    <tableColumn id="22" name="Column12"/>
    <tableColumn id="23" name="Column13"/>
    <tableColumn id="24" name="Column14"/>
    <tableColumn id="25" name="Column15"/>
    <tableColumn id="26" name="Column16"/>
    <tableColumn id="27" name="Column17"/>
  </tableColumns>
</table>
</file>

<file path=xl/tables/table16.xml><?xml version="1.0" encoding="utf-8"?>
<table xmlns="http://schemas.openxmlformats.org/spreadsheetml/2006/main" id="16" name="Table122" displayName="Table122" ref="A1:S128" headerRowCount="1" totalsRowCount="0" totalsRowShown="0">
  <autoFilter ref="A1:S128">
    <filterColumn colId="8">
      <filters>
        <filter val="2"/>
      </filters>
    </filterColumn>
  </autoFilter>
  <tableColumns count="19">
    <tableColumn id="1" name="Yoga#"/>
    <tableColumn id="2" name="Sat"/>
    <tableColumn id="3" name="Ve"/>
    <tableColumn id="4" name="Ju"/>
    <tableColumn id="5" name="Me"/>
    <tableColumn id="6" name="Ma"/>
    <tableColumn id="7" name="Mo"/>
    <tableColumn id="8" name="Su"/>
    <tableColumn id="9" name="Grahas"/>
    <tableColumn id="10" name="Yoga Name/Results"/>
    <tableColumn id="11" name="References"/>
    <tableColumn id="12" name="Conjoined Grahas"/>
    <tableColumn id="13" name="Sat2"/>
    <tableColumn id="14" name="Column2"/>
    <tableColumn id="15" name="Column3"/>
    <tableColumn id="16" name="Column4"/>
    <tableColumn id="17" name="Column5"/>
    <tableColumn id="18" name="Column6"/>
    <tableColumn id="19" name="Column7"/>
  </tableColumns>
</table>
</file>

<file path=xl/tables/table17.xml><?xml version="1.0" encoding="utf-8"?>
<table xmlns="http://schemas.openxmlformats.org/spreadsheetml/2006/main" id="17" name="Table13" displayName="Table13" ref="A1:L10" headerRowCount="1" totalsRowCount="0" totalsRowShown="0">
  <autoFilter ref="A1:L10"/>
  <tableColumns count="12">
    <tableColumn id="1" name="Planet"/>
    <tableColumn id="2" name="Vimsottari Years"/>
    <tableColumn id="3" name="Vimsottari Seq"/>
    <tableColumn id="4" name="Use Forward Table?"/>
    <tableColumn id="5" name="TRUE"/>
    <tableColumn id="6" name="Graha"/>
    <tableColumn id="7" name="Solar Years"/>
    <tableColumn id="8" name="Sequence"/>
    <tableColumn id="9" name="Sol Days/Deg"/>
    <tableColumn id="10" name="Sol Days/Min"/>
    <tableColumn id="11" name="Sol Days/Sec"/>
    <tableColumn id="12" name="Dasa Days/Min"/>
  </tableColumns>
</table>
</file>

<file path=xl/tables/table18.xml><?xml version="1.0" encoding="utf-8"?>
<table xmlns="http://schemas.openxmlformats.org/spreadsheetml/2006/main" id="18" name="Table1390" displayName="Table1390" ref="A661:F670" headerRowCount="1" totalsRowCount="0" totalsRowShown="0">
  <autoFilter ref="A661:F670"/>
  <tableColumns count="6">
    <tableColumn id="1" name="Numerology"/>
    <tableColumn id="2" name="Graha"/>
    <tableColumn id="3" name="4th-Lock"/>
    <tableColumn id="4" name="Lock Number"/>
    <tableColumn id="5" name="7th-Unlock"/>
    <tableColumn id="6" name="Unlock Number"/>
  </tableColumns>
</table>
</file>

<file path=xl/tables/table19.xml><?xml version="1.0" encoding="utf-8"?>
<table xmlns="http://schemas.openxmlformats.org/spreadsheetml/2006/main" id="19" name="Table14" displayName="Table14" ref="F16:U30" headerRowCount="1" totalsRowCount="0" totalsRowShown="0">
  <tableColumns count="16">
    <tableColumn id="1" name="Group"/>
    <tableColumn id="2" name="Signs"/>
    <tableColumn id="3" name="Rashimana in"/>
    <tableColumn id="4" name="Asus"/>
    <tableColumn id="5" name="hr-mn-sc"/>
    <tableColumn id="6" name="Start"/>
    <tableColumn id="7" name="End"/>
    <tableColumn id="8" name="Lankodaya"/>
    <tableColumn id="9" name="Asus2"/>
    <tableColumn id="10" name="Vigh or Pala"/>
    <tableColumn id="11" name="Corrected"/>
    <tableColumn id="12" name="ViGh"/>
    <tableColumn id="13" name="Asus3"/>
    <tableColumn id="14" name="Time"/>
    <tableColumn id="15" name="Dec"/>
    <tableColumn id="16" name="sin"/>
  </tableColumns>
</table>
</file>

<file path=xl/tables/table20.xml><?xml version="1.0" encoding="utf-8"?>
<table xmlns="http://schemas.openxmlformats.org/spreadsheetml/2006/main" id="20" name="Table16" displayName="Table16" ref="A153:P168" headerRowCount="1" totalsRowCount="0" totalsRowShown="0">
  <autoFilter ref="A153:P168"/>
  <tableColumns count="16">
    <tableColumn id="1" name="Katapayadi"/>
    <tableColumn id="2" name="Column1"/>
    <tableColumn id="3" name="Column2"/>
    <tableColumn id="4" name="Column3"/>
    <tableColumn id="5" name="Column4"/>
    <tableColumn id="6" name="Column5"/>
    <tableColumn id="7" name="Column6"/>
    <tableColumn id="8" name="Column7"/>
    <tableColumn id="9" name="Column8"/>
    <tableColumn id="10" name="Column9"/>
    <tableColumn id="11" name="Column10"/>
    <tableColumn id="12" name="Column11"/>
    <tableColumn id="13" name="Column12"/>
    <tableColumn id="14" name="Column13"/>
    <tableColumn id="15" name="Column14"/>
    <tableColumn id="16" name="Column15"/>
  </tableColumns>
</table>
</file>

<file path=xl/tables/table21.xml><?xml version="1.0" encoding="utf-8"?>
<table xmlns="http://schemas.openxmlformats.org/spreadsheetml/2006/main" id="21" name="Table17" displayName="Table17" ref="A17:C21" headerRowCount="1" totalsRowCount="0" totalsRowShown="0">
  <autoFilter ref="A17:C21"/>
  <tableColumns count="3">
    <tableColumn id="1" name="Year"/>
    <tableColumn id="2" name="Days"/>
    <tableColumn id="3" name="Ratio"/>
  </tableColumns>
</table>
</file>

<file path=xl/tables/table22.xml><?xml version="1.0" encoding="utf-8"?>
<table xmlns="http://schemas.openxmlformats.org/spreadsheetml/2006/main" id="22" name="Table1702" displayName="Table1702" ref="X214:AA274" headerRowCount="1" totalsRowCount="0" totalsRowShown="0">
  <tableColumns count="4">
    <tableColumn id="1" name="D60Index"/>
    <tableColumn id="2" name="D60English"/>
    <tableColumn id="3" name="D60Meaning"/>
    <tableColumn id="4" name="D60Sanskrit"/>
  </tableColumns>
</table>
</file>

<file path=xl/tables/table23.xml><?xml version="1.0" encoding="utf-8"?>
<table xmlns="http://schemas.openxmlformats.org/spreadsheetml/2006/main" id="23" name="Table1703" displayName="Table1703" ref="D214:E241" headerRowCount="1" totalsRowCount="0" totalsRowShown="0">
  <autoFilter ref="D214:E241"/>
  <tableColumns count="2">
    <tableColumn id="1" name="D27 Deities"/>
    <tableColumn id="2" name="D27 Deities2"/>
  </tableColumns>
</table>
</file>

<file path=xl/tables/table24.xml><?xml version="1.0" encoding="utf-8"?>
<table xmlns="http://schemas.openxmlformats.org/spreadsheetml/2006/main" id="24" name="Table1704" displayName="Table1704" ref="B214:C254" headerRowCount="1" totalsRowCount="0" totalsRowShown="0">
  <autoFilter ref="B214:C254"/>
  <tableColumns count="2">
    <tableColumn id="1" name="D20Deities"/>
    <tableColumn id="2" name="D20Deities2"/>
  </tableColumns>
</table>
</file>

<file path=xl/tables/table25.xml><?xml version="1.0" encoding="utf-8"?>
<table xmlns="http://schemas.openxmlformats.org/spreadsheetml/2006/main" id="25" name="Table19" displayName="Table19" ref="A2:S11" headerRowCount="1" totalsRowCount="0" totalsRowShown="0">
  <autoFilter ref="A2:S11"/>
  <tableColumns count="19">
    <tableColumn id="1" name="Graha"/>
    <tableColumn id="2" name="Jataka"/>
    <tableColumn id="3" name="Debility"/>
    <tableColumn id="4" name="Distance"/>
    <tableColumn id="5" name="Maana"/>
    <tableColumn id="6" name="Correction"/>
    <tableColumn id="7" name="Age-P"/>
    <tableColumn id="8" name="Maana2"/>
    <tableColumn id="9" name="Correction3"/>
    <tableColumn id="10" name="Age-N"/>
    <tableColumn id="11" name="D9"/>
    <tableColumn id="12" name="Correction5"/>
    <tableColumn id="13" name="Age-A"/>
    <tableColumn id="14" name="MaanaR"/>
    <tableColumn id="15" name="Age-R"/>
    <tableColumn id="16" name="Factor"/>
    <tableColumn id="17" name="Age-K"/>
    <tableColumn id="18" name="Age-B"/>
    <tableColumn id="19" name="Age-Nx"/>
  </tableColumns>
</table>
</file>

<file path=xl/tables/table26.xml><?xml version="1.0" encoding="utf-8"?>
<table xmlns="http://schemas.openxmlformats.org/spreadsheetml/2006/main" id="26" name="Table1954" displayName="Table1954" ref="R3:W11" headerRowCount="1" totalsRowCount="0" totalsRowShown="0">
  <tableColumns count="6">
    <tableColumn id="1" name="#"/>
    <tableColumn id="2" name="Direction"/>
    <tableColumn id="3" name="Point"/>
    <tableColumn id="4" name="Shiva Gana Mantra"/>
    <tableColumn id="5" name="Shiva Gana Mantra2"/>
    <tableColumn id="6" name="Ashta Siddhi"/>
  </tableColumns>
</table>
</file>

<file path=xl/tables/table27.xml><?xml version="1.0" encoding="utf-8"?>
<table xmlns="http://schemas.openxmlformats.org/spreadsheetml/2006/main" id="27" name="Table2" displayName="Table2" ref="B3:C12" headerRowCount="1" totalsRowCount="0" totalsRowShown="0">
  <autoFilter ref="B3:C12"/>
  <tableColumns count="2">
    <tableColumn id="1" name="Planet"/>
    <tableColumn id="2" name="Sign#"/>
  </tableColumns>
</table>
</file>

<file path=xl/tables/table28.xml><?xml version="1.0" encoding="utf-8"?>
<table xmlns="http://schemas.openxmlformats.org/spreadsheetml/2006/main" id="28" name="Table20" displayName="Table20" ref="A314:C322" headerRowCount="1" totalsRowCount="0" totalsRowShown="0">
  <autoFilter ref="A314:C322"/>
  <tableColumns count="3">
    <tableColumn id="1" name="Kakshya"/>
    <tableColumn id="2" name="Degree St"/>
    <tableColumn id="3" name="End"/>
  </tableColumns>
</table>
</file>

<file path=xl/tables/table29.xml><?xml version="1.0" encoding="utf-8"?>
<table xmlns="http://schemas.openxmlformats.org/spreadsheetml/2006/main" id="29" name="Table213" displayName="Table213" ref="A38:G43" headerRowCount="1" totalsRowCount="0" totalsRowShown="0">
  <autoFilter ref="A38:G43"/>
  <tableColumns count="7">
    <tableColumn id="1" name="Sequence "/>
    <tableColumn id="2" name="Wt"/>
    <tableColumn id="3" name="Activites"/>
    <tableColumn id="4" name="SP day Sukshma Job"/>
    <tableColumn id="5" name="SP Night"/>
    <tableColumn id="6" name="KP Day"/>
    <tableColumn id="7" name="KP Night"/>
  </tableColumns>
</table>
</file>

<file path=xl/tables/table30.xml><?xml version="1.0" encoding="utf-8"?>
<table xmlns="http://schemas.openxmlformats.org/spreadsheetml/2006/main" id="30" name="Table22" displayName="Table22" ref="A39:O48" headerRowCount="1" totalsRowCount="0" totalsRowShown="0">
  <autoFilter ref="A39:O48"/>
  <tableColumns count="15">
    <tableColumn id="1" name="Navatara"/>
    <tableColumn id="2" name="Kaaraka"/>
    <tableColumn id="3" name="#"/>
    <tableColumn id="4" name="Ruler"/>
    <tableColumn id="5" name="Deha"/>
    <tableColumn id="6" name="Navatara 1"/>
    <tableColumn id="7" name="Use 1st Level"/>
    <tableColumn id="8" name="Manasa"/>
    <tableColumn id="9" name="Navatara 2"/>
    <tableColumn id="10" name="Use 2"/>
    <tableColumn id="11" name="Atma"/>
    <tableColumn id="12" name="Navatara 3"/>
    <tableColumn id="13" name="Use 3"/>
    <tableColumn id="14" name="Ruler_"/>
    <tableColumn id="15" name="#2"/>
  </tableColumns>
</table>
</file>

<file path=xl/tables/table31.xml><?xml version="1.0" encoding="utf-8"?>
<table xmlns="http://schemas.openxmlformats.org/spreadsheetml/2006/main" id="31" name="Table389" displayName="Table389" ref="A1:M58" headerRowCount="1" totalsRowCount="0" totalsRowShown="0">
  <autoFilter ref="A1:M58"/>
  <tableColumns count="13">
    <tableColumn id="1" name="#"/>
    <tableColumn id="2" name="Sahama"/>
    <tableColumn id="3" name="Meaning"/>
    <tableColumn id="4" name="Formula (Shodhaka-Shodhya)+Kshepak"/>
    <tableColumn id="5" name="Notes"/>
    <tableColumn id="6" name="Tithi Part"/>
    <tableColumn id="7" name="Opposite Correction"/>
    <tableColumn id="8" name="Day/Night Correction2"/>
    <tableColumn id="9" name="Mod360"/>
    <tableColumn id="10" name="Rashi"/>
    <tableColumn id="11" name="Degrees"/>
    <tableColumn id="12" name="Nakshatra"/>
    <tableColumn id="13" name="Correction IF(Not(Kshepak between Shodhak and Shodya Add 30deg"/>
  </tableColumns>
</table>
</file>

<file path=xl/tables/table32.xml><?xml version="1.0" encoding="utf-8"?>
<table xmlns="http://schemas.openxmlformats.org/spreadsheetml/2006/main" id="32" name="Table4" displayName="Table4" ref="A15:W27" headerRowCount="1" totalsRowCount="0" totalsRowShown="0">
  <autoFilter ref="A15:W27"/>
  <tableColumns count="23">
    <tableColumn id="1" name="Sign/Rasi"/>
    <tableColumn id="2" name="Rasi Symbol"/>
    <tableColumn id="3" name="Deg"/>
    <tableColumn id="4" name="Tattwa"/>
    <tableColumn id="5" name="Direction"/>
    <tableColumn id="6" name="Yuga"/>
    <tableColumn id="7" name="Type"/>
    <tableColumn id="8" name="Mantra"/>
    <tableColumn id="9" name="Strength"/>
    <tableColumn id="10" name="Lord"/>
    <tableColumn id="11" name="Name1"/>
    <tableColumn id="12" name="Alternate Name2"/>
    <tableColumn id="13" name="Aditya"/>
    <tableColumn id="14" name="Aditya Others"/>
    <tableColumn id="15" name="River"/>
    <tableColumn id="16" name="Rashi māna "/>
    <tableColumn id="17" name="Yoni"/>
    <tableColumn id="18" name="Terrible Grahas"/>
    <tableColumn id="19" name="Sanskrit  Months"/>
    <tableColumn id="20" name="Season"/>
    <tableColumn id="21" name="Column11"/>
    <tableColumn id="22" name="Column12"/>
    <tableColumn id="23" name="Column13"/>
  </tableColumns>
</table>
</file>

<file path=xl/tables/table33.xml><?xml version="1.0" encoding="utf-8"?>
<table xmlns="http://schemas.openxmlformats.org/spreadsheetml/2006/main" id="33" name="Table5" displayName="Table5" ref="A2:X13" headerRowCount="1" totalsRowCount="0" totalsRowShown="0">
  <tableColumns count="24">
    <tableColumn id="1" name="Graha Information"/>
    <tableColumn id="2" name="Vimsottari Years"/>
    <tableColumn id="3" name="Vimsottari Seq"/>
    <tableColumn id="4" name="Direction"/>
    <tableColumn id="5" name="Direction Surya Mantra"/>
    <tableColumn id="6" name="Weekday Order"/>
    <tableColumn id="7" name="Exaltion"/>
    <tableColumn id="8" name="Exaltation"/>
    <tableColumn id="9" name="House"/>
    <tableColumn id="10" name="debilitation"/>
    <tableColumn id="11" name="Daily Avg Speed (MJUS)&#10;/Day"/>
    <tableColumn id="12" name="Speed (Wiki) in Days&#10;(Sidereal)"/>
    <tableColumn id="13" name="Revolution &#10;in MahaYuga"/>
    <tableColumn id="14" name="Graha Māna "/>
    <tableColumn id="15" name="Column2"/>
    <tableColumn id="16" name="Moolatrikone"/>
    <tableColumn id="17" name="GrahaWeekdayOrder"/>
    <tableColumn id="18" name="GrahaShayanaadiGunanka"/>
    <tableColumn id="19" name="Combustion SS IX.6,7,8"/>
    <tableColumn id="20" name="Mean Motion (BVRaman"/>
    <tableColumn id="21" name="Modern Mean Motion (Wiki"/>
    <tableColumn id="22" name="Sapta Swara (per "/>
    <tableColumn id="23" name="Janma tithi"/>
    <tableColumn id="24" name="Janma Nakshatra"/>
  </tableColumns>
</table>
</file>

<file path=xl/tables/table34.xml><?xml version="1.0" encoding="utf-8"?>
<table xmlns="http://schemas.openxmlformats.org/spreadsheetml/2006/main" id="34" name="TithiTable" displayName="TithiTable" ref="A79:R95" headerRowCount="1" totalsRowCount="0" totalsRowShown="0">
  <autoFilter ref="A79:R95"/>
  <tableColumns count="18">
    <tableColumn id="1" name="Tithi/तिथि"/>
    <tableColumn id="2" name="Name"/>
    <tableColumn id="3" name="Ruler"/>
    <tableColumn id="4" name="Dagdha/Burnt"/>
    <tableColumn id="5" name="Dagdha Graha"/>
    <tableColumn id="6" name="Group"/>
    <tableColumn id="7" name=" Tatwa(CPVA-73)"/>
    <tableColumn id="8" name="Group (BrNx49)"/>
    <tableColumn id="9" name="Deity(Muhurtha Chintamani)"/>
    <tableColumn id="10" name="Varahamihira"/>
    <tableColumn id="11" name="Lady"/>
    <tableColumn id="12" name="Srath"/>
    <tableColumn id="13" name="Festivals"/>
    <tableColumn id="14" name="Krishna Karana1"/>
    <tableColumn id="15" name="Krishna Karana2"/>
    <tableColumn id="16" name="Shukla Karana1"/>
    <tableColumn id="17" name="Shukla Karana2"/>
    <tableColumn id="18" name="Suitable Activities (BVR)"/>
  </tableColumns>
</table>
</file>

<file path=xl/tables/table35.xml><?xml version="1.0" encoding="utf-8"?>
<table xmlns="http://schemas.openxmlformats.org/spreadsheetml/2006/main" id="35" name="VaaraTable" displayName="VaaraTable" ref="A127:E134" headerRowCount="1" totalsRowCount="0" totalsRowShown="0">
  <autoFilter ref="A127:E134"/>
  <tableColumns count="5">
    <tableColumn id="1" name="VaaraTable"/>
    <tableColumn id="2" name="Ruler"/>
    <tableColumn id="3" name="Diety"/>
    <tableColumn id="4" name="DurMuhurtham Start Time (Lasts 1Mu)"/>
    <tableColumn id="5" name="DurMuhurtham Start Time (Lasts 1Mu)2"/>
  </tableColumns>
</table>
</file>

<file path=xl/tables/table36.xml><?xml version="1.0" encoding="utf-8"?>
<table xmlns="http://schemas.openxmlformats.org/spreadsheetml/2006/main" id="36" name="VaraRelation" displayName="VaraRelation" ref="A68:J86" headerRowCount="1" totalsRowCount="0" totalsRowShown="0">
  <autoFilter ref="A68:J86"/>
  <tableColumns count="10">
    <tableColumn id="1" name="#"/>
    <tableColumn id="2" name="Vara Order"/>
    <tableColumn id="3" name="3rd Upaya"/>
    <tableColumn id="4" name="4th Block"/>
    <tableColumn id="5" name="5th Kavacha"/>
    <tableColumn id="6" name="6th Stambana"/>
    <tableColumn id="7" name="8th Grahana"/>
    <tableColumn id="8" name="9th Oppose"/>
    <tableColumn id="9" name="4th+9th Dhatu Hit&#10;3rd is Upāya"/>
    <tableColumn id="10" name="5th+8th = Issue&#10;"/>
  </tableColumns>
</table>
</file>

<file path=xl/tables/table37.xml><?xml version="1.0" encoding="utf-8"?>
<table xmlns="http://schemas.openxmlformats.org/spreadsheetml/2006/main" id="37" name="vargavishwa" displayName="vargavishwa" ref="A533:K550" headerRowCount="1" totalsRowCount="0" totalsRowShown="0">
  <tableColumns count="11">
    <tableColumn id="1" name="VargaVishwa"/>
    <tableColumn id="2" name="Shadvarga Vimshopaka"/>
    <tableColumn id="3" name="Saptavarga Vimshopaka"/>
    <tableColumn id="4" name="DasaVarga Vimshopaka"/>
    <tableColumn id="5" name="ShodasaVarga Vimshopaka"/>
    <tableColumn id="6" name="Divisor"/>
    <tableColumn id="7" name="House Equivalent"/>
    <tableColumn id="8" name="#"/>
    <tableColumn id="9" name="6/7 Names"/>
    <tableColumn id="10" name="10 Names"/>
    <tableColumn id="11" name="16 Names"/>
  </tableColumns>
</table>
</file>

<file path=xl/tables/table38.xml><?xml version="1.0" encoding="utf-8"?>
<table xmlns="http://schemas.openxmlformats.org/spreadsheetml/2006/main" id="38" name="Varnamalaa" displayName="Varnamalaa" ref="A149:AY151" headerRowCount="1" totalsRowCount="0" totalsRowShown="0">
  <autoFilter ref="A149:AY151"/>
  <tableColumns count="51">
    <tableColumn id="1" name="Number"/>
    <tableColumn id="2" name="1"/>
    <tableColumn id="3" name="2"/>
    <tableColumn id="4" name="3"/>
    <tableColumn id="5" name="4"/>
    <tableColumn id="6" name="5"/>
    <tableColumn id="7" name="6"/>
    <tableColumn id="8" name="7"/>
    <tableColumn id="9" name="8"/>
    <tableColumn id="10" name="9"/>
    <tableColumn id="11" name="10"/>
    <tableColumn id="12" name="11"/>
    <tableColumn id="13" name="12"/>
    <tableColumn id="14" name="13"/>
    <tableColumn id="15" name="14"/>
    <tableColumn id="16" name="15"/>
    <tableColumn id="17" name="16"/>
    <tableColumn id="18" name="17"/>
    <tableColumn id="19" name="18"/>
    <tableColumn id="20" name="19"/>
    <tableColumn id="21" name="20"/>
    <tableColumn id="22" name="21"/>
    <tableColumn id="23" name="22"/>
    <tableColumn id="24" name="23"/>
    <tableColumn id="25" name="24"/>
    <tableColumn id="26" name="25"/>
    <tableColumn id="27" name="26"/>
    <tableColumn id="28" name="27"/>
    <tableColumn id="29" name="28"/>
    <tableColumn id="30" name="29"/>
    <tableColumn id="31" name="30"/>
    <tableColumn id="32" name="31"/>
    <tableColumn id="33" name="32"/>
    <tableColumn id="34" name="33"/>
    <tableColumn id="35" name="34"/>
    <tableColumn id="36" name="35"/>
    <tableColumn id="37" name="36"/>
    <tableColumn id="38" name="37"/>
    <tableColumn id="39" name="38"/>
    <tableColumn id="40" name="39"/>
    <tableColumn id="41" name="40"/>
    <tableColumn id="42" name="41"/>
    <tableColumn id="43" name="42"/>
    <tableColumn id="44" name="43"/>
    <tableColumn id="45" name="44"/>
    <tableColumn id="46" name="45"/>
    <tableColumn id="47" name="46"/>
    <tableColumn id="48" name="47"/>
    <tableColumn id="49" name="48"/>
    <tableColumn id="50" name="49"/>
    <tableColumn id="51" name="50"/>
  </tableColumns>
</table>
</file>

<file path=xl/tables/table39.xml><?xml version="1.0" encoding="utf-8"?>
<table xmlns="http://schemas.openxmlformats.org/spreadsheetml/2006/main" id="39" name="VedhaTable" displayName="VedhaTable" ref="A301:M309" headerRowCount="1" totalsRowCount="0" totalsRowShown="0">
  <tableColumns count="13">
    <tableColumn id="1" name="Table of Vedha"/>
    <tableColumn id="2" name="1"/>
    <tableColumn id="3" name="2"/>
    <tableColumn id="4" name="3"/>
    <tableColumn id="5" name="4"/>
    <tableColumn id="6" name="5"/>
    <tableColumn id="7" name="6"/>
    <tableColumn id="8" name="7"/>
    <tableColumn id="9" name="8"/>
    <tableColumn id="10" name="9"/>
    <tableColumn id="11" name="10"/>
    <tableColumn id="12" name="11"/>
    <tableColumn id="13" name="12"/>
  </tableColumns>
</table>
</file>

<file path=xl/tables/table40.xml><?xml version="1.0" encoding="utf-8"?>
<table xmlns="http://schemas.openxmlformats.org/spreadsheetml/2006/main" id="40" name="Yogakaaraka" displayName="Yogakaaraka" ref="A715:F728" headerRowCount="1" totalsRowCount="1" totalsRowShown="1">
  <autoFilter ref="A715:F728"/>
  <tableColumns count="6">
    <tableColumn id="1" name="Lagna"/>
    <tableColumn id="2" name="Malefics (3,6,11 &amp; Maraka)"/>
    <tableColumn id="3" name="Benefics (Trines Normally)"/>
    <tableColumn id="4" name="Marakas"/>
    <tableColumn id="5" name="RajaYoga(Trine+Kendra)"/>
    <tableColumn id="6" name="Notes"/>
  </tableColumns>
</table>
</file>

<file path=xl/tables/table41.xml><?xml version="1.0" encoding="utf-8"?>
<table xmlns="http://schemas.openxmlformats.org/spreadsheetml/2006/main" id="41" name="YogaTable" displayName="YogaTable" ref="A98:J125" headerRowCount="1" totalsRowCount="0" totalsRowShown="0">
  <autoFilter ref="A98:J125"/>
  <tableColumns count="10">
    <tableColumn id="1" name="Yoga"/>
    <tableColumn id="2" name="Yoga Names"/>
    <tableColumn id="3" name="Meaning"/>
    <tableColumn id="4" name="Yoga Nakshatra"/>
    <tableColumn id="5" name="Yogi Lord"/>
    <tableColumn id="6" name="Diety(Jyotish Jagat)"/>
    <tableColumn id="7" name="Rashi Lord"/>
    <tableColumn id="8" name="AvaYogi 15th"/>
    <tableColumn id="9" name="AvaYogi Lord (Yogi+186.66)"/>
    <tableColumn id="10"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Relationship Id="rId3" Type="http://schemas.openxmlformats.org/officeDocument/2006/relationships/table" Target="../tables/table30.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Relationship Id="rId3" Type="http://schemas.openxmlformats.org/officeDocument/2006/relationships/table" Target="../tables/table21.xml"/><Relationship Id="rId4" Type="http://schemas.openxmlformats.org/officeDocument/2006/relationships/table" Target="../tables/table25.xml"/>
</Relationships>
</file>

<file path=xl/worksheets/_rels/sheet7.xml.rels><?xml version="1.0" encoding="UTF-8"?>
<Relationships xmlns="http://schemas.openxmlformats.org/package/2006/relationships"><Relationship Id="rId1" Type="http://schemas.openxmlformats.org/officeDocument/2006/relationships/table" Target="../tables/table17.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table" Target="../tables/table16.xml"/><Relationship Id="rId2" Type="http://schemas.openxmlformats.org/officeDocument/2006/relationships/pivotTable" Target="../pivotTables/pivotTable1.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11.x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5.vml"/><Relationship Id="rId3" Type="http://schemas.openxmlformats.org/officeDocument/2006/relationships/table" Target="../tables/table27.xml"/><Relationship Id="rId4" Type="http://schemas.openxmlformats.org/officeDocument/2006/relationships/table" Target="../tables/table28.xml"/><Relationship Id="rId5" Type="http://schemas.openxmlformats.org/officeDocument/2006/relationships/table" Target="../tables/table39.x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http://en.wikipedia.org/wiki/International_Alphabet_of_Sanskrit_Transliteration" TargetMode="External"/><Relationship Id="rId3" Type="http://schemas.openxmlformats.org/officeDocument/2006/relationships/vmlDrawing" Target="../drawings/vmlDrawing6.vml"/><Relationship Id="rId4" Type="http://schemas.openxmlformats.org/officeDocument/2006/relationships/table" Target="../tables/table1.xml"/><Relationship Id="rId5" Type="http://schemas.openxmlformats.org/officeDocument/2006/relationships/table" Target="../tables/table2.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Relationship Id="rId9" Type="http://schemas.openxmlformats.org/officeDocument/2006/relationships/table" Target="../tables/table6.xml"/><Relationship Id="rId10" Type="http://schemas.openxmlformats.org/officeDocument/2006/relationships/table" Target="../tables/table7.xml"/><Relationship Id="rId11" Type="http://schemas.openxmlformats.org/officeDocument/2006/relationships/table" Target="../tables/table8.xml"/><Relationship Id="rId12" Type="http://schemas.openxmlformats.org/officeDocument/2006/relationships/table" Target="../tables/table9.xml"/><Relationship Id="rId13" Type="http://schemas.openxmlformats.org/officeDocument/2006/relationships/table" Target="../tables/table10.xml"/><Relationship Id="rId14" Type="http://schemas.openxmlformats.org/officeDocument/2006/relationships/table" Target="../tables/table12.xml"/><Relationship Id="rId15" Type="http://schemas.openxmlformats.org/officeDocument/2006/relationships/table" Target="../tables/table13.xml"/><Relationship Id="rId16" Type="http://schemas.openxmlformats.org/officeDocument/2006/relationships/table" Target="../tables/table18.xml"/><Relationship Id="rId17" Type="http://schemas.openxmlformats.org/officeDocument/2006/relationships/table" Target="../tables/table20.xml"/><Relationship Id="rId18" Type="http://schemas.openxmlformats.org/officeDocument/2006/relationships/table" Target="../tables/table22.xml"/><Relationship Id="rId19" Type="http://schemas.openxmlformats.org/officeDocument/2006/relationships/table" Target="../tables/table23.xml"/><Relationship Id="rId20" Type="http://schemas.openxmlformats.org/officeDocument/2006/relationships/table" Target="../tables/table24.xml"/><Relationship Id="rId21" Type="http://schemas.openxmlformats.org/officeDocument/2006/relationships/table" Target="../tables/table32.xml"/><Relationship Id="rId22" Type="http://schemas.openxmlformats.org/officeDocument/2006/relationships/table" Target="../tables/table33.xml"/><Relationship Id="rId23" Type="http://schemas.openxmlformats.org/officeDocument/2006/relationships/table" Target="../tables/table34.xml"/><Relationship Id="rId24" Type="http://schemas.openxmlformats.org/officeDocument/2006/relationships/table" Target="../tables/table35.xml"/><Relationship Id="rId25" Type="http://schemas.openxmlformats.org/officeDocument/2006/relationships/table" Target="../tables/table37.xml"/><Relationship Id="rId26" Type="http://schemas.openxmlformats.org/officeDocument/2006/relationships/table" Target="../tables/table38.xml"/><Relationship Id="rId27" Type="http://schemas.openxmlformats.org/officeDocument/2006/relationships/table" Target="../tables/table40.xml"/><Relationship Id="rId28" Type="http://schemas.openxmlformats.org/officeDocument/2006/relationships/table" Target="../tables/table41.xml"/><Relationship Id="rId29" Type="http://schemas.openxmlformats.org/officeDocument/2006/relationships/pivotTable" Target="../pivotTables/pivotTable2.x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7.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8.vml"/><Relationship Id="rId3" Type="http://schemas.openxmlformats.org/officeDocument/2006/relationships/table" Target="../tables/table31.xml"/>
</Relationships>
</file>

<file path=xl/worksheets/_rels/sheet18.xml.rels><?xml version="1.0" encoding="UTF-8"?>
<Relationships xmlns="http://schemas.openxmlformats.org/package/2006/relationships"><Relationship Id="rId1" Type="http://schemas.openxmlformats.org/officeDocument/2006/relationships/drawing" Target="../drawings/drawing5.x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9.vml"/><Relationship Id="rId3" Type="http://schemas.openxmlformats.org/officeDocument/2006/relationships/table" Target="../tables/table26.xml"/>
</Relationships>
</file>

<file path=xl/worksheets/_rels/sheet21.xml.rels><?xml version="1.0" encoding="UTF-8"?>
<Relationships xmlns="http://schemas.openxmlformats.org/package/2006/relationships"><Relationship Id="rId1" Type="http://schemas.openxmlformats.org/officeDocument/2006/relationships/table" Target="../tables/table19.x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0.vml"/>
</Relationships>
</file>

<file path=xl/worksheets/_rels/sheet24.xml.rels><?xml version="1.0" encoding="UTF-8"?>
<Relationships xmlns="http://schemas.openxmlformats.org/package/2006/relationships"><Relationship Id="rId1" Type="http://schemas.openxmlformats.org/officeDocument/2006/relationships/table" Target="../tables/table14.xml"/>
</Relationships>
</file>

<file path=xl/worksheets/_rels/sheet26.xml.rels><?xml version="1.0" encoding="UTF-8"?>
<Relationships xmlns="http://schemas.openxmlformats.org/package/2006/relationships"><Relationship Id="rId1" Type="http://schemas.openxmlformats.org/officeDocument/2006/relationships/table" Target="../tables/table36.xml"/>
</Relationships>
</file>

<file path=xl/worksheets/_rels/sheet28.xml.rels><?xml version="1.0" encoding="UTF-8"?>
<Relationships xmlns="http://schemas.openxmlformats.org/package/2006/relationships"><Relationship Id="rId1" Type="http://schemas.openxmlformats.org/officeDocument/2006/relationships/table" Target="../tables/table15.xml"/><Relationship Id="rId2" Type="http://schemas.openxmlformats.org/officeDocument/2006/relationships/table" Target="../tables/table2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9"/>
  <sheetViews>
    <sheetView showFormulas="false" showGridLines="true" showRowColHeaders="true" showZeros="true" rightToLeft="false" tabSelected="false" showOutlineSymbols="true" defaultGridColor="true" view="normal" topLeftCell="A1" colorId="64" zoomScale="181" zoomScaleNormal="181" zoomScalePageLayoutView="100" workbookViewId="0">
      <selection pane="topLeft" activeCell="D15" activeCellId="0" sqref="D15"/>
    </sheetView>
  </sheetViews>
  <sheetFormatPr defaultColWidth="11.5703125" defaultRowHeight="15" customHeight="true" zeroHeight="false" outlineLevelRow="0" outlineLevelCol="0"/>
  <cols>
    <col collapsed="false" customWidth="true" hidden="false" outlineLevel="0" max="1" min="1" style="1" width="11.14"/>
    <col collapsed="false" customWidth="true" hidden="false" outlineLevel="0" max="2" min="2" style="2" width="23.86"/>
    <col collapsed="false" customWidth="true" hidden="false" outlineLevel="0" max="3" min="3" style="3" width="11.14"/>
    <col collapsed="false" customWidth="true" hidden="false" outlineLevel="0" max="32" min="4" style="1" width="2.57"/>
    <col collapsed="false" customWidth="false" hidden="false" outlineLevel="0" max="1024" min="33" style="1" width="11.57"/>
  </cols>
  <sheetData>
    <row r="1" customFormat="false" ht="15" hidden="false" customHeight="false" outlineLevel="0" collapsed="false">
      <c r="A1" s="2" t="str">
        <f aca="false">'[1]Selected Chart'!$A$2</f>
        <v>Chart</v>
      </c>
      <c r="B1" s="2" t="str">
        <f aca="false">'[1]Selected Chart'!B2</f>
        <v>Date</v>
      </c>
      <c r="C1" s="3" t="str">
        <f aca="false">'[1]Selected Chart'!C2</f>
        <v>Event</v>
      </c>
    </row>
    <row r="2" customFormat="false" ht="15" hidden="false" customHeight="false" outlineLevel="0" collapsed="false">
      <c r="A2" s="1" t="s">
        <v>0</v>
      </c>
      <c r="B2" s="4" t="n">
        <v>26133</v>
      </c>
      <c r="C2" s="3" t="s">
        <v>1</v>
      </c>
    </row>
    <row r="3" customFormat="false" ht="15" hidden="false" customHeight="false" outlineLevel="0" collapsed="false">
      <c r="B3" s="4" t="n">
        <v>36723</v>
      </c>
      <c r="C3" s="5" t="s">
        <v>2</v>
      </c>
    </row>
    <row r="4" customFormat="false" ht="15" hidden="false" customHeight="false" outlineLevel="0" collapsed="false">
      <c r="A4" s="1" t="s">
        <v>3</v>
      </c>
      <c r="B4" s="4" t="n">
        <v>37926</v>
      </c>
      <c r="C4" s="3" t="s">
        <v>4</v>
      </c>
      <c r="AF4" s="1" t="n">
        <v>0</v>
      </c>
    </row>
    <row r="5" customFormat="false" ht="15" hidden="false" customHeight="false" outlineLevel="0" collapsed="false">
      <c r="B5" s="4" t="n">
        <v>38779</v>
      </c>
      <c r="C5" s="3" t="s">
        <v>5</v>
      </c>
      <c r="AF5" s="1" t="n">
        <v>0</v>
      </c>
    </row>
    <row r="6" customFormat="false" ht="15" hidden="false" customHeight="false" outlineLevel="0" collapsed="false">
      <c r="A6" s="1" t="s">
        <v>6</v>
      </c>
      <c r="B6" s="4" t="n">
        <v>41694</v>
      </c>
      <c r="C6" s="3" t="s">
        <v>4</v>
      </c>
      <c r="AF6" s="1" t="n">
        <v>0</v>
      </c>
    </row>
    <row r="7" customFormat="false" ht="15" hidden="false" customHeight="false" outlineLevel="0" collapsed="false">
      <c r="A7" s="1" t="s">
        <v>7</v>
      </c>
      <c r="B7" s="4"/>
      <c r="AF7" s="1" t="n">
        <v>0</v>
      </c>
    </row>
    <row r="8" customFormat="false" ht="15" hidden="false" customHeight="false" outlineLevel="0" collapsed="false">
      <c r="A8" s="1" t="s">
        <v>8</v>
      </c>
      <c r="B8" s="4"/>
      <c r="AF8" s="1" t="n">
        <v>0</v>
      </c>
    </row>
    <row r="9" customFormat="false" ht="15" hidden="false" customHeight="false" outlineLevel="0" collapsed="false">
      <c r="A9" s="1" t="s">
        <v>9</v>
      </c>
      <c r="B9" s="4"/>
      <c r="AF9" s="1" t="n">
        <v>0</v>
      </c>
    </row>
    <row r="10" customFormat="false" ht="15" hidden="false" customHeight="false" outlineLevel="0" collapsed="false">
      <c r="A10" s="1" t="s">
        <v>10</v>
      </c>
      <c r="B10" s="4"/>
      <c r="AF10" s="1" t="n">
        <v>0</v>
      </c>
    </row>
    <row r="11" customFormat="false" ht="15" hidden="false" customHeight="false" outlineLevel="0" collapsed="false">
      <c r="A11" s="1" t="s">
        <v>11</v>
      </c>
      <c r="B11" s="4"/>
      <c r="AF11" s="1" t="n">
        <v>0</v>
      </c>
    </row>
    <row r="12" customFormat="false" ht="15" hidden="false" customHeight="false" outlineLevel="0" collapsed="false">
      <c r="B12" s="4"/>
      <c r="AF12" s="1" t="n">
        <v>0</v>
      </c>
    </row>
    <row r="13" customFormat="false" ht="15" hidden="false" customHeight="false" outlineLevel="0" collapsed="false">
      <c r="A13" s="1" t="s">
        <v>12</v>
      </c>
      <c r="B13" s="4"/>
      <c r="AF13" s="1" t="n">
        <v>0</v>
      </c>
    </row>
    <row r="14" customFormat="false" ht="15" hidden="false" customHeight="false" outlineLevel="0" collapsed="false">
      <c r="A14" s="1" t="s">
        <v>13</v>
      </c>
      <c r="B14" s="4"/>
      <c r="AF14" s="1" t="n">
        <v>0</v>
      </c>
    </row>
    <row r="15" customFormat="false" ht="15" hidden="false" customHeight="false" outlineLevel="0" collapsed="false">
      <c r="A15" s="1" t="s">
        <v>14</v>
      </c>
      <c r="B15" s="4"/>
      <c r="AF15" s="1" t="n">
        <v>0</v>
      </c>
    </row>
    <row r="16" customFormat="false" ht="15" hidden="false" customHeight="false" outlineLevel="0" collapsed="false">
      <c r="A16" s="1" t="s">
        <v>15</v>
      </c>
      <c r="B16" s="4"/>
      <c r="AF16" s="1" t="n">
        <v>0</v>
      </c>
    </row>
    <row r="17" customFormat="false" ht="15" hidden="false" customHeight="false" outlineLevel="0" collapsed="false">
      <c r="A17" s="1" t="s">
        <v>16</v>
      </c>
      <c r="B17" s="4"/>
      <c r="AF17" s="1" t="n">
        <v>0</v>
      </c>
    </row>
    <row r="18" customFormat="false" ht="15" hidden="false" customHeight="false" outlineLevel="0" collapsed="false">
      <c r="A18" s="1" t="s">
        <v>17</v>
      </c>
      <c r="B18" s="4"/>
      <c r="AF18" s="1" t="n">
        <v>0</v>
      </c>
    </row>
    <row r="19" customFormat="false" ht="15" hidden="false" customHeight="false" outlineLevel="0" collapsed="false">
      <c r="A19" s="1" t="s">
        <v>18</v>
      </c>
      <c r="B19" s="4"/>
      <c r="AF19" s="1" t="n">
        <v>0</v>
      </c>
    </row>
    <row r="20" customFormat="false" ht="15" hidden="false" customHeight="false" outlineLevel="0" collapsed="false">
      <c r="A20" s="1" t="s">
        <v>19</v>
      </c>
      <c r="B20" s="4"/>
      <c r="AF20" s="1" t="n">
        <v>0</v>
      </c>
    </row>
    <row r="21" customFormat="false" ht="15" hidden="false" customHeight="false" outlineLevel="0" collapsed="false">
      <c r="A21" s="1" t="s">
        <v>20</v>
      </c>
      <c r="B21" s="4"/>
      <c r="AF21" s="1" t="n">
        <v>0</v>
      </c>
    </row>
    <row r="22" customFormat="false" ht="15" hidden="false" customHeight="false" outlineLevel="0" collapsed="false">
      <c r="B22" s="4"/>
      <c r="AF22" s="1" t="n">
        <v>0</v>
      </c>
    </row>
    <row r="23" customFormat="false" ht="15" hidden="false" customHeight="false" outlineLevel="0" collapsed="false">
      <c r="A23" s="1" t="s">
        <v>21</v>
      </c>
      <c r="B23" s="4"/>
      <c r="AF23" s="1" t="n">
        <v>0</v>
      </c>
    </row>
    <row r="24" customFormat="false" ht="15" hidden="false" customHeight="false" outlineLevel="0" collapsed="false">
      <c r="A24" s="1" t="s">
        <v>22</v>
      </c>
      <c r="B24" s="4"/>
      <c r="AF24" s="1" t="n">
        <v>0</v>
      </c>
    </row>
    <row r="25" customFormat="false" ht="15" hidden="false" customHeight="false" outlineLevel="0" collapsed="false">
      <c r="A25" s="1" t="s">
        <v>23</v>
      </c>
      <c r="B25" s="4"/>
      <c r="AF25" s="1" t="n">
        <v>0</v>
      </c>
    </row>
    <row r="26" customFormat="false" ht="15" hidden="false" customHeight="false" outlineLevel="0" collapsed="false">
      <c r="B26" s="4"/>
      <c r="AF26" s="1" t="n">
        <v>0</v>
      </c>
    </row>
    <row r="27" customFormat="false" ht="15" hidden="false" customHeight="false" outlineLevel="0" collapsed="false">
      <c r="A27" s="1" t="s">
        <v>24</v>
      </c>
      <c r="B27" s="4"/>
      <c r="AF27" s="1" t="n">
        <v>0</v>
      </c>
    </row>
    <row r="28" customFormat="false" ht="15" hidden="false" customHeight="false" outlineLevel="0" collapsed="false">
      <c r="A28" s="1" t="s">
        <v>25</v>
      </c>
      <c r="B28" s="4"/>
      <c r="AF28" s="1" t="n">
        <v>0</v>
      </c>
    </row>
    <row r="29" customFormat="false" ht="15" hidden="false" customHeight="false" outlineLevel="0" collapsed="false">
      <c r="B29" s="4"/>
      <c r="AF29" s="1" t="n">
        <v>0</v>
      </c>
    </row>
    <row r="30" customFormat="false" ht="15" hidden="false" customHeight="false" outlineLevel="0" collapsed="false">
      <c r="A30" s="1" t="s">
        <v>26</v>
      </c>
      <c r="B30" s="4"/>
      <c r="AF30" s="1" t="n">
        <v>0</v>
      </c>
    </row>
    <row r="31" customFormat="false" ht="15" hidden="false" customHeight="false" outlineLevel="0" collapsed="false">
      <c r="B31" s="4"/>
      <c r="AF31" s="1" t="n">
        <v>0</v>
      </c>
    </row>
    <row r="32" customFormat="false" ht="15" hidden="false" customHeight="false" outlineLevel="0" collapsed="false">
      <c r="A32" s="1" t="s">
        <v>27</v>
      </c>
      <c r="B32" s="4"/>
      <c r="AF32" s="1" t="n">
        <v>0</v>
      </c>
    </row>
    <row r="33" customFormat="false" ht="15" hidden="false" customHeight="false" outlineLevel="0" collapsed="false">
      <c r="A33" s="1" t="s">
        <v>28</v>
      </c>
      <c r="B33" s="4"/>
      <c r="AF33" s="1" t="n">
        <v>0</v>
      </c>
    </row>
    <row r="34" customFormat="false" ht="15" hidden="false" customHeight="false" outlineLevel="0" collapsed="false">
      <c r="A34" s="1" t="s">
        <v>29</v>
      </c>
      <c r="B34" s="4"/>
      <c r="AF34" s="1" t="n">
        <v>0</v>
      </c>
    </row>
    <row r="35" customFormat="false" ht="15" hidden="false" customHeight="false" outlineLevel="0" collapsed="false">
      <c r="A35" s="1" t="s">
        <v>30</v>
      </c>
      <c r="B35" s="4"/>
      <c r="AF35" s="1" t="n">
        <v>0</v>
      </c>
    </row>
    <row r="36" customFormat="false" ht="15" hidden="false" customHeight="false" outlineLevel="0" collapsed="false">
      <c r="A36" s="1" t="s">
        <v>31</v>
      </c>
      <c r="B36" s="4"/>
      <c r="AF36" s="1" t="n">
        <v>0</v>
      </c>
    </row>
    <row r="37" customFormat="false" ht="15" hidden="false" customHeight="false" outlineLevel="0" collapsed="false">
      <c r="A37" s="1" t="s">
        <v>32</v>
      </c>
      <c r="B37" s="4"/>
      <c r="AF37" s="1" t="n">
        <v>0</v>
      </c>
    </row>
    <row r="38" customFormat="false" ht="15" hidden="false" customHeight="false" outlineLevel="0" collapsed="false">
      <c r="A38" s="1" t="s">
        <v>33</v>
      </c>
      <c r="B38" s="4"/>
      <c r="AF38" s="1" t="n">
        <v>0</v>
      </c>
    </row>
    <row r="39" customFormat="false" ht="15" hidden="false" customHeight="false" outlineLevel="0" collapsed="false">
      <c r="A39" s="1" t="s">
        <v>34</v>
      </c>
      <c r="B39" s="4"/>
      <c r="AF39" s="1" t="n">
        <v>0</v>
      </c>
    </row>
    <row r="40" customFormat="false" ht="15" hidden="false" customHeight="false" outlineLevel="0" collapsed="false">
      <c r="A40" s="1" t="s">
        <v>35</v>
      </c>
      <c r="B40" s="4"/>
      <c r="AF40" s="1" t="n">
        <v>0</v>
      </c>
    </row>
    <row r="41" customFormat="false" ht="15" hidden="false" customHeight="false" outlineLevel="0" collapsed="false">
      <c r="A41" s="1" t="s">
        <v>36</v>
      </c>
      <c r="B41" s="4"/>
      <c r="AF41" s="1" t="n">
        <v>0</v>
      </c>
    </row>
    <row r="42" customFormat="false" ht="15" hidden="false" customHeight="false" outlineLevel="0" collapsed="false">
      <c r="A42" s="1" t="s">
        <v>37</v>
      </c>
      <c r="B42" s="4"/>
      <c r="AF42" s="1" t="n">
        <v>0</v>
      </c>
    </row>
    <row r="43" customFormat="false" ht="15" hidden="false" customHeight="false" outlineLevel="0" collapsed="false">
      <c r="A43" s="1" t="s">
        <v>38</v>
      </c>
      <c r="B43" s="4"/>
      <c r="AF43" s="1" t="n">
        <v>0</v>
      </c>
    </row>
    <row r="44" customFormat="false" ht="15" hidden="false" customHeight="false" outlineLevel="0" collapsed="false">
      <c r="A44" s="1" t="s">
        <v>39</v>
      </c>
      <c r="B44" s="4"/>
      <c r="AF44" s="1" t="n">
        <v>0</v>
      </c>
    </row>
    <row r="45" customFormat="false" ht="15" hidden="false" customHeight="false" outlineLevel="0" collapsed="false">
      <c r="A45" s="1" t="s">
        <v>40</v>
      </c>
      <c r="B45" s="4"/>
      <c r="AF45" s="1" t="n">
        <v>0</v>
      </c>
    </row>
    <row r="46" customFormat="false" ht="15" hidden="false" customHeight="false" outlineLevel="0" collapsed="false">
      <c r="A46" s="1" t="s">
        <v>41</v>
      </c>
      <c r="B46" s="4"/>
      <c r="AF46" s="1" t="n">
        <v>0</v>
      </c>
    </row>
    <row r="47" customFormat="false" ht="15" hidden="false" customHeight="false" outlineLevel="0" collapsed="false">
      <c r="A47" s="1" t="s">
        <v>42</v>
      </c>
      <c r="B47" s="4"/>
      <c r="AF47" s="1" t="n">
        <v>0</v>
      </c>
    </row>
    <row r="48" customFormat="false" ht="15" hidden="false" customHeight="false" outlineLevel="0" collapsed="false">
      <c r="A48" s="1" t="s">
        <v>43</v>
      </c>
      <c r="B48" s="4"/>
      <c r="AF48" s="1" t="n">
        <v>0</v>
      </c>
    </row>
    <row r="49" customFormat="false" ht="15" hidden="false" customHeight="false" outlineLevel="0" collapsed="false">
      <c r="A49" s="1" t="s">
        <v>44</v>
      </c>
      <c r="B49" s="4"/>
      <c r="AF49" s="1" t="n">
        <v>0</v>
      </c>
    </row>
    <row r="50" customFormat="false" ht="15" hidden="false" customHeight="false" outlineLevel="0" collapsed="false">
      <c r="A50" s="1" t="s">
        <v>45</v>
      </c>
      <c r="B50" s="4"/>
      <c r="AF50" s="1" t="n">
        <v>0</v>
      </c>
    </row>
    <row r="51" customFormat="false" ht="15" hidden="false" customHeight="false" outlineLevel="0" collapsed="false">
      <c r="A51" s="1" t="s">
        <v>46</v>
      </c>
      <c r="B51" s="4"/>
      <c r="AF51" s="1" t="n">
        <v>0</v>
      </c>
    </row>
    <row r="52" customFormat="false" ht="15" hidden="false" customHeight="false" outlineLevel="0" collapsed="false">
      <c r="A52" s="1" t="s">
        <v>47</v>
      </c>
      <c r="B52" s="4"/>
      <c r="AF52" s="1" t="n">
        <v>0</v>
      </c>
    </row>
    <row r="53" customFormat="false" ht="15" hidden="false" customHeight="false" outlineLevel="0" collapsed="false">
      <c r="A53" s="1" t="s">
        <v>48</v>
      </c>
      <c r="B53" s="4"/>
      <c r="AF53" s="1" t="n">
        <v>0</v>
      </c>
    </row>
    <row r="54" customFormat="false" ht="15" hidden="false" customHeight="false" outlineLevel="0" collapsed="false">
      <c r="A54" s="1" t="s">
        <v>49</v>
      </c>
      <c r="B54" s="4"/>
      <c r="AF54" s="1" t="n">
        <v>0</v>
      </c>
    </row>
    <row r="55" customFormat="false" ht="15" hidden="false" customHeight="false" outlineLevel="0" collapsed="false">
      <c r="A55" s="1" t="s">
        <v>50</v>
      </c>
      <c r="B55" s="4"/>
      <c r="AF55" s="1" t="n">
        <v>0</v>
      </c>
    </row>
    <row r="56" customFormat="false" ht="15" hidden="false" customHeight="false" outlineLevel="0" collapsed="false">
      <c r="A56" s="1" t="s">
        <v>51</v>
      </c>
      <c r="B56" s="4"/>
      <c r="AF56" s="1" t="n">
        <v>0</v>
      </c>
    </row>
    <row r="57" customFormat="false" ht="15" hidden="false" customHeight="false" outlineLevel="0" collapsed="false">
      <c r="A57" s="1" t="s">
        <v>52</v>
      </c>
      <c r="B57" s="4"/>
      <c r="AF57" s="1" t="n">
        <v>0</v>
      </c>
    </row>
    <row r="58" customFormat="false" ht="15" hidden="false" customHeight="false" outlineLevel="0" collapsed="false">
      <c r="A58" s="1" t="s">
        <v>53</v>
      </c>
      <c r="B58" s="4"/>
      <c r="AF58" s="1" t="n">
        <v>0</v>
      </c>
    </row>
    <row r="59" customFormat="false" ht="15" hidden="false" customHeight="false" outlineLevel="0" collapsed="false">
      <c r="A59" s="1" t="s">
        <v>54</v>
      </c>
      <c r="B59" s="4"/>
      <c r="AF59" s="1" t="n">
        <v>0</v>
      </c>
    </row>
    <row r="60" customFormat="false" ht="15" hidden="false" customHeight="false" outlineLevel="0" collapsed="false">
      <c r="A60" s="1" t="s">
        <v>55</v>
      </c>
      <c r="B60" s="4"/>
      <c r="AF60" s="1" t="n">
        <v>0</v>
      </c>
    </row>
    <row r="61" customFormat="false" ht="15" hidden="false" customHeight="false" outlineLevel="0" collapsed="false">
      <c r="A61" s="1" t="s">
        <v>56</v>
      </c>
      <c r="B61" s="4"/>
      <c r="AF61" s="1" t="n">
        <v>0</v>
      </c>
    </row>
    <row r="62" customFormat="false" ht="15" hidden="false" customHeight="false" outlineLevel="0" collapsed="false">
      <c r="A62" s="1" t="s">
        <v>57</v>
      </c>
      <c r="B62" s="4"/>
      <c r="AF62" s="1" t="n">
        <v>0</v>
      </c>
    </row>
    <row r="63" customFormat="false" ht="15" hidden="false" customHeight="false" outlineLevel="0" collapsed="false">
      <c r="A63" s="1" t="s">
        <v>58</v>
      </c>
      <c r="B63" s="4"/>
      <c r="AF63" s="1" t="n">
        <v>0</v>
      </c>
    </row>
    <row r="64" customFormat="false" ht="15" hidden="false" customHeight="false" outlineLevel="0" collapsed="false">
      <c r="A64" s="1" t="s">
        <v>59</v>
      </c>
      <c r="B64" s="4"/>
      <c r="AF64" s="1" t="n">
        <v>0</v>
      </c>
    </row>
    <row r="65" customFormat="false" ht="15" hidden="false" customHeight="false" outlineLevel="0" collapsed="false">
      <c r="A65" s="1" t="s">
        <v>60</v>
      </c>
      <c r="B65" s="4"/>
      <c r="AF65" s="1" t="n">
        <v>0</v>
      </c>
    </row>
    <row r="66" customFormat="false" ht="15" hidden="false" customHeight="false" outlineLevel="0" collapsed="false">
      <c r="A66" s="1" t="s">
        <v>61</v>
      </c>
      <c r="B66" s="4"/>
      <c r="AF66" s="1" t="n">
        <v>0</v>
      </c>
    </row>
    <row r="67" customFormat="false" ht="15" hidden="false" customHeight="false" outlineLevel="0" collapsed="false">
      <c r="A67" s="1" t="s">
        <v>62</v>
      </c>
      <c r="B67" s="4"/>
      <c r="AF67" s="1" t="n">
        <v>0</v>
      </c>
    </row>
    <row r="68" customFormat="false" ht="15" hidden="false" customHeight="false" outlineLevel="0" collapsed="false">
      <c r="A68" s="1" t="s">
        <v>63</v>
      </c>
      <c r="B68" s="4"/>
      <c r="AF68" s="1" t="n">
        <v>0</v>
      </c>
    </row>
    <row r="69" customFormat="false" ht="15" hidden="false" customHeight="false" outlineLevel="0" collapsed="false">
      <c r="A69" s="1" t="s">
        <v>64</v>
      </c>
      <c r="B69" s="4"/>
      <c r="AF69" s="1" t="n">
        <v>0</v>
      </c>
    </row>
    <row r="70" customFormat="false" ht="15" hidden="false" customHeight="false" outlineLevel="0" collapsed="false">
      <c r="A70" s="1" t="s">
        <v>65</v>
      </c>
      <c r="B70" s="4"/>
      <c r="AF70" s="1" t="n">
        <v>0</v>
      </c>
    </row>
    <row r="71" customFormat="false" ht="15" hidden="false" customHeight="false" outlineLevel="0" collapsed="false">
      <c r="A71" s="1" t="s">
        <v>66</v>
      </c>
      <c r="B71" s="4"/>
      <c r="AF71" s="1" t="n">
        <v>0</v>
      </c>
    </row>
    <row r="72" customFormat="false" ht="15" hidden="false" customHeight="false" outlineLevel="0" collapsed="false">
      <c r="A72" s="1" t="s">
        <v>67</v>
      </c>
      <c r="B72" s="4"/>
      <c r="AF72" s="1" t="n">
        <v>0</v>
      </c>
    </row>
    <row r="73" customFormat="false" ht="15" hidden="false" customHeight="false" outlineLevel="0" collapsed="false">
      <c r="A73" s="1" t="s">
        <v>68</v>
      </c>
      <c r="B73" s="4"/>
      <c r="AF73" s="1" t="n">
        <v>0</v>
      </c>
    </row>
    <row r="74" customFormat="false" ht="15" hidden="false" customHeight="false" outlineLevel="0" collapsed="false">
      <c r="A74" s="1" t="s">
        <v>69</v>
      </c>
      <c r="B74" s="4"/>
      <c r="AF74" s="1" t="n">
        <v>0</v>
      </c>
    </row>
    <row r="75" customFormat="false" ht="15" hidden="false" customHeight="false" outlineLevel="0" collapsed="false">
      <c r="A75" s="1" t="s">
        <v>70</v>
      </c>
      <c r="B75" s="4"/>
      <c r="AF75" s="1" t="n">
        <v>0</v>
      </c>
    </row>
    <row r="76" customFormat="false" ht="15" hidden="false" customHeight="false" outlineLevel="0" collapsed="false">
      <c r="A76" s="1" t="s">
        <v>71</v>
      </c>
      <c r="B76" s="4"/>
      <c r="AF76" s="1" t="n">
        <v>0</v>
      </c>
    </row>
    <row r="77" customFormat="false" ht="15" hidden="false" customHeight="false" outlineLevel="0" collapsed="false">
      <c r="A77" s="1" t="s">
        <v>72</v>
      </c>
      <c r="B77" s="4"/>
      <c r="AF77" s="1" t="n">
        <v>0</v>
      </c>
    </row>
    <row r="78" customFormat="false" ht="15" hidden="false" customHeight="false" outlineLevel="0" collapsed="false">
      <c r="A78" s="2" t="n">
        <f aca="false">'[1]Selected Chart'!A79</f>
        <v>0</v>
      </c>
      <c r="B78" s="2" t="n">
        <f aca="false">'[1]Selected Chart'!B79</f>
        <v>0</v>
      </c>
      <c r="C78" s="2" t="n">
        <f aca="false">'[1]Selected Chart'!C79</f>
        <v>0</v>
      </c>
      <c r="AF78" s="1" t="n">
        <v>0</v>
      </c>
    </row>
    <row r="79" customFormat="false" ht="15" hidden="false" customHeight="false" outlineLevel="0" collapsed="false">
      <c r="A79" s="2" t="n">
        <f aca="false">'[1]Selected Chart'!A80</f>
        <v>0</v>
      </c>
      <c r="B79" s="2" t="n">
        <f aca="false">'[1]Selected Chart'!B80</f>
        <v>0</v>
      </c>
      <c r="C79" s="2" t="n">
        <f aca="false">'[1]Selected Chart'!C80</f>
        <v>0</v>
      </c>
      <c r="AF79" s="1" t="n">
        <v>0</v>
      </c>
    </row>
    <row r="80" customFormat="false" ht="15" hidden="false" customHeight="false" outlineLevel="0" collapsed="false">
      <c r="A80" s="2" t="n">
        <f aca="false">'[1]Selected Chart'!A81</f>
        <v>0</v>
      </c>
      <c r="B80" s="2" t="n">
        <f aca="false">'[1]Selected Chart'!B81</f>
        <v>0</v>
      </c>
      <c r="C80" s="2" t="n">
        <f aca="false">'[1]Selected Chart'!C81</f>
        <v>0</v>
      </c>
      <c r="AF80" s="1" t="n">
        <v>0</v>
      </c>
    </row>
    <row r="81" customFormat="false" ht="15" hidden="false" customHeight="false" outlineLevel="0" collapsed="false">
      <c r="A81" s="2" t="n">
        <f aca="false">'[1]Selected Chart'!A82</f>
        <v>0</v>
      </c>
      <c r="B81" s="2" t="n">
        <f aca="false">'[1]Selected Chart'!B82</f>
        <v>0</v>
      </c>
      <c r="C81" s="2" t="n">
        <f aca="false">'[1]Selected Chart'!C82</f>
        <v>0</v>
      </c>
      <c r="AF81" s="1" t="n">
        <v>0</v>
      </c>
    </row>
    <row r="82" customFormat="false" ht="15" hidden="false" customHeight="false" outlineLevel="0" collapsed="false">
      <c r="A82" s="2" t="n">
        <f aca="false">'[1]Selected Chart'!A83</f>
        <v>0</v>
      </c>
      <c r="B82" s="2" t="n">
        <f aca="false">'[1]Selected Chart'!B83</f>
        <v>0</v>
      </c>
      <c r="C82" s="2" t="n">
        <f aca="false">'[1]Selected Chart'!C83</f>
        <v>0</v>
      </c>
      <c r="AF82" s="1" t="n">
        <v>0</v>
      </c>
    </row>
    <row r="83" customFormat="false" ht="15" hidden="false" customHeight="false" outlineLevel="0" collapsed="false">
      <c r="A83" s="2" t="n">
        <f aca="false">'[1]Selected Chart'!A84</f>
        <v>0</v>
      </c>
      <c r="B83" s="2" t="n">
        <f aca="false">'[1]Selected Chart'!B84</f>
        <v>0</v>
      </c>
      <c r="C83" s="2" t="n">
        <f aca="false">'[1]Selected Chart'!C84</f>
        <v>0</v>
      </c>
      <c r="AF83" s="1" t="n">
        <v>0</v>
      </c>
    </row>
    <row r="84" customFormat="false" ht="15" hidden="false" customHeight="false" outlineLevel="0" collapsed="false">
      <c r="A84" s="2" t="n">
        <f aca="false">'[1]Selected Chart'!A85</f>
        <v>0</v>
      </c>
      <c r="B84" s="2" t="n">
        <f aca="false">'[1]Selected Chart'!B85</f>
        <v>0</v>
      </c>
      <c r="C84" s="2" t="n">
        <f aca="false">'[1]Selected Chart'!C85</f>
        <v>0</v>
      </c>
      <c r="AF84" s="1" t="n">
        <v>0</v>
      </c>
    </row>
    <row r="85" customFormat="false" ht="15" hidden="false" customHeight="false" outlineLevel="0" collapsed="false">
      <c r="A85" s="2" t="n">
        <f aca="false">'[1]Selected Chart'!A86</f>
        <v>0</v>
      </c>
      <c r="B85" s="2" t="n">
        <f aca="false">'[1]Selected Chart'!B86</f>
        <v>0</v>
      </c>
      <c r="C85" s="2" t="n">
        <f aca="false">'[1]Selected Chart'!C86</f>
        <v>0</v>
      </c>
      <c r="AF85" s="1" t="n">
        <v>0</v>
      </c>
    </row>
    <row r="86" customFormat="false" ht="15" hidden="false" customHeight="false" outlineLevel="0" collapsed="false">
      <c r="A86" s="2" t="n">
        <f aca="false">'[1]Selected Chart'!A87</f>
        <v>0</v>
      </c>
      <c r="B86" s="2" t="n">
        <f aca="false">'[1]Selected Chart'!B87</f>
        <v>0</v>
      </c>
      <c r="C86" s="2" t="n">
        <f aca="false">'[1]Selected Chart'!C87</f>
        <v>0</v>
      </c>
      <c r="AF86" s="1" t="n">
        <v>0</v>
      </c>
    </row>
    <row r="87" customFormat="false" ht="15" hidden="false" customHeight="false" outlineLevel="0" collapsed="false">
      <c r="A87" s="2" t="n">
        <f aca="false">'[1]Selected Chart'!A88</f>
        <v>0</v>
      </c>
      <c r="B87" s="2" t="n">
        <f aca="false">'[1]Selected Chart'!B88</f>
        <v>0</v>
      </c>
      <c r="C87" s="2" t="n">
        <f aca="false">'[1]Selected Chart'!C88</f>
        <v>0</v>
      </c>
      <c r="AF87" s="1" t="n">
        <v>0</v>
      </c>
    </row>
    <row r="88" customFormat="false" ht="15" hidden="false" customHeight="false" outlineLevel="0" collapsed="false">
      <c r="A88" s="2" t="n">
        <f aca="false">'[1]Selected Chart'!A89</f>
        <v>0</v>
      </c>
      <c r="B88" s="2" t="n">
        <f aca="false">'[1]Selected Chart'!B89</f>
        <v>0</v>
      </c>
      <c r="C88" s="2" t="n">
        <f aca="false">'[1]Selected Chart'!C89</f>
        <v>0</v>
      </c>
      <c r="AF88" s="1" t="n">
        <v>0</v>
      </c>
    </row>
    <row r="89" customFormat="false" ht="15" hidden="false" customHeight="false" outlineLevel="0" collapsed="false">
      <c r="A89" s="2" t="n">
        <f aca="false">'[1]Selected Chart'!A90</f>
        <v>0</v>
      </c>
      <c r="B89" s="2" t="n">
        <f aca="false">'[1]Selected Chart'!B90</f>
        <v>0</v>
      </c>
      <c r="C89" s="2" t="n">
        <f aca="false">'[1]Selected Chart'!C90</f>
        <v>0</v>
      </c>
      <c r="AF89" s="1" t="n">
        <v>0</v>
      </c>
    </row>
    <row r="90" customFormat="false" ht="15" hidden="false" customHeight="false" outlineLevel="0" collapsed="false">
      <c r="A90" s="2" t="n">
        <f aca="false">'[1]Selected Chart'!A91</f>
        <v>0</v>
      </c>
      <c r="B90" s="2" t="n">
        <f aca="false">'[1]Selected Chart'!B91</f>
        <v>0</v>
      </c>
      <c r="C90" s="2" t="n">
        <f aca="false">'[1]Selected Chart'!C91</f>
        <v>0</v>
      </c>
      <c r="AF90" s="1" t="n">
        <v>0</v>
      </c>
    </row>
    <row r="91" customFormat="false" ht="15" hidden="false" customHeight="false" outlineLevel="0" collapsed="false">
      <c r="A91" s="2" t="n">
        <f aca="false">'[1]Selected Chart'!A92</f>
        <v>0</v>
      </c>
      <c r="B91" s="2" t="n">
        <f aca="false">'[1]Selected Chart'!B92</f>
        <v>0</v>
      </c>
      <c r="C91" s="2" t="n">
        <f aca="false">'[1]Selected Chart'!C92</f>
        <v>0</v>
      </c>
      <c r="AF91" s="1" t="n">
        <v>0</v>
      </c>
    </row>
    <row r="92" customFormat="false" ht="15" hidden="false" customHeight="false" outlineLevel="0" collapsed="false">
      <c r="A92" s="2" t="n">
        <f aca="false">'[1]Selected Chart'!A93</f>
        <v>0</v>
      </c>
      <c r="B92" s="2" t="n">
        <f aca="false">'[1]Selected Chart'!B93</f>
        <v>0</v>
      </c>
      <c r="C92" s="2" t="n">
        <f aca="false">'[1]Selected Chart'!C93</f>
        <v>0</v>
      </c>
      <c r="AF92" s="1" t="n">
        <v>0</v>
      </c>
    </row>
    <row r="93" customFormat="false" ht="15" hidden="false" customHeight="false" outlineLevel="0" collapsed="false">
      <c r="A93" s="2" t="n">
        <f aca="false">'[1]Selected Chart'!A94</f>
        <v>0</v>
      </c>
      <c r="B93" s="2" t="n">
        <f aca="false">'[1]Selected Chart'!B94</f>
        <v>0</v>
      </c>
      <c r="C93" s="2" t="n">
        <f aca="false">'[1]Selected Chart'!C94</f>
        <v>0</v>
      </c>
      <c r="AF93" s="1" t="n">
        <v>0</v>
      </c>
    </row>
    <row r="94" customFormat="false" ht="15" hidden="false" customHeight="false" outlineLevel="0" collapsed="false">
      <c r="A94" s="2" t="n">
        <f aca="false">'[1]Selected Chart'!A95</f>
        <v>0</v>
      </c>
      <c r="B94" s="2" t="n">
        <f aca="false">'[1]Selected Chart'!B95</f>
        <v>0</v>
      </c>
      <c r="C94" s="2" t="n">
        <f aca="false">'[1]Selected Chart'!C95</f>
        <v>0</v>
      </c>
      <c r="AF94" s="1" t="n">
        <v>0</v>
      </c>
    </row>
    <row r="95" customFormat="false" ht="15" hidden="false" customHeight="false" outlineLevel="0" collapsed="false">
      <c r="A95" s="2" t="n">
        <f aca="false">'[1]Selected Chart'!A96</f>
        <v>0</v>
      </c>
      <c r="B95" s="2" t="n">
        <f aca="false">'[1]Selected Chart'!B96</f>
        <v>0</v>
      </c>
      <c r="C95" s="2" t="n">
        <f aca="false">'[1]Selected Chart'!C96</f>
        <v>0</v>
      </c>
      <c r="AF95" s="1" t="n">
        <v>0</v>
      </c>
    </row>
    <row r="96" customFormat="false" ht="15" hidden="false" customHeight="false" outlineLevel="0" collapsed="false">
      <c r="A96" s="2" t="n">
        <f aca="false">'[1]Selected Chart'!A97</f>
        <v>0</v>
      </c>
      <c r="B96" s="2" t="n">
        <f aca="false">'[1]Selected Chart'!B97</f>
        <v>0</v>
      </c>
      <c r="C96" s="2" t="n">
        <f aca="false">'[1]Selected Chart'!C97</f>
        <v>0</v>
      </c>
      <c r="AF96" s="1" t="n">
        <v>0</v>
      </c>
    </row>
    <row r="97" customFormat="false" ht="15" hidden="false" customHeight="false" outlineLevel="0" collapsed="false">
      <c r="A97" s="2" t="n">
        <f aca="false">'[1]Selected Chart'!A98</f>
        <v>0</v>
      </c>
      <c r="B97" s="2" t="n">
        <f aca="false">'[1]Selected Chart'!B98</f>
        <v>0</v>
      </c>
      <c r="C97" s="2" t="n">
        <f aca="false">'[1]Selected Chart'!C98</f>
        <v>0</v>
      </c>
      <c r="AF97" s="1" t="n">
        <v>0</v>
      </c>
    </row>
    <row r="98" customFormat="false" ht="15" hidden="false" customHeight="false" outlineLevel="0" collapsed="false">
      <c r="A98" s="2" t="n">
        <f aca="false">'[1]Selected Chart'!A99</f>
        <v>0</v>
      </c>
      <c r="B98" s="2" t="n">
        <f aca="false">'[1]Selected Chart'!B99</f>
        <v>0</v>
      </c>
      <c r="C98" s="2" t="n">
        <f aca="false">'[1]Selected Chart'!C99</f>
        <v>0</v>
      </c>
      <c r="AF98" s="1" t="n">
        <v>0</v>
      </c>
    </row>
    <row r="99" customFormat="false" ht="15" hidden="false" customHeight="false" outlineLevel="0" collapsed="false">
      <c r="A99" s="2" t="n">
        <f aca="false">'[1]Selected Chart'!A100</f>
        <v>0</v>
      </c>
      <c r="B99" s="2" t="n">
        <f aca="false">'[1]Selected Chart'!B100</f>
        <v>0</v>
      </c>
      <c r="C99" s="2" t="n">
        <f aca="false">'[1]Selected Chart'!C100</f>
        <v>0</v>
      </c>
      <c r="AF99" s="1" t="n">
        <v>0</v>
      </c>
    </row>
    <row r="100" customFormat="false" ht="15" hidden="false" customHeight="false" outlineLevel="0" collapsed="false">
      <c r="A100" s="2" t="n">
        <f aca="false">'[1]Selected Chart'!A101</f>
        <v>0</v>
      </c>
      <c r="B100" s="2" t="n">
        <f aca="false">'[1]Selected Chart'!B101</f>
        <v>0</v>
      </c>
      <c r="C100" s="2" t="n">
        <f aca="false">'[1]Selected Chart'!C101</f>
        <v>0</v>
      </c>
      <c r="AF100" s="1" t="n">
        <v>0</v>
      </c>
    </row>
    <row r="101" customFormat="false" ht="15" hidden="false" customHeight="false" outlineLevel="0" collapsed="false">
      <c r="A101" s="2" t="n">
        <f aca="false">'[1]Selected Chart'!A102</f>
        <v>0</v>
      </c>
      <c r="B101" s="2" t="n">
        <f aca="false">'[1]Selected Chart'!B102</f>
        <v>0</v>
      </c>
      <c r="C101" s="2" t="n">
        <f aca="false">'[1]Selected Chart'!C102</f>
        <v>0</v>
      </c>
      <c r="AF101" s="1" t="n">
        <v>0</v>
      </c>
    </row>
    <row r="102" customFormat="false" ht="15" hidden="false" customHeight="false" outlineLevel="0" collapsed="false">
      <c r="A102" s="2" t="n">
        <f aca="false">'[1]Selected Chart'!A103</f>
        <v>0</v>
      </c>
      <c r="B102" s="2" t="n">
        <f aca="false">'[1]Selected Chart'!B103</f>
        <v>0</v>
      </c>
      <c r="C102" s="2" t="n">
        <f aca="false">'[1]Selected Chart'!C103</f>
        <v>0</v>
      </c>
      <c r="AF102" s="1" t="n">
        <v>0</v>
      </c>
    </row>
    <row r="103" customFormat="false" ht="15" hidden="false" customHeight="false" outlineLevel="0" collapsed="false">
      <c r="A103" s="2" t="n">
        <f aca="false">'[1]Selected Chart'!A104</f>
        <v>0</v>
      </c>
      <c r="B103" s="2" t="n">
        <f aca="false">'[1]Selected Chart'!B104</f>
        <v>0</v>
      </c>
      <c r="C103" s="2" t="n">
        <f aca="false">'[1]Selected Chart'!C104</f>
        <v>0</v>
      </c>
      <c r="AF103" s="1" t="n">
        <v>0</v>
      </c>
    </row>
    <row r="104" customFormat="false" ht="15" hidden="false" customHeight="false" outlineLevel="0" collapsed="false">
      <c r="A104" s="2" t="n">
        <f aca="false">'[1]Selected Chart'!A105</f>
        <v>0</v>
      </c>
      <c r="B104" s="2" t="n">
        <f aca="false">'[1]Selected Chart'!B105</f>
        <v>0</v>
      </c>
      <c r="C104" s="2" t="n">
        <f aca="false">'[1]Selected Chart'!C105</f>
        <v>0</v>
      </c>
      <c r="AF104" s="1" t="n">
        <v>0</v>
      </c>
    </row>
    <row r="105" customFormat="false" ht="15" hidden="false" customHeight="false" outlineLevel="0" collapsed="false">
      <c r="A105" s="2" t="n">
        <f aca="false">'[1]Selected Chart'!A106</f>
        <v>0</v>
      </c>
      <c r="B105" s="2" t="n">
        <f aca="false">'[1]Selected Chart'!B106</f>
        <v>0</v>
      </c>
      <c r="C105" s="2" t="n">
        <f aca="false">'[1]Selected Chart'!C106</f>
        <v>0</v>
      </c>
      <c r="AF105" s="1" t="n">
        <v>0</v>
      </c>
    </row>
    <row r="106" customFormat="false" ht="15" hidden="false" customHeight="false" outlineLevel="0" collapsed="false">
      <c r="A106" s="2" t="n">
        <f aca="false">'[1]Selected Chart'!A107</f>
        <v>0</v>
      </c>
      <c r="B106" s="2" t="n">
        <f aca="false">'[1]Selected Chart'!B107</f>
        <v>0</v>
      </c>
      <c r="C106" s="2" t="n">
        <f aca="false">'[1]Selected Chart'!C107</f>
        <v>0</v>
      </c>
      <c r="AF106" s="1" t="n">
        <v>0</v>
      </c>
    </row>
    <row r="107" customFormat="false" ht="15" hidden="false" customHeight="false" outlineLevel="0" collapsed="false">
      <c r="A107" s="2" t="n">
        <f aca="false">'[1]Selected Chart'!A108</f>
        <v>0</v>
      </c>
      <c r="B107" s="2" t="n">
        <f aca="false">'[1]Selected Chart'!B108</f>
        <v>0</v>
      </c>
      <c r="C107" s="2" t="n">
        <f aca="false">'[1]Selected Chart'!C108</f>
        <v>0</v>
      </c>
      <c r="AF107" s="1" t="n">
        <v>0</v>
      </c>
    </row>
    <row r="108" customFormat="false" ht="15" hidden="false" customHeight="false" outlineLevel="0" collapsed="false">
      <c r="A108" s="2" t="n">
        <f aca="false">'[1]Selected Chart'!A109</f>
        <v>0</v>
      </c>
      <c r="B108" s="2" t="n">
        <f aca="false">'[1]Selected Chart'!B109</f>
        <v>0</v>
      </c>
      <c r="C108" s="2" t="n">
        <f aca="false">'[1]Selected Chart'!C109</f>
        <v>0</v>
      </c>
      <c r="AF108" s="1" t="n">
        <v>0</v>
      </c>
    </row>
    <row r="109" customFormat="false" ht="15" hidden="false" customHeight="false" outlineLevel="0" collapsed="false">
      <c r="A109" s="2" t="n">
        <f aca="false">'[1]Selected Chart'!A110</f>
        <v>0</v>
      </c>
      <c r="B109" s="2" t="n">
        <f aca="false">'[1]Selected Chart'!B110</f>
        <v>0</v>
      </c>
      <c r="C109" s="2" t="n">
        <f aca="false">'[1]Selected Chart'!C110</f>
        <v>0</v>
      </c>
      <c r="D109" s="1" t="n">
        <v>0</v>
      </c>
      <c r="E109" s="1" t="n">
        <v>0</v>
      </c>
      <c r="F109" s="1" t="n">
        <v>0</v>
      </c>
      <c r="G109" s="1" t="n">
        <v>0</v>
      </c>
      <c r="H109" s="1" t="n">
        <v>0</v>
      </c>
      <c r="I109" s="1" t="n">
        <v>0</v>
      </c>
      <c r="J109" s="1" t="n">
        <v>0</v>
      </c>
      <c r="K109" s="1" t="n">
        <v>0</v>
      </c>
      <c r="L109" s="1" t="n">
        <v>0</v>
      </c>
      <c r="M109" s="1" t="n">
        <v>0</v>
      </c>
      <c r="N109" s="1" t="n">
        <v>0</v>
      </c>
      <c r="O109" s="1" t="n">
        <v>0</v>
      </c>
      <c r="P109" s="1" t="n">
        <v>0</v>
      </c>
      <c r="Q109" s="1" t="n">
        <v>0</v>
      </c>
      <c r="R109" s="1" t="n">
        <v>0</v>
      </c>
      <c r="S109" s="1" t="n">
        <v>0</v>
      </c>
      <c r="T109" s="1" t="n">
        <v>0</v>
      </c>
      <c r="U109" s="1" t="n">
        <v>0</v>
      </c>
      <c r="V109" s="1" t="n">
        <v>0</v>
      </c>
      <c r="W109" s="1" t="n">
        <v>0</v>
      </c>
      <c r="X109" s="1" t="n">
        <v>0</v>
      </c>
      <c r="Y109" s="1" t="n">
        <v>0</v>
      </c>
      <c r="Z109" s="1" t="n">
        <v>0</v>
      </c>
      <c r="AA109" s="1" t="n">
        <v>0</v>
      </c>
      <c r="AB109" s="1" t="n">
        <v>0</v>
      </c>
      <c r="AC109" s="1" t="n">
        <v>0</v>
      </c>
      <c r="AD109" s="1" t="n">
        <v>0</v>
      </c>
      <c r="AE109" s="1" t="n">
        <v>0</v>
      </c>
      <c r="AF109" s="1" t="n">
        <v>0</v>
      </c>
    </row>
  </sheetData>
  <autoFilter ref="A1:C109"/>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&amp;C&amp;"Arial,Regular"&amp;10&amp;A</oddHeader>
    <oddFooter>&amp;C&amp;"Arial,Regular"&amp;10Page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78"/>
  <sheetViews>
    <sheetView showFormulas="false" showGridLines="true" showRowColHeaders="true" showZeros="true" rightToLeft="false" tabSelected="false" showOutlineSymbols="true" defaultGridColor="true" view="normal" topLeftCell="A1" colorId="64" zoomScale="181" zoomScaleNormal="181" zoomScalePageLayoutView="100" workbookViewId="0">
      <selection pane="topLeft" activeCell="A7" activeCellId="0" sqref="A7"/>
    </sheetView>
  </sheetViews>
  <sheetFormatPr defaultColWidth="7.1484375" defaultRowHeight="15" customHeight="true" zeroHeight="false" outlineLevelRow="0" outlineLevelCol="0"/>
  <cols>
    <col collapsed="false" customWidth="true" hidden="false" outlineLevel="0" max="1" min="1" style="6" width="16.43"/>
    <col collapsed="false" customWidth="true" hidden="false" outlineLevel="0" max="2" min="2" style="6" width="12.29"/>
    <col collapsed="false" customWidth="true" hidden="false" outlineLevel="0" max="3" min="3" style="6" width="18.86"/>
    <col collapsed="false" customWidth="true" hidden="false" outlineLevel="0" max="4" min="4" style="6" width="13.86"/>
    <col collapsed="false" customWidth="true" hidden="false" outlineLevel="0" max="5" min="5" style="6" width="28.71"/>
    <col collapsed="false" customWidth="true" hidden="false" outlineLevel="0" max="6" min="6" style="6" width="13.29"/>
    <col collapsed="false" customWidth="true" hidden="false" outlineLevel="0" max="7" min="7" style="6" width="20.14"/>
    <col collapsed="false" customWidth="true" hidden="false" outlineLevel="0" max="8" min="8" style="6" width="13.29"/>
    <col collapsed="false" customWidth="true" hidden="false" outlineLevel="0" max="11" min="11" style="6" width="9.14"/>
    <col collapsed="false" customWidth="true" hidden="false" outlineLevel="0" max="12" min="12" style="6" width="11.57"/>
    <col collapsed="false" customWidth="true" hidden="false" outlineLevel="0" max="13" min="13" style="6" width="7.86"/>
    <col collapsed="false" customWidth="true" hidden="false" outlineLevel="0" max="14" min="14" style="6" width="8.15"/>
    <col collapsed="false" customWidth="true" hidden="false" outlineLevel="0" max="17" min="17" style="6" width="12.71"/>
    <col collapsed="false" customWidth="true" hidden="false" outlineLevel="0" max="18" min="18" style="6" width="9.42"/>
    <col collapsed="false" customWidth="true" hidden="false" outlineLevel="0" max="22" min="22" style="6" width="8.86"/>
    <col collapsed="false" customWidth="true" hidden="false" outlineLevel="0" max="24" min="23" style="6" width="4.14"/>
    <col collapsed="false" customWidth="true" hidden="false" outlineLevel="0" max="27" min="25" style="6" width="11.71"/>
    <col collapsed="false" customWidth="true" hidden="false" outlineLevel="0" max="28" min="28" style="6" width="6.29"/>
    <col collapsed="false" customWidth="true" hidden="false" outlineLevel="0" max="29" min="29" style="6" width="3.15"/>
    <col collapsed="false" customWidth="true" hidden="false" outlineLevel="0" max="30" min="30" style="6" width="3.86"/>
  </cols>
  <sheetData>
    <row r="1" customFormat="false" ht="15" hidden="false" customHeight="false" outlineLevel="0" collapsed="false">
      <c r="A1" s="7" t="str">
        <f aca="false">JHora!A2</f>
        <v>C:\Users\sprabhakara2\Google Drive\charts\Family&amp;Self\Sanjay Prabhakaran</v>
      </c>
      <c r="B1" s="7"/>
      <c r="C1" s="7"/>
      <c r="D1" s="7"/>
      <c r="E1" s="7"/>
      <c r="F1" s="7"/>
      <c r="G1" s="7"/>
      <c r="H1" s="7"/>
      <c r="I1" s="7"/>
    </row>
    <row r="2" customFormat="false" ht="15" hidden="false" customHeight="false" outlineLevel="0" collapsed="false">
      <c r="A2" s="6" t="s">
        <v>73</v>
      </c>
      <c r="B2" s="8" t="str">
        <f aca="false">LEFT(TRIM(MID(JHora!A6,6,100)),FIND(" ",TRIM(MID(JHora!A6,6,100))))</f>
        <v>July </v>
      </c>
      <c r="C2" s="9" t="str">
        <f aca="false">REPLACE(RIGHT(TRIM(MID(JHora!A6,6,100)),8),3,1,B2)</f>
        <v>19July  1971</v>
      </c>
      <c r="D2" s="9"/>
      <c r="E2" s="10" t="n">
        <f aca="false">VALUE(C2)+VALUE(RIGHT(JHora!A7,12))</f>
        <v>26133.3841435185</v>
      </c>
      <c r="F2" s="11"/>
      <c r="G2" s="12" t="n">
        <f aca="false">INT(DoB)</f>
        <v>26133</v>
      </c>
      <c r="H2" s="13" t="n">
        <f aca="false">DoB-INT(DoB)</f>
        <v>0.3841435184986</v>
      </c>
      <c r="J2" s="6" t="n">
        <f aca="false">ROUNDUP((MINUTE(DoB-B44)+HOUR(DoB-B44)*60)/24,0)</f>
        <v>8</v>
      </c>
      <c r="K2" s="14" t="n">
        <f aca="false">HOUR(DoB-B44)*60</f>
        <v>180</v>
      </c>
      <c r="P2" s="6" t="n">
        <f aca="false" t="array" ref="P2:P2">SUM(L7:L14)</f>
        <v>-38</v>
      </c>
    </row>
    <row r="3" customFormat="false" ht="15" hidden="false" customHeight="false" outlineLevel="0" collapsed="false">
      <c r="A3" s="15" t="s">
        <v>74</v>
      </c>
      <c r="B3" s="16" t="n">
        <v>365.254872685182</v>
      </c>
      <c r="C3" s="16"/>
      <c r="D3" s="16"/>
      <c r="E3" s="16"/>
      <c r="F3" s="16"/>
      <c r="G3" s="6" t="s">
        <v>75</v>
      </c>
      <c r="J3" s="17" t="n">
        <f aca="false">TIME(0,24,0)</f>
        <v>0.0166666666666667</v>
      </c>
    </row>
    <row r="4" customFormat="false" ht="15" hidden="false" customHeight="false" outlineLevel="0" collapsed="false">
      <c r="A4" s="18" t="s">
        <v>76</v>
      </c>
      <c r="B4" s="18"/>
      <c r="C4" s="18"/>
      <c r="D4" s="18"/>
      <c r="E4" s="18"/>
      <c r="F4" s="18"/>
      <c r="G4" s="18"/>
      <c r="H4" s="18"/>
      <c r="I4" s="18"/>
      <c r="J4" s="18"/>
    </row>
    <row r="5" customFormat="false" ht="15" hidden="false" customHeight="false" outlineLevel="0" collapsed="false">
      <c r="A5" s="19" t="s">
        <v>77</v>
      </c>
      <c r="B5" s="19"/>
      <c r="C5" s="19"/>
      <c r="D5" s="19"/>
      <c r="E5" s="19"/>
      <c r="F5" s="19"/>
      <c r="G5" s="19"/>
      <c r="H5" s="19"/>
      <c r="I5" s="19"/>
      <c r="J5" s="19"/>
      <c r="W5" s="6" t="n">
        <v>1</v>
      </c>
      <c r="X5" s="6" t="n">
        <v>2</v>
      </c>
      <c r="Y5" s="6" t="n">
        <v>3</v>
      </c>
      <c r="Z5" s="6" t="n">
        <v>4</v>
      </c>
      <c r="AA5" s="6" t="n">
        <v>5</v>
      </c>
    </row>
    <row r="6" s="21" customFormat="true" ht="15" hidden="false" customHeight="false" outlineLevel="0" collapsed="false">
      <c r="A6" s="20"/>
      <c r="G6" s="21" t="s">
        <v>78</v>
      </c>
      <c r="H6" s="21" t="s">
        <v>79</v>
      </c>
      <c r="I6" s="21" t="s">
        <v>80</v>
      </c>
      <c r="J6" s="21" t="s">
        <v>81</v>
      </c>
      <c r="K6" s="21" t="s">
        <v>82</v>
      </c>
      <c r="L6" s="21" t="s">
        <v>83</v>
      </c>
      <c r="M6" s="21" t="s">
        <v>84</v>
      </c>
      <c r="N6" s="21" t="s">
        <v>85</v>
      </c>
      <c r="O6" s="21" t="s">
        <v>85</v>
      </c>
      <c r="P6" s="21" t="s">
        <v>86</v>
      </c>
      <c r="Q6" s="21" t="s">
        <v>86</v>
      </c>
      <c r="R6" s="21" t="s">
        <v>87</v>
      </c>
      <c r="S6" s="21" t="s">
        <v>88</v>
      </c>
      <c r="T6" s="21" t="s">
        <v>89</v>
      </c>
      <c r="U6" s="21" t="s">
        <v>90</v>
      </c>
      <c r="V6" s="21" t="s">
        <v>81</v>
      </c>
      <c r="W6" s="21" t="s">
        <v>91</v>
      </c>
      <c r="X6" s="21" t="s">
        <v>92</v>
      </c>
      <c r="Y6" s="21" t="s">
        <v>93</v>
      </c>
      <c r="Z6" s="21" t="s">
        <v>94</v>
      </c>
      <c r="AA6" s="21" t="s">
        <v>95</v>
      </c>
      <c r="AB6" s="21" t="s">
        <v>96</v>
      </c>
      <c r="AC6" s="21" t="s">
        <v>97</v>
      </c>
    </row>
    <row r="7" customFormat="false" ht="15" hidden="false" customHeight="false" outlineLevel="0" collapsed="false">
      <c r="A7" s="6" t="str">
        <f aca="false">TRIM(LEFT(JHora!A32,FIND(" ",JHora!A32)))</f>
        <v>Lagna</v>
      </c>
      <c r="B7" s="22" t="str">
        <f aca="false">MID(JHora!A32,FIND("'",JHora!A32)-8,2)</f>
        <v>16</v>
      </c>
      <c r="C7" s="22" t="str">
        <f aca="false">MID(JHora!A32,FIND("'",JHora!A32)-5,2)</f>
        <v>Le</v>
      </c>
      <c r="D7" s="23" t="n">
        <f aca="false">MID(JHora!A32,FIND("'",JHora!A32)-2,2)+VALUE(MID(JHora!A32,FIND("'",JHora!A32)+2,5))/60</f>
        <v>42.691</v>
      </c>
      <c r="E7" s="24" t="str">
        <f aca="false">INDEX(NakshatraTbl,INT(G7*0.075)+1,1)</f>
        <v>Purva Phalguni</v>
      </c>
      <c r="F7" s="25" t="s">
        <v>98</v>
      </c>
      <c r="G7" s="26" t="n">
        <f aca="false">VLOOKUP(C7,RasiDeg,2,0)+B7+D7/60</f>
        <v>136.711516666667</v>
      </c>
      <c r="H7" s="26" t="n">
        <f aca="false">B7+D7/60</f>
        <v>16.7115166666667</v>
      </c>
      <c r="I7" s="27" t="str">
        <f aca="false">INDEX(NakshatraTbl,INT(G7*0.075)+1,3)</f>
        <v>Venus</v>
      </c>
      <c r="J7" s="28"/>
      <c r="K7" s="17" t="n">
        <f aca="false">NOT(ISERROR(SEARCH("(R)",JHora!A32)))</f>
        <v>0</v>
      </c>
      <c r="L7" s="29" t="n">
        <f aca="false">ROUNDUP(IF((Moon-G7)&lt;0,-1*(180+(Moon-G7)),Moon-G7)/12,0)</f>
        <v>-9</v>
      </c>
      <c r="M7" s="30"/>
      <c r="N7" s="6" t="str">
        <f aca="false">INDEX(D20Deities,ROUNDUP(H7/1.5,0)+MOD(ROUNDUP(G7/30,0)-1,2)*20,1)</f>
        <v>bagalāmukhī</v>
      </c>
      <c r="O7" s="6" t="str">
        <f aca="false">INDEX(D20Deities,ROUNDUP(H7/1.5,0)+MOD(ROUNDUP(G7/30,0)-1,2)*20,2)</f>
        <v>बगलामुखी</v>
      </c>
      <c r="P7" s="6" t="str">
        <f aca="false">INDEX(D27Deities,ROUNDUP(H7/30*27,0),1)</f>
        <v>śakrāgni </v>
      </c>
      <c r="Q7" s="6" t="str">
        <f aca="false">INDEX(D27Deities,ROUNDUP(H7/30*27,0),2)</f>
        <v>शक्राग्नि </v>
      </c>
      <c r="R7" s="6" t="str">
        <f aca="false">INT(H7/900*360)&amp;" s"&amp;" "&amp;TEXT(MOD(H7/30*360,30)/24,"[HH]:MM:ss")</f>
        <v>6 s 20:32:18</v>
      </c>
      <c r="S7" s="6" t="n">
        <f aca="false">MATCH(H7,D150InequalDegrees)</f>
        <v>84</v>
      </c>
      <c r="T7" s="6" t="n">
        <f aca="false">CHOOSE(ROUNDUP(MOD(G7/30,3),0),S7,150-S7+1,MOD(74+S7,150)+1)</f>
        <v>67</v>
      </c>
      <c r="U7" s="6" t="str">
        <f aca="false">INDEX(D150EnglishNames,T7)</f>
        <v>gadaharā</v>
      </c>
      <c r="AB7" s="6" t="n">
        <v>0</v>
      </c>
    </row>
    <row r="8" customFormat="false" ht="15" hidden="false" customHeight="false" outlineLevel="0" collapsed="false">
      <c r="A8" s="6" t="str">
        <f aca="false">TRIM(LEFT(JHora!A33,FIND(" ",JHora!A33)))</f>
        <v>Sun</v>
      </c>
      <c r="B8" s="22" t="str">
        <f aca="false">MID(JHora!A33,FIND("'",JHora!A33)-8,2)</f>
        <v> 2</v>
      </c>
      <c r="C8" s="22" t="str">
        <f aca="false">MID(JHora!A33,FIND("'",JHora!A33)-5,2)</f>
        <v>Cn</v>
      </c>
      <c r="D8" s="23" t="n">
        <f aca="false">MID(JHora!A33,FIND("'",JHora!A33)-2,2)+VALUE(MID(JHora!A33,FIND("'",JHora!A33)+2,5))/60</f>
        <v>23.9521666666667</v>
      </c>
      <c r="E8" s="24" t="str">
        <f aca="false">INDEX(NakshatraTbl,INT(G8*0.075)+1,1)</f>
        <v>Punarvasu</v>
      </c>
      <c r="F8" s="31" t="str">
        <f aca="false">CHOOSE(RANK(H8,H$8:H$15),"Ak","Amk","Bk","Mk","PiK","PuK","Gk","Dk")</f>
        <v>Dk</v>
      </c>
      <c r="G8" s="26" t="n">
        <f aca="false">VLOOKUP(C8,RasiDeg,2,0)+B8+D8/60</f>
        <v>92.3992027777778</v>
      </c>
      <c r="H8" s="26" t="n">
        <f aca="false">B8+D8/60</f>
        <v>2.39920277777778</v>
      </c>
      <c r="I8" s="27" t="str">
        <f aca="false">INDEX(NakshatraTbl,INT(G8*0.075)+1,3)</f>
        <v>Jupiter</v>
      </c>
      <c r="J8" s="28" t="n">
        <f aca="false">MOD(ROUNDUP(G8/13.3333333333,0)*1*ROUNDUP(MOD(G8,30)/3.33333,0)+ROUNDUP(Moon/13.333,0)+ROUNDUP(JanmaGhatika,0)+ROUNDUP(Lagna/30,0)+11,12)+1</f>
        <v>12</v>
      </c>
      <c r="K8" s="17" t="n">
        <f aca="false">NOT(ISERROR(SEARCH("(R)",JHora!A33)))</f>
        <v>0</v>
      </c>
      <c r="L8" s="29" t="n">
        <f aca="false">ROUNDUP(IF((Moon-G8)&lt;0,-1*(180+(Moon-G8)),Moon-G8)/12,0)</f>
        <v>-12</v>
      </c>
      <c r="M8" s="30" t="str">
        <f aca="false">INDEX(Tithi,MOD(ABS(L8),8))</f>
        <v>Mercury</v>
      </c>
      <c r="N8" s="6" t="str">
        <f aca="false">INDEX(D20Deities,ROUNDUP(H8/1.5,0)+MOD(ROUNDUP(G8/30,0)-1,2)*20,1)</f>
        <v>medhā</v>
      </c>
      <c r="O8" s="6" t="str">
        <f aca="false">INDEX(D20Deities,ROUNDUP(H8/1.5,0)+MOD(ROUNDUP(G8/30,0)-1,2)*20,2)</f>
        <v>मेधा</v>
      </c>
      <c r="P8" s="6" t="str">
        <f aca="false">INDEX(D27Deities,ROUNDUP(H8/30*27,0),1)</f>
        <v>vahni </v>
      </c>
      <c r="Q8" s="6" t="str">
        <f aca="false">INDEX(D27Deities,ROUNDUP(H8/30*27,0),2)</f>
        <v>वह्नि </v>
      </c>
      <c r="R8" s="6" t="str">
        <f aca="false">INT(H8/900*360)&amp;" s"&amp;" "&amp;TEXT(MOD(H8/30*360,30)/24,"[HH]:MM:ss")</f>
        <v>0 s 28:47:26</v>
      </c>
      <c r="S8" s="6" t="n">
        <f aca="false">MATCH(H8,D150InequalDegrees)</f>
        <v>13</v>
      </c>
      <c r="T8" s="6" t="n">
        <f aca="false">CHOOSE(ROUNDUP(MOD(G8/30,3),0),S8,150-S8+1,MOD(74+S8,150)+1)</f>
        <v>13</v>
      </c>
      <c r="U8" s="6" t="str">
        <f aca="false">INDEX(D150EnglishNames,T8)</f>
        <v>mañjusvanā</v>
      </c>
      <c r="V8" s="6" t="str">
        <f aca="false">INDEX(ShayanaadiAvastha,J8)</f>
        <v>Nidraa</v>
      </c>
      <c r="W8" s="6" t="n">
        <f aca="false">MOD(MOD(($J8*$J8+W$5)+11,12)*INDEX(GrahaShayanadiGunanka,$AB8)+2,3)+1</f>
        <v>3</v>
      </c>
      <c r="X8" s="6" t="n">
        <f aca="false">MOD(MOD(($J8*$J8+X$5)+11,12)*INDEX(GrahaShayanadiGunanka,$AB8)+2,3)+1</f>
        <v>2</v>
      </c>
      <c r="Y8" s="6" t="n">
        <f aca="false">MOD(MOD(($J8*$J8+Y$5)+11,12)*INDEX(GrahaShayanadiGunanka,$AB8)+2,3)+1</f>
        <v>1</v>
      </c>
      <c r="Z8" s="6" t="n">
        <f aca="false">MOD(MOD(($J8*$J8+Z$5)+11,12)*INDEX(GrahaShayanadiGunanka,$AB8)+2,3)+1</f>
        <v>3</v>
      </c>
      <c r="AA8" s="6" t="n">
        <f aca="false">MOD(MOD(($J8*$J8+AA$5)+11,12)*INDEX(GrahaShayanadiGunanka,$AB8)+2,3)+1</f>
        <v>2</v>
      </c>
      <c r="AB8" s="6" t="n">
        <v>1</v>
      </c>
      <c r="AC8" s="6" t="n">
        <v>3</v>
      </c>
      <c r="AD8" s="6" t="s">
        <v>99</v>
      </c>
    </row>
    <row r="9" customFormat="false" ht="15" hidden="false" customHeight="false" outlineLevel="0" collapsed="false">
      <c r="A9" s="6" t="str">
        <f aca="false">TRIM(LEFT(JHora!A34,FIND(" ",JHora!A34)))</f>
        <v>Moon</v>
      </c>
      <c r="B9" s="22" t="str">
        <f aca="false">MID(JHora!A34,FIND("'",JHora!A34)-8,2)</f>
        <v>23</v>
      </c>
      <c r="C9" s="22" t="str">
        <f aca="false">MID(JHora!A34,FIND("'",JHora!A34)-5,2)</f>
        <v>Ta</v>
      </c>
      <c r="D9" s="23" t="n">
        <f aca="false">MID(JHora!A34,FIND("'",JHora!A34)-2,2)+VALUE(MID(JHora!A34,FIND("'",JHora!A34)+2,5))/60</f>
        <v>0.956666666666667</v>
      </c>
      <c r="E9" s="24" t="str">
        <f aca="false">INDEX(NakshatraTbl,INT(G9*0.075)+1,1)</f>
        <v>Rohini</v>
      </c>
      <c r="F9" s="31" t="str">
        <f aca="false">CHOOSE(RANK(H9,H$8:H$15),"Ak","Amk","Bk","Mk","PiK","PuK","Gk","Dk")</f>
        <v>Bk</v>
      </c>
      <c r="G9" s="32" t="n">
        <f aca="false">VLOOKUP(C9,RasiDeg,2,0)+B9+D9/60</f>
        <v>53.0159444444444</v>
      </c>
      <c r="H9" s="32" t="n">
        <f aca="false">B9+D9/60</f>
        <v>23.0159444444444</v>
      </c>
      <c r="I9" s="33" t="str">
        <f aca="false">INDEX(NakshatraTbl,INT(G9*0.075)+1,3)</f>
        <v>Moon</v>
      </c>
      <c r="J9" s="28" t="n">
        <f aca="false">MOD(ROUNDUP(G9/13.3333333333,0)*2*ROUNDUP(MOD(G9,30)/3.33333,0)+ROUNDUP(Moon/13.333,0)+ROUNDUP(JanmaGhatika,0)+ROUNDUP(Lagna/30,0)+11,12)+1</f>
        <v>1</v>
      </c>
      <c r="K9" s="17" t="n">
        <f aca="false">NOT(ISERROR(SEARCH("(R)",JHora!A34)))</f>
        <v>0</v>
      </c>
      <c r="L9" s="29"/>
      <c r="M9" s="30"/>
      <c r="N9" s="6" t="str">
        <f aca="false">INDEX(D20Deities,ROUNDUP(H9/1.5,0)+MOD(ROUNDUP(G9/30,0)-1,2)*20,1)</f>
        <v>sitā</v>
      </c>
      <c r="O9" s="6" t="str">
        <f aca="false">INDEX(D20Deities,ROUNDUP(H9/1.5,0)+MOD(ROUNDUP(G9/30,0)-1,2)*20,2)</f>
        <v>सिता</v>
      </c>
      <c r="P9" s="6" t="str">
        <f aca="false">INDEX(D27Deities,ROUNDUP(H9/30*27,0),1)</f>
        <v>viśve aja </v>
      </c>
      <c r="Q9" s="6" t="str">
        <f aca="false">INDEX(D27Deities,ROUNDUP(H9/30*27,0),2)</f>
        <v>विश्वे अज </v>
      </c>
      <c r="R9" s="6" t="str">
        <f aca="false">INT(H9/900*360)&amp;" s"&amp;" "&amp;TEXT(MOD(H9/30*360,30)/24,"[HH]:MM:ss")</f>
        <v>9 s 06:11:29</v>
      </c>
      <c r="S9" s="6" t="n">
        <f aca="false">MATCH(H9,D150InequalDegrees)</f>
        <v>116</v>
      </c>
      <c r="T9" s="6" t="n">
        <f aca="false">CHOOSE(ROUNDUP(MOD(G9/30,3),0),S9,150-S9+1,MOD(74+S9,150)+1)</f>
        <v>35</v>
      </c>
      <c r="U9" s="6" t="str">
        <f aca="false">INDEX(D150EnglishNames,T9)</f>
        <v>kṣamā</v>
      </c>
      <c r="V9" s="6" t="str">
        <f aca="false">INDEX(ShayanaadiAvastha,J9)</f>
        <v>Sayana</v>
      </c>
      <c r="W9" s="6" t="n">
        <f aca="false">MOD(MOD(($J9*$J9+W$5)+11,12)*INDEX(GrahaShayanadiGunanka,$AB9)+2,3)+1</f>
        <v>2</v>
      </c>
      <c r="X9" s="6" t="n">
        <f aca="false">MOD(MOD(($J9*$J9+X$5)+11,12)*INDEX(GrahaShayanadiGunanka,$AB9)+2,3)+1</f>
        <v>1</v>
      </c>
      <c r="Y9" s="6" t="n">
        <f aca="false">MOD(MOD(($J9*$J9+Y$5)+11,12)*INDEX(GrahaShayanadiGunanka,$AB9)+2,3)+1</f>
        <v>3</v>
      </c>
      <c r="Z9" s="6" t="n">
        <f aca="false">MOD(MOD(($J9*$J9+Z$5)+11,12)*INDEX(GrahaShayanadiGunanka,$AB9)+2,3)+1</f>
        <v>2</v>
      </c>
      <c r="AA9" s="6" t="n">
        <f aca="false">MOD(MOD(($J9*$J9+AA$5)+11,12)*INDEX(GrahaShayanadiGunanka,$AB9)+2,3)+1</f>
        <v>1</v>
      </c>
      <c r="AB9" s="6" t="n">
        <v>2</v>
      </c>
      <c r="AC9" s="6" t="n">
        <v>1</v>
      </c>
      <c r="AD9" s="6" t="s">
        <v>100</v>
      </c>
    </row>
    <row r="10" customFormat="false" ht="15" hidden="false" customHeight="false" outlineLevel="0" collapsed="false">
      <c r="A10" s="6" t="str">
        <f aca="false">TRIM(LEFT(JHora!A35,FIND(" ",JHora!A35)))</f>
        <v>Mars</v>
      </c>
      <c r="B10" s="22" t="str">
        <f aca="false">MID(JHora!A35,FIND("'",JHora!A35)-8,2)</f>
        <v>28</v>
      </c>
      <c r="C10" s="22" t="str">
        <f aca="false">MID(JHora!A35,FIND("'",JHora!A35)-5,2)</f>
        <v>Cp</v>
      </c>
      <c r="D10" s="23" t="n">
        <f aca="false">MID(JHora!A35,FIND("'",JHora!A35)-2,2)+VALUE(MID(JHora!A35,FIND("'",JHora!A35)+2,5))/60</f>
        <v>6.51983333333333</v>
      </c>
      <c r="E10" s="24" t="str">
        <f aca="false">INDEX(NakshatraTbl,INT(G10*0.075)+1,1)</f>
        <v>Shravan</v>
      </c>
      <c r="F10" s="31" t="str">
        <f aca="false">CHOOSE(RANK(H10,H$8:H$15),"Ak","Amk","Bk","Mk","PiK","PuK","Gk","Dk")</f>
        <v>Ak</v>
      </c>
      <c r="G10" s="26" t="n">
        <f aca="false">VLOOKUP(C10,RasiDeg,2,0)+B10+D10/60</f>
        <v>298.108663888889</v>
      </c>
      <c r="H10" s="26" t="n">
        <f aca="false">B10+D10/60</f>
        <v>28.1086638888889</v>
      </c>
      <c r="I10" s="27" t="str">
        <f aca="false">INDEX(NakshatraTbl,INT(G10*0.075)+1,3)</f>
        <v>Moon</v>
      </c>
      <c r="J10" s="28" t="n">
        <f aca="false">MOD(ROUNDUP(G10/13.3333333333,0)*3*ROUNDUP(MOD(G10,30)/3.33333,0)+ROUNDUP(Moon/13.333,0)+ROUNDUP(JanmaGhatika,0)+ROUNDUP(Lagna/30,0)+11,12)+1</f>
        <v>2</v>
      </c>
      <c r="K10" s="17" t="n">
        <f aca="false">NOT(ISERROR(SEARCH("(R)",JHora!A35)))</f>
        <v>1</v>
      </c>
      <c r="L10" s="29" t="n">
        <f aca="false">ROUNDUP(IF((Moon-G10)&lt;0,-1*(180+(Moon-G10)),Moon-G10)/12,0)</f>
        <v>6</v>
      </c>
      <c r="M10" s="30" t="str">
        <f aca="false">INDEX(Tithi,MOD(ABS(L10),8))</f>
        <v>Venus</v>
      </c>
      <c r="N10" s="6" t="str">
        <f aca="false">INDEX(D20Deities,ROUNDUP(H10/1.5,0)+MOD(ROUNDUP(G10/30,0)-1,2)*20,1)</f>
        <v>maṅgalā</v>
      </c>
      <c r="O10" s="6" t="str">
        <f aca="false">INDEX(D20Deities,ROUNDUP(H10/1.5,0)+MOD(ROUNDUP(G10/30,0)-1,2)*20,2)</f>
        <v>मङ्गला</v>
      </c>
      <c r="P10" s="6" t="str">
        <f aca="false">INDEX(D27Deities,ROUNDUP(H10/30*27,0),1)</f>
        <v>ahirbudhnya </v>
      </c>
      <c r="Q10" s="6" t="str">
        <f aca="false">INDEX(D27Deities,ROUNDUP(H10/30*27,0),2)</f>
        <v>अहिर्बुध्न्य</v>
      </c>
      <c r="R10" s="6" t="str">
        <f aca="false">INT(H10/900*360)&amp;" s"&amp;" "&amp;TEXT(MOD(H10/30*360,30)/24,"[HH]:MM:ss")</f>
        <v>11 s 07:18:14</v>
      </c>
      <c r="S10" s="6" t="n">
        <f aca="false">MATCH(H10,D150InequalDegrees)</f>
        <v>141</v>
      </c>
      <c r="T10" s="6" t="n">
        <f aca="false">CHOOSE(ROUNDUP(MOD(G10/30,3),0),S10,150-S10+1,MOD(74+S10,150)+1)</f>
        <v>141</v>
      </c>
      <c r="U10" s="6" t="str">
        <f aca="false">INDEX(D150EnglishNames,T10)</f>
        <v>kalaśodbhavā</v>
      </c>
      <c r="V10" s="6" t="str">
        <f aca="false">INDEX(ShayanaadiAvastha,J10)</f>
        <v>Upavesana</v>
      </c>
      <c r="W10" s="6" t="n">
        <f aca="false">MOD(MOD(($J10*$J10+W$5)+11,12)*INDEX(GrahaShayanadiGunanka,$AB10)+2,3)+1</f>
        <v>2</v>
      </c>
      <c r="X10" s="6" t="n">
        <f aca="false">MOD(MOD(($J10*$J10+X$5)+11,12)*INDEX(GrahaShayanadiGunanka,$AB10)+2,3)+1</f>
        <v>1</v>
      </c>
      <c r="Y10" s="6" t="n">
        <f aca="false">MOD(MOD(($J10*$J10+Y$5)+11,12)*INDEX(GrahaShayanadiGunanka,$AB10)+2,3)+1</f>
        <v>3</v>
      </c>
      <c r="Z10" s="6" t="n">
        <f aca="false">MOD(MOD(($J10*$J10+Z$5)+11,12)*INDEX(GrahaShayanadiGunanka,$AB10)+2,3)+1</f>
        <v>2</v>
      </c>
      <c r="AA10" s="6" t="n">
        <f aca="false">MOD(MOD(($J10*$J10+AA$5)+11,12)*INDEX(GrahaShayanadiGunanka,$AB10)+2,3)+1</f>
        <v>1</v>
      </c>
      <c r="AB10" s="6" t="n">
        <v>3</v>
      </c>
      <c r="AD10" s="6" t="s">
        <v>101</v>
      </c>
    </row>
    <row r="11" customFormat="false" ht="15" hidden="false" customHeight="false" outlineLevel="0" collapsed="false">
      <c r="A11" s="6" t="str">
        <f aca="false">TRIM(LEFT(JHora!A36,FIND(" ",JHora!A36)))</f>
        <v>Mercury</v>
      </c>
      <c r="B11" s="22" t="str">
        <f aca="false">MID(JHora!A36,FIND("'",JHora!A36)-8,2)</f>
        <v>27</v>
      </c>
      <c r="C11" s="22" t="str">
        <f aca="false">MID(JHora!A36,FIND("'",JHora!A36)-5,2)</f>
        <v>Cn</v>
      </c>
      <c r="D11" s="23" t="n">
        <f aca="false">MID(JHora!A36,FIND("'",JHora!A36)-2,2)+VALUE(MID(JHora!A36,FIND("'",JHora!A36)+2,5))/60</f>
        <v>7.78716666666667</v>
      </c>
      <c r="E11" s="24" t="str">
        <f aca="false">INDEX(NakshatraTbl,INT(G11*0.075)+1,1)</f>
        <v>Ashlesha</v>
      </c>
      <c r="F11" s="31" t="str">
        <f aca="false">CHOOSE(RANK(H11,H$8:H$15),"Ak","Amk","Bk","Mk","PiK","PuK","Gk","Dk")</f>
        <v>Amk</v>
      </c>
      <c r="G11" s="26" t="n">
        <f aca="false">VLOOKUP(C11,RasiDeg,2,0)+B11+D11/60</f>
        <v>117.129786111111</v>
      </c>
      <c r="H11" s="26" t="n">
        <f aca="false">B11+D11/60</f>
        <v>27.1297861111111</v>
      </c>
      <c r="I11" s="27" t="str">
        <f aca="false">INDEX(NakshatraTbl,INT(G11*0.075)+1,3)</f>
        <v>Merc</v>
      </c>
      <c r="J11" s="28" t="n">
        <f aca="false">MOD(ROUNDUP(G11/13.3333333333,0)*4*ROUNDUP(MOD(G11,30)/3.33333,0)+ROUNDUP(Moon/13.333,0)+ROUNDUP(JanmaGhatika,0)+ROUNDUP(Lagna/30,0)+11,12)+1</f>
        <v>5</v>
      </c>
      <c r="K11" s="17" t="n">
        <f aca="false">NOT(ISERROR(SEARCH("(R)",JHora!A36)))</f>
        <v>0</v>
      </c>
      <c r="L11" s="29" t="n">
        <f aca="false">ROUNDUP(IF((Moon-G11)&lt;0,-1*(180+(Moon-G11)),Moon-G11)/12,0)</f>
        <v>-10</v>
      </c>
      <c r="M11" s="30" t="str">
        <f aca="false">INDEX(Tithi,MOD(ABS(L11),8))</f>
        <v>Moon</v>
      </c>
      <c r="N11" s="6" t="str">
        <f aca="false">INDEX(D20Deities,ROUNDUP(H11/1.5,0)+MOD(ROUNDUP(G11/30,0)-1,2)*20,1)</f>
        <v>maṅgalā</v>
      </c>
      <c r="O11" s="6" t="str">
        <f aca="false">INDEX(D20Deities,ROUNDUP(H11/1.5,0)+MOD(ROUNDUP(G11/30,0)-1,2)*20,2)</f>
        <v>मङ्गला</v>
      </c>
      <c r="P11" s="6" t="str">
        <f aca="false">INDEX(D27Deities,ROUNDUP(H11/30*27,0),1)</f>
        <v>ajapād </v>
      </c>
      <c r="Q11" s="6" t="str">
        <f aca="false">INDEX(D27Deities,ROUNDUP(H11/30*27,0),2)</f>
        <v>अजपाद् </v>
      </c>
      <c r="R11" s="6" t="str">
        <f aca="false">INT(H11/900*360)&amp;" s"&amp;" "&amp;TEXT(MOD(H11/30*360,30)/24,"[HH]:MM:ss")</f>
        <v>10 s 25:33:27</v>
      </c>
      <c r="S11" s="6" t="n">
        <f aca="false">MATCH(H11,D150InequalDegrees)</f>
        <v>136</v>
      </c>
      <c r="T11" s="6" t="n">
        <f aca="false">CHOOSE(ROUNDUP(MOD(G11/30,3),0),S11,150-S11+1,MOD(74+S11,150)+1)</f>
        <v>136</v>
      </c>
      <c r="U11" s="6" t="str">
        <f aca="false">INDEX(D150EnglishNames,T11)</f>
        <v>smarā</v>
      </c>
      <c r="V11" s="6" t="str">
        <f aca="false">INDEX(ShayanaadiAvastha,J11)</f>
        <v>Gamana</v>
      </c>
      <c r="W11" s="6" t="n">
        <f aca="false">MOD(MOD(($J11*$J11+W$5)+11,12)*INDEX(GrahaShayanadiGunanka,$AB11)+2,3)+1</f>
        <v>3</v>
      </c>
      <c r="X11" s="6" t="n">
        <f aca="false">MOD(MOD(($J11*$J11+X$5)+11,12)*INDEX(GrahaShayanadiGunanka,$AB11)+2,3)+1</f>
        <v>3</v>
      </c>
      <c r="Y11" s="6" t="n">
        <f aca="false">MOD(MOD(($J11*$J11+Y$5)+11,12)*INDEX(GrahaShayanadiGunanka,$AB11)+2,3)+1</f>
        <v>3</v>
      </c>
      <c r="Z11" s="6" t="n">
        <f aca="false">MOD(MOD(($J11*$J11+Z$5)+11,12)*INDEX(GrahaShayanadiGunanka,$AB11)+2,3)+1</f>
        <v>3</v>
      </c>
      <c r="AA11" s="6" t="n">
        <f aca="false">MOD(MOD(($J11*$J11+AA$5)+11,12)*INDEX(GrahaShayanadiGunanka,$AB11)+2,3)+1</f>
        <v>3</v>
      </c>
      <c r="AB11" s="6" t="n">
        <v>4</v>
      </c>
      <c r="AD11" s="6" t="s">
        <v>102</v>
      </c>
    </row>
    <row r="12" customFormat="false" ht="15" hidden="false" customHeight="false" outlineLevel="0" collapsed="false">
      <c r="A12" s="6" t="str">
        <f aca="false">TRIM(LEFT(JHora!A37,FIND(" ",JHora!A37)))</f>
        <v>Jupiter</v>
      </c>
      <c r="B12" s="22" t="str">
        <f aca="false">MID(JHora!A37,FIND("'",JHora!A37)-8,2)</f>
        <v> 3</v>
      </c>
      <c r="C12" s="22" t="str">
        <f aca="false">MID(JHora!A37,FIND("'",JHora!A37)-5,2)</f>
        <v>Sc</v>
      </c>
      <c r="D12" s="23" t="n">
        <f aca="false">MID(JHora!A37,FIND("'",JHora!A37)-2,2)+VALUE(MID(JHora!A37,FIND("'",JHora!A37)+2,5))/60</f>
        <v>11.8305</v>
      </c>
      <c r="E12" s="24" t="str">
        <f aca="false">INDEX(NakshatraTbl,INT(G12*0.075)+1,1)</f>
        <v>Vishakha</v>
      </c>
      <c r="F12" s="31" t="str">
        <f aca="false">CHOOSE(RANK(H12,H$8:H$15),"Ak","Amk","Bk","Mk","PiK","PuK","Gk","Dk")</f>
        <v>Gk</v>
      </c>
      <c r="G12" s="26" t="n">
        <f aca="false">VLOOKUP(C12,RasiDeg,2,0)+B12+D12/60</f>
        <v>213.197175</v>
      </c>
      <c r="H12" s="26" t="n">
        <f aca="false">B12+D12/60</f>
        <v>3.197175</v>
      </c>
      <c r="I12" s="27" t="str">
        <f aca="false">INDEX(NakshatraTbl,INT(G12*0.075)+1,3)</f>
        <v>Jupiter</v>
      </c>
      <c r="J12" s="28" t="n">
        <f aca="false">MOD(ROUNDUP(G12/13.3333333333,0)*5*ROUNDUP(MOD(G12,30)/3.33333,0)+ROUNDUP(Moon/13.333,0)+ROUNDUP(JanmaGhatika,0)+ROUNDUP(Lagna/30,0),12)</f>
        <v>1</v>
      </c>
      <c r="K12" s="17" t="n">
        <f aca="false">NOT(ISERROR(SEARCH("(R)",JHora!A37)))</f>
        <v>1</v>
      </c>
      <c r="L12" s="29" t="n">
        <f aca="false">ROUNDUP(IF((Moon-G12)&lt;0,-1*(180+(Moon-G12)),Moon-G12)/12,0)</f>
        <v>-2</v>
      </c>
      <c r="M12" s="30" t="str">
        <f aca="false">INDEX(Tithi,MOD(ABS(L12),8))</f>
        <v>Moon</v>
      </c>
      <c r="N12" s="6" t="str">
        <f aca="false">INDEX(D20Deities,ROUNDUP(H12/1.5,0)+MOD(ROUNDUP(G12/30,0)-1,2)*20,1)</f>
        <v>chinnaśīrṣā</v>
      </c>
      <c r="O12" s="6" t="str">
        <f aca="false">INDEX(D20Deities,ROUNDUP(H12/1.5,0)+MOD(ROUNDUP(G12/30,0)-1,2)*20,2)</f>
        <v>छिन्नशीर्षा</v>
      </c>
      <c r="P12" s="6" t="str">
        <f aca="false">INDEX(D27Deities,ROUNDUP(H12/30*27,0),1)</f>
        <v>vahni </v>
      </c>
      <c r="Q12" s="6" t="str">
        <f aca="false">INDEX(D27Deities,ROUNDUP(H12/30*27,0),2)</f>
        <v>वह्नि </v>
      </c>
      <c r="R12" s="6" t="str">
        <f aca="false">INT(H12/900*360)&amp;" s"&amp;" "&amp;TEXT(MOD(H12/30*360,30)/24,"[HH]:MM:ss")</f>
        <v>1 s 08:21:58</v>
      </c>
      <c r="S12" s="6" t="n">
        <f aca="false">MATCH(H12,D150InequalDegrees)</f>
        <v>16</v>
      </c>
      <c r="T12" s="6" t="n">
        <f aca="false">CHOOSE(ROUNDUP(MOD(G12/30,3),0),S12,150-S12+1,MOD(74+S12,150)+1)</f>
        <v>135</v>
      </c>
      <c r="U12" s="6" t="str">
        <f aca="false">INDEX(D150EnglishNames,T12)</f>
        <v>kadalī</v>
      </c>
      <c r="V12" s="6" t="str">
        <f aca="false">INDEX(ShayanaadiAvastha,J12)</f>
        <v>Sayana</v>
      </c>
      <c r="W12" s="6" t="n">
        <f aca="false">MOD(MOD(($J12*$J12+W$5)+11,12)*INDEX(GrahaShayanadiGunanka,$AB12)+2,3)+1</f>
        <v>2</v>
      </c>
      <c r="X12" s="6" t="n">
        <f aca="false">MOD(MOD(($J12*$J12+X$5)+11,12)*INDEX(GrahaShayanadiGunanka,$AB12)+2,3)+1</f>
        <v>1</v>
      </c>
      <c r="Y12" s="6" t="n">
        <f aca="false">MOD(MOD(($J12*$J12+Y$5)+11,12)*INDEX(GrahaShayanadiGunanka,$AB12)+2,3)+1</f>
        <v>3</v>
      </c>
      <c r="Z12" s="6" t="n">
        <f aca="false">MOD(MOD(($J12*$J12+Z$5)+11,12)*INDEX(GrahaShayanadiGunanka,$AB12)+2,3)+1</f>
        <v>2</v>
      </c>
      <c r="AA12" s="6" t="n">
        <f aca="false">MOD(MOD(($J12*$J12+AA$5)+11,12)*INDEX(GrahaShayanadiGunanka,$AB12)+2,3)+1</f>
        <v>1</v>
      </c>
      <c r="AB12" s="6" t="n">
        <v>5</v>
      </c>
      <c r="AD12" s="6" t="s">
        <v>103</v>
      </c>
    </row>
    <row r="13" customFormat="false" ht="15" hidden="false" customHeight="false" outlineLevel="0" collapsed="false">
      <c r="A13" s="6" t="str">
        <f aca="false">TRIM(LEFT(JHora!A38,FIND(" ",JHora!A38)))</f>
        <v>Venus</v>
      </c>
      <c r="B13" s="22" t="str">
        <f aca="false">MID(JHora!A38,FIND("'",JHora!A38)-8,2)</f>
        <v>21</v>
      </c>
      <c r="C13" s="22" t="str">
        <f aca="false">MID(JHora!A38,FIND("'",JHora!A38)-5,2)</f>
        <v>Ge</v>
      </c>
      <c r="D13" s="23" t="n">
        <f aca="false">MID(JHora!A38,FIND("'",JHora!A38)-2,2)+VALUE(MID(JHora!A38,FIND("'",JHora!A38)+2,5))/60</f>
        <v>32.4361666666667</v>
      </c>
      <c r="E13" s="24" t="str">
        <f aca="false">INDEX(NakshatraTbl,INT(G13*0.075)+1,1)</f>
        <v>Punarvasu</v>
      </c>
      <c r="F13" s="31" t="str">
        <f aca="false">CHOOSE(RANK(H13,H$8:H$15),"Ak","Amk","Bk","Mk","PiK","PuK","Gk","Dk")</f>
        <v>Mk</v>
      </c>
      <c r="G13" s="26" t="n">
        <f aca="false">VLOOKUP(C13,RasiDeg,2,0)+B13+D13/60</f>
        <v>81.5406027777778</v>
      </c>
      <c r="H13" s="26" t="n">
        <f aca="false">B13+D13/60</f>
        <v>21.5406027777778</v>
      </c>
      <c r="I13" s="27" t="str">
        <f aca="false">INDEX(NakshatraTbl,INT(G13*0.075)+1,3)</f>
        <v>Jupiter</v>
      </c>
      <c r="J13" s="28" t="n">
        <f aca="false">MOD(ROUNDUP(G13/13.3333333333,0)*6*ROUNDUP(MOD(G13,30)/3.33333,0)+ROUNDUP(Moon/13.333,0)+ROUNDUP(JanmaGhatika,0)+ROUNDUP(Lagna/30,0)+11,12)+1</f>
        <v>11</v>
      </c>
      <c r="K13" s="17" t="n">
        <f aca="false">NOT(ISERROR(SEARCH("(R)",JHora!A38)))</f>
        <v>0</v>
      </c>
      <c r="L13" s="29" t="n">
        <f aca="false">ROUNDUP(IF((Moon-G13)&lt;0,-1*(180+(Moon-G13)),Moon-G13)/12,0)</f>
        <v>-13</v>
      </c>
      <c r="M13" s="30" t="str">
        <f aca="false">INDEX(Tithi,MOD(ABS(L13),8))</f>
        <v>Jupiter</v>
      </c>
      <c r="N13" s="6" t="str">
        <f aca="false">INDEX(D20Deities,ROUNDUP(H13/1.5,0)+MOD(ROUNDUP(G13/30,0)-1,2)*20,1)</f>
        <v>raudrī</v>
      </c>
      <c r="O13" s="6" t="str">
        <f aca="false">INDEX(D20Deities,ROUNDUP(H13/1.5,0)+MOD(ROUNDUP(G13/30,0)-1,2)*20,2)</f>
        <v>रौद्री</v>
      </c>
      <c r="P13" s="6" t="str">
        <f aca="false">INDEX(D27Deities,ROUNDUP(H13/30*27,0),1)</f>
        <v>udaka </v>
      </c>
      <c r="Q13" s="6" t="str">
        <f aca="false">INDEX(D27Deities,ROUNDUP(H13/30*27,0),2)</f>
        <v>उदक </v>
      </c>
      <c r="R13" s="6" t="str">
        <f aca="false">INT(H13/900*360)&amp;" s"&amp;" "&amp;TEXT(MOD(H13/30*360,30)/24,"[HH]:MM:ss")</f>
        <v>8 s 18:29:14</v>
      </c>
      <c r="S13" s="6" t="n">
        <f aca="false">MATCH(H13,D150InequalDegrees)</f>
        <v>110</v>
      </c>
      <c r="T13" s="6" t="n">
        <f aca="false">CHOOSE(ROUNDUP(MOD(G13/30,3),0),S13,150-S13+1,MOD(74+S13,150)+1)</f>
        <v>35</v>
      </c>
      <c r="U13" s="6" t="str">
        <f aca="false">INDEX(D150EnglishNames,T13)</f>
        <v>kṣamā</v>
      </c>
      <c r="V13" s="6" t="str">
        <f aca="false">INDEX(ShayanaadiAvastha,J13)</f>
        <v>Kautuka</v>
      </c>
      <c r="W13" s="6" t="n">
        <f aca="false">MOD(MOD(($J13*$J13+W$5)+11,12)*INDEX(GrahaShayanadiGunanka,$AB13)+2,3)+1</f>
        <v>3</v>
      </c>
      <c r="X13" s="6" t="n">
        <f aca="false">MOD(MOD(($J13*$J13+X$5)+11,12)*INDEX(GrahaShayanadiGunanka,$AB13)+2,3)+1</f>
        <v>3</v>
      </c>
      <c r="Y13" s="6" t="n">
        <f aca="false">MOD(MOD(($J13*$J13+Y$5)+11,12)*INDEX(GrahaShayanadiGunanka,$AB13)+2,3)+1</f>
        <v>3</v>
      </c>
      <c r="Z13" s="6" t="n">
        <f aca="false">MOD(MOD(($J13*$J13+Z$5)+11,12)*INDEX(GrahaShayanadiGunanka,$AB13)+2,3)+1</f>
        <v>3</v>
      </c>
      <c r="AA13" s="6" t="n">
        <f aca="false">MOD(MOD(($J13*$J13+AA$5)+11,12)*INDEX(GrahaShayanadiGunanka,$AB13)+2,3)+1</f>
        <v>3</v>
      </c>
      <c r="AB13" s="6" t="n">
        <v>6</v>
      </c>
      <c r="AD13" s="6" t="s">
        <v>104</v>
      </c>
    </row>
    <row r="14" customFormat="false" ht="15" hidden="false" customHeight="false" outlineLevel="0" collapsed="false">
      <c r="A14" s="6" t="str">
        <f aca="false">TRIM(LEFT(JHora!A39,FIND(" ",JHora!A39)))</f>
        <v>Saturn</v>
      </c>
      <c r="B14" s="22" t="str">
        <f aca="false">MID(JHora!A39,FIND("'",JHora!A39)-8,2)</f>
        <v> 9</v>
      </c>
      <c r="C14" s="22" t="str">
        <f aca="false">MID(JHora!A39,FIND("'",JHora!A39)-5,2)</f>
        <v>Ta</v>
      </c>
      <c r="D14" s="23" t="n">
        <f aca="false">MID(JHora!A39,FIND("'",JHora!A39)-2,2)+VALUE(MID(JHora!A39,FIND("'",JHora!A39)+2,5))/60</f>
        <v>53.1126666666667</v>
      </c>
      <c r="E14" s="24" t="str">
        <f aca="false">INDEX(NakshatraTbl,INT(G14*0.075)+1,1)</f>
        <v>Kritika</v>
      </c>
      <c r="F14" s="31" t="str">
        <f aca="false">CHOOSE(RANK(H14,H$8:H$15),"Ak","Amk","Bk","Mk","PiK","PuK","Gk","Dk")</f>
        <v>PiK</v>
      </c>
      <c r="G14" s="26" t="n">
        <f aca="false">VLOOKUP(C14,RasiDeg,2,0)+B14+D14/60</f>
        <v>39.8852111111111</v>
      </c>
      <c r="H14" s="26" t="n">
        <f aca="false">B14+D14/60</f>
        <v>9.88521111111111</v>
      </c>
      <c r="I14" s="27" t="str">
        <f aca="false">INDEX(NakshatraTbl,INT(G14*0.075)+1,3)</f>
        <v>Sun</v>
      </c>
      <c r="J14" s="28" t="n">
        <f aca="false">MOD(ROUNDUP(G14/13.3333333333,0)*7*ROUNDUP(MOD(G14,30)/3.33333,0)+ROUNDUP(Moon/13.333,0)+ROUNDUP(JanmaGhatika,0)+ROUNDUP(Lagna/30,0)+11,12)+1</f>
        <v>8</v>
      </c>
      <c r="K14" s="17" t="n">
        <f aca="false">NOT(ISERROR(SEARCH("(R)",JHora!A39)))</f>
        <v>0</v>
      </c>
      <c r="L14" s="29" t="n">
        <f aca="false">ROUNDUP(IF((Moon-G14)&lt;0,-1*(180+(Moon-G14)),Moon-G14)/12,0)</f>
        <v>2</v>
      </c>
      <c r="M14" s="30" t="str">
        <f aca="false">INDEX(Tithi,MOD(ABS(L14),8))</f>
        <v>Moon</v>
      </c>
      <c r="N14" s="6" t="str">
        <f aca="false">INDEX(D20Deities,ROUNDUP(H14/1.5,0)+MOD(ROUNDUP(G14/30,0)-1,2)*20,1)</f>
        <v>bālā</v>
      </c>
      <c r="O14" s="6" t="str">
        <f aca="false">INDEX(D20Deities,ROUNDUP(H14/1.5,0)+MOD(ROUNDUP(G14/30,0)-1,2)*20,2)</f>
        <v>बाला</v>
      </c>
      <c r="P14" s="6" t="str">
        <f aca="false">INDEX(D27Deities,ROUNDUP(H14/30*27,0),1)</f>
        <v>ahi </v>
      </c>
      <c r="Q14" s="6" t="str">
        <f aca="false">INDEX(D27Deities,ROUNDUP(H14/30*27,0),2)</f>
        <v>अहि </v>
      </c>
      <c r="R14" s="6" t="str">
        <f aca="false">INT(H14/900*360)&amp;" s"&amp;" "&amp;TEXT(MOD(H14/30*360,30)/24,"[HH]:MM:ss")</f>
        <v>3 s 28:37:21</v>
      </c>
      <c r="S14" s="6" t="n">
        <f aca="false">MATCH(H14,D150InequalDegrees)</f>
        <v>51</v>
      </c>
      <c r="T14" s="6" t="n">
        <f aca="false">CHOOSE(ROUNDUP(MOD(G14/30,3),0),S14,150-S14+1,MOD(74+S14,150)+1)</f>
        <v>100</v>
      </c>
      <c r="U14" s="6" t="str">
        <f aca="false">INDEX(D150EnglishNames,T14)</f>
        <v>sārā</v>
      </c>
      <c r="V14" s="6" t="str">
        <f aca="false">INDEX(ShayanaadiAvastha,J14)</f>
        <v>Aagama</v>
      </c>
      <c r="W14" s="6" t="n">
        <f aca="false">MOD(MOD(($J14*$J14+W$5)+11,12)*INDEX(GrahaShayanadiGunanka,$AB14)+2,3)+1</f>
        <v>3</v>
      </c>
      <c r="X14" s="6" t="n">
        <f aca="false">MOD(MOD(($J14*$J14+X$5)+11,12)*INDEX(GrahaShayanadiGunanka,$AB14)+2,3)+1</f>
        <v>3</v>
      </c>
      <c r="Y14" s="6" t="n">
        <f aca="false">MOD(MOD(($J14*$J14+Y$5)+11,12)*INDEX(GrahaShayanadiGunanka,$AB14)+2,3)+1</f>
        <v>3</v>
      </c>
      <c r="Z14" s="6" t="n">
        <f aca="false">MOD(MOD(($J14*$J14+Z$5)+11,12)*INDEX(GrahaShayanadiGunanka,$AB14)+2,3)+1</f>
        <v>3</v>
      </c>
      <c r="AA14" s="6" t="n">
        <f aca="false">MOD(MOD(($J14*$J14+AA$5)+11,12)*INDEX(GrahaShayanadiGunanka,$AB14)+2,3)+1</f>
        <v>3</v>
      </c>
      <c r="AB14" s="6" t="n">
        <v>7</v>
      </c>
      <c r="AC14" s="6" t="n">
        <v>3</v>
      </c>
      <c r="AD14" s="6" t="s">
        <v>105</v>
      </c>
    </row>
    <row r="15" customFormat="false" ht="15" hidden="false" customHeight="false" outlineLevel="0" collapsed="false">
      <c r="A15" s="6" t="str">
        <f aca="false">TRIM(LEFT(JHora!A40,FIND(" ",JHora!A40)))</f>
        <v>Rahu</v>
      </c>
      <c r="B15" s="22" t="str">
        <f aca="false">MID(JHora!A40,FIND("'",JHora!A40)-8,2)</f>
        <v>21</v>
      </c>
      <c r="C15" s="22" t="str">
        <f aca="false">MID(JHora!A40,FIND("'",JHora!A40)-5,2)</f>
        <v>Cp</v>
      </c>
      <c r="D15" s="23" t="n">
        <f aca="false">MID(JHora!A40,FIND("'",JHora!A40)-2,2)+VALUE(MID(JHora!A40,FIND("'",JHora!A40)+2,5))/60</f>
        <v>58.0343333333333</v>
      </c>
      <c r="E15" s="24" t="str">
        <f aca="false">INDEX(NakshatraTbl,INT(G15*0.075)+1,1)</f>
        <v>Abhijit</v>
      </c>
      <c r="F15" s="31" t="str">
        <f aca="false">CHOOSE(RANK(H15,H$8:H$15),"Ak","Amk","Bk","Mk","PiK","PuK","Gk","Dk")</f>
        <v>PuK</v>
      </c>
      <c r="G15" s="26" t="n">
        <f aca="false">VLOOKUP(C15,RasiDeg,2,0)+B15+D15/60</f>
        <v>291.967238888889</v>
      </c>
      <c r="H15" s="26" t="n">
        <f aca="false">30-(B15+D15/60)</f>
        <v>8.03276111111111</v>
      </c>
      <c r="I15" s="27" t="str">
        <f aca="false">INDEX(NakshatraTbl,INT(G15*0.075)+1,3)</f>
        <v>Sun</v>
      </c>
      <c r="J15" s="28" t="n">
        <f aca="false">MOD(ROUNDUP(G15/13.3333333333,0)*8*ROUNDUP(MOD(G15,30)/3.33333,0)+ROUNDUP(Moon/13.333,0)+ROUNDUP(JanmaGhatika,0)+ROUNDUP(Lagna/30,0)+11,12)+1</f>
        <v>1</v>
      </c>
      <c r="K15" s="17" t="n">
        <f aca="false">NOT(ISERROR(SEARCH("(R)",JHora!A40)))</f>
        <v>0</v>
      </c>
      <c r="N15" s="6" t="str">
        <f aca="false">INDEX(D20Deities,ROUNDUP(H15/1.5,0)+MOD(ROUNDUP(G15/30,0)-1,2)*20,1)</f>
        <v>mātaṅgī</v>
      </c>
      <c r="O15" s="6" t="str">
        <f aca="false">INDEX(D20Deities,ROUNDUP(H15/1.5,0)+MOD(ROUNDUP(G15/30,0)-1,2)*20,2)</f>
        <v>मातङ्गी</v>
      </c>
      <c r="P15" s="6" t="str">
        <f aca="false">INDEX(D27Deities,ROUNDUP(H15/30*27,0),1)</f>
        <v>jīva </v>
      </c>
      <c r="Q15" s="6" t="str">
        <f aca="false">INDEX(D27Deities,ROUNDUP(H15/30*27,0),2)</f>
        <v>जीव </v>
      </c>
      <c r="R15" s="6" t="str">
        <f aca="false">INT(H15/900*360)&amp;" s"&amp;" "&amp;TEXT(MOD(H15/30*360,30)/24,"[HH]:MM:ss")</f>
        <v>3 s 06:23:35</v>
      </c>
      <c r="S15" s="6" t="n">
        <f aca="false">MATCH(H15,D150InequalDegrees)</f>
        <v>40</v>
      </c>
      <c r="T15" s="6" t="n">
        <f aca="false">CHOOSE(ROUNDUP(MOD(G15/30,3),0),S15,150-S15+1,MOD(74+S15,150)+1)</f>
        <v>40</v>
      </c>
      <c r="U15" s="6" t="str">
        <f aca="false">INDEX(D150EnglishNames,T15)</f>
        <v>vikaṭā</v>
      </c>
      <c r="V15" s="6" t="str">
        <f aca="false">INDEX(ShayanaadiAvastha,J15)</f>
        <v>Sayana</v>
      </c>
      <c r="W15" s="6" t="n">
        <f aca="false">MOD(MOD(($J15*$J15+W$5)+11,12)*INDEX(GrahaShayanadiGunanka,$AB15)+2,3)+1</f>
        <v>1</v>
      </c>
      <c r="X15" s="6" t="n">
        <f aca="false">MOD(MOD(($J15*$J15+X$5)+11,12)*INDEX(GrahaShayanadiGunanka,$AB15)+2,3)+1</f>
        <v>2</v>
      </c>
      <c r="Y15" s="6" t="n">
        <f aca="false">MOD(MOD(($J15*$J15+Y$5)+11,12)*INDEX(GrahaShayanadiGunanka,$AB15)+2,3)+1</f>
        <v>3</v>
      </c>
      <c r="Z15" s="6" t="n">
        <f aca="false">MOD(MOD(($J15*$J15+Z$5)+11,12)*INDEX(GrahaShayanadiGunanka,$AB15)+2,3)+1</f>
        <v>1</v>
      </c>
      <c r="AA15" s="6" t="n">
        <f aca="false">MOD(MOD(($J15*$J15+AA$5)+11,12)*INDEX(GrahaShayanadiGunanka,$AB15)+2,3)+1</f>
        <v>2</v>
      </c>
      <c r="AB15" s="6" t="n">
        <v>8</v>
      </c>
      <c r="AD15" s="6" t="s">
        <v>106</v>
      </c>
    </row>
    <row r="16" customFormat="false" ht="15" hidden="false" customHeight="false" outlineLevel="0" collapsed="false">
      <c r="A16" s="6" t="str">
        <f aca="false">TRIM(LEFT(JHora!A41,FIND(" ",JHora!A41)))</f>
        <v>Ketu</v>
      </c>
      <c r="B16" s="22" t="str">
        <f aca="false">MID(JHora!A41,FIND("'",JHora!A41)-8,2)</f>
        <v>21</v>
      </c>
      <c r="C16" s="22" t="str">
        <f aca="false">MID(JHora!A41,FIND("'",JHora!A41)-5,2)</f>
        <v>Cn</v>
      </c>
      <c r="D16" s="23" t="n">
        <f aca="false">MID(JHora!A41,FIND("'",JHora!A41)-2,2)+VALUE(MID(JHora!A41,FIND("'",JHora!A41)+2,5))/60</f>
        <v>58.0343333333333</v>
      </c>
      <c r="E16" s="24" t="str">
        <f aca="false">INDEX(NakshatraTbl,INT(G16*0.075)+1,1)</f>
        <v>Ashlesha</v>
      </c>
      <c r="F16" s="25" t="s">
        <v>98</v>
      </c>
      <c r="G16" s="26" t="n">
        <f aca="false">VLOOKUP(C16,RasiDeg,2,0)+B16+D16/60</f>
        <v>111.967238888889</v>
      </c>
      <c r="H16" s="26" t="n">
        <f aca="false">B16+D16/60</f>
        <v>21.9672388888889</v>
      </c>
      <c r="I16" s="27" t="str">
        <f aca="false">INDEX(NakshatraTbl,INT(G16*0.075)+1,3)</f>
        <v>Merc</v>
      </c>
      <c r="J16" s="28" t="n">
        <f aca="false">MOD(ROUNDUP(G16/13.3333333333,0)*9*ROUNDUP(MOD(G16,30)/3.33333,0)+ROUNDUP(Moon/13.333,0)+ROUNDUP(JanmaGhatika,0)+ROUNDUP(Lagna/30,0)+11,12)+1</f>
        <v>8</v>
      </c>
      <c r="K16" s="17" t="n">
        <f aca="false">NOT(ISERROR(SEARCH("(R)",JHora!A41)))</f>
        <v>0</v>
      </c>
      <c r="N16" s="6" t="str">
        <f aca="false">INDEX(D20Deities,ROUNDUP(H16/1.5,0)+MOD(ROUNDUP(G16/30,0)-1,2)*20,1)</f>
        <v>vaiṣṇavī</v>
      </c>
      <c r="O16" s="6" t="str">
        <f aca="false">INDEX(D20Deities,ROUNDUP(H16/1.5,0)+MOD(ROUNDUP(G16/30,0)-1,2)*20,2)</f>
        <v>वैष्णवी</v>
      </c>
      <c r="P16" s="6" t="str">
        <f aca="false">INDEX(D27Deities,ROUNDUP(H16/30*27,0),1)</f>
        <v>udaka </v>
      </c>
      <c r="Q16" s="6" t="str">
        <f aca="false">INDEX(D27Deities,ROUNDUP(H16/30*27,0),2)</f>
        <v>उदक </v>
      </c>
      <c r="R16" s="6" t="str">
        <f aca="false">INT(H16/900*360)&amp;" s"&amp;" "&amp;TEXT(MOD(H16/30*360,30)/24,"[HH]:MM:ss")</f>
        <v>8 s 23:36:25</v>
      </c>
      <c r="S16" s="6" t="n">
        <f aca="false">MATCH(H16,D150InequalDegrees)</f>
        <v>111</v>
      </c>
      <c r="T16" s="6" t="n">
        <f aca="false">CHOOSE(ROUNDUP(MOD(G16/30,3),0),S16,150-S16+1,MOD(74+S16,150)+1)</f>
        <v>111</v>
      </c>
      <c r="U16" s="6" t="str">
        <f aca="false">INDEX(D150EnglishNames,T16)</f>
        <v>brahmiḥ</v>
      </c>
      <c r="V16" s="6" t="str">
        <f aca="false">INDEX(ShayanaadiAvastha,J16)</f>
        <v>Aagama</v>
      </c>
      <c r="W16" s="6" t="n">
        <f aca="false">MOD(MOD(($J16*$J16+W$5)+11,12)*INDEX(GrahaShayanadiGunanka,$AB16)+2,3)+1</f>
        <v>1</v>
      </c>
      <c r="X16" s="6" t="n">
        <f aca="false">MOD(MOD(($J16*$J16+X$5)+11,12)*INDEX(GrahaShayanadiGunanka,$AB16)+2,3)+1</f>
        <v>2</v>
      </c>
      <c r="Y16" s="6" t="n">
        <f aca="false">MOD(MOD(($J16*$J16+Y$5)+11,12)*INDEX(GrahaShayanadiGunanka,$AB16)+2,3)+1</f>
        <v>3</v>
      </c>
      <c r="Z16" s="6" t="n">
        <f aca="false">MOD(MOD(($J16*$J16+Z$5)+11,12)*INDEX(GrahaShayanadiGunanka,$AB16)+2,3)+1</f>
        <v>1</v>
      </c>
      <c r="AA16" s="6" t="n">
        <f aca="false">MOD(MOD(($J16*$J16+AA$5)+11,12)*INDEX(GrahaShayanadiGunanka,$AB16)+2,3)+1</f>
        <v>2</v>
      </c>
      <c r="AB16" s="6" t="n">
        <v>9</v>
      </c>
      <c r="AD16" s="6" t="s">
        <v>107</v>
      </c>
    </row>
    <row r="17" customFormat="false" ht="12.75" hidden="false" customHeight="true" outlineLevel="0" collapsed="false">
      <c r="A17" s="6" t="str">
        <f aca="false">TRIM(LEFT(JHora!A42,FIND(" ",JHora!A42)))</f>
        <v>Maandi</v>
      </c>
      <c r="B17" s="22" t="str">
        <f aca="false">MID(JHora!A42,FIND("'",JHora!A42)-8,2)</f>
        <v> 8</v>
      </c>
      <c r="C17" s="22" t="str">
        <f aca="false">MID(JHora!A42,FIND("'",JHora!A42)-5,2)</f>
        <v>Sc</v>
      </c>
      <c r="D17" s="23" t="n">
        <f aca="false">MID(JHora!A42,FIND("'",JHora!A42)-2,2)+VALUE(MID(JHora!A42,FIND("'",JHora!A42)+2,5))/60</f>
        <v>13.9301666666667</v>
      </c>
      <c r="E17" s="24" t="str">
        <f aca="false">INDEX(NakshatraTbl,INT(G17*0.075)+1,1)</f>
        <v>Anuradha</v>
      </c>
      <c r="F17" s="25" t="s">
        <v>98</v>
      </c>
      <c r="G17" s="26" t="n">
        <f aca="false">VLOOKUP(C17,RasiDeg,2,0)+B17+D17/60</f>
        <v>218.232169444444</v>
      </c>
      <c r="H17" s="26" t="n">
        <f aca="false">B17+D17/60</f>
        <v>8.23216944444445</v>
      </c>
      <c r="I17" s="27" t="str">
        <f aca="false">INDEX(NakshatraTbl,INT(G17*0.075)+1,3)</f>
        <v>Sat</v>
      </c>
      <c r="J17" s="28"/>
      <c r="N17" s="6" t="str">
        <f aca="false">INDEX(D20Deities,ROUNDUP(H17/1.5,0)+MOD(ROUNDUP(G17/30,0)-1,2)*20,1)</f>
        <v>mātaṅgī</v>
      </c>
      <c r="O17" s="6" t="str">
        <f aca="false">INDEX(D20Deities,ROUNDUP(H17/1.5,0)+MOD(ROUNDUP(G17/30,0)-1,2)*20,2)</f>
        <v>मातङ्गी</v>
      </c>
      <c r="P17" s="6" t="str">
        <f aca="false">INDEX(D27Deities,ROUNDUP(H17/30*27,0),1)</f>
        <v>jīva </v>
      </c>
      <c r="Q17" s="6" t="str">
        <f aca="false">INDEX(D27Deities,ROUNDUP(H17/30*27,0),2)</f>
        <v>जीव </v>
      </c>
      <c r="R17" s="6" t="str">
        <f aca="false">INT(H17/900*360)&amp;" s"&amp;" "&amp;TEXT(MOD(H17/30*360,30)/24,"[HH]:MM:ss")</f>
        <v>3 s 08:47:10</v>
      </c>
      <c r="S17" s="6" t="n">
        <f aca="false">MATCH(H17,D150InequalDegrees)</f>
        <v>40</v>
      </c>
      <c r="T17" s="6" t="n">
        <f aca="false">CHOOSE(ROUNDUP(MOD(G17/30,3),0),S17,150-S17+1,MOD(74+S17,150)+1)</f>
        <v>111</v>
      </c>
      <c r="U17" s="6" t="str">
        <f aca="false">INDEX(D150EnglishNames,T17)</f>
        <v>brahmiḥ</v>
      </c>
    </row>
    <row r="18" customFormat="false" ht="15" hidden="false" customHeight="false" outlineLevel="0" collapsed="false">
      <c r="A18" s="6" t="str">
        <f aca="false">TRIM(LEFT(JHora!A43,FIND(" ",JHora!A43)))</f>
        <v>Gulika</v>
      </c>
      <c r="B18" s="22" t="str">
        <f aca="false">MID(JHora!A43,FIND("'",JHora!A43)-8,2)</f>
        <v>19</v>
      </c>
      <c r="C18" s="22" t="str">
        <f aca="false">MID(JHora!A43,FIND("'",JHora!A43)-5,2)</f>
        <v>Sc</v>
      </c>
      <c r="D18" s="23" t="n">
        <f aca="false">MID(JHora!A43,FIND("'",JHora!A43)-2,2)+VALUE(MID(JHora!A43,FIND("'",JHora!A43)+2,5))/60</f>
        <v>6.24616666666667</v>
      </c>
      <c r="E18" s="24" t="str">
        <f aca="false">INDEX(NakshatraTbl,INT(G18*0.075)+1,1)</f>
        <v>Jyeshtha</v>
      </c>
      <c r="F18" s="25" t="s">
        <v>98</v>
      </c>
      <c r="G18" s="26" t="n">
        <f aca="false">VLOOKUP(C18,RasiDeg,2,0)+B18+D18/60</f>
        <v>229.104102777778</v>
      </c>
      <c r="H18" s="26" t="n">
        <f aca="false">B18+D18/60</f>
        <v>19.1041027777778</v>
      </c>
      <c r="I18" s="27" t="str">
        <f aca="false">INDEX(NakshatraTbl,INT(G18*0.075)+1,3)</f>
        <v>Merc</v>
      </c>
      <c r="J18" s="28"/>
      <c r="N18" s="6" t="str">
        <f aca="false">INDEX(D20Deities,ROUNDUP(H18/1.5,0)+MOD(ROUNDUP(G18/30,0)-1,2)*20,1)</f>
        <v>ghorā</v>
      </c>
      <c r="O18" s="6" t="str">
        <f aca="false">INDEX(D20Deities,ROUNDUP(H18/1.5,0)+MOD(ROUNDUP(G18/30,0)-1,2)*20,2)</f>
        <v>घोरा</v>
      </c>
      <c r="P18" s="6" t="str">
        <f aca="false">INDEX(D27Deities,ROUNDUP(H18/30*27,0),1)</f>
        <v>vāsava </v>
      </c>
      <c r="Q18" s="6" t="str">
        <f aca="false">INDEX(D27Deities,ROUNDUP(H18/30*27,0),2)</f>
        <v>वासव </v>
      </c>
      <c r="R18" s="6" t="str">
        <f aca="false">INT(H18/900*360)&amp;" s"&amp;" "&amp;TEXT(MOD(H18/30*360,30)/24,"[HH]:MM:ss")</f>
        <v>7 s 19:14:57</v>
      </c>
      <c r="S18" s="6" t="n">
        <f aca="false">MATCH(H18,D150InequalDegrees)</f>
        <v>97</v>
      </c>
      <c r="T18" s="6" t="n">
        <f aca="false">CHOOSE(ROUNDUP(MOD(G18/30,3),0),S18,150-S18+1,MOD(74+S18,150)+1)</f>
        <v>54</v>
      </c>
      <c r="U18" s="6" t="str">
        <f aca="false">INDEX(D150EnglishNames,T18)</f>
        <v>viṣākhyā</v>
      </c>
    </row>
    <row r="19" customFormat="false" ht="15" hidden="false" customHeight="false" outlineLevel="0" collapsed="false">
      <c r="A19" s="6" t="str">
        <f aca="false">TRIM(LEFT(JHora!A44,FIND(" ",JHora!A44)))</f>
        <v>Bhava</v>
      </c>
      <c r="B19" s="22" t="str">
        <f aca="false">MID(JHora!A44,FIND("'",JHora!A44)-8,2)</f>
        <v>19</v>
      </c>
      <c r="C19" s="22" t="str">
        <f aca="false">MID(JHora!A44,FIND("'",JHora!A44)-5,2)</f>
        <v>Le</v>
      </c>
      <c r="D19" s="23" t="n">
        <f aca="false">MID(JHora!A44,FIND("'",JHora!A44)-2,2)+VALUE(MID(JHora!A44,FIND("'",JHora!A44)+2,5))/60</f>
        <v>52.1816666666667</v>
      </c>
      <c r="E19" s="24" t="str">
        <f aca="false">INDEX(NakshatraTbl,INT(G19*0.075)+1,1)</f>
        <v>Purva Phalguni</v>
      </c>
      <c r="F19" s="25" t="s">
        <v>98</v>
      </c>
      <c r="G19" s="26" t="n">
        <f aca="false">VLOOKUP(C19,RasiDeg,2,0)+B19+D19/60</f>
        <v>139.869694444444</v>
      </c>
      <c r="H19" s="26" t="n">
        <f aca="false">B19+D19/60</f>
        <v>19.8696944444444</v>
      </c>
      <c r="I19" s="27" t="str">
        <f aca="false">INDEX(NakshatraTbl,INT(G19*0.075)+1,3)</f>
        <v>Venus</v>
      </c>
      <c r="J19" s="28"/>
      <c r="N19" s="6" t="str">
        <f aca="false">INDEX(D20Deities,ROUNDUP(H19/1.5,0)+MOD(ROUNDUP(G19/30,0)-1,2)*20,1)</f>
        <v>śacī</v>
      </c>
      <c r="O19" s="6" t="str">
        <f aca="false">INDEX(D20Deities,ROUNDUP(H19/1.5,0)+MOD(ROUNDUP(G19/30,0)-1,2)*20,2)</f>
        <v>शची</v>
      </c>
      <c r="P19" s="6" t="str">
        <f aca="false">INDEX(D27Deities,ROUNDUP(H19/30*27,0),1)</f>
        <v>vāsava </v>
      </c>
      <c r="Q19" s="6" t="str">
        <f aca="false">INDEX(D27Deities,ROUNDUP(H19/30*27,0),2)</f>
        <v>वासव </v>
      </c>
      <c r="R19" s="6" t="str">
        <f aca="false">INT(H19/900*360)&amp;" s"&amp;" "&amp;TEXT(MOD(H19/30*360,30)/24,"[HH]:MM:ss")</f>
        <v>7 s 28:26:11</v>
      </c>
      <c r="S19" s="6" t="n">
        <f aca="false">MATCH(H19,D150InequalDegrees)</f>
        <v>99</v>
      </c>
      <c r="T19" s="6" t="n">
        <f aca="false">CHOOSE(ROUNDUP(MOD(G19/30,3),0),S19,150-S19+1,MOD(74+S19,150)+1)</f>
        <v>52</v>
      </c>
      <c r="U19" s="6" t="str">
        <f aca="false">INDEX(D150EnglishNames,T19)</f>
        <v>kundinī</v>
      </c>
    </row>
    <row r="20" customFormat="false" ht="15" hidden="false" customHeight="false" outlineLevel="0" collapsed="false">
      <c r="A20" s="6" t="str">
        <f aca="false">TRIM(LEFT(JHora!A45,FIND(" ",JHora!A45)))</f>
        <v>Hora</v>
      </c>
      <c r="B20" s="22" t="str">
        <f aca="false">MID(JHora!A45,FIND("'",JHora!A45)-8,2)</f>
        <v> 7</v>
      </c>
      <c r="C20" s="22" t="str">
        <f aca="false">MID(JHora!A45,FIND("'",JHora!A45)-5,2)</f>
        <v>Li</v>
      </c>
      <c r="D20" s="23" t="n">
        <f aca="false">MID(JHora!A45,FIND("'",JHora!A45)-2,2)+VALUE(MID(JHora!A45,FIND("'",JHora!A45)+2,5))/60</f>
        <v>20.4113333333333</v>
      </c>
      <c r="E20" s="24" t="str">
        <f aca="false">INDEX(NakshatraTbl,INT(G20*0.075)+1,1)</f>
        <v>Swati</v>
      </c>
      <c r="F20" s="25" t="s">
        <v>98</v>
      </c>
      <c r="G20" s="26" t="n">
        <f aca="false">VLOOKUP(C20,RasiDeg,2,0)+B20+D20/60</f>
        <v>187.340188888889</v>
      </c>
      <c r="H20" s="26" t="n">
        <f aca="false">B20+D20/60</f>
        <v>7.34018888888889</v>
      </c>
      <c r="I20" s="27" t="str">
        <f aca="false">INDEX(NakshatraTbl,INT(G20*0.075)+1,3)</f>
        <v>Rahu</v>
      </c>
      <c r="J20" s="28"/>
      <c r="M20" s="34"/>
      <c r="N20" s="6" t="str">
        <f aca="false">INDEX(D20Deities,ROUNDUP(H20/1.5,0)+MOD(ROUNDUP(G20/30,0)-1,2)*20,1)</f>
        <v>vijayā</v>
      </c>
      <c r="O20" s="6" t="str">
        <f aca="false">INDEX(D20Deities,ROUNDUP(H20/1.5,0)+MOD(ROUNDUP(G20/30,0)-1,2)*20,2)</f>
        <v>विजया</v>
      </c>
      <c r="P20" s="6" t="str">
        <f aca="false">INDEX(D27Deities,ROUNDUP(H20/30*27,0),1)</f>
        <v>aditi </v>
      </c>
      <c r="Q20" s="6" t="str">
        <f aca="false">INDEX(D27Deities,ROUNDUP(H20/30*27,0),2)</f>
        <v>अदिति </v>
      </c>
      <c r="R20" s="6" t="str">
        <f aca="false">INT(H20/900*360)&amp;" s"&amp;" "&amp;TEXT(MOD(H20/30*360,30)/24,"[HH]:MM:ss")</f>
        <v>2 s 28:04:56</v>
      </c>
      <c r="S20" s="6" t="n">
        <f aca="false">MATCH(H20,D150InequalDegrees)</f>
        <v>37</v>
      </c>
      <c r="T20" s="6" t="n">
        <f aca="false">CHOOSE(ROUNDUP(MOD(G20/30,3),0),S20,150-S20+1,MOD(74+S20,150)+1)</f>
        <v>37</v>
      </c>
      <c r="U20" s="6" t="str">
        <f aca="false">INDEX(D150EnglishNames,T20)</f>
        <v>durbhagā</v>
      </c>
    </row>
    <row r="21" customFormat="false" ht="15" hidden="false" customHeight="false" outlineLevel="0" collapsed="false">
      <c r="A21" s="6" t="str">
        <f aca="false">TRIM(LEFT(JHora!A46,FIND(" ",JHora!A46)))</f>
        <v>Ghati</v>
      </c>
      <c r="B21" s="22" t="str">
        <f aca="false">MID(JHora!A46,FIND("'",JHora!A46)-8,2)</f>
        <v>29</v>
      </c>
      <c r="C21" s="22" t="str">
        <f aca="false">MID(JHora!A46,FIND("'",JHora!A46)-5,2)</f>
        <v>Aq</v>
      </c>
      <c r="D21" s="23" t="n">
        <f aca="false">MID(JHora!A46,FIND("'",JHora!A46)-2,2)+VALUE(MID(JHora!A46,FIND("'",JHora!A46)+2,5))/60</f>
        <v>45.0998333333333</v>
      </c>
      <c r="E21" s="24" t="str">
        <f aca="false">INDEX(NakshatraTbl,INT(G21*0.075)+1,1)</f>
        <v>Satabishak</v>
      </c>
      <c r="F21" s="25" t="s">
        <v>98</v>
      </c>
      <c r="G21" s="26" t="n">
        <f aca="false">VLOOKUP(C21,RasiDeg,2,0)+B21+D21/60</f>
        <v>329.751663888889</v>
      </c>
      <c r="H21" s="26" t="n">
        <f aca="false">B21+D21/60</f>
        <v>29.7516638888889</v>
      </c>
      <c r="I21" s="27" t="str">
        <f aca="false">INDEX(NakshatraTbl,INT(G21*0.075)+1,3)</f>
        <v>Rahu</v>
      </c>
      <c r="J21" s="28"/>
      <c r="N21" s="6" t="str">
        <f aca="false">INDEX(D20Deities,ROUNDUP(H21/1.5,0)+MOD(ROUNDUP(G21/30,0)-1,2)*20,1)</f>
        <v>sumukhī</v>
      </c>
      <c r="O21" s="6" t="str">
        <f aca="false">INDEX(D20Deities,ROUNDUP(H21/1.5,0)+MOD(ROUNDUP(G21/30,0)-1,2)*20,2)</f>
        <v>सुमुखी</v>
      </c>
      <c r="P21" s="6" t="str">
        <f aca="false">INDEX(D27Deities,ROUNDUP(H21/30*27,0),1)</f>
        <v>pūṣā </v>
      </c>
      <c r="Q21" s="6" t="str">
        <f aca="false">INDEX(D27Deities,ROUNDUP(H21/30*27,0),2)</f>
        <v>पूषा </v>
      </c>
      <c r="R21" s="6" t="str">
        <f aca="false">INT(H21/900*360)&amp;" s"&amp;" "&amp;TEXT(MOD(H21/30*360,30)/24,"[HH]:MM:ss")</f>
        <v>11 s 27:01:12</v>
      </c>
      <c r="S21" s="6" t="n">
        <f aca="false">MATCH(H21,D150InequalDegrees)</f>
        <v>150</v>
      </c>
      <c r="T21" s="6" t="n">
        <f aca="false">CHOOSE(ROUNDUP(MOD(G21/30,3),0),S21,150-S21+1,MOD(74+S21,150)+1)</f>
        <v>1</v>
      </c>
      <c r="U21" s="6" t="str">
        <f aca="false">INDEX(D150EnglishNames,T21)</f>
        <v>vasudhā</v>
      </c>
    </row>
    <row r="22" customFormat="false" ht="15" hidden="false" customHeight="false" outlineLevel="0" collapsed="false">
      <c r="A22" s="6" t="str">
        <f aca="false">TRIM(LEFT(JHora!A47,FIND(" ",JHora!A47)))</f>
        <v>Vighati</v>
      </c>
      <c r="B22" s="22" t="str">
        <f aca="false">MID(JHora!A47,FIND("'",JHora!A47)-8,2)</f>
        <v>21</v>
      </c>
      <c r="C22" s="22" t="str">
        <f aca="false">MID(JHora!A47,FIND("'",JHora!A47)-5,2)</f>
        <v>Aq</v>
      </c>
      <c r="D22" s="23" t="n">
        <f aca="false">MID(JHora!A47,FIND("'",JHora!A47)-2,2)+VALUE(MID(JHora!A47,FIND("'",JHora!A47)+2,5))/60</f>
        <v>48.543</v>
      </c>
      <c r="E22" s="24" t="str">
        <f aca="false">INDEX(NakshatraTbl,INT(G22*0.075)+1,1)</f>
        <v>Satabishak</v>
      </c>
      <c r="F22" s="25" t="s">
        <v>98</v>
      </c>
      <c r="G22" s="26" t="n">
        <f aca="false">VLOOKUP(C22,RasiDeg,2,0)+B22+D22/60</f>
        <v>321.80905</v>
      </c>
      <c r="H22" s="26" t="n">
        <f aca="false">B22+D22/60</f>
        <v>21.80905</v>
      </c>
      <c r="I22" s="27" t="str">
        <f aca="false">INDEX(NakshatraTbl,INT(G22*0.075)+1,3)</f>
        <v>Rahu</v>
      </c>
      <c r="J22" s="28"/>
      <c r="N22" s="6" t="str">
        <f aca="false">INDEX(D20Deities,ROUNDUP(H22/1.5,0)+MOD(ROUNDUP(G22/30,0)-1,2)*20,1)</f>
        <v>raudrī</v>
      </c>
      <c r="O22" s="6" t="str">
        <f aca="false">INDEX(D20Deities,ROUNDUP(H22/1.5,0)+MOD(ROUNDUP(G22/30,0)-1,2)*20,2)</f>
        <v>रौद्री</v>
      </c>
      <c r="P22" s="6" t="str">
        <f aca="false">INDEX(D27Deities,ROUNDUP(H22/30*27,0),1)</f>
        <v>udaka </v>
      </c>
      <c r="Q22" s="6" t="str">
        <f aca="false">INDEX(D27Deities,ROUNDUP(H22/30*27,0),2)</f>
        <v>उदक </v>
      </c>
      <c r="R22" s="6" t="str">
        <f aca="false">INT(H22/900*360)&amp;" s"&amp;" "&amp;TEXT(MOD(H22/30*360,30)/24,"[HH]:MM:ss")</f>
        <v>8 s 21:42:31</v>
      </c>
      <c r="S22" s="6" t="n">
        <f aca="false">MATCH(H22,D150InequalDegrees)</f>
        <v>111</v>
      </c>
      <c r="T22" s="6" t="n">
        <f aca="false">CHOOSE(ROUNDUP(MOD(G22/30,3),0),S22,150-S22+1,MOD(74+S22,150)+1)</f>
        <v>40</v>
      </c>
      <c r="U22" s="6" t="str">
        <f aca="false">INDEX(D150EnglishNames,T22)</f>
        <v>vikaṭā</v>
      </c>
    </row>
    <row r="23" customFormat="false" ht="15" hidden="false" customHeight="false" outlineLevel="0" collapsed="false">
      <c r="A23" s="6" t="str">
        <f aca="false">TRIM(LEFT(JHora!A48,FIND(" ",JHora!A48)))</f>
        <v>Varnada</v>
      </c>
      <c r="B23" s="22" t="str">
        <f aca="false">MID(JHora!A48,FIND("'",JHora!A48)-8,2)</f>
        <v>16</v>
      </c>
      <c r="C23" s="22" t="str">
        <f aca="false">MID(JHora!A48,FIND("'",JHora!A48)-5,2)</f>
        <v>Pi</v>
      </c>
      <c r="D23" s="23" t="n">
        <f aca="false">MID(JHora!A48,FIND("'",JHora!A48)-2,2)+VALUE(MID(JHora!A48,FIND("'",JHora!A48)+2,5))/60</f>
        <v>42.691</v>
      </c>
      <c r="E23" s="24" t="str">
        <f aca="false">INDEX(NakshatraTbl,INT(G23*0.075)+1,1)</f>
        <v>Uttara Bhadrapad</v>
      </c>
      <c r="F23" s="25" t="s">
        <v>98</v>
      </c>
      <c r="G23" s="26" t="n">
        <f aca="false">VLOOKUP(C23,RasiDeg,2,0)+B23+D23/60</f>
        <v>346.711516666667</v>
      </c>
      <c r="H23" s="26" t="n">
        <f aca="false">B23+D23/60</f>
        <v>16.7115166666667</v>
      </c>
      <c r="I23" s="27" t="str">
        <f aca="false">INDEX(NakshatraTbl,INT(G23*0.075)+1,3)</f>
        <v>Sat</v>
      </c>
      <c r="J23" s="28"/>
      <c r="N23" s="6" t="str">
        <f aca="false">INDEX(D20Deities,ROUNDUP(H23/1.5,0)+MOD(ROUNDUP(G23/30,0)-1,2)*20,1)</f>
        <v>chucchukā</v>
      </c>
      <c r="O23" s="6" t="str">
        <f aca="false">INDEX(D20Deities,ROUNDUP(H23/1.5,0)+MOD(ROUNDUP(G23/30,0)-1,2)*20,2)</f>
        <v>छुच्छुका</v>
      </c>
      <c r="P23" s="6" t="str">
        <f aca="false">INDEX(D27Deities,ROUNDUP(H23/30*27,0),1)</f>
        <v>śakrāgni </v>
      </c>
      <c r="Q23" s="6" t="str">
        <f aca="false">INDEX(D27Deities,ROUNDUP(H23/30*27,0),2)</f>
        <v>शक्राग्नि </v>
      </c>
      <c r="R23" s="6" t="str">
        <f aca="false">INT(H23/900*360)&amp;" s"&amp;" "&amp;TEXT(MOD(H23/30*360,30)/24,"[HH]:MM:ss")</f>
        <v>6 s 20:32:18</v>
      </c>
      <c r="S23" s="6" t="n">
        <f aca="false">MATCH(H23,D150InequalDegrees)</f>
        <v>84</v>
      </c>
      <c r="T23" s="6" t="n">
        <f aca="false">CHOOSE(ROUNDUP(MOD(G23/30,3),0),S23,150-S23+1,MOD(74+S23,150)+1)</f>
        <v>9</v>
      </c>
      <c r="U23" s="6" t="str">
        <f aca="false">INDEX(D150EnglishNames,T23)</f>
        <v>surā</v>
      </c>
    </row>
    <row r="24" customFormat="false" ht="15" hidden="false" customHeight="false" outlineLevel="0" collapsed="false">
      <c r="A24" s="6" t="str">
        <f aca="false">TRIM(LEFT(JHora!A49,FIND(" ",JHora!A49)))</f>
        <v>Sree</v>
      </c>
      <c r="B24" s="22" t="str">
        <f aca="false">MID(JHora!A49,FIND("'",JHora!A49)-8,2)</f>
        <v> 8</v>
      </c>
      <c r="C24" s="22" t="str">
        <f aca="false">MID(JHora!A49,FIND("'",JHora!A49)-5,2)</f>
        <v>Le</v>
      </c>
      <c r="D24" s="23" t="n">
        <f aca="false">MID(JHora!A49,FIND("'",JHora!A49)-2,2)+VALUE(MID(JHora!A49,FIND("'",JHora!A49)+2,5))/60</f>
        <v>8.519</v>
      </c>
      <c r="E24" s="24" t="str">
        <f aca="false">INDEX(NakshatraTbl,INT(G24*0.075)+1,1)</f>
        <v>Magha</v>
      </c>
      <c r="F24" s="25" t="s">
        <v>98</v>
      </c>
      <c r="G24" s="26" t="n">
        <f aca="false">VLOOKUP(C24,RasiDeg,2,0)+B24+D24/60</f>
        <v>128.141983333333</v>
      </c>
      <c r="H24" s="26" t="n">
        <f aca="false">B24+D24/60</f>
        <v>8.14198333333333</v>
      </c>
      <c r="I24" s="27" t="str">
        <f aca="false">INDEX(NakshatraTbl,INT(G24*0.075)+1,3)</f>
        <v>Ketu</v>
      </c>
      <c r="J24" s="28"/>
      <c r="N24" s="6" t="str">
        <f aca="false">INDEX(D20Deities,ROUNDUP(H24/1.5,0)+MOD(ROUNDUP(G24/30,0)-1,2)*20,1)</f>
        <v>vimalā</v>
      </c>
      <c r="O24" s="6" t="str">
        <f aca="false">INDEX(D20Deities,ROUNDUP(H24/1.5,0)+MOD(ROUNDUP(G24/30,0)-1,2)*20,2)</f>
        <v>विमला</v>
      </c>
      <c r="P24" s="6" t="str">
        <f aca="false">INDEX(D27Deities,ROUNDUP(H24/30*27,0),1)</f>
        <v>jīva </v>
      </c>
      <c r="Q24" s="6" t="str">
        <f aca="false">INDEX(D27Deities,ROUNDUP(H24/30*27,0),2)</f>
        <v>जीव </v>
      </c>
      <c r="R24" s="6" t="str">
        <f aca="false">INT(H24/900*360)&amp;" s"&amp;" "&amp;TEXT(MOD(H24/30*360,30)/24,"[HH]:MM:ss")</f>
        <v>3 s 07:42:14</v>
      </c>
      <c r="S24" s="6" t="n">
        <f aca="false">MATCH(H24,D150InequalDegrees)</f>
        <v>40</v>
      </c>
      <c r="T24" s="6" t="n">
        <f aca="false">CHOOSE(ROUNDUP(MOD(G24/30,3),0),S24,150-S24+1,MOD(74+S24,150)+1)</f>
        <v>111</v>
      </c>
      <c r="U24" s="6" t="str">
        <f aca="false">INDEX(D150EnglishNames,T24)</f>
        <v>brahmiḥ</v>
      </c>
    </row>
    <row r="25" customFormat="false" ht="15" hidden="false" customHeight="false" outlineLevel="0" collapsed="false">
      <c r="A25" s="6" t="str">
        <f aca="false">TRIM(LEFT(JHora!A50,FIND(" ",JHora!A50)))</f>
        <v>Pranapada</v>
      </c>
      <c r="B25" s="22" t="str">
        <f aca="false">MID(JHora!A50,FIND("'",JHora!A50)-8,2)</f>
        <v>21</v>
      </c>
      <c r="C25" s="22" t="str">
        <f aca="false">MID(JHora!A50,FIND("'",JHora!A50)-5,2)</f>
        <v>Aq</v>
      </c>
      <c r="D25" s="23" t="n">
        <f aca="false">MID(JHora!A50,FIND("'",JHora!A50)-2,2)+VALUE(MID(JHora!A50,FIND("'",JHora!A50)+2,5))/60</f>
        <v>48.543</v>
      </c>
      <c r="E25" s="24" t="str">
        <f aca="false">INDEX(NakshatraTbl,INT(G25*0.075)+1,1)</f>
        <v>Satabishak</v>
      </c>
      <c r="F25" s="25" t="s">
        <v>98</v>
      </c>
      <c r="G25" s="26" t="n">
        <f aca="false">VLOOKUP(C25,RasiDeg,2,0)+B25+D25/60</f>
        <v>321.80905</v>
      </c>
      <c r="H25" s="26" t="n">
        <f aca="false">B25+D25/60</f>
        <v>21.80905</v>
      </c>
      <c r="I25" s="27" t="str">
        <f aca="false">INDEX(NakshatraTbl,INT(G25*0.075)+1,3)</f>
        <v>Rahu</v>
      </c>
      <c r="J25" s="28"/>
      <c r="N25" s="6" t="str">
        <f aca="false">INDEX(D20Deities,ROUNDUP(H25/1.5,0)+MOD(ROUNDUP(G25/30,0)-1,2)*20,1)</f>
        <v>raudrī</v>
      </c>
      <c r="O25" s="6" t="str">
        <f aca="false">INDEX(D20Deities,ROUNDUP(H25/1.5,0)+MOD(ROUNDUP(G25/30,0)-1,2)*20,2)</f>
        <v>रौद्री</v>
      </c>
      <c r="P25" s="6" t="str">
        <f aca="false">INDEX(D27Deities,ROUNDUP(H25/30*27,0),1)</f>
        <v>udaka </v>
      </c>
      <c r="Q25" s="6" t="str">
        <f aca="false">INDEX(D27Deities,ROUNDUP(H25/30*27,0),2)</f>
        <v>उदक </v>
      </c>
      <c r="R25" s="6" t="str">
        <f aca="false">INT(H25/900*360)&amp;" s"&amp;" "&amp;TEXT(MOD(H25/30*360,30)/24,"[HH]:MM:ss")</f>
        <v>8 s 21:42:31</v>
      </c>
      <c r="S25" s="6" t="n">
        <f aca="false">MATCH(H25,D150InequalDegrees)</f>
        <v>111</v>
      </c>
      <c r="T25" s="6" t="n">
        <f aca="false">CHOOSE(ROUNDUP(MOD(G25/30,3),0),S25,150-S25+1,MOD(74+S25,150)+1)</f>
        <v>40</v>
      </c>
      <c r="U25" s="6" t="str">
        <f aca="false">INDEX(D150EnglishNames,T25)</f>
        <v>vikaṭā</v>
      </c>
    </row>
    <row r="26" customFormat="false" ht="15" hidden="false" customHeight="false" outlineLevel="0" collapsed="false">
      <c r="A26" s="6" t="str">
        <f aca="false">TRIM(LEFT(JHora!A51,FIND(" ",JHora!A51)))</f>
        <v>Indu</v>
      </c>
      <c r="B26" s="22" t="str">
        <f aca="false">MID(JHora!A51,FIND("'",JHora!A51)-8,2)</f>
        <v>23</v>
      </c>
      <c r="C26" s="22" t="str">
        <f aca="false">MID(JHora!A51,FIND("'",JHora!A51)-5,2)</f>
        <v>Sc</v>
      </c>
      <c r="D26" s="23" t="n">
        <f aca="false">MID(JHora!A51,FIND("'",JHora!A51)-2,2)+VALUE(MID(JHora!A51,FIND("'",JHora!A51)+2,5))/60</f>
        <v>0.956666666666667</v>
      </c>
      <c r="E26" s="24" t="str">
        <f aca="false">INDEX(NakshatraTbl,INT(G26*0.075)+1,1)</f>
        <v>Jyeshtha</v>
      </c>
      <c r="F26" s="25" t="s">
        <v>98</v>
      </c>
      <c r="G26" s="26" t="n">
        <f aca="false">VLOOKUP(C26,RasiDeg,2,0)+B26+D26/60</f>
        <v>233.015944444444</v>
      </c>
      <c r="H26" s="26" t="n">
        <f aca="false">B26+D26/60</f>
        <v>23.0159444444444</v>
      </c>
      <c r="I26" s="27" t="str">
        <f aca="false">INDEX(NakshatraTbl,INT(G26*0.075)+1,3)</f>
        <v>Merc</v>
      </c>
      <c r="J26" s="28"/>
      <c r="N26" s="6" t="str">
        <f aca="false">INDEX(D20Deities,ROUNDUP(H26/1.5,0)+MOD(ROUNDUP(G26/30,0)-1,2)*20,1)</f>
        <v>sitā</v>
      </c>
      <c r="O26" s="6" t="str">
        <f aca="false">INDEX(D20Deities,ROUNDUP(H26/1.5,0)+MOD(ROUNDUP(G26/30,0)-1,2)*20,2)</f>
        <v>सिता</v>
      </c>
      <c r="P26" s="6" t="str">
        <f aca="false">INDEX(D27Deities,ROUNDUP(H26/30*27,0),1)</f>
        <v>viśve aja </v>
      </c>
      <c r="Q26" s="6" t="str">
        <f aca="false">INDEX(D27Deities,ROUNDUP(H26/30*27,0),2)</f>
        <v>विश्वे अज </v>
      </c>
      <c r="R26" s="6" t="str">
        <f aca="false">INT(H26/900*360)&amp;" s"&amp;" "&amp;TEXT(MOD(H26/30*360,30)/24,"[HH]:MM:ss")</f>
        <v>9 s 06:11:29</v>
      </c>
      <c r="S26" s="6" t="n">
        <f aca="false">MATCH(H26,D150InequalDegrees)</f>
        <v>116</v>
      </c>
      <c r="T26" s="6" t="n">
        <f aca="false">CHOOSE(ROUNDUP(MOD(G26/30,3),0),S26,150-S26+1,MOD(74+S26,150)+1)</f>
        <v>35</v>
      </c>
      <c r="U26" s="6" t="str">
        <f aca="false">INDEX(D150EnglishNames,T26)</f>
        <v>kṣamā</v>
      </c>
    </row>
    <row r="27" customFormat="false" ht="15" hidden="false" customHeight="false" outlineLevel="0" collapsed="false">
      <c r="A27" s="6" t="str">
        <f aca="false">TRIM(LEFT(JHora!A52,FIND(" ",JHora!A52)))</f>
        <v>Bhrigu</v>
      </c>
      <c r="B27" s="22" t="str">
        <f aca="false">MID(JHora!A52,FIND("'",JHora!A52)-8,2)</f>
        <v>22</v>
      </c>
      <c r="C27" s="22" t="str">
        <f aca="false">MID(JHora!A52,FIND("'",JHora!A52)-5,2)</f>
        <v>Pi</v>
      </c>
      <c r="D27" s="23" t="n">
        <f aca="false">MID(JHora!A52,FIND("'",JHora!A52)-2,2)+VALUE(MID(JHora!A52,FIND("'",JHora!A52)+2,5))/60</f>
        <v>29.4955</v>
      </c>
      <c r="E27" s="24" t="str">
        <f aca="false">INDEX(NakshatraTbl,INT(G27*0.075)+1,1)</f>
        <v>Uttara Bhadrapad</v>
      </c>
      <c r="F27" s="25" t="s">
        <v>98</v>
      </c>
      <c r="G27" s="26" t="n">
        <f aca="false">VLOOKUP(C27,RasiDeg,2,0)+B27+D27/60</f>
        <v>352.491591666667</v>
      </c>
      <c r="H27" s="26" t="n">
        <f aca="false">B27+D27/60</f>
        <v>22.4915916666667</v>
      </c>
      <c r="I27" s="27" t="str">
        <f aca="false">INDEX(NakshatraTbl,INT(G27*0.075)+1,3)</f>
        <v>Sat</v>
      </c>
      <c r="J27" s="28"/>
      <c r="N27" s="6" t="str">
        <f aca="false">INDEX(D20Deities,ROUNDUP(H27/1.5,0)+MOD(ROUNDUP(G27/30,0)-1,2)*20,1)</f>
        <v>vaiṣṇavī</v>
      </c>
      <c r="O27" s="6" t="str">
        <f aca="false">INDEX(D20Deities,ROUNDUP(H27/1.5,0)+MOD(ROUNDUP(G27/30,0)-1,2)*20,2)</f>
        <v>वैष्णवी</v>
      </c>
      <c r="P27" s="6" t="str">
        <f aca="false">INDEX(D27Deities,ROUNDUP(H27/30*27,0),1)</f>
        <v>viśve aja </v>
      </c>
      <c r="Q27" s="6" t="str">
        <f aca="false">INDEX(D27Deities,ROUNDUP(H27/30*27,0),2)</f>
        <v>विश्वे अज </v>
      </c>
      <c r="R27" s="6" t="str">
        <f aca="false">INT(H27/900*360)&amp;" s"&amp;" "&amp;TEXT(MOD(H27/30*360,30)/24,"[HH]:MM:ss")</f>
        <v>8 s 29:53:57</v>
      </c>
      <c r="S27" s="6" t="n">
        <f aca="false">MATCH(H27,D150InequalDegrees)</f>
        <v>113</v>
      </c>
      <c r="T27" s="6" t="n">
        <f aca="false">CHOOSE(ROUNDUP(MOD(G27/30,3),0),S27,150-S27+1,MOD(74+S27,150)+1)</f>
        <v>38</v>
      </c>
      <c r="U27" s="6" t="str">
        <f aca="false">INDEX(D150EnglishNames,T27)</f>
        <v>viśvā</v>
      </c>
    </row>
    <row r="28" customFormat="false" ht="15" hidden="false" customHeight="false" outlineLevel="0" collapsed="false">
      <c r="A28" s="6" t="str">
        <f aca="false">TRIM(LEFT(JHora!A53,FIND(" ",JHora!A53)))</f>
        <v>Dhooma</v>
      </c>
      <c r="B28" s="22" t="str">
        <f aca="false">MID(JHora!A53,FIND("'",JHora!A53)-8,2)</f>
        <v>15</v>
      </c>
      <c r="C28" s="22" t="str">
        <f aca="false">MID(JHora!A53,FIND("'",JHora!A53)-5,2)</f>
        <v>Sc</v>
      </c>
      <c r="D28" s="23" t="n">
        <f aca="false">MID(JHora!A53,FIND("'",JHora!A53)-2,2)+VALUE(MID(JHora!A53,FIND("'",JHora!A53)+2,5))/60</f>
        <v>43.9521666666667</v>
      </c>
      <c r="E28" s="24" t="str">
        <f aca="false">INDEX(NakshatraTbl,INT(G28*0.075)+1,1)</f>
        <v>Anuradha</v>
      </c>
      <c r="F28" s="25" t="s">
        <v>98</v>
      </c>
      <c r="G28" s="26" t="n">
        <f aca="false">VLOOKUP(C28,RasiDeg,2,0)+B28+D28/60</f>
        <v>225.732536111111</v>
      </c>
      <c r="H28" s="26" t="n">
        <f aca="false">B28+D28/60</f>
        <v>15.7325361111111</v>
      </c>
      <c r="I28" s="27" t="str">
        <f aca="false">INDEX(NakshatraTbl,INT(G28*0.075)+1,3)</f>
        <v>Sat</v>
      </c>
      <c r="J28" s="28"/>
      <c r="N28" s="6" t="str">
        <f aca="false">INDEX(D20Deities,ROUNDUP(H28/1.5,0)+MOD(ROUNDUP(G28/30,0)-1,2)*20,1)</f>
        <v>piṅgalā</v>
      </c>
      <c r="O28" s="6" t="str">
        <f aca="false">INDEX(D20Deities,ROUNDUP(H28/1.5,0)+MOD(ROUNDUP(G28/30,0)-1,2)*20,2)</f>
        <v>पिङ्गला</v>
      </c>
      <c r="P28" s="6" t="str">
        <f aca="false">INDEX(D27Deities,ROUNDUP(H28/30*27,0),1)</f>
        <v>maruta </v>
      </c>
      <c r="Q28" s="6" t="str">
        <f aca="false">INDEX(D27Deities,ROUNDUP(H28/30*27,0),2)</f>
        <v>मरुत </v>
      </c>
      <c r="R28" s="6" t="str">
        <f aca="false">INT(H28/900*360)&amp;" s"&amp;" "&amp;TEXT(MOD(H28/30*360,30)/24,"[HH]:MM:ss")</f>
        <v>6 s 08:47:26</v>
      </c>
      <c r="S28" s="6" t="n">
        <f aca="false">MATCH(H28,D150InequalDegrees)</f>
        <v>79</v>
      </c>
      <c r="T28" s="6" t="n">
        <f aca="false">CHOOSE(ROUNDUP(MOD(G28/30,3),0),S28,150-S28+1,MOD(74+S28,150)+1)</f>
        <v>72</v>
      </c>
      <c r="U28" s="6" t="str">
        <f aca="false">INDEX(D150EnglishNames,T28)</f>
        <v>sudhāmṛtāṁśuḥ</v>
      </c>
    </row>
    <row r="29" customFormat="false" ht="15" hidden="false" customHeight="false" outlineLevel="0" collapsed="false">
      <c r="A29" s="6" t="str">
        <f aca="false">TRIM(LEFT(JHora!A54,FIND(" ",JHora!A54)))</f>
        <v>Vyatipata</v>
      </c>
      <c r="B29" s="22" t="str">
        <f aca="false">MID(JHora!A54,FIND("'",JHora!A54)-8,2)</f>
        <v>14</v>
      </c>
      <c r="C29" s="22" t="str">
        <f aca="false">MID(JHora!A54,FIND("'",JHora!A54)-5,2)</f>
        <v>Le</v>
      </c>
      <c r="D29" s="23" t="n">
        <f aca="false">MID(JHora!A54,FIND("'",JHora!A54)-2,2)+VALUE(MID(JHora!A54,FIND("'",JHora!A54)+2,5))/60</f>
        <v>16.0478333333333</v>
      </c>
      <c r="E29" s="24" t="str">
        <f aca="false">INDEX(NakshatraTbl,INT(G29*0.075)+1,1)</f>
        <v>Purva Phalguni</v>
      </c>
      <c r="F29" s="25" t="s">
        <v>98</v>
      </c>
      <c r="G29" s="26" t="n">
        <f aca="false">VLOOKUP(C29,RasiDeg,2,0)+B29+D29/60</f>
        <v>134.267463888889</v>
      </c>
      <c r="H29" s="26" t="n">
        <f aca="false">B29+D29/60</f>
        <v>14.2674638888889</v>
      </c>
      <c r="I29" s="27" t="str">
        <f aca="false">INDEX(NakshatraTbl,INT(G29*0.075)+1,3)</f>
        <v>Venus</v>
      </c>
      <c r="J29" s="28"/>
      <c r="N29" s="6" t="str">
        <f aca="false">INDEX(D20Deities,ROUNDUP(H29/1.5,0)+MOD(ROUNDUP(G29/30,0)-1,2)*20,1)</f>
        <v>śvetā</v>
      </c>
      <c r="O29" s="6" t="str">
        <f aca="false">INDEX(D20Deities,ROUNDUP(H29/1.5,0)+MOD(ROUNDUP(G29/30,0)-1,2)*20,2)</f>
        <v>श्वेता</v>
      </c>
      <c r="P29" s="6" t="str">
        <f aca="false">INDEX(D27Deities,ROUNDUP(H29/30*27,0),1)</f>
        <v>arka </v>
      </c>
      <c r="Q29" s="6" t="str">
        <f aca="false">INDEX(D27Deities,ROUNDUP(H29/30*27,0),2)</f>
        <v>अर्क </v>
      </c>
      <c r="R29" s="6" t="str">
        <f aca="false">INT(H29/900*360)&amp;" s"&amp;" "&amp;TEXT(MOD(H29/30*360,30)/24,"[HH]:MM:ss")</f>
        <v>5 s 21:12:34</v>
      </c>
      <c r="S29" s="6" t="n">
        <f aca="false">MATCH(H29,D150InequalDegrees)</f>
        <v>72</v>
      </c>
      <c r="T29" s="6" t="n">
        <f aca="false">CHOOSE(ROUNDUP(MOD(G29/30,3),0),S29,150-S29+1,MOD(74+S29,150)+1)</f>
        <v>79</v>
      </c>
      <c r="U29" s="6" t="str">
        <f aca="false">INDEX(D150EnglishNames,T29)</f>
        <v>śobhā</v>
      </c>
    </row>
    <row r="30" customFormat="false" ht="15" hidden="false" customHeight="false" outlineLevel="0" collapsed="false">
      <c r="A30" s="6" t="str">
        <f aca="false">TRIM(LEFT(JHora!A55,FIND(" ",JHora!A55)))</f>
        <v>Parivesha</v>
      </c>
      <c r="B30" s="22" t="str">
        <f aca="false">MID(JHora!A55,FIND("'",JHora!A55)-8,2)</f>
        <v>14</v>
      </c>
      <c r="C30" s="22" t="str">
        <f aca="false">MID(JHora!A55,FIND("'",JHora!A55)-5,2)</f>
        <v>Aq</v>
      </c>
      <c r="D30" s="23" t="n">
        <f aca="false">MID(JHora!A55,FIND("'",JHora!A55)-2,2)+VALUE(MID(JHora!A55,FIND("'",JHora!A55)+2,5))/60</f>
        <v>16.0478333333333</v>
      </c>
      <c r="E30" s="24" t="str">
        <f aca="false">INDEX(NakshatraTbl,INT(G30*0.075)+1,1)</f>
        <v>Dhanistha</v>
      </c>
      <c r="F30" s="25" t="s">
        <v>98</v>
      </c>
      <c r="G30" s="26" t="n">
        <f aca="false">VLOOKUP(C30,RasiDeg,2,0)+B30+D30/60</f>
        <v>314.267463888889</v>
      </c>
      <c r="H30" s="26" t="n">
        <f aca="false">B30+D30/60</f>
        <v>14.2674638888889</v>
      </c>
      <c r="I30" s="27" t="str">
        <f aca="false">INDEX(NakshatraTbl,INT(G30*0.075)+1,3)</f>
        <v>Mars</v>
      </c>
      <c r="J30" s="28"/>
      <c r="N30" s="6" t="str">
        <f aca="false">INDEX(D20Deities,ROUNDUP(H30/1.5,0)+MOD(ROUNDUP(G30/30,0)-1,2)*20,1)</f>
        <v>śvetā</v>
      </c>
      <c r="O30" s="6" t="str">
        <f aca="false">INDEX(D20Deities,ROUNDUP(H30/1.5,0)+MOD(ROUNDUP(G30/30,0)-1,2)*20,2)</f>
        <v>श्वेता</v>
      </c>
      <c r="P30" s="6" t="str">
        <f aca="false">INDEX(D27Deities,ROUNDUP(H30/30*27,0),1)</f>
        <v>arka </v>
      </c>
      <c r="Q30" s="6" t="str">
        <f aca="false">INDEX(D27Deities,ROUNDUP(H30/30*27,0),2)</f>
        <v>अर्क </v>
      </c>
      <c r="R30" s="6" t="str">
        <f aca="false">INT(H30/900*360)&amp;" s"&amp;" "&amp;TEXT(MOD(H30/30*360,30)/24,"[HH]:MM:ss")</f>
        <v>5 s 21:12:34</v>
      </c>
      <c r="S30" s="6" t="n">
        <f aca="false">MATCH(H30,D150InequalDegrees)</f>
        <v>72</v>
      </c>
      <c r="T30" s="6" t="n">
        <f aca="false">CHOOSE(ROUNDUP(MOD(G30/30,3),0),S30,150-S30+1,MOD(74+S30,150)+1)</f>
        <v>79</v>
      </c>
      <c r="U30" s="6" t="str">
        <f aca="false">INDEX(D150EnglishNames,T30)</f>
        <v>śobhā</v>
      </c>
    </row>
    <row r="31" customFormat="false" ht="15" hidden="false" customHeight="false" outlineLevel="0" collapsed="false">
      <c r="A31" s="35" t="s">
        <v>108</v>
      </c>
      <c r="B31" s="36" t="n">
        <f aca="false">FLOOR(MOD(G31,30),1)</f>
        <v>8</v>
      </c>
      <c r="C31" s="35" t="str">
        <f aca="false">INDEX(RasiDeg,ROUNDUP(G31/30,0),1)</f>
        <v>Le</v>
      </c>
      <c r="D31" s="36" t="n">
        <f aca="false">ROUND((MOD(G31,30)-B31)*60,1)</f>
        <v>8.5</v>
      </c>
      <c r="E31" s="27" t="str">
        <f aca="false">INDEX(NakshatraTbl,INT(G31*0.075)+1,1)</f>
        <v>Magha</v>
      </c>
      <c r="F31" s="35"/>
      <c r="G31" s="26" t="n">
        <f aca="false">MOD(((MOD(G9,StarDeg)/StarDeg)*360)+G7,360)</f>
        <v>128.14201666667</v>
      </c>
      <c r="H31" s="26" t="n">
        <f aca="false">B31+D31/60</f>
        <v>8.14166666666667</v>
      </c>
      <c r="I31" s="27" t="str">
        <f aca="false">INDEX(NakshatraTbl,INT(G31*0.075)+1,3)</f>
        <v>Ketu</v>
      </c>
    </row>
    <row r="32" customFormat="false" ht="15" hidden="false" customHeight="false" outlineLevel="0" collapsed="false">
      <c r="A32" s="35" t="s">
        <v>109</v>
      </c>
      <c r="B32" s="36" t="n">
        <f aca="false">FLOOR(MOD(G32,30),1)</f>
        <v>24</v>
      </c>
      <c r="C32" s="35" t="str">
        <f aca="false">INDEX(RasiDeg,ROUNDUP(G32/30,0),1)</f>
        <v>Pi</v>
      </c>
      <c r="D32" s="36" t="n">
        <f aca="false">ROUND((MOD(G32,30)-B32)*60,1)</f>
        <v>11.1</v>
      </c>
      <c r="E32" s="27" t="str">
        <f aca="false">INDEX(NakshatraTbl,INT(G32*0.075)+1,1)</f>
        <v>Uttara Bhadrapad</v>
      </c>
      <c r="F32" s="35"/>
      <c r="G32" s="26" t="n">
        <f aca="false">MOD(IF(MOD(INT(G7/30)+INT(G18/30),2)=1,(MOD(INT(G7/30),2)*360-G7)+(MOD(INT(G18/30),2)*360-G18),G7+G18),360)</f>
        <v>354.184380555556</v>
      </c>
      <c r="H32" s="26" t="n">
        <f aca="false">B32+D32/60</f>
        <v>24.185</v>
      </c>
      <c r="I32" s="27" t="str">
        <f aca="false">INDEX(NakshatraTbl,INT(G32*0.075)+1,3)</f>
        <v>Sat</v>
      </c>
    </row>
    <row r="33" customFormat="false" ht="15" hidden="false" customHeight="false" outlineLevel="0" collapsed="false">
      <c r="A33" s="35" t="s">
        <v>109</v>
      </c>
      <c r="B33" s="36" t="n">
        <f aca="false">FLOOR(MOD(G33,30),1)</f>
        <v>24</v>
      </c>
      <c r="C33" s="35" t="str">
        <f aca="false">INDEX(RasiDeg,ROUNDUP(G33/30,0),1)</f>
        <v>Aq</v>
      </c>
      <c r="D33" s="36" t="n">
        <f aca="false">ROUND((MOD(G33,30)-B33)*60,1)</f>
        <v>3.1</v>
      </c>
      <c r="E33" s="27" t="str">
        <f aca="false">INDEX(NakshatraTbl,INT(G33*0.075)+1,1)</f>
        <v>Satabishak</v>
      </c>
      <c r="F33" s="35"/>
      <c r="G33" s="26" t="n">
        <f aca="false">M33</f>
        <v>324.051705555556</v>
      </c>
      <c r="H33" s="26" t="n">
        <f aca="false">B33+D33/60</f>
        <v>24.0516666666667</v>
      </c>
      <c r="I33" s="27" t="str">
        <f aca="false">INDEX(NakshatraTbl,INT(G33*0.075)+1,3)</f>
        <v>Rahu</v>
      </c>
      <c r="J33" s="17" t="n">
        <f aca="false">IF(MOD(INT(Lagna/30),2),360-Lagna,Lagna)</f>
        <v>136.711516666667</v>
      </c>
      <c r="K33" s="17" t="n">
        <f aca="false">IF(MOD(INT(HoraLagna/30),2),360-HoraLagna,HoraLagna)</f>
        <v>187.340188888889</v>
      </c>
      <c r="L33" s="6" t="n">
        <f aca="false">MOD(IF(MOD(INT(J33/30)+INT(K33/30),2),ABS(J33-K33),J33+K33),360)</f>
        <v>324.051705555556</v>
      </c>
      <c r="M33" s="6" t="n">
        <f aca="false">IF(MOD(INT(L33/30),2),360-L33,L33)</f>
        <v>324.051705555556</v>
      </c>
    </row>
    <row r="34" customFormat="false" ht="15" hidden="false" customHeight="false" outlineLevel="0" collapsed="false">
      <c r="A34" s="26" t="s">
        <v>110</v>
      </c>
      <c r="B34" s="36" t="n">
        <f aca="false">FLOOR(MOD(G34,30),1)</f>
        <v>16</v>
      </c>
      <c r="C34" s="35" t="str">
        <f aca="false">INDEX(RasiDeg,ROUNDUP(G34/30,0),1)</f>
        <v>Cn</v>
      </c>
      <c r="D34" s="35" t="n">
        <f aca="false">ROUND((MOD(G34,30)-B34)*60,1)</f>
        <v>21</v>
      </c>
      <c r="E34" s="27" t="str">
        <f aca="false">INDEX(NakshatraTbl,INT(G34*0.075)+1,1)</f>
        <v>Pushya</v>
      </c>
      <c r="F34" s="35"/>
      <c r="G34" s="26" t="n">
        <f aca="false">MOD(MoonDeg+4*StarDeg,360)</f>
        <v>106.349277777778</v>
      </c>
      <c r="H34" s="26" t="n">
        <f aca="false">B34+D34/60</f>
        <v>16.35</v>
      </c>
      <c r="I34" s="27" t="str">
        <f aca="false">INDEX(NakshatraTbl,INT(G34*0.075)+1,3)</f>
        <v>Sat</v>
      </c>
    </row>
    <row r="35" customFormat="false" ht="15" hidden="false" customHeight="false" outlineLevel="0" collapsed="false">
      <c r="A35" s="35" t="s">
        <v>111</v>
      </c>
      <c r="B35" s="36" t="n">
        <f aca="false">FLOOR(MOD(G35,30),1)</f>
        <v>3</v>
      </c>
      <c r="C35" s="35" t="str">
        <f aca="false">INDEX(RasiDeg,ROUNDUP(G35/30,0),1)</f>
        <v>Cn</v>
      </c>
      <c r="D35" s="36" t="n">
        <f aca="false">ROUND((MOD(G35,30)-B35)*60,1)</f>
        <v>1</v>
      </c>
      <c r="E35" s="27" t="str">
        <f aca="false">INDEX(NakshatraTbl,INT(G35*0.075)+1,1)</f>
        <v>Punarvasu</v>
      </c>
      <c r="F35" s="35"/>
      <c r="G35" s="26" t="n">
        <f aca="false">MOD(MoonDeg+3*StarDeg,360)</f>
        <v>93.0159444444443</v>
      </c>
      <c r="H35" s="26" t="n">
        <f aca="false">B35+D35/60</f>
        <v>3.01666666666667</v>
      </c>
      <c r="I35" s="27" t="str">
        <f aca="false">INDEX(NakshatraTbl,INT(G35*0.075)+1,3)</f>
        <v>Jupiter</v>
      </c>
      <c r="K35" s="6" t="s">
        <v>112</v>
      </c>
    </row>
    <row r="36" customFormat="false" ht="15" hidden="false" customHeight="false" outlineLevel="0" collapsed="false">
      <c r="A36" s="37" t="s">
        <v>113</v>
      </c>
      <c r="B36" s="38" t="n">
        <f aca="false">FLOOR(MOD(G36,30),1)</f>
        <v>25</v>
      </c>
      <c r="C36" s="37" t="str">
        <f aca="false">INDEX(RasiDeg,ROUNDUP(G36/30,0),1)</f>
        <v>Le</v>
      </c>
      <c r="D36" s="38" t="n">
        <f aca="false">ROUND((MOD(G36,30)-B36)*60,1)</f>
        <v>24.9</v>
      </c>
      <c r="E36" s="33" t="str">
        <f aca="false">INDEX(NakshatraTbl,INT(G36*0.075)+1,1)</f>
        <v>Purva Phalguni</v>
      </c>
      <c r="F36" s="37" t="str">
        <f aca="false">INDEX(PanchangaYoga,INT((MOD(360+G36,360))*0.075)+1,2)</f>
        <v>Vriddhi</v>
      </c>
      <c r="G36" s="32" t="n">
        <f aca="false">MOD(SunDeg+MoonDeg,360)</f>
        <v>145.415147222222</v>
      </c>
      <c r="H36" s="32" t="n">
        <f aca="false">B36+D36/60</f>
        <v>25.415</v>
      </c>
      <c r="I36" s="33" t="str">
        <f aca="false">INDEX(NakshatraTbl,INT(G36*0.075)+1,3)</f>
        <v>Venus</v>
      </c>
      <c r="J36" s="39"/>
      <c r="L36" s="39"/>
    </row>
    <row r="37" customFormat="false" ht="15" hidden="false" customHeight="false" outlineLevel="0" collapsed="false">
      <c r="A37" s="37" t="s">
        <v>114</v>
      </c>
      <c r="B37" s="38" t="n">
        <f aca="false">FLOOR(MOD(G37,30),1)</f>
        <v>28</v>
      </c>
      <c r="C37" s="37" t="str">
        <f aca="false">INDEX(RasiDeg,ROUNDUP(G37/30,0),1)</f>
        <v>Sc</v>
      </c>
      <c r="D37" s="38" t="n">
        <f aca="false">ROUND((MOD(G37,30)-B37)*60,1)</f>
        <v>44.9</v>
      </c>
      <c r="E37" s="33" t="str">
        <f aca="false">INDEX(NakshatraTbl,INT(G37*0.075)+1,1)</f>
        <v>Jyeshtha</v>
      </c>
      <c r="F37" s="37" t="str">
        <f aca="false">INDEX(PanchangaYoga,INT((MOD(360+G37-PushyaDegree,360))*0.075)+1,2)</f>
        <v>Vriddhi</v>
      </c>
      <c r="G37" s="32" t="n">
        <f aca="false">MOD(SunDeg+MoonDeg+PushyaDegree,360)</f>
        <v>238.748480555555</v>
      </c>
      <c r="H37" s="32" t="n">
        <f aca="false">B37+D37/60</f>
        <v>28.7483333333333</v>
      </c>
      <c r="I37" s="33" t="str">
        <f aca="false">INDEX(NakshatraTbl,INT(G37*0.075)+1,3)</f>
        <v>Merc</v>
      </c>
      <c r="J37" s="40" t="s">
        <v>115</v>
      </c>
      <c r="K37" s="40"/>
      <c r="L37" s="40"/>
      <c r="M37" s="40"/>
      <c r="N37" s="40"/>
    </row>
    <row r="38" customFormat="false" ht="15" hidden="false" customHeight="false" outlineLevel="0" collapsed="false">
      <c r="A38" s="37" t="s">
        <v>116</v>
      </c>
      <c r="B38" s="38" t="n">
        <f aca="false">FLOOR(MOD(G38,30),1)</f>
        <v>5</v>
      </c>
      <c r="C38" s="37" t="str">
        <f aca="false">INDEX(RasiDeg,ROUNDUP(G38/30,0),1)</f>
        <v>Ge</v>
      </c>
      <c r="D38" s="38" t="n">
        <f aca="false">ROUND((MOD(G38,30)-B38)*60,1)</f>
        <v>24.9</v>
      </c>
      <c r="E38" s="33" t="str">
        <f aca="false">INDEX(NakshatraTbl,INT(G38*0.075)+1,1)</f>
        <v>Mrigashira</v>
      </c>
      <c r="F38" s="37" t="str">
        <f aca="false">INDEX(PanchangaYoga,INT(14*StarDeg*0.075)+1,2)</f>
        <v>Vajra</v>
      </c>
      <c r="G38" s="32" t="n">
        <f aca="false">MOD(YogiDeg+14*StarDeg,360)</f>
        <v>65.4151472222216</v>
      </c>
      <c r="H38" s="32" t="n">
        <f aca="false">B38+D38/60</f>
        <v>5.415</v>
      </c>
      <c r="I38" s="33" t="str">
        <f aca="false">INDEX(NakshatraTbl,INT(G38*0.075)+1,3)</f>
        <v>Mars</v>
      </c>
    </row>
    <row r="39" customFormat="false" ht="15" hidden="false" customHeight="false" outlineLevel="0" collapsed="false">
      <c r="A39" s="35" t="s">
        <v>117</v>
      </c>
      <c r="B39" s="36" t="n">
        <f aca="false">FLOOR(MOD(G39,30),1)</f>
        <v>24</v>
      </c>
      <c r="C39" s="35" t="str">
        <f aca="false">INDEX(RasiDeg,ROUNDUP(G39/30,0),1)</f>
        <v>Ar</v>
      </c>
      <c r="D39" s="36" t="n">
        <f aca="false">ROUND((MOD(G39,30)-B39)*60,1)</f>
        <v>22</v>
      </c>
      <c r="E39" s="27" t="str">
        <f aca="false">INDEX(NakshatraTbl,INT(G39*0.075)+1,1)</f>
        <v>Bharani</v>
      </c>
      <c r="F39" s="35"/>
      <c r="G39" s="26" t="n">
        <f aca="false">MOD(G8+G15,360)</f>
        <v>24.3664416666667</v>
      </c>
      <c r="H39" s="26" t="n">
        <f aca="false">B39+D39/60</f>
        <v>24.3666666666667</v>
      </c>
      <c r="I39" s="27" t="str">
        <f aca="false">INDEX(NakshatraTbl,INT(G39*0.075)+1,3)</f>
        <v>Venus</v>
      </c>
    </row>
    <row r="40" customFormat="false" ht="15" hidden="false" customHeight="false" outlineLevel="0" collapsed="false">
      <c r="A40" s="35" t="s">
        <v>118</v>
      </c>
      <c r="B40" s="36" t="n">
        <f aca="false">FLOOR(MOD(G40,30),1)</f>
        <v>12</v>
      </c>
      <c r="C40" s="35" t="str">
        <f aca="false">INDEX(RasiDeg,ROUNDUP(G40/30,0),1)</f>
        <v>Le</v>
      </c>
      <c r="D40" s="36" t="n">
        <f aca="false">ROUND((MOD(G40,30)-B40)*60,1)</f>
        <v>17.1</v>
      </c>
      <c r="E40" s="27" t="str">
        <f aca="false">INDEX(NakshatraTbl,INT(G40*0.075)+1,1)</f>
        <v>Magha</v>
      </c>
      <c r="F40" s="35"/>
      <c r="G40" s="26" t="n">
        <f aca="false">MOD(G8+G14,360)</f>
        <v>132.284413888889</v>
      </c>
      <c r="H40" s="26" t="n">
        <f aca="false">B40+D40/60</f>
        <v>12.285</v>
      </c>
      <c r="I40" s="27" t="str">
        <f aca="false">INDEX(NakshatraTbl,INT(G40*0.075)+1,3)</f>
        <v>Ketu</v>
      </c>
    </row>
    <row r="41" customFormat="false" ht="15" hidden="false" customHeight="false" outlineLevel="0" collapsed="false">
      <c r="A41" s="35" t="s">
        <v>119</v>
      </c>
      <c r="B41" s="36" t="n">
        <f aca="false">FLOOR(MOD(G41,30),1)</f>
        <v>23</v>
      </c>
      <c r="C41" s="35" t="str">
        <f aca="false">INDEX(RasiDeg,ROUNDUP(G41/30,0),1)</f>
        <v>Vi</v>
      </c>
      <c r="D41" s="36" t="n">
        <f aca="false">ROUND((MOD(G41,30)-B41)*60,1)</f>
        <v>56.4</v>
      </c>
      <c r="E41" s="27" t="str">
        <f aca="false">INDEX(NakshatraTbl,INT(G41*0.075)+1,1)</f>
        <v>Chitra</v>
      </c>
      <c r="F41" s="35"/>
      <c r="G41" s="26" t="n">
        <f aca="false">MOD(G8+G13,360)</f>
        <v>173.939805555556</v>
      </c>
      <c r="H41" s="26" t="n">
        <f aca="false">B41+D41/60</f>
        <v>23.94</v>
      </c>
      <c r="I41" s="27" t="str">
        <f aca="false">INDEX(NakshatraTbl,INT(G41*0.075)+1,3)</f>
        <v>Mars</v>
      </c>
      <c r="K41" s="6" t="e">
        <f aca="false">FIND(" - ",JHora!A32)</f>
        <v>#VALUE!</v>
      </c>
      <c r="L41" s="6" t="b">
        <f aca="false">ISERR(K41)</f>
        <v>1</v>
      </c>
    </row>
    <row r="42" customFormat="false" ht="15" hidden="false" customHeight="false" outlineLevel="0" collapsed="false">
      <c r="A42" s="37" t="s">
        <v>120</v>
      </c>
      <c r="B42" s="41" t="n">
        <f aca="false">ROUNDUP(G42/12,0)</f>
        <v>-12</v>
      </c>
      <c r="C42" s="41"/>
      <c r="D42" s="41"/>
      <c r="E42" s="33"/>
      <c r="G42" s="32" t="n">
        <f aca="false">IF((Moon-Sun)&lt;0,-1*(180+(Moon-Sun)),Moon-Sun)</f>
        <v>-140.616741666667</v>
      </c>
      <c r="H42" s="32"/>
      <c r="I42" s="33" t="str">
        <f aca="false">INDEX(Tithi,MOD(ABS(B42),8))</f>
        <v>Mercury</v>
      </c>
      <c r="J42" s="39"/>
      <c r="K42" s="6" t="str">
        <f aca="false">LEFT(JHora!A33,FIND(" - ",JHora!A33))</f>
        <v>Sun </v>
      </c>
    </row>
    <row r="43" customFormat="false" ht="15" hidden="false" customHeight="false" outlineLevel="0" collapsed="false">
      <c r="A43" s="37" t="s">
        <v>121</v>
      </c>
      <c r="B43" s="41" t="n">
        <f aca="false">ROUNDUP(MOD(D50*60,9),0)</f>
        <v>7</v>
      </c>
      <c r="C43" s="42" t="str">
        <f aca="false">INDEX(GrahaOrder,B43)</f>
        <v>Saturn</v>
      </c>
      <c r="D43" s="42"/>
      <c r="E43" s="33" t="n">
        <f aca="false">D50*60/24</f>
        <v>19.7795138854167</v>
      </c>
      <c r="G43" s="32" t="n">
        <f aca="false">MOD(Lagna*81,360)</f>
        <v>273.632849999998</v>
      </c>
      <c r="H43" s="32"/>
      <c r="I43" s="33"/>
      <c r="J43" s="39"/>
      <c r="K43" s="6" t="str">
        <f aca="false">LEFT(JHora!A34,FIND(" - ",JHora!A34))</f>
        <v>Moon </v>
      </c>
    </row>
    <row r="44" customFormat="false" ht="15" hidden="false" customHeight="false" outlineLevel="0" collapsed="false">
      <c r="A44" s="28" t="s">
        <v>122</v>
      </c>
      <c r="B44" s="43" t="n">
        <f aca="false">INT(DoB) +MOD(TIMEVALUE(TRIM(MID(JHora!A23,9,14))),1)</f>
        <v>26133.2522800926</v>
      </c>
      <c r="C44" s="43"/>
      <c r="D44" s="43"/>
      <c r="G44" s="26"/>
      <c r="H44" s="26"/>
      <c r="I44" s="27"/>
      <c r="K44" s="6" t="str">
        <f aca="false">LEFT(JHora!A35,FIND(" - ",JHora!A35))</f>
        <v>Mars (R) </v>
      </c>
    </row>
    <row r="45" customFormat="false" ht="15" hidden="false" customHeight="false" outlineLevel="0" collapsed="false">
      <c r="A45" s="28" t="s">
        <v>123</v>
      </c>
      <c r="B45" s="43" t="n">
        <f aca="false">INT(DoB)+MOD(TIMEVALUE(TRIM(MID(JHora!A24,9,18))),1)</f>
        <v>26133.7807523148</v>
      </c>
      <c r="C45" s="43"/>
      <c r="D45" s="43"/>
      <c r="G45" s="26"/>
      <c r="H45" s="26"/>
      <c r="I45" s="27"/>
      <c r="K45" s="6" t="str">
        <f aca="false">LEFT(JHora!A36,FIND(" - ",JHora!A36))</f>
        <v>Mercury </v>
      </c>
    </row>
    <row r="46" customFormat="false" ht="15" hidden="false" customHeight="false" outlineLevel="0" collapsed="false">
      <c r="A46" s="28" t="s">
        <v>124</v>
      </c>
      <c r="B46" s="44" t="n">
        <f aca="false">MOD(DoB-SunRise+6,7)+1</f>
        <v>7.13186342590778</v>
      </c>
      <c r="G46" s="26"/>
      <c r="H46" s="26"/>
      <c r="I46" s="27"/>
      <c r="K46" s="6" t="str">
        <f aca="false">LEFT(JHora!A37,FIND(" - ",JHora!A37))</f>
        <v>Jupiter (R) </v>
      </c>
    </row>
    <row r="47" customFormat="false" ht="15" hidden="false" customHeight="false" outlineLevel="0" collapsed="false">
      <c r="A47" s="28" t="s">
        <v>125</v>
      </c>
      <c r="B47" s="17" t="n">
        <f aca="false">SunRise+IF(DoB&lt;SunSet,INDEX(Mandi,B46+2,2)/30*D48,D48+INDEX(Mandi,B46+2,2)/30*D49)/60</f>
        <v>26133.2875115741</v>
      </c>
      <c r="C47" s="6" t="s">
        <v>126</v>
      </c>
      <c r="D47" s="6" t="n">
        <f aca="false">IF(DoB&lt;(INT(DoB)+SunSet),INDEX(Mandi,B46+2,2)/30*D48,D48+INDEX(Mandi,B46+2,2)/30*D49)</f>
        <v>2.11388888888889</v>
      </c>
      <c r="E47" s="6" t="s">
        <v>127</v>
      </c>
      <c r="G47" s="26"/>
      <c r="H47" s="26"/>
      <c r="I47" s="27"/>
    </row>
    <row r="48" customFormat="false" ht="15" hidden="false" customHeight="false" outlineLevel="0" collapsed="false">
      <c r="A48" s="28" t="s">
        <v>128</v>
      </c>
      <c r="B48" s="45" t="n">
        <f aca="false">(SunSet-SunRise)</f>
        <v>0.528472222222222</v>
      </c>
      <c r="D48" s="6" t="n">
        <f aca="false">(SunSet-SunRise)*60</f>
        <v>31.7083333333333</v>
      </c>
      <c r="E48" s="6" t="s">
        <v>127</v>
      </c>
      <c r="G48" s="26"/>
      <c r="H48" s="26"/>
      <c r="I48" s="27"/>
    </row>
    <row r="49" customFormat="false" ht="15" hidden="false" customHeight="false" outlineLevel="0" collapsed="false">
      <c r="A49" s="28" t="s">
        <v>129</v>
      </c>
      <c r="B49" s="45" t="n">
        <f aca="false">1+B44-B45</f>
        <v>0.471527777777778</v>
      </c>
      <c r="D49" s="6" t="n">
        <f aca="false">60-D48</f>
        <v>28.2916666666667</v>
      </c>
      <c r="E49" s="6" t="s">
        <v>127</v>
      </c>
      <c r="G49" s="26"/>
      <c r="H49" s="26"/>
      <c r="I49" s="27"/>
    </row>
    <row r="50" customFormat="false" ht="15" hidden="false" customHeight="false" outlineLevel="0" collapsed="false">
      <c r="A50" s="28" t="s">
        <v>130</v>
      </c>
      <c r="B50" s="46" t="n">
        <f aca="false">DoB-SunRise</f>
        <v>0.131863425902778</v>
      </c>
      <c r="C50" s="35" t="s">
        <v>126</v>
      </c>
      <c r="D50" s="47" t="n">
        <f aca="false">B50*60</f>
        <v>7.91180555416667</v>
      </c>
      <c r="E50" s="6" t="s">
        <v>127</v>
      </c>
      <c r="F50" s="35"/>
      <c r="G50" s="26"/>
      <c r="H50" s="26"/>
      <c r="I50" s="27"/>
    </row>
    <row r="51" customFormat="false" ht="15" hidden="false" customHeight="false" outlineLevel="0" collapsed="false">
      <c r="A51" s="28" t="s">
        <v>131</v>
      </c>
      <c r="B51" s="47" t="n">
        <f aca="false">B50/IF(DayBirth,B48/120,B49/120)</f>
        <v>29.9421813350854</v>
      </c>
      <c r="C51" s="35"/>
      <c r="D51" s="35"/>
      <c r="F51" s="35"/>
      <c r="G51" s="26"/>
      <c r="H51" s="26"/>
      <c r="I51" s="27"/>
    </row>
    <row r="52" customFormat="false" ht="15" hidden="false" customHeight="false" outlineLevel="0" collapsed="false">
      <c r="A52" s="48" t="s">
        <v>132</v>
      </c>
      <c r="B52" s="49" t="n">
        <f aca="false">INT(DoB-AharganaBaseDate+Ahargana)</f>
        <v>714404096234</v>
      </c>
      <c r="C52" s="49"/>
      <c r="D52" s="49"/>
      <c r="E52" s="6" t="s">
        <v>133</v>
      </c>
      <c r="F52" s="50" t="n">
        <f aca="false">B52-INT(B52/7)*7</f>
        <v>3</v>
      </c>
      <c r="G52" s="51"/>
      <c r="H52" s="17"/>
      <c r="I52" s="52"/>
    </row>
    <row r="53" customFormat="false" ht="15" hidden="false" customHeight="false" outlineLevel="0" collapsed="false">
      <c r="A53" s="48" t="s">
        <v>134</v>
      </c>
      <c r="B53" s="6" t="n">
        <f aca="false">IF(AND((DoB&gt;SunRise), (DoB&lt;SunSet)),1,0)</f>
        <v>1</v>
      </c>
      <c r="C53" s="14"/>
      <c r="D53" s="14"/>
      <c r="G53" s="17"/>
      <c r="H53" s="17"/>
      <c r="I53" s="52"/>
    </row>
    <row r="54" customFormat="false" ht="15" hidden="false" customHeight="false" outlineLevel="0" collapsed="false">
      <c r="A54" s="48" t="s">
        <v>135</v>
      </c>
      <c r="B54" s="53" t="n">
        <f aca="false">YEAR(C2)+3102</f>
        <v>5073</v>
      </c>
      <c r="C54" s="6" t="s">
        <v>136</v>
      </c>
      <c r="D54" s="54" t="e">
        <f aca="false">DoB-"1 Jan 1980"+1822903</f>
        <v>#VALUE!</v>
      </c>
      <c r="E54" s="6" t="s">
        <v>75</v>
      </c>
    </row>
    <row r="55" customFormat="false" ht="15" hidden="false" customHeight="false" outlineLevel="0" collapsed="false">
      <c r="A55" s="48" t="s">
        <v>137</v>
      </c>
      <c r="B55" s="53"/>
    </row>
    <row r="57" customFormat="false" ht="15" hidden="false" customHeight="false" outlineLevel="0" collapsed="false">
      <c r="A57" s="55" t="s">
        <v>138</v>
      </c>
      <c r="B57" s="55" t="s">
        <v>139</v>
      </c>
      <c r="C57" s="55" t="s">
        <v>140</v>
      </c>
      <c r="D57" s="55" t="s">
        <v>141</v>
      </c>
      <c r="E57" s="56" t="s">
        <v>142</v>
      </c>
      <c r="F57" s="56" t="s">
        <v>143</v>
      </c>
      <c r="G57" s="55" t="s">
        <v>144</v>
      </c>
      <c r="H57" s="55" t="s">
        <v>145</v>
      </c>
      <c r="I57" s="55" t="s">
        <v>146</v>
      </c>
      <c r="J57" s="55" t="s">
        <v>147</v>
      </c>
      <c r="K57" s="55" t="s">
        <v>148</v>
      </c>
      <c r="L57" s="55" t="s">
        <v>149</v>
      </c>
      <c r="M57" s="55" t="s">
        <v>150</v>
      </c>
      <c r="N57" s="55" t="s">
        <v>151</v>
      </c>
      <c r="O57" s="55" t="s">
        <v>152</v>
      </c>
      <c r="P57" s="55" t="s">
        <v>153</v>
      </c>
      <c r="Q57" s="55" t="s">
        <v>154</v>
      </c>
      <c r="R57" s="55" t="s">
        <v>155</v>
      </c>
      <c r="S57" s="57" t="s">
        <v>156</v>
      </c>
      <c r="T57" s="57"/>
      <c r="U57" s="57"/>
      <c r="V57" s="57"/>
      <c r="W57" s="57"/>
    </row>
    <row r="58" customFormat="false" ht="15" hidden="false" customHeight="false" outlineLevel="0" collapsed="false">
      <c r="A58" s="58" t="s">
        <v>157</v>
      </c>
      <c r="B58" s="59" t="n">
        <f aca="false">Lagna</f>
        <v>136.711516666667</v>
      </c>
      <c r="C58" s="27" t="str">
        <f aca="false">INDEX(NakshatraTbl,INT(B58*0.075)+1,1)</f>
        <v>Purva Phalguni</v>
      </c>
      <c r="D58" s="27" t="str">
        <f aca="false">INDEX(NakshatraTbl,INT(B58*0.075)+1,3)</f>
        <v>Venus</v>
      </c>
      <c r="E58" s="60" t="str">
        <f aca="false">INDEX(RsTbl,F58)</f>
        <v>Le</v>
      </c>
      <c r="F58" s="61" t="n">
        <f aca="false">INT(B58/30)+1</f>
        <v>5</v>
      </c>
      <c r="G58" s="62" t="n">
        <f aca="false">INT(MOD(FLOOR(MOD(B58,30)/10,1)*120+B58,360)/30)+1</f>
        <v>9</v>
      </c>
      <c r="H58" s="35" t="str">
        <f aca="false">INDEX(RsTbl,G58)</f>
        <v>Sg</v>
      </c>
      <c r="I58" s="62" t="n">
        <f aca="false">INT(MOD(FLOOR(MOD(B58,30)/7.5,1)*90+B58,360)/30)+1</f>
        <v>11</v>
      </c>
      <c r="J58" s="35" t="str">
        <f aca="false">INDEX(RsTbl,I58)</f>
        <v>Aq</v>
      </c>
      <c r="K58" s="62" t="n">
        <f aca="false">INT(MOD(B58*7,360)/30)+1</f>
        <v>8</v>
      </c>
      <c r="L58" s="35" t="str">
        <f aca="false">INDEX(RsTbl,K58)</f>
        <v>Sc</v>
      </c>
      <c r="M58" s="62" t="n">
        <f aca="false">INT(MOD(B58*9,360)/30)+1</f>
        <v>6</v>
      </c>
      <c r="N58" s="35" t="str">
        <f aca="false">INDEX(RsTbl,M58)</f>
        <v>Vi</v>
      </c>
      <c r="O58" s="62" t="n">
        <f aca="false">INT(MOD(B58*10+INT(B58/30)*30+MOD(INT(B58/30),2)*270,360)/30)+1</f>
        <v>2</v>
      </c>
      <c r="P58" s="35" t="str">
        <f aca="false">INDEX(RsTbl,O58)</f>
        <v>Ta</v>
      </c>
      <c r="Q58" s="62" t="n">
        <f aca="false">INT(MOD((MOD(B58,30)/2.5)*30+INT(B58/30)*30,360)/30)+1</f>
        <v>11</v>
      </c>
      <c r="R58" s="35" t="str">
        <f aca="false">INDEX(RsTbl,Q58)</f>
        <v>Aq</v>
      </c>
      <c r="S58" s="63" t="n">
        <f aca="false">(IF(MOD(F58,2),1,-1)*ROUNDUP(F58/2,0))</f>
        <v>3</v>
      </c>
      <c r="T58" s="63"/>
      <c r="U58" s="63"/>
      <c r="V58" s="63"/>
      <c r="W58" s="63"/>
    </row>
    <row r="59" customFormat="false" ht="15" hidden="false" customHeight="false" outlineLevel="0" collapsed="false">
      <c r="A59" s="58" t="s">
        <v>158</v>
      </c>
      <c r="B59" s="26" t="n">
        <f aca="false">Sun</f>
        <v>92.3992027777778</v>
      </c>
      <c r="C59" s="27" t="str">
        <f aca="false">INDEX(NakshatraTbl,INT(B59*0.075)+1,1)</f>
        <v>Punarvasu</v>
      </c>
      <c r="D59" s="27" t="str">
        <f aca="false">INDEX(NakshatraTbl,INT(B59*0.075)+1,3)</f>
        <v>Jupiter</v>
      </c>
      <c r="E59" s="60" t="str">
        <f aca="false">INDEX(RsTbl,F59)</f>
        <v>Cn</v>
      </c>
      <c r="F59" s="61" t="n">
        <f aca="false">INT(B59/30)+1</f>
        <v>4</v>
      </c>
      <c r="G59" s="62" t="n">
        <f aca="false">INT(MOD(FLOOR(MOD(B59,30)/10,1)*120+B59,360)/30)+1</f>
        <v>4</v>
      </c>
      <c r="H59" s="35" t="str">
        <f aca="false">INDEX(RsTbl,G59)</f>
        <v>Cn</v>
      </c>
      <c r="I59" s="62" t="n">
        <f aca="false">INT(MOD(FLOOR(MOD(B59,30)/7.5,1)*90+B59,360)/30)+1</f>
        <v>4</v>
      </c>
      <c r="J59" s="35" t="str">
        <f aca="false">INDEX(RsTbl,I59)</f>
        <v>Cn</v>
      </c>
      <c r="K59" s="62" t="n">
        <f aca="false">INT(MOD(B59*7,360)/30)+1</f>
        <v>10</v>
      </c>
      <c r="L59" s="35" t="str">
        <f aca="false">INDEX(RsTbl,K59)</f>
        <v>Cp</v>
      </c>
      <c r="M59" s="62" t="n">
        <f aca="false">INT(MOD(B59*9,360)/30)+1</f>
        <v>4</v>
      </c>
      <c r="N59" s="35" t="str">
        <f aca="false">INDEX(RsTbl,M59)</f>
        <v>Cn</v>
      </c>
      <c r="O59" s="62" t="n">
        <f aca="false">INT(MOD(B59*10+INT(B59/30)*30+MOD(INT(B59/30),2)*270,360)/30)+1</f>
        <v>7</v>
      </c>
      <c r="P59" s="35" t="str">
        <f aca="false">INDEX(RsTbl,O59)</f>
        <v>Li</v>
      </c>
      <c r="Q59" s="62" t="n">
        <f aca="false">INT(MOD((MOD(B59,30)/2.5)*30+INT(B59/30)*30,360)/30)+1</f>
        <v>4</v>
      </c>
      <c r="R59" s="35" t="str">
        <f aca="false">INDEX(RsTbl,Q59)</f>
        <v>Cn</v>
      </c>
      <c r="S59" s="63" t="n">
        <f aca="false">(IF(MOD(F59,2),1,-1)*ROUNDUP(F59/2,0))</f>
        <v>-2</v>
      </c>
      <c r="T59" s="63"/>
      <c r="U59" s="63"/>
      <c r="V59" s="63"/>
      <c r="W59" s="63"/>
    </row>
    <row r="60" customFormat="false" ht="15" hidden="false" customHeight="false" outlineLevel="0" collapsed="false">
      <c r="A60" s="58" t="s">
        <v>159</v>
      </c>
      <c r="B60" s="26" t="n">
        <f aca="false">Moon</f>
        <v>53.0159444444444</v>
      </c>
      <c r="C60" s="27" t="str">
        <f aca="false">INDEX(NakshatraTbl,INT(B60*0.075)+1,1)</f>
        <v>Rohini</v>
      </c>
      <c r="D60" s="27" t="str">
        <f aca="false">INDEX(NakshatraTbl,INT(B60*0.075)+1,3)</f>
        <v>Moon</v>
      </c>
      <c r="E60" s="60" t="str">
        <f aca="false">INDEX(RsTbl,F60)</f>
        <v>Ta</v>
      </c>
      <c r="F60" s="61" t="n">
        <f aca="false">INT(B60/30)+1</f>
        <v>2</v>
      </c>
      <c r="G60" s="62" t="n">
        <f aca="false">INT(MOD(FLOOR(MOD(B60,30)/10,1)*120+B60,360)/30)+1</f>
        <v>10</v>
      </c>
      <c r="H60" s="35" t="str">
        <f aca="false">INDEX(RsTbl,G60)</f>
        <v>Cp</v>
      </c>
      <c r="I60" s="62" t="n">
        <f aca="false">INT(MOD(FLOOR(MOD(B60,30)/7.5,1)*90+B60,360)/30)+1</f>
        <v>11</v>
      </c>
      <c r="J60" s="35" t="str">
        <f aca="false">INDEX(RsTbl,I60)</f>
        <v>Aq</v>
      </c>
      <c r="K60" s="62" t="n">
        <f aca="false">INT(MOD(B60*7,360)/30)+1</f>
        <v>1</v>
      </c>
      <c r="L60" s="35" t="str">
        <f aca="false">INDEX(RsTbl,K60)</f>
        <v>Ar</v>
      </c>
      <c r="M60" s="62" t="n">
        <f aca="false">INT(MOD(B60*9,360)/30)+1</f>
        <v>4</v>
      </c>
      <c r="N60" s="35" t="str">
        <f aca="false">INDEX(RsTbl,M60)</f>
        <v>Cn</v>
      </c>
      <c r="O60" s="62" t="n">
        <f aca="false">INT(MOD(B60*10+INT(B60/30)*30+MOD(INT(B60/30),2)*270,360)/30)+1</f>
        <v>4</v>
      </c>
      <c r="P60" s="35" t="str">
        <f aca="false">INDEX(RsTbl,O60)</f>
        <v>Cn</v>
      </c>
      <c r="Q60" s="62" t="n">
        <f aca="false">INT(MOD((MOD(B60,30)/2.5)*30+INT(B60/30)*30,360)/30)+1</f>
        <v>11</v>
      </c>
      <c r="R60" s="35" t="str">
        <f aca="false">INDEX(RsTbl,Q60)</f>
        <v>Aq</v>
      </c>
      <c r="S60" s="63" t="n">
        <f aca="false">(IF(MOD(F60,2),1,-1)*ROUNDUP(F60/2,0))</f>
        <v>-1</v>
      </c>
      <c r="T60" s="63"/>
      <c r="U60" s="63"/>
      <c r="V60" s="63"/>
      <c r="W60" s="63"/>
    </row>
    <row r="61" customFormat="false" ht="15" hidden="false" customHeight="false" outlineLevel="0" collapsed="false">
      <c r="A61" s="58" t="s">
        <v>160</v>
      </c>
      <c r="B61" s="59" t="n">
        <f aca="false">Mars</f>
        <v>298.108663888889</v>
      </c>
      <c r="C61" s="27" t="str">
        <f aca="false">INDEX(NakshatraTbl,INT(B61*0.075)+1,1)</f>
        <v>Shravan</v>
      </c>
      <c r="D61" s="27" t="str">
        <f aca="false">INDEX(NakshatraTbl,INT(B61*0.075)+1,3)</f>
        <v>Moon</v>
      </c>
      <c r="E61" s="60" t="str">
        <f aca="false">INDEX(RsTbl,F61)</f>
        <v>Cp</v>
      </c>
      <c r="F61" s="61" t="n">
        <f aca="false">INT(B61/30)+1</f>
        <v>10</v>
      </c>
      <c r="G61" s="62" t="n">
        <f aca="false">INT(MOD(FLOOR(MOD(B61,30)/10,1)*120+B61,360)/30)+1</f>
        <v>6</v>
      </c>
      <c r="H61" s="35" t="str">
        <f aca="false">INDEX(RsTbl,G61)</f>
        <v>Vi</v>
      </c>
      <c r="I61" s="62" t="n">
        <f aca="false">INT(MOD(FLOOR(MOD(B61,30)/7.5,1)*90+B61,360)/30)+1</f>
        <v>7</v>
      </c>
      <c r="J61" s="35" t="str">
        <f aca="false">INDEX(RsTbl,I61)</f>
        <v>Li</v>
      </c>
      <c r="K61" s="62" t="n">
        <f aca="false">INT(MOD(B61*7,360)/30)+1</f>
        <v>10</v>
      </c>
      <c r="L61" s="35" t="str">
        <f aca="false">INDEX(RsTbl,K61)</f>
        <v>Cp</v>
      </c>
      <c r="M61" s="62" t="n">
        <f aca="false">INT(MOD(B61*9,360)/30)+1</f>
        <v>6</v>
      </c>
      <c r="N61" s="35" t="str">
        <f aca="false">INDEX(RsTbl,M61)</f>
        <v>Vi</v>
      </c>
      <c r="O61" s="62" t="n">
        <f aca="false">INT(MOD(B61*10+INT(B61/30)*30+MOD(INT(B61/30),2)*270,360)/30)+1</f>
        <v>10</v>
      </c>
      <c r="P61" s="35" t="str">
        <f aca="false">INDEX(RsTbl,O61)</f>
        <v>Cp</v>
      </c>
      <c r="Q61" s="62" t="n">
        <f aca="false">INT(MOD((MOD(B61,30)/2.5)*30+INT(B61/30)*30,360)/30)+1</f>
        <v>9</v>
      </c>
      <c r="R61" s="35" t="str">
        <f aca="false">INDEX(RsTbl,Q61)</f>
        <v>Sg</v>
      </c>
      <c r="S61" s="63" t="n">
        <f aca="false">(IF(MOD(F61,2),1,-1)*ROUNDUP(F61/2,0))</f>
        <v>-5</v>
      </c>
      <c r="T61" s="63"/>
      <c r="U61" s="63"/>
      <c r="V61" s="63"/>
      <c r="W61" s="63"/>
    </row>
    <row r="62" customFormat="false" ht="15" hidden="false" customHeight="false" outlineLevel="0" collapsed="false">
      <c r="A62" s="58" t="s">
        <v>161</v>
      </c>
      <c r="B62" s="26" t="n">
        <f aca="false">Mercury</f>
        <v>117.129786111111</v>
      </c>
      <c r="C62" s="27" t="str">
        <f aca="false">INDEX(NakshatraTbl,INT(B62*0.075)+1,1)</f>
        <v>Ashlesha</v>
      </c>
      <c r="D62" s="27" t="str">
        <f aca="false">INDEX(NakshatraTbl,INT(B62*0.075)+1,3)</f>
        <v>Merc</v>
      </c>
      <c r="E62" s="60" t="str">
        <f aca="false">INDEX(RsTbl,F62)</f>
        <v>Cn</v>
      </c>
      <c r="F62" s="61" t="n">
        <f aca="false">INT(B62/30)+1</f>
        <v>4</v>
      </c>
      <c r="G62" s="62" t="n">
        <f aca="false">INT(MOD(FLOOR(MOD(B62,30)/10,1)*120+B62,360)/30)+1</f>
        <v>12</v>
      </c>
      <c r="H62" s="35" t="str">
        <f aca="false">INDEX(RsTbl,G62)</f>
        <v>Pi</v>
      </c>
      <c r="I62" s="62" t="n">
        <f aca="false">INT(MOD(FLOOR(MOD(B62,30)/7.5,1)*90+B62,360)/30)+1</f>
        <v>1</v>
      </c>
      <c r="J62" s="35" t="str">
        <f aca="false">INDEX(RsTbl,I62)</f>
        <v>Ar</v>
      </c>
      <c r="K62" s="62" t="n">
        <f aca="false">INT(MOD(B62*7,360)/30)+1</f>
        <v>4</v>
      </c>
      <c r="L62" s="35" t="str">
        <f aca="false">INDEX(RsTbl,K62)</f>
        <v>Cn</v>
      </c>
      <c r="M62" s="62" t="n">
        <f aca="false">INT(MOD(B62*9,360)/30)+1</f>
        <v>12</v>
      </c>
      <c r="N62" s="35" t="str">
        <f aca="false">INDEX(RsTbl,M62)</f>
        <v>Pi</v>
      </c>
      <c r="O62" s="62" t="n">
        <f aca="false">INT(MOD(B62*10+INT(B62/30)*30+MOD(INT(B62/30),2)*270,360)/30)+1</f>
        <v>4</v>
      </c>
      <c r="P62" s="35" t="str">
        <f aca="false">INDEX(RsTbl,O62)</f>
        <v>Cn</v>
      </c>
      <c r="Q62" s="62" t="n">
        <f aca="false">INT(MOD((MOD(B62,30)/2.5)*30+INT(B62/30)*30,360)/30)+1</f>
        <v>2</v>
      </c>
      <c r="R62" s="35" t="str">
        <f aca="false">INDEX(RsTbl,Q62)</f>
        <v>Ta</v>
      </c>
      <c r="S62" s="63" t="n">
        <f aca="false">(IF(MOD(F62,2),1,-1)*ROUNDUP(F62/2,0))</f>
        <v>-2</v>
      </c>
      <c r="T62" s="63"/>
      <c r="U62" s="63"/>
      <c r="V62" s="63"/>
      <c r="W62" s="63"/>
    </row>
    <row r="63" customFormat="false" ht="15" hidden="false" customHeight="false" outlineLevel="0" collapsed="false">
      <c r="A63" s="58" t="s">
        <v>162</v>
      </c>
      <c r="B63" s="59" t="n">
        <f aca="false">Jupiter</f>
        <v>213.197175</v>
      </c>
      <c r="C63" s="27" t="str">
        <f aca="false">INDEX(NakshatraTbl,INT(B63*0.075)+1,1)</f>
        <v>Vishakha</v>
      </c>
      <c r="D63" s="27" t="str">
        <f aca="false">INDEX(NakshatraTbl,INT(B63*0.075)+1,3)</f>
        <v>Jupiter</v>
      </c>
      <c r="E63" s="60" t="str">
        <f aca="false">INDEX(RsTbl,F63)</f>
        <v>Sc</v>
      </c>
      <c r="F63" s="61" t="n">
        <f aca="false">INT(B63/30)+1</f>
        <v>8</v>
      </c>
      <c r="G63" s="62" t="n">
        <f aca="false">INT(MOD(FLOOR(MOD(B63,30)/10,1)*120+B63,360)/30)+1</f>
        <v>8</v>
      </c>
      <c r="H63" s="35" t="str">
        <f aca="false">INDEX(RsTbl,G63)</f>
        <v>Sc</v>
      </c>
      <c r="I63" s="62" t="n">
        <f aca="false">INT(MOD(FLOOR(MOD(B63,30)/7.5,1)*90+B63,360)/30)+1</f>
        <v>8</v>
      </c>
      <c r="J63" s="35" t="str">
        <f aca="false">INDEX(RsTbl,I63)</f>
        <v>Sc</v>
      </c>
      <c r="K63" s="62" t="n">
        <f aca="false">INT(MOD(B63*7,360)/30)+1</f>
        <v>2</v>
      </c>
      <c r="L63" s="35" t="str">
        <f aca="false">INDEX(RsTbl,K63)</f>
        <v>Ta</v>
      </c>
      <c r="M63" s="62" t="n">
        <f aca="false">INT(MOD(B63*9,360)/30)+1</f>
        <v>4</v>
      </c>
      <c r="N63" s="35" t="str">
        <f aca="false">INDEX(RsTbl,M63)</f>
        <v>Cn</v>
      </c>
      <c r="O63" s="62" t="n">
        <f aca="false">INT(MOD(B63*10+INT(B63/30)*30+MOD(INT(B63/30),2)*270,360)/30)+1</f>
        <v>4</v>
      </c>
      <c r="P63" s="35" t="str">
        <f aca="false">INDEX(RsTbl,O63)</f>
        <v>Cn</v>
      </c>
      <c r="Q63" s="62" t="n">
        <f aca="false">INT(MOD((MOD(B63,30)/2.5)*30+INT(B63/30)*30,360)/30)+1</f>
        <v>9</v>
      </c>
      <c r="R63" s="35" t="str">
        <f aca="false">INDEX(RsTbl,Q63)</f>
        <v>Sg</v>
      </c>
      <c r="S63" s="63" t="n">
        <f aca="false">(IF(MOD(F63,2),1,-1)*ROUNDUP(F63/2,0))</f>
        <v>-4</v>
      </c>
      <c r="T63" s="63"/>
      <c r="U63" s="63"/>
      <c r="V63" s="63"/>
      <c r="W63" s="63"/>
    </row>
    <row r="64" customFormat="false" ht="15" hidden="false" customHeight="false" outlineLevel="0" collapsed="false">
      <c r="A64" s="58" t="s">
        <v>163</v>
      </c>
      <c r="B64" s="26" t="n">
        <f aca="false">Venus</f>
        <v>81.5406027777778</v>
      </c>
      <c r="C64" s="27" t="str">
        <f aca="false">INDEX(NakshatraTbl,INT(B64*0.075)+1,1)</f>
        <v>Punarvasu</v>
      </c>
      <c r="D64" s="27" t="str">
        <f aca="false">INDEX(NakshatraTbl,INT(B64*0.075)+1,3)</f>
        <v>Jupiter</v>
      </c>
      <c r="E64" s="60" t="str">
        <f aca="false">INDEX(RsTbl,F64)</f>
        <v>Ge</v>
      </c>
      <c r="F64" s="61" t="n">
        <f aca="false">INT(B64/30)+1</f>
        <v>3</v>
      </c>
      <c r="G64" s="62" t="n">
        <f aca="false">INT(MOD(FLOOR(MOD(B64,30)/10,1)*120+B64,360)/30)+1</f>
        <v>11</v>
      </c>
      <c r="H64" s="35" t="str">
        <f aca="false">INDEX(RsTbl,G64)</f>
        <v>Aq</v>
      </c>
      <c r="I64" s="62" t="n">
        <f aca="false">INT(MOD(FLOOR(MOD(B64,30)/7.5,1)*90+B64,360)/30)+1</f>
        <v>9</v>
      </c>
      <c r="J64" s="35" t="str">
        <f aca="false">INDEX(RsTbl,I64)</f>
        <v>Sg</v>
      </c>
      <c r="K64" s="62" t="n">
        <f aca="false">INT(MOD(B64*7,360)/30)+1</f>
        <v>8</v>
      </c>
      <c r="L64" s="35" t="str">
        <f aca="false">INDEX(RsTbl,K64)</f>
        <v>Sc</v>
      </c>
      <c r="M64" s="62" t="n">
        <f aca="false">INT(MOD(B64*9,360)/30)+1</f>
        <v>1</v>
      </c>
      <c r="N64" s="35" t="str">
        <f aca="false">INDEX(RsTbl,M64)</f>
        <v>Ar</v>
      </c>
      <c r="O64" s="62" t="n">
        <f aca="false">INT(MOD(B64*10+INT(B64/30)*30+MOD(INT(B64/30),2)*270,360)/30)+1</f>
        <v>6</v>
      </c>
      <c r="P64" s="35" t="str">
        <f aca="false">INDEX(RsTbl,O64)</f>
        <v>Vi</v>
      </c>
      <c r="Q64" s="62" t="n">
        <f aca="false">INT(MOD((MOD(B64,30)/2.5)*30+INT(B64/30)*30,360)/30)+1</f>
        <v>11</v>
      </c>
      <c r="R64" s="35" t="str">
        <f aca="false">INDEX(RsTbl,Q64)</f>
        <v>Aq</v>
      </c>
      <c r="S64" s="63" t="n">
        <f aca="false">(IF(MOD(F64,2),1,-1)*ROUNDUP(F64/2,0))</f>
        <v>2</v>
      </c>
      <c r="T64" s="63"/>
      <c r="U64" s="63"/>
      <c r="V64" s="63"/>
      <c r="W64" s="63"/>
    </row>
    <row r="65" customFormat="false" ht="15" hidden="false" customHeight="false" outlineLevel="0" collapsed="false">
      <c r="A65" s="58" t="s">
        <v>164</v>
      </c>
      <c r="B65" s="59" t="n">
        <f aca="false">Saturn</f>
        <v>39.8852111111111</v>
      </c>
      <c r="C65" s="27" t="str">
        <f aca="false">INDEX(NakshatraTbl,INT(B65*0.075)+1,1)</f>
        <v>Kritika</v>
      </c>
      <c r="D65" s="27" t="str">
        <f aca="false">INDEX(NakshatraTbl,INT(B65*0.075)+1,3)</f>
        <v>Sun</v>
      </c>
      <c r="E65" s="60" t="str">
        <f aca="false">INDEX(RsTbl,F65)</f>
        <v>Ta</v>
      </c>
      <c r="F65" s="61" t="n">
        <f aca="false">INT(B65/30)+1</f>
        <v>2</v>
      </c>
      <c r="G65" s="62" t="n">
        <f aca="false">INT(MOD(FLOOR(MOD(B65,30)/10,1)*120+B65,360)/30)+1</f>
        <v>2</v>
      </c>
      <c r="H65" s="35" t="str">
        <f aca="false">INDEX(RsTbl,G65)</f>
        <v>Ta</v>
      </c>
      <c r="I65" s="62" t="n">
        <f aca="false">INT(MOD(FLOOR(MOD(B65,30)/7.5,1)*90+B65,360)/30)+1</f>
        <v>5</v>
      </c>
      <c r="J65" s="35" t="str">
        <f aca="false">INDEX(RsTbl,I65)</f>
        <v>Le</v>
      </c>
      <c r="K65" s="62" t="n">
        <f aca="false">INT(MOD(B65*7,360)/30)+1</f>
        <v>10</v>
      </c>
      <c r="L65" s="35" t="str">
        <f aca="false">INDEX(RsTbl,K65)</f>
        <v>Cp</v>
      </c>
      <c r="M65" s="62" t="n">
        <f aca="false">INT(MOD(B65*9,360)/30)+1</f>
        <v>12</v>
      </c>
      <c r="N65" s="35" t="str">
        <f aca="false">INDEX(RsTbl,M65)</f>
        <v>Pi</v>
      </c>
      <c r="O65" s="62" t="n">
        <f aca="false">INT(MOD(B65*10+INT(B65/30)*30+MOD(INT(B65/30),2)*270,360)/30)+1</f>
        <v>12</v>
      </c>
      <c r="P65" s="35" t="str">
        <f aca="false">INDEX(RsTbl,O65)</f>
        <v>Pi</v>
      </c>
      <c r="Q65" s="62" t="n">
        <f aca="false">INT(MOD((MOD(B65,30)/2.5)*30+INT(B65/30)*30,360)/30)+1</f>
        <v>5</v>
      </c>
      <c r="R65" s="35" t="str">
        <f aca="false">INDEX(RsTbl,Q65)</f>
        <v>Le</v>
      </c>
      <c r="S65" s="63" t="n">
        <f aca="false">(IF(MOD(F65,2),1,-1)*ROUNDUP(F65/2,0))</f>
        <v>-1</v>
      </c>
      <c r="T65" s="63"/>
      <c r="U65" s="63"/>
      <c r="V65" s="63"/>
      <c r="W65" s="63"/>
    </row>
    <row r="66" customFormat="false" ht="15" hidden="false" customHeight="false" outlineLevel="0" collapsed="false">
      <c r="A66" s="58" t="s">
        <v>165</v>
      </c>
      <c r="B66" s="59" t="n">
        <f aca="false">Rahu</f>
        <v>291.967238888889</v>
      </c>
      <c r="C66" s="27" t="str">
        <f aca="false">INDEX(NakshatraTbl,INT(B66*0.075)+1,1)</f>
        <v>Abhijit</v>
      </c>
      <c r="D66" s="27" t="str">
        <f aca="false">INDEX(NakshatraTbl,INT(B66*0.075)+1,3)</f>
        <v>Sun</v>
      </c>
      <c r="E66" s="60" t="str">
        <f aca="false">INDEX(RsTbl,F66)</f>
        <v>Cp</v>
      </c>
      <c r="F66" s="61" t="n">
        <f aca="false">INT(B66/30)+1</f>
        <v>10</v>
      </c>
      <c r="G66" s="62" t="n">
        <f aca="false">INT(MOD(FLOOR(MOD(B66,30)/10,1)*120+B66,360)/30)+1</f>
        <v>6</v>
      </c>
      <c r="H66" s="35" t="str">
        <f aca="false">INDEX(RsTbl,G66)</f>
        <v>Vi</v>
      </c>
      <c r="I66" s="62" t="n">
        <f aca="false">INT(MOD(FLOOR(MOD(B66,30)/7.5,1)*90+B66,360)/30)+1</f>
        <v>4</v>
      </c>
      <c r="J66" s="35" t="str">
        <f aca="false">INDEX(RsTbl,I66)</f>
        <v>Cn</v>
      </c>
      <c r="K66" s="62" t="n">
        <f aca="false">INT(MOD(B66*7,360)/30)+1</f>
        <v>9</v>
      </c>
      <c r="L66" s="35" t="str">
        <f aca="false">INDEX(RsTbl,K66)</f>
        <v>Sg</v>
      </c>
      <c r="M66" s="62" t="n">
        <f aca="false">INT(MOD(B66*9,360)/30)+1</f>
        <v>4</v>
      </c>
      <c r="N66" s="35" t="str">
        <f aca="false">INDEX(RsTbl,M66)</f>
        <v>Cn</v>
      </c>
      <c r="O66" s="62" t="n">
        <f aca="false">INT(MOD(B66*10+INT(B66/30)*30+MOD(INT(B66/30),2)*270,360)/30)+1</f>
        <v>8</v>
      </c>
      <c r="P66" s="35" t="str">
        <f aca="false">INDEX(RsTbl,O66)</f>
        <v>Sc</v>
      </c>
      <c r="Q66" s="62" t="n">
        <f aca="false">INT(MOD((MOD(B66,30)/2.5)*30+INT(B66/30)*30,360)/30)+1</f>
        <v>6</v>
      </c>
      <c r="R66" s="35" t="str">
        <f aca="false">INDEX(RsTbl,Q66)</f>
        <v>Vi</v>
      </c>
      <c r="S66" s="63" t="n">
        <f aca="false">(IF(MOD(F66,2),1,-1)*ROUNDUP(F66/2,0))</f>
        <v>-5</v>
      </c>
      <c r="T66" s="63"/>
      <c r="U66" s="63"/>
      <c r="V66" s="63"/>
      <c r="W66" s="63"/>
    </row>
    <row r="67" customFormat="false" ht="15" hidden="false" customHeight="false" outlineLevel="0" collapsed="false">
      <c r="A67" s="58" t="s">
        <v>166</v>
      </c>
      <c r="B67" s="59" t="n">
        <f aca="false">Ketu</f>
        <v>111.967238888889</v>
      </c>
      <c r="C67" s="27" t="str">
        <f aca="false">INDEX(NakshatraTbl,INT(B67*0.075)+1,1)</f>
        <v>Ashlesha</v>
      </c>
      <c r="D67" s="27" t="str">
        <f aca="false">INDEX(NakshatraTbl,INT(B67*0.075)+1,3)</f>
        <v>Merc</v>
      </c>
      <c r="E67" s="60" t="str">
        <f aca="false">INDEX(RsTbl,F67)</f>
        <v>Cn</v>
      </c>
      <c r="F67" s="61" t="n">
        <f aca="false">INT(B67/30)+1</f>
        <v>4</v>
      </c>
      <c r="G67" s="62" t="n">
        <f aca="false">INT(MOD(FLOOR(MOD(B67,30)/10,1)*120+B67,360)/30)+1</f>
        <v>12</v>
      </c>
      <c r="H67" s="35" t="str">
        <f aca="false">INDEX(RsTbl,G67)</f>
        <v>Pi</v>
      </c>
      <c r="I67" s="62" t="n">
        <f aca="false">INT(MOD(FLOOR(MOD(B67,30)/7.5,1)*90+B67,360)/30)+1</f>
        <v>10</v>
      </c>
      <c r="J67" s="35" t="str">
        <f aca="false">INDEX(RsTbl,I67)</f>
        <v>Cp</v>
      </c>
      <c r="K67" s="62" t="n">
        <f aca="false">INT(MOD(B67*7,360)/30)+1</f>
        <v>3</v>
      </c>
      <c r="L67" s="35" t="str">
        <f aca="false">INDEX(RsTbl,K67)</f>
        <v>Ge</v>
      </c>
      <c r="M67" s="62" t="n">
        <f aca="false">INT(MOD(B67*9,360)/30)+1</f>
        <v>10</v>
      </c>
      <c r="N67" s="35" t="str">
        <f aca="false">INDEX(RsTbl,M67)</f>
        <v>Cp</v>
      </c>
      <c r="O67" s="62" t="n">
        <f aca="false">INT(MOD(B67*10+INT(B67/30)*30+MOD(INT(B67/30),2)*270,360)/30)+1</f>
        <v>2</v>
      </c>
      <c r="P67" s="35" t="str">
        <f aca="false">INDEX(RsTbl,O67)</f>
        <v>Ta</v>
      </c>
      <c r="Q67" s="62" t="n">
        <f aca="false">INT(MOD((MOD(B67,30)/2.5)*30+INT(B67/30)*30,360)/30)+1</f>
        <v>12</v>
      </c>
      <c r="R67" s="35" t="str">
        <f aca="false">INDEX(RsTbl,Q67)</f>
        <v>Pi</v>
      </c>
      <c r="S67" s="63" t="n">
        <f aca="false">(IF(MOD(F67,2),1,-1)*ROUNDUP(F67/2,0))</f>
        <v>-2</v>
      </c>
      <c r="T67" s="63"/>
      <c r="U67" s="63"/>
      <c r="V67" s="63"/>
      <c r="W67" s="63"/>
    </row>
    <row r="68" customFormat="false" ht="15" hidden="false" customHeight="false" outlineLevel="0" collapsed="false">
      <c r="A68" s="58" t="s">
        <v>167</v>
      </c>
      <c r="B68" s="26" t="n">
        <f aca="false">Basics!G32</f>
        <v>354.184380555556</v>
      </c>
      <c r="C68" s="27" t="str">
        <f aca="false">INDEX(NakshatraTbl,INT(B68*0.075)+1,1)</f>
        <v>Uttara Bhadrapad</v>
      </c>
      <c r="D68" s="27" t="str">
        <f aca="false">INDEX(NakshatraTbl,INT(B68*0.075)+1,3)</f>
        <v>Sat</v>
      </c>
      <c r="E68" s="64" t="str">
        <f aca="false">INDEX(RsTbl,F68)</f>
        <v>Pi</v>
      </c>
      <c r="F68" s="65" t="n">
        <f aca="false">INT(B68/30)+1</f>
        <v>12</v>
      </c>
      <c r="G68" s="62" t="n">
        <f aca="false">INT(MOD(FLOOR(MOD(B68,30)/10,1)*120+B68,360)/30)+1</f>
        <v>8</v>
      </c>
      <c r="H68" s="35" t="str">
        <f aca="false">INDEX(RsTbl,G68)</f>
        <v>Sc</v>
      </c>
      <c r="I68" s="62" t="n">
        <f aca="false">INT(MOD(FLOOR(MOD(B68,30)/7.5,1)*90+B68,360)/30)+1</f>
        <v>9</v>
      </c>
      <c r="J68" s="35" t="str">
        <f aca="false">INDEX(RsTbl,I68)</f>
        <v>Sg</v>
      </c>
      <c r="K68" s="62" t="n">
        <f aca="false">INT(MOD(B68*7,360)/30)+1</f>
        <v>11</v>
      </c>
      <c r="L68" s="35" t="str">
        <f aca="false">INDEX(RsTbl,K68)</f>
        <v>Aq</v>
      </c>
      <c r="M68" s="62" t="n">
        <f aca="false">INT(MOD(B68*9,360)/30)+1</f>
        <v>11</v>
      </c>
      <c r="N68" s="35" t="str">
        <f aca="false">INDEX(RsTbl,M68)</f>
        <v>Aq</v>
      </c>
      <c r="O68" s="62" t="n">
        <f aca="false">INT(MOD(B68*10+INT(B68/30)*30+MOD(INT(B68/30),2)*270,360)/30)+1</f>
        <v>7</v>
      </c>
      <c r="P68" s="35" t="str">
        <f aca="false">INDEX(RsTbl,O68)</f>
        <v>Li</v>
      </c>
      <c r="Q68" s="62" t="n">
        <f aca="false">INT(MOD((MOD(B68,30)/2.5)*30+INT(B68/30)*30,360)/30)+1</f>
        <v>9</v>
      </c>
      <c r="R68" s="35" t="str">
        <f aca="false">INDEX(RsTbl,Q68)</f>
        <v>Sg</v>
      </c>
      <c r="S68" s="63" t="n">
        <f aca="false">(IF(MOD(F68,2),1,-1)*ROUNDUP(F68/2,0))</f>
        <v>-6</v>
      </c>
      <c r="T68" s="63"/>
      <c r="U68" s="63"/>
      <c r="V68" s="63"/>
      <c r="W68" s="63"/>
    </row>
    <row r="69" customFormat="false" ht="15" hidden="false" customHeight="false" outlineLevel="0" collapsed="false">
      <c r="D69" s="63"/>
      <c r="E69" s="63"/>
      <c r="F69" s="63"/>
      <c r="G69" s="63"/>
      <c r="H69" s="63"/>
      <c r="I69" s="63"/>
      <c r="J69" s="63"/>
      <c r="K69" s="63"/>
      <c r="L69" s="63"/>
      <c r="M69" s="63"/>
      <c r="N69" s="63"/>
      <c r="O69" s="63"/>
      <c r="P69" s="63"/>
      <c r="Q69" s="63"/>
      <c r="R69" s="63"/>
      <c r="S69" s="63"/>
      <c r="T69" s="63"/>
      <c r="U69" s="63"/>
      <c r="V69" s="63"/>
      <c r="W69" s="63"/>
      <c r="X69" s="63"/>
      <c r="Y69" s="63"/>
      <c r="Z69" s="63"/>
    </row>
    <row r="70" customFormat="false" ht="28.35" hidden="false" customHeight="false" outlineLevel="0" collapsed="false">
      <c r="E70" s="66"/>
      <c r="F70" s="67" t="str">
        <f aca="false">IF((M67-1)=11,$A$67&amp;"/ ","")&amp;IF((M60-1)=11,$A$60&amp;"/ ","")&amp;IF((M58-1)=11,$A$58&amp;"/ ","")&amp;IF((M59-1)=11,$A$59&amp;"/ ","")&amp;IF((M66-1)=11,$A$66&amp;"/ ","")&amp;IF((M61-1)=11,$A$61&amp;"/ ","")&amp;IF((M65-1)=11,$A$65&amp;"/ ","")&amp;IF((M62-1)=11,$A$62&amp;"/ ","")&amp;IF((M63-1)=11,$A$63&amp;"/ ","")&amp;IF((M64-1)=11,$A$64&amp;"/ ","")</f>
        <v>Saturn/ Mercury/ </v>
      </c>
      <c r="G70" s="67" t="str">
        <f aca="false">IF((M67-1)=0,$A$67&amp;"/ ","")&amp;IF((M60-1)=0,$A$60&amp;"/ ","")&amp;IF((M58-1)=0,$A$58&amp;"/ ","")&amp;IF((M59-1)=0,$A$59&amp;"/ ","")&amp;IF((M66-1)=0,$A$66&amp;"/ ","")&amp;IF((M61-1)=0,$A$61&amp;"/ ","")&amp;IF((M65-1)=0,$A$65&amp;"/ ","")&amp;IF((M62-1)=0,$A$62&amp;"/ ","")&amp;IF((M63-1)=0,$A$63&amp;"/ ","")&amp;IF((M64-1)=0,$A$64&amp;"/ ","")</f>
        <v>Venus/ </v>
      </c>
      <c r="H70" s="67" t="str">
        <f aca="false">IF((M67-1)=1,$A$67&amp;"/ ","")&amp;IF((M60-1)=1,$A$60&amp;"/ ","")&amp;IF((M58-1)=1,$A$58&amp;"/ ","")&amp;IF((M59-1)=1,$A$59&amp;"/ ","")&amp;IF((M66-1)=1,$A$66&amp;"/ ","")&amp;IF((M61-1)=1,$A$61&amp;"/ ","")&amp;IF((M65-1)=1,$A$65&amp;"/ ","")&amp;IF((M62-1)=1,$A$62&amp;"/ ","")&amp;IF((M63-1)=1,$A$63&amp;"/ ","")&amp;IF((M64-1)=1,$A$64&amp;"/ ","")</f>
        <v/>
      </c>
      <c r="I70" s="67" t="str">
        <f aca="false">IF((M67-1)=2,$A$67&amp;"/ ","")&amp;IF((M60-1)=2,$A$60&amp;"/ ","")&amp;IF((M58-1)=2,$A$58&amp;"/ ","")&amp;IF((M59-1)=2,$A$59&amp;"/ ","")&amp;IF((M66-1)=2,$A$66&amp;"/ ","")&amp;IF((M61-1)=2,$A$61&amp;"/ ","")&amp;IF((M65-1)=2,$A$65&amp;"/ ","")&amp;IF((M62-1)=2,$A$62&amp;"/ ","")&amp;IF((M63-1)=2,$A$63&amp;"/ ","")&amp;IF((M64-1)=2,$A$64&amp;"/ ","")</f>
        <v/>
      </c>
      <c r="J70" s="66"/>
      <c r="K70" s="67" t="str">
        <f aca="false">IF((G67-1)=11,$A$67&amp;"/ ","")&amp;IF((G60-1)=11,$A$60&amp;"/ ","")&amp;IF((G58-1)=11,$A$58&amp;"/ ","")&amp;IF((G59-1)=11,$A$59&amp;"/ ","")&amp;IF((G66-1)=11,$A$66&amp;"/ ","")&amp;IF((G61-1)=11,$A$61&amp;"/ ","")&amp;IF((G65-1)=11,$A$65&amp;"/ ","")&amp;IF((G62-1)=11,$A$62&amp;"/ ","")&amp;IF((G63-1)=11,$A$63&amp;"/ ","")&amp;IF((G64-1)=11,$A$64&amp;"/ ","")</f>
        <v>Ketu/ Mercury/ </v>
      </c>
      <c r="L70" s="67" t="str">
        <f aca="false">IF((G67-1)=0,$A$67&amp;"/ ","")&amp;IF((G60-1)=0,$A$60&amp;"/ ","")&amp;IF((G58-1)=0,$A$58&amp;"/ ","")&amp;IF((G59-1)=0,$A$59&amp;"/ ","")&amp;IF((G66-1)=0,$A$66&amp;"/ ","")&amp;IF((G61-1)=0,$A$61&amp;"/ ","")&amp;IF((G65-1)=0,$A$65&amp;"/ ","")&amp;IF((G62-1)=0,$A$62&amp;"/ ","")&amp;IF((G63-1)=0,$A$63&amp;"/ ","")&amp;IF((G64-1)=0,$A$64&amp;"/ ","")</f>
        <v/>
      </c>
      <c r="M70" s="67" t="str">
        <f aca="false">IF((G67-1)=1,$A$67&amp;"/ ","")&amp;IF((G60-1)=1,$A$60&amp;"/ ","")&amp;IF((G58-1)=1,$A$58&amp;"/ ","")&amp;IF((G59-1)=1,$A$59&amp;"/ ","")&amp;IF((G66-1)=1,$A$66&amp;"/ ","")&amp;IF((G61-1)=1,$A$61&amp;"/ ","")&amp;IF((G65-1)=1,$A$65&amp;"/ ","")&amp;IF((G62-1)=1,$A$62&amp;"/ ","")&amp;IF((G63-1)=1,$A$63&amp;"/ ","")&amp;IF((G64-1)=1,$A$64&amp;"/ ","")</f>
        <v>Saturn/ </v>
      </c>
      <c r="N70" s="67" t="str">
        <f aca="false">IF((G67-1)=2,$A$67&amp;"/ ","")&amp;IF((G60-1)=2,$A$60&amp;"/ ","")&amp;IF((G58-1)=2,$A$58&amp;"/ ","")&amp;IF((G59-1)=2,$A$59&amp;"/ ","")&amp;IF((G66-1)=2,$A$66&amp;"/ ","")&amp;IF((G61-1)=2,$A$61&amp;"/ ","")&amp;IF((G65-1)=2,$A$65&amp;"/ ","")&amp;IF((G62-1)=2,$A$62&amp;"/ ","")&amp;IF((G63-1)=2,$A$63&amp;"/ ","")&amp;IF((G64-1)=2,$A$64&amp;"/ ","")</f>
        <v/>
      </c>
      <c r="O70" s="68"/>
      <c r="S70" s="69"/>
      <c r="T70" s="70" t="str">
        <f aca="false">Charts!J2</f>
        <v>Moon/ Saturn/ </v>
      </c>
      <c r="U70" s="71" t="str">
        <f aca="false">Charts!I2</f>
        <v/>
      </c>
      <c r="V70" s="70" t="str">
        <f aca="false">Charts!H2</f>
        <v/>
      </c>
      <c r="W70" s="72"/>
    </row>
    <row r="71" customFormat="false" ht="45.75" hidden="false" customHeight="true" outlineLevel="0" collapsed="false">
      <c r="E71" s="66"/>
      <c r="F71" s="67" t="str">
        <f aca="false">IF((M67-1)=10,$A$67&amp;"/ ","")&amp;IF((M60-1)=10,$A$60&amp;"/ ","")&amp;IF((M58-1)=10,$A$58&amp;"/ ","")&amp;IF((M59-1)=10,$A$59&amp;"/ ","")&amp;IF((M66-1)=10,$A$66&amp;"/ ","")&amp;IF((M61-1)=10,$A$61&amp;"/ ","")&amp;IF((M65-1)=10,$A$65&amp;"/ ","")&amp;IF((M62-1)=10,$A$62&amp;"/ ","")&amp;IF((M63-1)=10,$A$63&amp;"/ ","")&amp;IF((M64-1)=10,$A$64&amp;"/ ","")</f>
        <v/>
      </c>
      <c r="G71" s="73" t="s">
        <v>168</v>
      </c>
      <c r="H71" s="73"/>
      <c r="I71" s="67" t="str">
        <f aca="false">IF((M67-1)=3,$A$67&amp;"/ ","")&amp;IF((M60-1)=3,$A$60&amp;"/ ","")&amp;IF((M58-1)=3,$A$58&amp;"/ ","")&amp;IF((M59-1)=3,$A$59&amp;"/ ","")&amp;IF((M66-1)=3,$A$66&amp;"/ ","")&amp;IF((M61-1)=3,$A$61&amp;"/ ","")&amp;IF((M65-1)=3,$A$65&amp;"/ ","")&amp;IF((M62-1)=3,$A$62&amp;"/ ","")&amp;IF((M63-1)=3,$A$63&amp;"/ ","")&amp;IF((M64-1)=3,$A$64&amp;"/ ","")</f>
        <v>Moon/ Sun/ Rahu/ Jupiter/ </v>
      </c>
      <c r="J71" s="66"/>
      <c r="K71" s="67" t="str">
        <f aca="false">IF((G67-1)=10,$A$67&amp;"/ ","")&amp;IF((G60-1)=10,$A$60&amp;"/ ","")&amp;IF((G58-1)=10,$A$58&amp;"/ ","")&amp;IF((G59-1)=10,$A$59&amp;"/ ","")&amp;IF((G66-1)=10,$A$66&amp;"/ ","")&amp;IF((G61-1)=10,$A$61&amp;"/ ","")&amp;IF((G65-1)=10,$A$65&amp;"/ ","")&amp;IF((G62-1)=10,$A$62&amp;"/ ","")&amp;IF((G63-1)=10,$A$63&amp;"/ ","")&amp;IF((G64-1)=10,$A$64&amp;"/ ","")</f>
        <v>Venus/ </v>
      </c>
      <c r="L71" s="73" t="s">
        <v>169</v>
      </c>
      <c r="M71" s="73"/>
      <c r="N71" s="67" t="str">
        <f aca="false">IF((G67-1)=3,$A$67&amp;"/ ","")&amp;IF((G60-1)=3,$A$60&amp;"/ ","")&amp;IF((G58-1)=3,$A$58&amp;"/ ","")&amp;IF((G59-1)=3,$A$59&amp;"/ ","")&amp;IF((G66-1)=3,$A$66&amp;"/ ","")&amp;IF((G61-1)=3,$A$61&amp;"/ ","")&amp;IF((G65-1)=3,$A$65&amp;"/ ","")&amp;IF((G62-1)=3,$A$62&amp;"/ ","")&amp;IF((G63-1)=3,$A$63&amp;"/ ","")&amp;IF((G64-1)=3,$A$64&amp;"/ ","")</f>
        <v>Sun/ </v>
      </c>
      <c r="O71" s="68"/>
      <c r="S71" s="70" t="str">
        <f aca="false">Charts!K2</f>
        <v>Venus/ </v>
      </c>
      <c r="T71" s="69"/>
      <c r="U71" s="71"/>
      <c r="V71" s="72"/>
      <c r="W71" s="70" t="str">
        <f aca="false">Charts!H3</f>
        <v/>
      </c>
    </row>
    <row r="72" customFormat="false" ht="55.2" hidden="false" customHeight="false" outlineLevel="0" collapsed="false">
      <c r="E72" s="66"/>
      <c r="F72" s="74" t="str">
        <f aca="false">IF((M67-1)=9,$A$67&amp;"/ ","")&amp;IF((M60-1)=9,$A$60&amp;"/ ","")&amp;IF((M58-1)=9,$A$58&amp;"/ ","")&amp;IF((M59-1)=9,$A$59&amp;"/ ","")&amp;IF((M66-1)=9,$A$66&amp;"/ ","")&amp;IF((M61-1)=9,$A$61&amp;"/ ","")&amp;IF((M65-1)=9,$A$65&amp;"/ ","")&amp;IF((M62-1)=9,$A$62&amp;"/ ","")&amp;IF((M63-1)=9,$A$63&amp;"/ ","")&amp;IF((M64-1)=9,$A$64&amp;"/ ","")</f>
        <v>Ketu/ </v>
      </c>
      <c r="G72" s="66"/>
      <c r="H72" s="66" t="s">
        <v>151</v>
      </c>
      <c r="I72" s="67" t="str">
        <f aca="false">IF((M67-1)=4,$A$67&amp;"/ ","")&amp;IF((M60-1)=4,$A$60&amp;"/ ","")&amp;IF((M58-1)=4,$A$58&amp;"/ ","")&amp;IF((M59-1)=4,$A$59&amp;"/ ","")&amp;IF((M66-1)=4,$A$66&amp;"/ ","")&amp;IF((M61-1)=4,$A$61&amp;"/ ","")&amp;IF((M65-1)=4,$A$65&amp;"/ ","")&amp;IF((M62-1)=4,$A$62&amp;"/ ","")&amp;IF((M63-1)=4,$A$63&amp;"/ ","")&amp;IF((M64-1)=4,$A$64&amp;"/ ","")</f>
        <v/>
      </c>
      <c r="J72" s="66"/>
      <c r="K72" s="74" t="str">
        <f aca="false">IF((G67-1)=9,$A$67&amp;"/ ","")&amp;IF((G60-1)=9,$A$60&amp;"/ ","")&amp;IF((G58-1)=9,$A$58&amp;"/ ","")&amp;IF((G59-1)=9,$A$59&amp;"/ ","")&amp;IF((G66-1)=9,$A$66&amp;"/ ","")&amp;IF((G61-1)=9,$A$61&amp;"/ ","")&amp;IF((G65-1)=9,$A$65&amp;"/ ","")&amp;IF((G62-1)=9,$A$62&amp;"/ ","")&amp;IF((G63-1)=9,$A$63&amp;"/ ","")&amp;IF((G64-1)=9,$A$64&amp;"/ ","")</f>
        <v>Moon/ </v>
      </c>
      <c r="L72" s="66"/>
      <c r="M72" s="66" t="str">
        <f aca="false">G57</f>
        <v>D3#</v>
      </c>
      <c r="N72" s="67" t="str">
        <f aca="false">IF((G67-1)=4,$A$67&amp;"/ ","")&amp;IF((G60-1)=4,$A$60&amp;"/ ","")&amp;IF((G58-1)=4,$A$58&amp;"/ ","")&amp;IF((G59-1)=4,$A$59&amp;"/ ","")&amp;IF((G66-1)=4,$A$66&amp;"/ ","")&amp;IF((G61-1)=4,$A$61&amp;"/ ","")&amp;IF((G65-1)=4,$A$65&amp;"/ ","")&amp;IF((G62-1)=4,$A$62&amp;"/ ","")&amp;IF((G63-1)=4,$A$63&amp;"/ ","")&amp;IF((G64-1)=4,$A$64&amp;"/ ","")</f>
        <v/>
      </c>
      <c r="O72" s="68"/>
      <c r="S72" s="75" t="str">
        <f aca="false">Charts!K3</f>
        <v>Ketu/ Sun/ Mercury/ </v>
      </c>
      <c r="T72" s="75"/>
      <c r="U72" s="76" t="str">
        <f aca="false">Charts!I3</f>
        <v>RASI CHART</v>
      </c>
      <c r="V72" s="75"/>
      <c r="W72" s="75" t="str">
        <f aca="false">Charts!H4</f>
        <v>Rahu/ Mars/ </v>
      </c>
    </row>
    <row r="73" customFormat="false" ht="76.5" hidden="false" customHeight="true" outlineLevel="0" collapsed="false">
      <c r="E73" s="66"/>
      <c r="F73" s="67" t="str">
        <f aca="false">IF((M67-1)=8,$A$67&amp;"/ ","")&amp;IF((M60-1)=8,$A$60&amp;"/ ","")&amp;IF((M58-1)=8,$A$58&amp;"/ ","")&amp;IF((M59-1)=8,$A$59&amp;"/ ","")&amp;IF((M66-1)=8,$A$66&amp;"/ ","")&amp;IF((M61-1)=8,$A$61&amp;"/ ","")&amp;IF((M65-1)=8,$A$65&amp;"/ ","")&amp;IF((M62-1)=8,$A$62&amp;"/ ","")&amp;IF((M63-1)=8,$A$63&amp;"/ ","")&amp;IF((M64-1)=8,$A$64&amp;"/ ","")</f>
        <v/>
      </c>
      <c r="G73" s="67" t="str">
        <f aca="false">IF((M67-1)=7,$A$67&amp;"/ ","")&amp;IF((M60-1)=7,$A$60&amp;"/ ","")&amp;IF((M58-1)=7,$A$58&amp;"/ ","")&amp;IF((M59-1)=7,$A$59&amp;"/ ","")&amp;IF((M66-1)=7,$A$66&amp;"/ ","")&amp;IF((M61-1)=7,$A$61&amp;"/ ","")&amp;IF((M65-1)=7,$A$65&amp;"/ ","")&amp;IF((M62-1)=7,$A$62&amp;"/ ","")&amp;IF((M63-1)=7,$A$63&amp;"/ ","")&amp;IF((M64-1)=7,$A$64&amp;"/ ","")</f>
        <v/>
      </c>
      <c r="H73" s="77" t="str">
        <f aca="false">IF((M67-1)=6,$A$67&amp;"/ ","")&amp;IF((M60-1)=6,$A$60&amp;"/ ","")&amp;IF((M58-1)=6,$A$58&amp;"/ ","")&amp;IF((M59-1)=6,$A$59&amp;"/ ","")&amp;IF((M66-1)=6,$A$66&amp;"/ ","")&amp;IF((M61-1)=6,$A$61&amp;"/ ","")&amp;IF((M65-1)=6,$A$65&amp;"/ ","")&amp;IF((M62-1)=6,$A$62&amp;"/ ","")&amp;IF((M63-1)=6,$A$63&amp;"/ ","")&amp;IF((M64-1)=6,$A$64&amp;"/ ","")</f>
        <v/>
      </c>
      <c r="I73" s="67" t="str">
        <f aca="false">IF((M67-1)=5,$A$67&amp;"/ ","")&amp;IF((M60-1)=5,$A$60&amp;"/ ","")&amp;IF((M58-1)=5,$A$58&amp;"/ ","")&amp;IF((M59-1)=5,$A$59&amp;"/ ","")&amp;IF((M66-1)=5,$A$66&amp;"/ ","")&amp;IF((M61-1)=5,$A$61&amp;"/ ","")&amp;IF((M65-1)=5,$A$65&amp;"/ ","")&amp;IF((M62-1)=5,$A$62&amp;"/ ","")&amp;IF((M63-1)=5,$A$63&amp;"/ ","")&amp;IF((M64-1)=5,$A$64&amp;"/ ","")</f>
        <v>Asc/ Mars/ </v>
      </c>
      <c r="J73" s="66"/>
      <c r="K73" s="67" t="str">
        <f aca="false">IF((G67-1)=8,$A$67&amp;"/ ","")&amp;IF((G60-1)=8,$A$60&amp;"/ ","")&amp;IF((G58-1)=8,$A$58&amp;"/ ","")&amp;IF((G59-1)=8,$A$59&amp;"/ ","")&amp;IF((G66-1)=8,$A$66&amp;"/ ","")&amp;IF((G61-1)=8,$A$61&amp;"/ ","")&amp;IF((G65-1)=8,$A$65&amp;"/ ","")&amp;IF((G62-1)=8,$A$62&amp;"/ ","")&amp;IF((G63-1)=8,$A$63&amp;"/ ","")&amp;IF((G64-1)=8,$A$64&amp;"/ ","")</f>
        <v>Asc/ </v>
      </c>
      <c r="L73" s="67" t="str">
        <f aca="false">IF((G67-1)=7,$A$67&amp;"/ ","")&amp;IF((G60-1)=7,$A$60&amp;"/ ","")&amp;IF((G58-1)=7,$A$58&amp;"/ ","")&amp;IF((G59-1)=7,$A$59&amp;"/ ","")&amp;IF((G66-1)=7,$A$66&amp;"/ ","")&amp;IF((G61-1)=7,$A$61&amp;"/ ","")&amp;IF((G65-1)=7,$A$65&amp;"/ ","")&amp;IF((G62-1)=7,$A$62&amp;"/ ","")&amp;IF((G63-1)=7,$A$63&amp;"/ ","")&amp;IF((G64-1)=7,$A$64&amp;"/ ","")</f>
        <v>Jupiter/ </v>
      </c>
      <c r="M73" s="77" t="str">
        <f aca="false">IF((G67-1)=6,$A$67&amp;"/ ","")&amp;IF((G60-1)=6,$A$60&amp;"/ ","")&amp;IF((G58-1)=6,$A$58&amp;"/ ","")&amp;IF((G59-1)=6,$A$59&amp;"/ ","")&amp;IF((G66-1)=6,$A$66&amp;"/ ","")&amp;IF((G61-1)=6,$A$61&amp;"/ ","")&amp;IF((G65-1)=6,$A$65&amp;"/ ","")&amp;IF((G62-1)=6,$A$62&amp;"/ ","")&amp;IF((G63-1)=6,$A$63&amp;"/ ","")&amp;IF((G64-1)=6,$A$64&amp;"/ ","")</f>
        <v/>
      </c>
      <c r="N73" s="67" t="str">
        <f aca="false">IF((G67-1)=5,$A$67&amp;"/ ","")&amp;IF((G60-1)=5,$A$60&amp;"/ ","")&amp;IF((G58-1)=5,$A$58&amp;"/ ","")&amp;IF((G59-1)=5,$A$59&amp;"/ ","")&amp;IF((G66-1)=5,$A$66&amp;"/ ","")&amp;IF((G61-1)=5,$A$61&amp;"/ ","")&amp;IF((G65-1)=5,$A$65&amp;"/ ","")&amp;IF((G62-1)=5,$A$62&amp;"/ ","")&amp;IF((G63-1)=5,$A$63&amp;"/ ","")&amp;IF((G64-1)=5,$A$64&amp;"/ ","")</f>
        <v>Rahu/ Mars/ </v>
      </c>
      <c r="O73" s="68"/>
      <c r="S73" s="70" t="str">
        <f aca="false">Charts!K4</f>
        <v>Asc/ </v>
      </c>
      <c r="T73" s="72"/>
      <c r="U73" s="71"/>
      <c r="V73" s="69"/>
      <c r="W73" s="70" t="str">
        <f aca="false">Charts!H5</f>
        <v/>
      </c>
    </row>
    <row r="74" customFormat="false" ht="48" hidden="false" customHeight="true" outlineLevel="0" collapsed="false">
      <c r="D74" s="66"/>
      <c r="E74" s="66"/>
      <c r="F74" s="66"/>
      <c r="G74" s="66"/>
      <c r="H74" s="66"/>
      <c r="I74" s="66"/>
      <c r="J74" s="66"/>
      <c r="K74" s="66"/>
      <c r="L74" s="66"/>
      <c r="M74" s="66"/>
      <c r="N74" s="66"/>
      <c r="O74" s="66"/>
      <c r="P74" s="66"/>
      <c r="Q74" s="66"/>
      <c r="R74" s="66"/>
      <c r="S74" s="66"/>
      <c r="T74" s="68"/>
      <c r="U74" s="68"/>
      <c r="V74" s="72"/>
      <c r="W74" s="70" t="str">
        <f aca="false">Charts!K5</f>
        <v/>
      </c>
      <c r="X74" s="71" t="str">
        <f aca="false">Charts!J5</f>
        <v/>
      </c>
      <c r="Y74" s="70" t="str">
        <f aca="false">Charts!I5</f>
        <v>Jupiter/ </v>
      </c>
      <c r="Z74" s="69"/>
    </row>
    <row r="75" customFormat="false" ht="15" hidden="false" customHeight="false" outlineLevel="0" collapsed="false">
      <c r="D75" s="67" t="str">
        <f aca="false">IF((O67-1)=11,$A$67&amp;"/ ","")&amp;IF((O60-1)=11,$A$60&amp;"/ ","")&amp;IF((O58-1)=11,$A$58&amp;"/ ","")&amp;IF((O59-1)=11,$A$59&amp;"/ ","")&amp;IF((O66-1)=11,$A$66&amp;"/ ","")&amp;IF((O61-1)=11,$A$61&amp;"/ ","")&amp;IF((O65-1)=11,$A$65&amp;"/ ","")&amp;IF((O62-1)=11,$A$62&amp;"/ ","")&amp;IF((O63-1)=11,$A$63&amp;"/ ","")&amp;IF((O64-1)=11,$A$64&amp;"/ ","")</f>
        <v>Saturn/ </v>
      </c>
      <c r="E75" s="67" t="str">
        <f aca="false">IF((O67-1)=0,$A$67&amp;"/ ","")&amp;IF((O60-1)=0,$A$60&amp;"/ ","")&amp;IF((O58-1)=0,$A$58&amp;"/ ","")&amp;IF((O59-1)=0,$A$59&amp;"/ ","")&amp;IF((O66-1)=0,$A$66&amp;"/ ","")&amp;IF((O61-1)=0,$A$61&amp;"/ ","")&amp;IF((O65-1)=0,$A$65&amp;"/ ","")&amp;IF((O62-1)=0,$A$62&amp;"/ ","")&amp;IF((O63-1)=0,$A$63&amp;"/ ","")&amp;IF((O64-1)=0,$A$64&amp;"/ ","")</f>
        <v/>
      </c>
      <c r="F75" s="67" t="str">
        <f aca="false">IF((O67-1)=1,$A$67&amp;"/ ","")&amp;IF((O60-1)=1,$A$60&amp;"/ ","")&amp;IF((O58-1)=1,$A$58&amp;"/ ","")&amp;IF((O59-1)=1,$A$59&amp;"/ ","")&amp;IF((O66-1)=1,$A$66&amp;"/ ","")&amp;IF((O61-1)=1,$A$61&amp;"/ ","")&amp;IF((O65-1)=1,$A$65&amp;"/ ","")&amp;IF((O62-1)=1,$A$62&amp;"/ ","")&amp;IF((O63-1)=1,$A$63&amp;"/ ","")&amp;IF((O64-1)=1,$A$64&amp;"/ ","")</f>
        <v>Ketu/ Asc/ </v>
      </c>
      <c r="G75" s="67" t="str">
        <f aca="false">IF((O67-1)=2,$A$67&amp;"/ ","")&amp;IF((O60-1)=2,$A$60&amp;"/ ","")&amp;IF((O58-1)=2,$A$58&amp;"/ ","")&amp;IF((O59-1)=2,$A$59&amp;"/ ","")&amp;IF((O66-1)=2,$A$66&amp;"/ ","")&amp;IF((O61-1)=2,$A$61&amp;"/ ","")&amp;IF((O65-1)=2,$A$65&amp;"/ ","")&amp;IF((O62-1)=2,$A$62&amp;"/ ","")&amp;IF((O63-1)=2,$A$63&amp;"/ ","")&amp;IF((O64-1)=2,$A$64&amp;"/ ","")</f>
        <v/>
      </c>
      <c r="H75" s="63"/>
      <c r="I75" s="63"/>
      <c r="J75" s="63"/>
      <c r="K75" s="63"/>
      <c r="L75" s="63"/>
      <c r="M75" s="63"/>
      <c r="N75" s="63"/>
      <c r="O75" s="63"/>
      <c r="P75" s="63"/>
      <c r="Q75" s="63"/>
      <c r="R75" s="63"/>
      <c r="S75" s="63"/>
      <c r="T75" s="63"/>
      <c r="U75" s="63"/>
      <c r="V75" s="63"/>
      <c r="W75" s="63"/>
      <c r="X75" s="63"/>
      <c r="Y75" s="63"/>
      <c r="Z75" s="63"/>
    </row>
    <row r="76" customFormat="false" ht="15" hidden="false" customHeight="true" outlineLevel="0" collapsed="false">
      <c r="D76" s="67" t="str">
        <f aca="false">IF((O67-1)=10,$A$67&amp;"/ ","")&amp;IF((O60-1)=10,$A$60&amp;"/ ","")&amp;IF((O58-1)=10,$A$58&amp;"/ ","")&amp;IF((O59-1)=10,$A$59&amp;"/ ","")&amp;IF((O66-1)=10,$A$66&amp;"/ ","")&amp;IF((O61-1)=10,$A$61&amp;"/ ","")&amp;IF((O65-1)=10,$A$65&amp;"/ ","")&amp;IF((O62-1)=10,$A$62&amp;"/ ","")&amp;IF((O63-1)=10,$A$63&amp;"/ ","")&amp;IF((O64-1)=10,$A$64&amp;"/ ","")</f>
        <v/>
      </c>
      <c r="E76" s="73" t="s">
        <v>169</v>
      </c>
      <c r="F76" s="73"/>
      <c r="G76" s="67" t="str">
        <f aca="false">IF((O67-1)=3,$A$67&amp;"/ ","")&amp;IF((O60-1)=3,$A$60&amp;"/ ","")&amp;IF((O58-1)=3,$A$58&amp;"/ ","")&amp;IF((O59-1)=3,$A$59&amp;"/ ","")&amp;IF((O66-1)=3,$A$66&amp;"/ ","")&amp;IF((O61-1)=3,$A$61&amp;"/ ","")&amp;IF((O65-1)=3,$A$65&amp;"/ ","")&amp;IF((O62-1)=3,$A$62&amp;"/ ","")&amp;IF((O63-1)=3,$A$63&amp;"/ ","")&amp;IF((O64-1)=3,$A$64&amp;"/ ","")</f>
        <v>Moon/ Mercury/ Jupiter/ </v>
      </c>
      <c r="H76" s="63"/>
      <c r="I76" s="63"/>
      <c r="J76" s="63"/>
      <c r="K76" s="63"/>
      <c r="L76" s="63"/>
      <c r="M76" s="63"/>
      <c r="N76" s="63"/>
      <c r="O76" s="63"/>
      <c r="P76" s="63"/>
      <c r="Q76" s="63"/>
      <c r="R76" s="63"/>
      <c r="S76" s="63"/>
      <c r="T76" s="63"/>
      <c r="U76" s="63"/>
      <c r="V76" s="63"/>
      <c r="W76" s="63"/>
      <c r="X76" s="63"/>
      <c r="Y76" s="63"/>
      <c r="Z76" s="63"/>
    </row>
    <row r="77" customFormat="false" ht="15" hidden="false" customHeight="false" outlineLevel="0" collapsed="false">
      <c r="D77" s="74" t="str">
        <f aca="false">IF((O67-1)=9,$A$67&amp;"/ ","")&amp;IF((O60-1)=9,$A$60&amp;"/ ","")&amp;IF((O58-1)=9,$A$58&amp;"/ ","")&amp;IF((O59-1)=9,$A$59&amp;"/ ","")&amp;IF((O66-1)=9,$A$66&amp;"/ ","")&amp;IF((O61-1)=9,$A$61&amp;"/ ","")&amp;IF((O65-1)=9,$A$65&amp;"/ ","")&amp;IF((O62-1)=9,$A$62&amp;"/ ","")&amp;IF((O63-1)=9,$A$63&amp;"/ ","")&amp;IF((O64-1)=9,$A$64&amp;"/ ","")</f>
        <v>Mars/ </v>
      </c>
      <c r="E77" s="66"/>
      <c r="F77" s="66" t="str">
        <f aca="false">O57</f>
        <v>D10#</v>
      </c>
      <c r="G77" s="67" t="str">
        <f aca="false">IF((O67-1)=4,$A$67&amp;"/ ","")&amp;IF((O60-1)=4,$A$60&amp;"/ ","")&amp;IF((O58-1)=4,$A$58&amp;"/ ","")&amp;IF((O59-1)=4,$A$59&amp;"/ ","")&amp;IF((O66-1)=4,$A$66&amp;"/ ","")&amp;IF((O61-1)=4,$A$61&amp;"/ ","")&amp;IF((O65-1)=4,$A$65&amp;"/ ","")&amp;IF((O62-1)=4,$A$62&amp;"/ ","")&amp;IF((O63-1)=4,$A$63&amp;"/ ","")&amp;IF((O64-1)=4,$A$64&amp;"/ ","")</f>
        <v/>
      </c>
      <c r="H77" s="63"/>
      <c r="I77" s="63"/>
      <c r="J77" s="63"/>
      <c r="K77" s="63"/>
      <c r="L77" s="63"/>
      <c r="M77" s="63"/>
      <c r="N77" s="63"/>
      <c r="O77" s="63"/>
      <c r="P77" s="63"/>
      <c r="Q77" s="63"/>
      <c r="R77" s="63"/>
      <c r="S77" s="63"/>
      <c r="T77" s="63"/>
      <c r="U77" s="63"/>
      <c r="V77" s="63"/>
      <c r="W77" s="63"/>
      <c r="X77" s="63"/>
      <c r="Y77" s="63"/>
      <c r="Z77" s="63"/>
    </row>
    <row r="78" customFormat="false" ht="15" hidden="false" customHeight="false" outlineLevel="0" collapsed="false">
      <c r="D78" s="67" t="str">
        <f aca="false">IF((O67-1)=8,$A$67&amp;"/ ","")&amp;IF((O60-1)=8,$A$60&amp;"/ ","")&amp;IF((O58-1)=8,$A$58&amp;"/ ","")&amp;IF((O59-1)=8,$A$59&amp;"/ ","")&amp;IF((O66-1)=8,$A$66&amp;"/ ","")&amp;IF((O61-1)=8,$A$61&amp;"/ ","")&amp;IF((O65-1)=8,$A$65&amp;"/ ","")&amp;IF((O62-1)=8,$A$62&amp;"/ ","")&amp;IF((O63-1)=8,$A$63&amp;"/ ","")&amp;IF((O64-1)=8,$A$64&amp;"/ ","")</f>
        <v/>
      </c>
      <c r="E78" s="67" t="str">
        <f aca="false">IF((O67-1)=7,$A$67&amp;"/ ","")&amp;IF((O60-1)=7,$A$60&amp;"/ ","")&amp;IF((O58-1)=7,$A$58&amp;"/ ","")&amp;IF((O59-1)=7,$A$59&amp;"/ ","")&amp;IF((O66-1)=7,$A$66&amp;"/ ","")&amp;IF((O61-1)=7,$A$61&amp;"/ ","")&amp;IF((O65-1)=7,$A$65&amp;"/ ","")&amp;IF((O62-1)=7,$A$62&amp;"/ ","")&amp;IF((O63-1)=7,$A$63&amp;"/ ","")&amp;IF((O64-1)=7,$A$64&amp;"/ ","")</f>
        <v>Rahu/ </v>
      </c>
      <c r="F78" s="77" t="str">
        <f aca="false">IF((O67-1)=6,$A$67&amp;"/ ","")&amp;IF((O60-1)=6,$A$60&amp;"/ ","")&amp;IF((O58-1)=6,$A$58&amp;"/ ","")&amp;IF((O59-1)=6,$A$59&amp;"/ ","")&amp;IF((O66-1)=6,$A$66&amp;"/ ","")&amp;IF((O61-1)=6,$A$61&amp;"/ ","")&amp;IF((O65-1)=6,$A$65&amp;"/ ","")&amp;IF((O62-1)=6,$A$62&amp;"/ ","")&amp;IF((O63-1)=6,$A$63&amp;"/ ","")&amp;IF((O64-1)=6,$A$64&amp;"/ ","")</f>
        <v>Sun/ </v>
      </c>
      <c r="G78" s="67" t="str">
        <f aca="false">IF((O67-1)=5,$A$67&amp;"/ ","")&amp;IF((O60-1)=5,$A$60&amp;"/ ","")&amp;IF((O58-1)=5,$A$58&amp;"/ ","")&amp;IF((O59-1)=5,$A$59&amp;"/ ","")&amp;IF((O66-1)=5,$A$66&amp;"/ ","")&amp;IF((O61-1)=5,$A$61&amp;"/ ","")&amp;IF((O65-1)=5,$A$65&amp;"/ ","")&amp;IF((O62-1)=5,$A$62&amp;"/ ","")&amp;IF((O63-1)=5,$A$63&amp;"/ ","")&amp;IF((O64-1)=5,$A$64&amp;"/ ","")</f>
        <v>Venus/ </v>
      </c>
      <c r="H78" s="63"/>
      <c r="I78" s="63"/>
      <c r="J78" s="63"/>
      <c r="K78" s="63"/>
      <c r="L78" s="63"/>
      <c r="M78" s="63"/>
      <c r="N78" s="63"/>
      <c r="O78" s="63"/>
      <c r="P78" s="63"/>
      <c r="Q78" s="63"/>
      <c r="R78" s="63"/>
      <c r="S78" s="63"/>
      <c r="T78" s="63"/>
      <c r="U78" s="63"/>
      <c r="V78" s="63"/>
      <c r="W78" s="63"/>
      <c r="X78" s="63"/>
      <c r="Y78" s="63"/>
      <c r="Z78" s="63"/>
    </row>
  </sheetData>
  <mergeCells count="13">
    <mergeCell ref="A1:I1"/>
    <mergeCell ref="B3:F3"/>
    <mergeCell ref="A4:J4"/>
    <mergeCell ref="A5:J5"/>
    <mergeCell ref="J37:N37"/>
    <mergeCell ref="B42:D42"/>
    <mergeCell ref="C43:D43"/>
    <mergeCell ref="B44:D44"/>
    <mergeCell ref="B45:D45"/>
    <mergeCell ref="B52:D52"/>
    <mergeCell ref="G71:H71"/>
    <mergeCell ref="L71:M71"/>
    <mergeCell ref="E76:F76"/>
  </mergeCells>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landscape" blackAndWhite="false" draft="false" cellComments="none" horizontalDpi="300" verticalDpi="300" copies="1"/>
  <headerFooter differentFirst="false" differentOddEven="false">
    <oddHeader>&amp;L&amp;"Arial,Regular"&amp;10Vimsottari Dasa Calculations&amp;C&amp;"Arial,Regular"&amp;10&amp;P of &amp;N</oddHeader>
    <oddFooter>&amp;C&amp;"Arial,Regular"&amp;10Prepared by sprabhak &amp;D&amp;R&amp;"Arial,Regular"&amp;10Page &amp;P</oddFooter>
  </headerFooter>
  <rowBreaks count="2" manualBreakCount="2">
    <brk id="52" man="true" max="16383" min="0"/>
    <brk id="68" man="true" max="16383" min="0"/>
  </rowBreaks>
  <colBreaks count="1" manualBreakCount="1">
    <brk id="11" man="true" max="65535" min="0"/>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
  <sheetViews>
    <sheetView showFormulas="false" showGridLines="true" showRowColHeaders="true" showZeros="true" rightToLeft="false" tabSelected="false" showOutlineSymbols="true" defaultGridColor="true" view="normal" topLeftCell="A16" colorId="64" zoomScale="181" zoomScaleNormal="181" zoomScalePageLayoutView="100" workbookViewId="0">
      <selection pane="topLeft" activeCell="O3" activeCellId="0" sqref="O3"/>
    </sheetView>
  </sheetViews>
  <sheetFormatPr defaultColWidth="8.2890625" defaultRowHeight="15" customHeight="true" zeroHeight="false" outlineLevelRow="0" outlineLevelCol="0"/>
  <cols>
    <col collapsed="false" customWidth="false" hidden="false" outlineLevel="0" max="15" min="1" style="78" width="8.29"/>
    <col collapsed="false" customWidth="true" hidden="false" outlineLevel="0" max="16" min="16" style="78" width="10.29"/>
    <col collapsed="false" customWidth="false" hidden="false" outlineLevel="0" max="1024" min="17" style="78" width="8.29"/>
  </cols>
  <sheetData>
    <row r="1" customFormat="false" ht="45" hidden="false" customHeight="true" outlineLevel="0" collapsed="false">
      <c r="A1" s="78" t="n">
        <f aca="false" t="array" ref="A1:C1">{1,2,3}</f>
        <v>1</v>
      </c>
      <c r="B1" s="78" t="n">
        <v>2</v>
      </c>
      <c r="C1" s="78" t="n">
        <v>3</v>
      </c>
    </row>
    <row r="2" customFormat="false" ht="45" hidden="false" customHeight="true" outlineLevel="0" collapsed="false">
      <c r="B2" s="79" t="s">
        <v>170</v>
      </c>
      <c r="C2" s="80" t="str">
        <f aca="false">J2</f>
        <v>Moon/ Saturn/ </v>
      </c>
      <c r="D2" s="81" t="str">
        <f aca="false">I2</f>
        <v/>
      </c>
      <c r="E2" s="82" t="str">
        <f aca="false">H2</f>
        <v/>
      </c>
      <c r="F2" s="83" t="s">
        <v>171</v>
      </c>
      <c r="H2" s="67" t="str">
        <f aca="false">IF(TRUNC(Basics!B67/30)=11,Basics!$A$67&amp;"/ ","")&amp;IF(TRUNC(Basics!B60/30)=11,Basics!$A$60&amp;"/ ","")&amp;IF(TRUNC(Basics!B58/30)=11,Basics!$A$58&amp;"/ ","")&amp;IF(TRUNC(Basics!B59/30)=11,Basics!$A$59&amp;"/ ","")&amp;IF(TRUNC(Basics!B66/30)=11,Basics!$A$66&amp;"/ ","")&amp;IF(TRUNC(Basics!B61/30)=11,Basics!$A$61&amp;"/ ","")&amp;IF(TRUNC(Basics!B65/30)=11,Basics!$A$65&amp;"/ ","")&amp;IF(TRUNC(Basics!B62/30)=11,Basics!$A$62&amp;"/ ","")&amp;IF(TRUNC(Basics!B63/30)=11,Basics!$A$63&amp;"/ ","")&amp;IF(TRUNC(Basics!B64/30)=11,Basics!$A$64&amp;"/ ","")</f>
        <v/>
      </c>
      <c r="I2" s="67" t="str">
        <f aca="false">IF(TRUNC(Basics!B67/30)=0,Basics!$A$67&amp;"/ ","")&amp;IF(TRUNC(Basics!B60/30)=0,Basics!$A$60&amp;"/ ","")&amp;IF(TRUNC(Basics!B58/30)=0,Basics!$A$58&amp;"/ ","")&amp;IF(TRUNC(Basics!B59/30)=0,Basics!$A$59&amp;"/ ","")&amp;IF(TRUNC(Basics!B66/30)=0,Basics!$A$66&amp;"/ ","")&amp;IF(TRUNC(Basics!B61/30)=0,Basics!$A$61&amp;"/ ","")&amp;IF(TRUNC(Basics!B65/30)=0,Basics!$A$65&amp;"/ ","")&amp;IF(TRUNC(Basics!B62/30)=0,Basics!$A$62&amp;"/ ","")&amp;IF(TRUNC(Basics!B63/30)=0,Basics!$A$63&amp;"/ ","")&amp;IF(TRUNC(Basics!B64/30)=0,Basics!$A$64&amp;"/ ","")</f>
        <v/>
      </c>
      <c r="J2" s="67" t="str">
        <f aca="false">IF(TRUNC(Basics!B67/30)=1,Basics!$A$67&amp;"/ ","")&amp;IF(TRUNC(Basics!B60/30)=1,Basics!$A$60&amp;"/ ","")&amp;IF(TRUNC(Basics!B58/30)=1,Basics!$A$58&amp;"/ ","")&amp;IF(TRUNC(Basics!B59/30)=1,Basics!$A$59&amp;"/ ","")&amp;IF(TRUNC(Basics!B66/30)=1,Basics!$A$66&amp;"/ ","")&amp;IF(TRUNC(Basics!B61/30)=1,Basics!$A$61&amp;"/ ","")&amp;IF(TRUNC(Basics!B65/30)=1,Basics!$A$65&amp;"/ ","")&amp;IF(TRUNC(Basics!B62/30)=1,Basics!$A$62&amp;"/ ","")&amp;IF(TRUNC(Basics!B63/30)=1,Basics!$A$63&amp;"/ ","")&amp;IF(TRUNC(Basics!B64/30)=1,Basics!$A$64&amp;"/ ","")</f>
        <v>Moon/ Saturn/ </v>
      </c>
      <c r="K2" s="67" t="str">
        <f aca="false">IF(TRUNC(Basics!B67/30)=2,Basics!$A$67&amp;"/ ","")&amp;IF(TRUNC(Basics!B60/30)=2,Basics!$A$60&amp;"/ ","")&amp;IF(TRUNC(Basics!B58/30)=2,Basics!$A$58&amp;"/ ","")&amp;IF(TRUNC(Basics!B59/30)=2,Basics!$A$59&amp;"/ ","")&amp;IF(TRUNC(Basics!B66/30)=2,Basics!$A$66&amp;"/ ","")&amp;IF(TRUNC(Basics!B61/30)=2,Basics!$A$61&amp;"/ ","")&amp;IF(TRUNC(Basics!B65/30)=2,Basics!$A$65&amp;"/ ","")&amp;IF(TRUNC(Basics!B62/30)=2,Basics!$A$62&amp;"/ ","")&amp;IF(TRUNC(Basics!B63/30)=2,Basics!$A$63&amp;"/ ","")&amp;IF(TRUNC(Basics!B64/30)=2,Basics!$A$64&amp;"/ ","")</f>
        <v>Venus/ </v>
      </c>
    </row>
    <row r="3" customFormat="false" ht="45" hidden="false" customHeight="true" outlineLevel="0" collapsed="false">
      <c r="B3" s="84" t="str">
        <f aca="false">K2</f>
        <v>Venus/ </v>
      </c>
      <c r="C3" s="85" t="s">
        <v>170</v>
      </c>
      <c r="D3" s="86"/>
      <c r="E3" s="87" t="s">
        <v>171</v>
      </c>
      <c r="F3" s="88" t="str">
        <f aca="false">H3</f>
        <v/>
      </c>
      <c r="H3" s="67" t="str">
        <f aca="false">IF(TRUNC(Basics!B67/30)=10,Basics!$A$67&amp;"/ ","")&amp;IF(TRUNC(Basics!B60/30)=10,Basics!$A$60&amp;"/ ","")&amp;IF(TRUNC(Basics!B58/30)=10,Basics!$A$58&amp;"/ ","")&amp;IF(TRUNC(Basics!B59/30)=10,Basics!$A$59&amp;"/ ","")&amp;IF(TRUNC(Basics!B66/30)=10,Basics!$A$66&amp;"/ ","")&amp;IF(TRUNC(Basics!B61/30)=10,Basics!$A$61&amp;"/ ","")&amp;IF(TRUNC(Basics!B65/30)=10,Basics!$A$65&amp;"/ ","")&amp;IF(TRUNC(Basics!B62/30)=10,Basics!$A$62&amp;"/ ","")&amp;IF(TRUNC(Basics!B63/30)=10,Basics!$A$63&amp;"/ ","")&amp;IF(TRUNC(Basics!B64/30)=10,Basics!$A$64&amp;"/ ","")</f>
        <v/>
      </c>
      <c r="I3" s="73" t="s">
        <v>172</v>
      </c>
      <c r="J3" s="73"/>
      <c r="K3" s="67" t="str">
        <f aca="false">IF(TRUNC(Basics!B67/30)=3,Basics!$A$67&amp;"/ ","")&amp;IF(TRUNC(Basics!B60/30)=3,Basics!$A$60&amp;"/ ","")&amp;IF(TRUNC(Basics!B58/30)=3,Basics!$A$58&amp;"/ ","")&amp;IF(TRUNC(Basics!B59/30)=3,Basics!$A$59&amp;"/ ","")&amp;IF(TRUNC(Basics!B66/30)=3,Basics!$A$66&amp;"/ ","")&amp;IF(TRUNC(Basics!B61/30)=3,Basics!$A$61&amp;"/ ","")&amp;IF(TRUNC(Basics!B65/30)=3,Basics!$A$65&amp;"/ ","")&amp;IF(TRUNC(Basics!B62/30)=3,Basics!$A$62&amp;"/ ","")&amp;IF(TRUNC(Basics!B63/30)=3,Basics!$A$63&amp;"/ ","")&amp;IF(TRUNC(Basics!B64/30)=3,Basics!$A$64&amp;"/ ","")</f>
        <v>Ketu/ Sun/ Mercury/ </v>
      </c>
    </row>
    <row r="4" customFormat="false" ht="45" hidden="false" customHeight="true" outlineLevel="0" collapsed="false">
      <c r="B4" s="89" t="str">
        <f aca="false">K3</f>
        <v>Ketu/ Sun/ Mercury/ </v>
      </c>
      <c r="C4" s="90"/>
      <c r="D4" s="91" t="s">
        <v>173</v>
      </c>
      <c r="E4" s="92"/>
      <c r="F4" s="93" t="str">
        <f aca="false">H4</f>
        <v>Rahu/ Mars/ </v>
      </c>
      <c r="H4" s="74" t="str">
        <f aca="false">IF(TRUNC(Basics!B67/30)=9,Basics!$A$67&amp;"/ ","")&amp;IF(TRUNC(Basics!B60/30)=9,Basics!$A$60&amp;"/ ","")&amp;IF(TRUNC(Basics!B58/30)=9,Basics!$A$58&amp;"/ ","")&amp;IF(TRUNC(Basics!B59/30)=9,Basics!$A$59&amp;"/ ","")&amp;IF(TRUNC(Basics!B66/30)=9,Basics!$A$66&amp;"/ ","")&amp;IF(TRUNC(Basics!B61/30)=9,Basics!$A$61&amp;"/ ","")&amp;IF(TRUNC(Basics!B65/30)=9,Basics!$A$65&amp;"/ ","")&amp;IF(TRUNC(Basics!B62/30)=9,Basics!$A$62&amp;"/ ","")&amp;IF(TRUNC(Basics!B63/30)=9,Basics!$A$63&amp;"/ ","")&amp;IF(TRUNC(Basics!B64/30)=9,Basics!$A$64&amp;"/ ","")</f>
        <v>Rahu/ Mars/ </v>
      </c>
      <c r="I4" s="66"/>
      <c r="J4" s="66" t="s">
        <v>142</v>
      </c>
      <c r="K4" s="67" t="str">
        <f aca="false">IF(TRUNC(Basics!B67/30)=4,Basics!$A$67&amp;"/ ","")&amp;IF(TRUNC(Basics!B60/30)=4,Basics!$A$60&amp;"/ ","")&amp;IF(TRUNC(Basics!B58/30)=4,Basics!$A$58&amp;"/ ","")&amp;IF(TRUNC(Basics!B59/30)=4,Basics!$A$59&amp;"/ ","")&amp;IF(TRUNC(Basics!B66/30)=4,Basics!$A$66&amp;"/ ","")&amp;IF(TRUNC(Basics!B61/30)=4,Basics!$A$61&amp;"/ ","")&amp;IF(TRUNC(Basics!B65/30)=4,Basics!$A$65&amp;"/ ","")&amp;IF(TRUNC(Basics!B62/30)=4,Basics!$A$62&amp;"/ ","")&amp;IF(TRUNC(Basics!B63/30)=4,Basics!$A$63&amp;"/ ","")&amp;IF(TRUNC(Basics!B64/30)=4,Basics!$A$64&amp;"/ ","")</f>
        <v>Asc/ </v>
      </c>
    </row>
    <row r="5" customFormat="false" ht="45" hidden="false" customHeight="true" outlineLevel="0" collapsed="false">
      <c r="B5" s="84" t="str">
        <f aca="false">K4</f>
        <v>Asc/ </v>
      </c>
      <c r="C5" s="85" t="s">
        <v>171</v>
      </c>
      <c r="D5" s="94" t="str">
        <f aca="false">J5</f>
        <v/>
      </c>
      <c r="E5" s="87" t="s">
        <v>170</v>
      </c>
      <c r="F5" s="88" t="str">
        <f aca="false">H5</f>
        <v/>
      </c>
      <c r="H5" s="67" t="str">
        <f aca="false">IF(TRUNC(Basics!B67/30)=8,Basics!$A$67&amp;"/ ","")&amp;IF(TRUNC(Basics!B60/30)=8,Basics!$A$60&amp;"/ ","")&amp;IF(TRUNC(Basics!B58/30)=8,Basics!$A$58&amp;"/ ","")&amp;IF(TRUNC(Basics!B59/30)=8,Basics!$A$59&amp;"/ ","")&amp;IF(TRUNC(Basics!B66/30)=8,Basics!$A$66&amp;"/ ","")&amp;IF(TRUNC(Basics!B61/30)=8,Basics!$A$61&amp;"/ ","")&amp;IF(TRUNC(Basics!B65/30)=8,Basics!$A$65&amp;"/ ","")&amp;IF(TRUNC(Basics!B62/30)=8,Basics!$A$62&amp;"/ ","")&amp;IF(TRUNC(Basics!B63/30)=8,Basics!$A$63&amp;"/ ","")&amp;IF(TRUNC(Basics!B64/30)=8,Basics!$A$64&amp;"/ ","")</f>
        <v/>
      </c>
      <c r="I5" s="67" t="str">
        <f aca="false">IF(TRUNC(Basics!B67/30)=7,Basics!$A$67&amp;"/ ","")&amp;IF(TRUNC(Basics!B60/30)=7,Basics!$A$60&amp;"/ ","")&amp;IF(TRUNC(Basics!B58/30)=7,Basics!$A$58&amp;"/ ","")&amp;IF(TRUNC(Basics!B59/30)=7,Basics!$A$59&amp;"/ ","")&amp;IF(TRUNC(Basics!B66/30)=7,Basics!$A$66&amp;"/ ","")&amp;IF(TRUNC(Basics!B61/30)=7,Basics!$A$61&amp;"/ ","")&amp;IF(TRUNC(Basics!B65/30)=7,Basics!$A$65&amp;"/ ","")&amp;IF(TRUNC(Basics!B62/30)=7,Basics!$A$62&amp;"/ ","")&amp;IF(TRUNC(Basics!B63/30)=7,Basics!$A$63&amp;"/ ","")&amp;IF(TRUNC(Basics!B64/30)=7,Basics!$A$64&amp;"/ ","")</f>
        <v>Jupiter/ </v>
      </c>
      <c r="J5" s="77" t="str">
        <f aca="false">IF(TRUNC(Basics!B67/30)=6,Basics!$A$67&amp;"/ ","")&amp;IF(TRUNC(Basics!B60/30)=6,Basics!$A$60&amp;"/ ","")&amp;IF(TRUNC(Basics!B58/30)=6,Basics!$A$58&amp;"/ ","")&amp;IF(TRUNC(Basics!B59/30)=6,Basics!$A$59&amp;"/ ","")&amp;IF(TRUNC(Basics!B66/30)=6,Basics!$A$66&amp;"/ ","")&amp;IF(TRUNC(Basics!B61/30)=6,Basics!$A$61&amp;"/ ","")&amp;IF(TRUNC(Basics!B65/30)=6,Basics!$A$65&amp;"/ ","")&amp;IF(TRUNC(Basics!B62/30)=6,Basics!$A$62&amp;"/ ","")&amp;IF(TRUNC(Basics!B63/30)=6,Basics!$A$63&amp;"/ ","")&amp;IF(TRUNC(Basics!B64/30)=6,Basics!$A$64&amp;"/ ","")</f>
        <v/>
      </c>
      <c r="K5" s="67" t="str">
        <f aca="false">IF(TRUNC(Basics!B67/30)=5,Basics!$A$67&amp;"/ ","")&amp;IF(TRUNC(Basics!B60/30)=5,Basics!$A$60&amp;"/ ","")&amp;IF(TRUNC(Basics!B58/30)=5,Basics!$A$58&amp;"/ ","")&amp;IF(TRUNC(Basics!B59/30)=5,Basics!$A$59&amp;"/ ","")&amp;IF(TRUNC(Basics!B66/30)=5,Basics!$A$66&amp;"/ ","")&amp;IF(TRUNC(Basics!B61/30)=5,Basics!$A$61&amp;"/ ","")&amp;IF(TRUNC(Basics!B65/30)=5,Basics!$A$65&amp;"/ ","")&amp;IF(TRUNC(Basics!B62/30)=5,Basics!$A$62&amp;"/ ","")&amp;IF(TRUNC(Basics!B63/30)=5,Basics!$A$63&amp;"/ ","")&amp;IF(TRUNC(Basics!B64/30)=5,Basics!$A$64&amp;"/ ","")</f>
        <v/>
      </c>
    </row>
    <row r="6" customFormat="false" ht="45" hidden="false" customHeight="true" outlineLevel="0" collapsed="false">
      <c r="B6" s="95" t="s">
        <v>171</v>
      </c>
      <c r="C6" s="96" t="str">
        <f aca="false">K5</f>
        <v/>
      </c>
      <c r="D6" s="97" t="str">
        <f aca="false">J5</f>
        <v/>
      </c>
      <c r="E6" s="98" t="str">
        <f aca="false">I5</f>
        <v>Jupiter/ </v>
      </c>
      <c r="F6" s="99" t="s">
        <v>170</v>
      </c>
    </row>
  </sheetData>
  <mergeCells count="1">
    <mergeCell ref="I3:J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2"/>
  <sheetViews>
    <sheetView showFormulas="false" showGridLines="true" showRowColHeaders="true" showZeros="true" rightToLeft="false" tabSelected="false" showOutlineSymbols="true" defaultGridColor="true" view="normal" topLeftCell="A14" colorId="64" zoomScale="181" zoomScaleNormal="181" zoomScalePageLayoutView="100" workbookViewId="0">
      <selection pane="topLeft" activeCell="A22" activeCellId="0" sqref="A22"/>
    </sheetView>
  </sheetViews>
  <sheetFormatPr defaultColWidth="8.5703125" defaultRowHeight="15" customHeight="true" zeroHeight="false" outlineLevelRow="0" outlineLevelCol="0"/>
  <cols>
    <col collapsed="false" customWidth="true" hidden="false" outlineLevel="0" max="1" min="1" style="6" width="27.15"/>
    <col collapsed="false" customWidth="true" hidden="false" outlineLevel="0" max="2" min="2" style="6" width="26.86"/>
    <col collapsed="false" customWidth="true" hidden="false" outlineLevel="0" max="3" min="3" style="6" width="6.85"/>
    <col collapsed="false" customWidth="true" hidden="false" outlineLevel="0" max="4" min="4" style="6" width="8.42"/>
    <col collapsed="false" customWidth="true" hidden="false" outlineLevel="0" max="5" min="5" style="6" width="13.57"/>
    <col collapsed="false" customWidth="true" hidden="false" outlineLevel="0" max="6" min="6" style="6" width="17.15"/>
    <col collapsed="false" customWidth="true" hidden="false" outlineLevel="0" max="7" min="7" style="6" width="11.14"/>
    <col collapsed="false" customWidth="true" hidden="false" outlineLevel="0" max="8" min="8" style="6" width="13.57"/>
    <col collapsed="false" customWidth="true" hidden="false" outlineLevel="0" max="9" min="9" style="6" width="20.14"/>
    <col collapsed="false" customWidth="true" hidden="false" outlineLevel="0" max="10" min="10" style="6" width="8.42"/>
    <col collapsed="false" customWidth="true" hidden="false" outlineLevel="0" max="11" min="11" style="6" width="20.42"/>
    <col collapsed="false" customWidth="true" hidden="false" outlineLevel="0" max="12" min="12" style="6" width="27.86"/>
    <col collapsed="false" customWidth="true" hidden="false" outlineLevel="0" max="13" min="13" style="6" width="9.42"/>
  </cols>
  <sheetData>
    <row r="1" customFormat="false" ht="15" hidden="false" customHeight="false" outlineLevel="0" collapsed="false">
      <c r="B1" s="6" t="s">
        <v>174</v>
      </c>
      <c r="D1" s="100" t="n">
        <f aca="false">INT(MoonDeg*0.075)+1</f>
        <v>4</v>
      </c>
      <c r="H1" s="6" t="n">
        <f aca="false">IF(D1&gt;21,D1-1,D1)</f>
        <v>4</v>
      </c>
    </row>
    <row r="2" customFormat="false" ht="17.35" hidden="false" customHeight="false" outlineLevel="0" collapsed="false">
      <c r="A2" s="101" t="s">
        <v>175</v>
      </c>
      <c r="B2" s="102" t="s">
        <v>176</v>
      </c>
      <c r="C2" s="102" t="s">
        <v>177</v>
      </c>
      <c r="D2" s="103" t="s">
        <v>178</v>
      </c>
      <c r="E2" s="103" t="s">
        <v>179</v>
      </c>
      <c r="F2" s="103" t="s">
        <v>180</v>
      </c>
      <c r="G2" s="103" t="s">
        <v>181</v>
      </c>
      <c r="H2" s="104"/>
      <c r="I2" s="103" t="s">
        <v>182</v>
      </c>
      <c r="J2" s="103" t="s">
        <v>180</v>
      </c>
      <c r="K2" s="103" t="s">
        <v>183</v>
      </c>
      <c r="L2" s="105" t="s">
        <v>184</v>
      </c>
    </row>
    <row r="3" customFormat="false" ht="17.35" hidden="false" customHeight="false" outlineLevel="0" collapsed="false">
      <c r="A3" s="106" t="s">
        <v>185</v>
      </c>
      <c r="B3" s="107" t="s">
        <v>186</v>
      </c>
      <c r="C3" s="107" t="n">
        <v>1</v>
      </c>
      <c r="D3" s="108" t="n">
        <f aca="false">MOD(C3+D$1+26,28)+1</f>
        <v>4</v>
      </c>
      <c r="E3" s="108" t="str">
        <f aca="false">INDEX(NaxNames28,D3)</f>
        <v>Rohini</v>
      </c>
      <c r="F3" s="108" t="str">
        <f aca="false">INDEX(NakshatraTbl,D3,3)</f>
        <v>Moon</v>
      </c>
      <c r="G3" s="108" t="s">
        <v>181</v>
      </c>
      <c r="H3" s="109" t="n">
        <f aca="false">MOD(C3+H$1+25,27)+1</f>
        <v>4</v>
      </c>
      <c r="I3" s="108" t="str">
        <f aca="false">VLOOKUP(H3,NakshatraInfo,2)</f>
        <v>Rohini</v>
      </c>
      <c r="J3" s="108" t="str">
        <f aca="false">VLOOKUP(H3,NakshatraInfo,4)</f>
        <v>Moon</v>
      </c>
      <c r="K3" s="108"/>
    </row>
    <row r="4" customFormat="false" ht="17.35" hidden="false" customHeight="false" outlineLevel="0" collapsed="false">
      <c r="A4" s="106" t="s">
        <v>187</v>
      </c>
      <c r="B4" s="110" t="s">
        <v>188</v>
      </c>
      <c r="C4" s="107" t="n">
        <v>4</v>
      </c>
      <c r="D4" s="108" t="n">
        <f aca="false">MOD(C4+D$1+26,28)+1</f>
        <v>7</v>
      </c>
      <c r="E4" s="108" t="str">
        <f aca="false">INDEX(NaxNames28,D4)</f>
        <v>Punarvasu</v>
      </c>
      <c r="F4" s="108" t="str">
        <f aca="false">INDEX(NakshatraTbl,D4,3)</f>
        <v>Jupiter</v>
      </c>
      <c r="G4" s="108" t="s">
        <v>181</v>
      </c>
      <c r="H4" s="109" t="n">
        <f aca="false">MOD(C4+H$1+25,27)+1</f>
        <v>7</v>
      </c>
      <c r="I4" s="108" t="str">
        <f aca="false">VLOOKUP(H4,NakshatraInfo,2)</f>
        <v>Punarvasu</v>
      </c>
      <c r="J4" s="108" t="str">
        <f aca="false">VLOOKUP(H4,NakshatraInfo,4)</f>
        <v>Jupiter</v>
      </c>
      <c r="K4" s="108"/>
    </row>
    <row r="5" customFormat="false" ht="17.35" hidden="false" customHeight="false" outlineLevel="0" collapsed="false">
      <c r="A5" s="106" t="s">
        <v>189</v>
      </c>
      <c r="B5" s="110" t="s">
        <v>190</v>
      </c>
      <c r="C5" s="107" t="n">
        <v>7</v>
      </c>
      <c r="D5" s="108" t="n">
        <f aca="false">MOD(C5+D$1+26,28)+1</f>
        <v>10</v>
      </c>
      <c r="E5" s="108" t="str">
        <f aca="false">INDEX(NaxNames28,D5)</f>
        <v>Magha</v>
      </c>
      <c r="F5" s="108" t="str">
        <f aca="false">INDEX(NakshatraTbl,D5,3)</f>
        <v>Ketu</v>
      </c>
      <c r="G5" s="108" t="s">
        <v>181</v>
      </c>
      <c r="H5" s="109" t="n">
        <f aca="false">MOD(C5+H$1+25,27)+1</f>
        <v>10</v>
      </c>
      <c r="I5" s="108" t="str">
        <f aca="false">VLOOKUP(H5,NakshatraInfo,2)</f>
        <v>Magha</v>
      </c>
      <c r="J5" s="108" t="str">
        <f aca="false">VLOOKUP(H5,NakshatraInfo,4)</f>
        <v>Ketu</v>
      </c>
      <c r="K5" s="108"/>
    </row>
    <row r="6" customFormat="false" ht="17.35" hidden="false" customHeight="false" outlineLevel="0" collapsed="false">
      <c r="A6" s="106" t="s">
        <v>191</v>
      </c>
      <c r="B6" s="110" t="s">
        <v>192</v>
      </c>
      <c r="C6" s="107" t="n">
        <v>8</v>
      </c>
      <c r="D6" s="108" t="n">
        <f aca="false">MOD(C6+D$1+26,28)+1</f>
        <v>11</v>
      </c>
      <c r="E6" s="108" t="str">
        <f aca="false">INDEX(NaxNames28,D6)</f>
        <v>P. Phalguni</v>
      </c>
      <c r="F6" s="108" t="str">
        <f aca="false">INDEX(NakshatraTbl,D6,3)</f>
        <v>Venus</v>
      </c>
      <c r="G6" s="108" t="s">
        <v>181</v>
      </c>
      <c r="H6" s="109" t="n">
        <f aca="false">MOD(C6+H$1+25,27)+1</f>
        <v>11</v>
      </c>
      <c r="I6" s="108" t="str">
        <f aca="false">VLOOKUP(H6,NakshatraInfo,2)</f>
        <v>Purva Phalguni</v>
      </c>
      <c r="J6" s="108" t="str">
        <f aca="false">VLOOKUP(H6,NakshatraInfo,4)</f>
        <v>Venus</v>
      </c>
      <c r="K6" s="108"/>
    </row>
    <row r="7" customFormat="false" ht="17.35" hidden="false" customHeight="false" outlineLevel="0" collapsed="false">
      <c r="A7" s="106" t="s">
        <v>193</v>
      </c>
      <c r="B7" s="110" t="s">
        <v>194</v>
      </c>
      <c r="C7" s="107" t="n">
        <v>10</v>
      </c>
      <c r="D7" s="108" t="n">
        <f aca="false">MOD(C7+D$1+26,28)+1</f>
        <v>13</v>
      </c>
      <c r="E7" s="108" t="str">
        <f aca="false">INDEX(NaxNames28,D7)</f>
        <v>Hasta</v>
      </c>
      <c r="F7" s="108" t="str">
        <f aca="false">INDEX(NakshatraTbl,D7,3)</f>
        <v>Moon</v>
      </c>
      <c r="G7" s="108" t="s">
        <v>181</v>
      </c>
      <c r="H7" s="109" t="n">
        <f aca="false">MOD(C7+H$1+25,27)+1</f>
        <v>13</v>
      </c>
      <c r="I7" s="108" t="str">
        <f aca="false">VLOOKUP(H7,NakshatraInfo,2)</f>
        <v>Hasta</v>
      </c>
      <c r="J7" s="108" t="str">
        <f aca="false">VLOOKUP(H7,NakshatraInfo,4)</f>
        <v>Moon</v>
      </c>
      <c r="K7" s="111" t="n">
        <v>10</v>
      </c>
    </row>
    <row r="8" customFormat="false" ht="17.35" hidden="false" customHeight="false" outlineLevel="0" collapsed="false">
      <c r="A8" s="106" t="s">
        <v>195</v>
      </c>
      <c r="B8" s="110"/>
      <c r="C8" s="107" t="n">
        <v>11</v>
      </c>
      <c r="D8" s="108" t="n">
        <f aca="false">MOD(C8+D$1+26,28)+1</f>
        <v>14</v>
      </c>
      <c r="E8" s="108" t="str">
        <f aca="false">INDEX(NaxNames28,D8)</f>
        <v>Chitra</v>
      </c>
      <c r="F8" s="108" t="str">
        <f aca="false">INDEX(NakshatraTbl,D8,3)</f>
        <v>Mars</v>
      </c>
      <c r="G8" s="108" t="s">
        <v>181</v>
      </c>
      <c r="H8" s="109" t="n">
        <f aca="false">MOD(C8+H$1+25,27)+1</f>
        <v>14</v>
      </c>
      <c r="I8" s="108" t="str">
        <f aca="false">VLOOKUP(H8,NakshatraInfo,2)</f>
        <v>Chitra</v>
      </c>
      <c r="J8" s="108" t="str">
        <f aca="false">VLOOKUP(H8,NakshatraInfo,4)</f>
        <v>Mars</v>
      </c>
      <c r="K8" s="111"/>
    </row>
    <row r="9" customFormat="false" ht="17.35" hidden="false" customHeight="false" outlineLevel="0" collapsed="false">
      <c r="A9" s="106" t="s">
        <v>196</v>
      </c>
      <c r="B9" s="110" t="s">
        <v>197</v>
      </c>
      <c r="C9" s="107" t="n">
        <v>12</v>
      </c>
      <c r="D9" s="108" t="n">
        <f aca="false">MOD(C9+D$1+26,28)+1</f>
        <v>15</v>
      </c>
      <c r="E9" s="108" t="str">
        <f aca="false">INDEX(NaxNames28,D9)</f>
        <v>Swati</v>
      </c>
      <c r="F9" s="108" t="str">
        <f aca="false">INDEX(NakshatraTbl,D9,3)</f>
        <v>Rahu</v>
      </c>
      <c r="G9" s="108" t="s">
        <v>181</v>
      </c>
      <c r="H9" s="109" t="s">
        <v>98</v>
      </c>
      <c r="I9" s="108" t="s">
        <v>98</v>
      </c>
      <c r="J9" s="108" t="s">
        <v>98</v>
      </c>
      <c r="K9" s="111" t="n">
        <v>12</v>
      </c>
    </row>
    <row r="10" customFormat="false" ht="17.35" hidden="false" customHeight="false" outlineLevel="0" collapsed="false">
      <c r="A10" s="106" t="s">
        <v>198</v>
      </c>
      <c r="B10" s="110" t="s">
        <v>199</v>
      </c>
      <c r="C10" s="107" t="n">
        <v>13</v>
      </c>
      <c r="D10" s="108" t="n">
        <f aca="false">MOD(C10+D$1+26,28)+1</f>
        <v>16</v>
      </c>
      <c r="E10" s="108" t="str">
        <f aca="false">INDEX(NaxNames28,D10)</f>
        <v>Vishaka</v>
      </c>
      <c r="F10" s="108" t="str">
        <f aca="false">INDEX(NakshatraTbl,D10,3)</f>
        <v>Jupiter</v>
      </c>
      <c r="G10" s="108" t="s">
        <v>181</v>
      </c>
      <c r="H10" s="109" t="n">
        <f aca="false">MOD(C10+H$1+25,27)+1</f>
        <v>16</v>
      </c>
      <c r="I10" s="108" t="str">
        <f aca="false">VLOOKUP(H10,NakshatraInfo,2)</f>
        <v>Vishakha</v>
      </c>
      <c r="J10" s="108" t="str">
        <f aca="false">VLOOKUP(H10,NakshatraInfo,4)</f>
        <v>Jupiter</v>
      </c>
      <c r="K10" s="111" t="n">
        <v>1</v>
      </c>
    </row>
    <row r="11" customFormat="false" ht="17.35" hidden="false" customHeight="false" outlineLevel="0" collapsed="false">
      <c r="A11" s="106" t="s">
        <v>200</v>
      </c>
      <c r="B11" s="110"/>
      <c r="C11" s="107" t="n">
        <v>14</v>
      </c>
      <c r="D11" s="108" t="n">
        <f aca="false">MOD(C11+D$1+26,28)+1</f>
        <v>17</v>
      </c>
      <c r="E11" s="108" t="str">
        <f aca="false">INDEX(NaxNames28,D11)</f>
        <v>Anuradha</v>
      </c>
      <c r="F11" s="108" t="str">
        <f aca="false">INDEX(NakshatraTbl,D11,3)</f>
        <v>Sat</v>
      </c>
      <c r="G11" s="108" t="s">
        <v>181</v>
      </c>
      <c r="H11" s="109" t="n">
        <f aca="false">MOD(C11+H$1+25,27)+1</f>
        <v>17</v>
      </c>
      <c r="I11" s="108" t="str">
        <f aca="false">VLOOKUP(H11,NakshatraInfo,2)</f>
        <v>Anuradha</v>
      </c>
      <c r="J11" s="108" t="str">
        <f aca="false">VLOOKUP(H11,NakshatraInfo,4)</f>
        <v>Sat</v>
      </c>
      <c r="K11" s="111"/>
    </row>
    <row r="12" customFormat="false" ht="17.35" hidden="false" customHeight="false" outlineLevel="0" collapsed="false">
      <c r="A12" s="106" t="s">
        <v>201</v>
      </c>
      <c r="B12" s="110"/>
      <c r="C12" s="107" t="n">
        <v>15</v>
      </c>
      <c r="D12" s="108" t="n">
        <f aca="false">MOD(C12+D$1+26,28)+1</f>
        <v>18</v>
      </c>
      <c r="E12" s="108" t="str">
        <f aca="false">INDEX(NaxNames28,D12)</f>
        <v>Jyeshta</v>
      </c>
      <c r="F12" s="108" t="str">
        <f aca="false">INDEX(NakshatraTbl,D12,3)</f>
        <v>Merc</v>
      </c>
      <c r="G12" s="108" t="s">
        <v>181</v>
      </c>
      <c r="H12" s="109" t="n">
        <f aca="false">MOD(C12+H$1+25,27)+1</f>
        <v>18</v>
      </c>
      <c r="I12" s="108"/>
      <c r="J12" s="108"/>
      <c r="K12" s="111"/>
    </row>
    <row r="13" customFormat="false" ht="17.35" hidden="false" customHeight="false" outlineLevel="0" collapsed="false">
      <c r="A13" s="106" t="s">
        <v>202</v>
      </c>
      <c r="B13" s="110" t="s">
        <v>203</v>
      </c>
      <c r="C13" s="107" t="n">
        <v>16</v>
      </c>
      <c r="D13" s="108" t="n">
        <f aca="false">MOD(C13+D$1+26,28)+1</f>
        <v>19</v>
      </c>
      <c r="E13" s="108" t="str">
        <f aca="false">INDEX(NaxNames28,D13)</f>
        <v>Moola</v>
      </c>
      <c r="F13" s="108" t="str">
        <f aca="false">INDEX(NakshatraTbl,D13,3)</f>
        <v>Ketu</v>
      </c>
      <c r="G13" s="108" t="s">
        <v>181</v>
      </c>
      <c r="H13" s="109" t="n">
        <f aca="false">MOD(C13+H$1+25,27)+1</f>
        <v>19</v>
      </c>
      <c r="I13" s="108" t="str">
        <f aca="false">VLOOKUP(H13,NakshatraInfo,2)</f>
        <v>Mula</v>
      </c>
      <c r="J13" s="108" t="str">
        <f aca="false">VLOOKUP(H13,NakshatraInfo,4)</f>
        <v>Ketu</v>
      </c>
      <c r="K13" s="111" t="n">
        <v>4</v>
      </c>
    </row>
    <row r="14" customFormat="false" ht="17.35" hidden="false" customHeight="false" outlineLevel="0" collapsed="false">
      <c r="A14" s="106" t="s">
        <v>204</v>
      </c>
      <c r="B14" s="107" t="s">
        <v>205</v>
      </c>
      <c r="C14" s="107" t="n">
        <v>17</v>
      </c>
      <c r="D14" s="108" t="s">
        <v>98</v>
      </c>
      <c r="E14" s="108" t="s">
        <v>98</v>
      </c>
      <c r="F14" s="108" t="s">
        <v>98</v>
      </c>
      <c r="G14" s="108" t="s">
        <v>181</v>
      </c>
      <c r="H14" s="109" t="n">
        <f aca="false">MOD(C14+H$1+25,27)+1</f>
        <v>20</v>
      </c>
      <c r="I14" s="108" t="str">
        <f aca="false">VLOOKUP(H14,NakshatraInfo,2)</f>
        <v>Purva Ashadha</v>
      </c>
      <c r="J14" s="108" t="str">
        <f aca="false">VLOOKUP(H14,NakshatraInfo,4)</f>
        <v>Venus</v>
      </c>
      <c r="K14" s="111"/>
    </row>
    <row r="15" customFormat="false" ht="17.35" hidden="false" customHeight="false" outlineLevel="0" collapsed="false">
      <c r="A15" s="106" t="s">
        <v>206</v>
      </c>
      <c r="B15" s="110" t="s">
        <v>207</v>
      </c>
      <c r="C15" s="107" t="n">
        <v>18</v>
      </c>
      <c r="D15" s="108" t="n">
        <f aca="false">MOD(C15+D$1+26,28)+1</f>
        <v>21</v>
      </c>
      <c r="E15" s="108" t="str">
        <f aca="false">INDEX(NaxNames28,D15)</f>
        <v>U. Ashada</v>
      </c>
      <c r="F15" s="108" t="str">
        <f aca="false">INDEX(NakshatraTbl,D15,3)</f>
        <v>Sun</v>
      </c>
      <c r="G15" s="108" t="s">
        <v>181</v>
      </c>
      <c r="H15" s="109" t="n">
        <f aca="false">MOD(C15+H$1+25,27)+1</f>
        <v>21</v>
      </c>
      <c r="I15" s="108" t="str">
        <f aca="false">VLOOKUP(H15,NakshatraInfo,2)</f>
        <v>Uttara Ashadha</v>
      </c>
      <c r="J15" s="108" t="str">
        <f aca="false">VLOOKUP(H15,NakshatraInfo,4)</f>
        <v>Sun</v>
      </c>
      <c r="K15" s="111" t="n">
        <v>6</v>
      </c>
    </row>
    <row r="16" customFormat="false" ht="17.35" hidden="false" customHeight="false" outlineLevel="0" collapsed="false">
      <c r="A16" s="106" t="s">
        <v>208</v>
      </c>
      <c r="B16" s="110" t="s">
        <v>209</v>
      </c>
      <c r="C16" s="107" t="n">
        <v>19</v>
      </c>
      <c r="D16" s="108" t="n">
        <f aca="false">MOD(C16+D$1+26,28)+1</f>
        <v>22</v>
      </c>
      <c r="E16" s="108" t="str">
        <f aca="false">INDEX(NaxNames28,D16)</f>
        <v>Abhjit</v>
      </c>
      <c r="F16" s="108" t="str">
        <f aca="false">INDEX(NakshatraTbl,D16,3)</f>
        <v>Sun</v>
      </c>
      <c r="G16" s="108" t="s">
        <v>181</v>
      </c>
      <c r="H16" s="109" t="n">
        <f aca="false">MOD(C16+H$1+25,27)+1</f>
        <v>22</v>
      </c>
      <c r="I16" s="108" t="str">
        <f aca="false">VLOOKUP(H16,NakshatraInfo,2)</f>
        <v>Shravan</v>
      </c>
      <c r="J16" s="108" t="str">
        <f aca="false">VLOOKUP(H16,NakshatraInfo,4)</f>
        <v>Moon</v>
      </c>
      <c r="K16" s="111" t="n">
        <v>7</v>
      </c>
    </row>
    <row r="17" customFormat="false" ht="17.35" hidden="false" customHeight="false" outlineLevel="0" collapsed="false">
      <c r="A17" s="106" t="s">
        <v>210</v>
      </c>
      <c r="B17" s="110"/>
      <c r="C17" s="107" t="n">
        <v>20</v>
      </c>
      <c r="D17" s="108" t="n">
        <f aca="false">MOD(C17+D$1+26,28)+1</f>
        <v>23</v>
      </c>
      <c r="E17" s="108" t="str">
        <f aca="false">INDEX(NaxNames28,D17)</f>
        <v>Sravana</v>
      </c>
      <c r="F17" s="108" t="str">
        <f aca="false">INDEX(NakshatraTbl,D17,3)</f>
        <v>Moon</v>
      </c>
      <c r="G17" s="108" t="s">
        <v>181</v>
      </c>
      <c r="H17" s="109" t="n">
        <f aca="false">MOD(C17+H$1+25,27)+1</f>
        <v>23</v>
      </c>
      <c r="I17" s="108" t="str">
        <f aca="false">VLOOKUP(H17,NakshatraInfo,2)</f>
        <v>Dhanistha</v>
      </c>
      <c r="J17" s="108" t="str">
        <f aca="false">VLOOKUP(H17,NakshatraInfo,4)</f>
        <v>Mars</v>
      </c>
      <c r="K17" s="111"/>
    </row>
    <row r="18" customFormat="false" ht="17.35" hidden="false" customHeight="false" outlineLevel="0" collapsed="false">
      <c r="A18" s="106" t="s">
        <v>211</v>
      </c>
      <c r="B18" s="110"/>
      <c r="C18" s="107" t="n">
        <v>21</v>
      </c>
      <c r="D18" s="108" t="n">
        <f aca="false">MOD(C18+D$1+26,28)+1</f>
        <v>24</v>
      </c>
      <c r="E18" s="108" t="str">
        <f aca="false">INDEX(NaxNames28,D18)</f>
        <v>Dhanishta</v>
      </c>
      <c r="F18" s="108" t="str">
        <f aca="false">INDEX(NakshatraTbl,D18,3)</f>
        <v>Mars</v>
      </c>
      <c r="G18" s="108" t="s">
        <v>181</v>
      </c>
      <c r="H18" s="109" t="n">
        <f aca="false">MOD(C18+H$1+25,27)+1</f>
        <v>24</v>
      </c>
      <c r="I18" s="108" t="str">
        <f aca="false">VLOOKUP(H18,NakshatraInfo,2)</f>
        <v>Satabishak</v>
      </c>
      <c r="J18" s="108" t="str">
        <f aca="false">VLOOKUP(H18,NakshatraInfo,4)</f>
        <v>Rahu</v>
      </c>
      <c r="K18" s="111"/>
    </row>
    <row r="19" customFormat="false" ht="17.35" hidden="false" customHeight="false" outlineLevel="0" collapsed="false">
      <c r="A19" s="106" t="s">
        <v>212</v>
      </c>
      <c r="B19" s="110" t="s">
        <v>213</v>
      </c>
      <c r="C19" s="107" t="n">
        <v>22</v>
      </c>
      <c r="D19" s="108" t="n">
        <f aca="false">MOD(C19+D$1+26,28)+1</f>
        <v>25</v>
      </c>
      <c r="E19" s="108" t="str">
        <f aca="false">INDEX(NaxNames28,D19)</f>
        <v>Shatabhishaj</v>
      </c>
      <c r="F19" s="108" t="str">
        <f aca="false">INDEX(NakshatraTbl,D19,3)</f>
        <v>Rahu</v>
      </c>
      <c r="G19" s="108" t="s">
        <v>181</v>
      </c>
      <c r="H19" s="109" t="n">
        <f aca="false">MOD(C19+H$1+25,27)+1</f>
        <v>25</v>
      </c>
      <c r="I19" s="108" t="str">
        <f aca="false">VLOOKUP(H19,NakshatraInfo,2)</f>
        <v>Purva Bhadrapad</v>
      </c>
      <c r="J19" s="108" t="str">
        <f aca="false">VLOOKUP(H19,NakshatraInfo,4)</f>
        <v>Jupiter</v>
      </c>
      <c r="K19" s="111" t="n">
        <v>10</v>
      </c>
    </row>
    <row r="20" customFormat="false" ht="17.35" hidden="false" customHeight="false" outlineLevel="0" collapsed="false">
      <c r="A20" s="106" t="s">
        <v>214</v>
      </c>
      <c r="B20" s="110"/>
      <c r="C20" s="107" t="n">
        <v>23</v>
      </c>
      <c r="D20" s="108" t="n">
        <f aca="false">MOD(C20+D$1+26,28)+1</f>
        <v>26</v>
      </c>
      <c r="E20" s="108" t="str">
        <f aca="false">INDEX(NaxNames28,D20)</f>
        <v>P. Bhadra</v>
      </c>
      <c r="F20" s="108" t="str">
        <f aca="false">INDEX(NakshatraTbl,D20,3)</f>
        <v>Jupiter</v>
      </c>
      <c r="G20" s="108"/>
      <c r="H20" s="109" t="n">
        <f aca="false">MOD(C20+H$1+25,27)+1</f>
        <v>26</v>
      </c>
      <c r="I20" s="108"/>
      <c r="J20" s="108"/>
      <c r="K20" s="111"/>
    </row>
    <row r="21" customFormat="false" ht="17.35" hidden="false" customHeight="false" outlineLevel="0" collapsed="false">
      <c r="A21" s="106" t="s">
        <v>215</v>
      </c>
      <c r="B21" s="110"/>
      <c r="C21" s="107" t="n">
        <v>24</v>
      </c>
      <c r="D21" s="108" t="n">
        <f aca="false">MOD(C21+D$1+26,28)+1</f>
        <v>27</v>
      </c>
      <c r="E21" s="108" t="str">
        <f aca="false">INDEX(NaxNames28,D21)</f>
        <v>U. Bhadra</v>
      </c>
      <c r="F21" s="108" t="str">
        <f aca="false">INDEX(NakshatraTbl,D21,3)</f>
        <v>Sat</v>
      </c>
      <c r="G21" s="108"/>
      <c r="H21" s="109" t="n">
        <f aca="false">MOD(C21+H$1+25,27)+1</f>
        <v>27</v>
      </c>
      <c r="I21" s="108"/>
      <c r="J21" s="108"/>
      <c r="K21" s="111"/>
    </row>
    <row r="22" customFormat="false" ht="17.35" hidden="false" customHeight="false" outlineLevel="0" collapsed="false">
      <c r="A22" s="106" t="s">
        <v>216</v>
      </c>
      <c r="B22" s="110" t="s">
        <v>217</v>
      </c>
      <c r="C22" s="107" t="n">
        <v>25</v>
      </c>
      <c r="D22" s="108" t="n">
        <f aca="false">MOD(C22+D$1+26,28)+1</f>
        <v>28</v>
      </c>
      <c r="E22" s="108" t="str">
        <f aca="false">INDEX(NaxNames28,D22)</f>
        <v>Revati</v>
      </c>
      <c r="F22" s="108" t="str">
        <f aca="false">INDEX(NakshatraTbl,D22,3)</f>
        <v>Merc</v>
      </c>
      <c r="G22" s="108" t="s">
        <v>181</v>
      </c>
      <c r="H22" s="112" t="n">
        <f aca="false">MOD(C22+H$1+25,27)+1</f>
        <v>1</v>
      </c>
      <c r="I22" s="113" t="str">
        <f aca="false">VLOOKUP(H22,NakshatraInfo,2)</f>
        <v>Ashvini</v>
      </c>
      <c r="J22" s="113" t="str">
        <f aca="false">VLOOKUP(H22,NakshatraInfo,4)</f>
        <v>Ketu</v>
      </c>
      <c r="K22" s="111" t="n">
        <v>1</v>
      </c>
    </row>
    <row r="23" customFormat="false" ht="17.35" hidden="false" customHeight="false" outlineLevel="0" collapsed="false">
      <c r="A23" s="106" t="s">
        <v>218</v>
      </c>
      <c r="B23" s="110"/>
      <c r="C23" s="107" t="n">
        <v>26</v>
      </c>
      <c r="D23" s="108" t="n">
        <f aca="false">MOD(C23+D$1+26,28)+1</f>
        <v>1</v>
      </c>
      <c r="E23" s="108" t="str">
        <f aca="false">INDEX(NaxNames28,D23)</f>
        <v>Ashwini</v>
      </c>
      <c r="F23" s="108" t="str">
        <f aca="false">INDEX(NakshatraTbl,D23,3)</f>
        <v>Ketu</v>
      </c>
      <c r="G23" s="108" t="s">
        <v>181</v>
      </c>
      <c r="H23" s="109" t="s">
        <v>98</v>
      </c>
      <c r="I23" s="108" t="s">
        <v>98</v>
      </c>
      <c r="J23" s="108" t="s">
        <v>98</v>
      </c>
      <c r="K23" s="111"/>
    </row>
    <row r="24" customFormat="false" ht="17.35" hidden="false" customHeight="false" outlineLevel="0" collapsed="false">
      <c r="A24" s="106" t="s">
        <v>219</v>
      </c>
      <c r="B24" s="114"/>
      <c r="C24" s="107" t="n">
        <v>27</v>
      </c>
      <c r="D24" s="108" t="n">
        <f aca="false">MOD(C24+D$1+26,28)+1</f>
        <v>2</v>
      </c>
      <c r="E24" s="108" t="str">
        <f aca="false">INDEX(NaxNames28,D24)</f>
        <v>Bharani</v>
      </c>
      <c r="F24" s="108" t="str">
        <f aca="false">INDEX(NakshatraTbl,D24,3)</f>
        <v>Venus</v>
      </c>
      <c r="G24" s="108" t="s">
        <v>181</v>
      </c>
      <c r="H24" s="109" t="n">
        <f aca="false">MOD(C24+H$1+25,27)+1</f>
        <v>3</v>
      </c>
      <c r="I24" s="108" t="str">
        <f aca="false">VLOOKUP(H24,NakshatraInfo,2)</f>
        <v>Kritika</v>
      </c>
      <c r="J24" s="108" t="str">
        <f aca="false">VLOOKUP(H24,NakshatraInfo,4)</f>
        <v>Sun</v>
      </c>
      <c r="K24" s="111" t="n">
        <v>3</v>
      </c>
    </row>
    <row r="25" customFormat="false" ht="17.35" hidden="false" customHeight="false" outlineLevel="0" collapsed="false">
      <c r="A25" s="115" t="s">
        <v>220</v>
      </c>
      <c r="B25" s="114" t="s">
        <v>221</v>
      </c>
      <c r="C25" s="114" t="n">
        <v>28</v>
      </c>
      <c r="D25" s="108" t="n">
        <f aca="false">MOD(C25+D$1+26,28)+1</f>
        <v>3</v>
      </c>
      <c r="E25" s="108" t="str">
        <f aca="false">INDEX(NaxNames28,D25)</f>
        <v>Krittika</v>
      </c>
      <c r="F25" s="108" t="str">
        <f aca="false">INDEX(NakshatraTbl,D25,3)</f>
        <v>Sun</v>
      </c>
      <c r="G25" s="108" t="s">
        <v>181</v>
      </c>
      <c r="H25" s="109" t="s">
        <v>98</v>
      </c>
      <c r="I25" s="108" t="s">
        <v>98</v>
      </c>
      <c r="J25" s="108" t="s">
        <v>98</v>
      </c>
      <c r="K25" s="111" t="n">
        <v>3</v>
      </c>
    </row>
    <row r="27" customFormat="false" ht="15" hidden="false" customHeight="false" outlineLevel="0" collapsed="false">
      <c r="A27" s="6" t="s">
        <v>222</v>
      </c>
      <c r="B27" s="100" t="n">
        <f aca="false">INT(SunDeg*0.075)+1</f>
        <v>7</v>
      </c>
      <c r="D27" s="6" t="str">
        <f aca="false">INDEX(NaxNames28,B27)</f>
        <v>Punarvasu</v>
      </c>
    </row>
    <row r="28" customFormat="false" ht="15" hidden="false" customHeight="false" outlineLevel="0" collapsed="false">
      <c r="A28" s="116" t="s">
        <v>223</v>
      </c>
      <c r="B28" s="116" t="s">
        <v>224</v>
      </c>
      <c r="C28" s="116" t="s">
        <v>177</v>
      </c>
      <c r="D28" s="116" t="s">
        <v>225</v>
      </c>
      <c r="E28" s="116"/>
      <c r="F28" s="116" t="s">
        <v>182</v>
      </c>
      <c r="G28" s="116" t="s">
        <v>180</v>
      </c>
      <c r="H28" s="116"/>
      <c r="I28" s="116" t="s">
        <v>179</v>
      </c>
    </row>
    <row r="29" customFormat="false" ht="15" hidden="false" customHeight="false" outlineLevel="0" collapsed="false">
      <c r="A29" s="117" t="s">
        <v>226</v>
      </c>
      <c r="B29" s="118" t="s">
        <v>227</v>
      </c>
      <c r="C29" s="118" t="n">
        <v>5</v>
      </c>
      <c r="D29" s="119" t="n">
        <f aca="false">MOD(C29+B$27+25,27)+1</f>
        <v>11</v>
      </c>
      <c r="E29" s="119" t="str">
        <f aca="false">INDEX(NakshatraTbl,D29,1)</f>
        <v>Purva Phalguni</v>
      </c>
      <c r="F29" s="120"/>
      <c r="G29" s="119" t="str">
        <f aca="false">INDEX(NakshatraTbl,D29,3)</f>
        <v>Venus</v>
      </c>
      <c r="H29" s="119" t="n">
        <f aca="false">MOD(C29+B$27+26,28)+1</f>
        <v>11</v>
      </c>
      <c r="I29" s="119" t="str">
        <f aca="false">INDEX(NaxNames28,H29)</f>
        <v>P. Phalguni</v>
      </c>
    </row>
    <row r="30" customFormat="false" ht="15" hidden="false" customHeight="false" outlineLevel="0" collapsed="false">
      <c r="A30" s="117" t="s">
        <v>228</v>
      </c>
      <c r="B30" s="118" t="s">
        <v>229</v>
      </c>
      <c r="C30" s="118" t="n">
        <v>8</v>
      </c>
      <c r="D30" s="119" t="n">
        <f aca="false">MOD(C30+B$27+25,27)+1</f>
        <v>14</v>
      </c>
      <c r="E30" s="119" t="str">
        <f aca="false">INDEX(NakshatraTbl,D30,1)</f>
        <v>Chitra</v>
      </c>
      <c r="F30" s="120"/>
      <c r="G30" s="119" t="str">
        <f aca="false">INDEX(NakshatraTbl,D30,3)</f>
        <v>Mars</v>
      </c>
      <c r="H30" s="119" t="n">
        <f aca="false">MOD(C30+B$27+26,28)+1</f>
        <v>14</v>
      </c>
      <c r="I30" s="119" t="str">
        <f aca="false">INDEX(NaxNames28,H30)</f>
        <v>Chitra</v>
      </c>
    </row>
    <row r="31" customFormat="false" ht="15" hidden="false" customHeight="false" outlineLevel="0" collapsed="false">
      <c r="A31" s="117" t="s">
        <v>230</v>
      </c>
      <c r="B31" s="118" t="s">
        <v>231</v>
      </c>
      <c r="C31" s="118" t="n">
        <v>14</v>
      </c>
      <c r="D31" s="119" t="n">
        <f aca="false">MOD(C31+B$27+25,27)+1</f>
        <v>20</v>
      </c>
      <c r="E31" s="119" t="str">
        <f aca="false">INDEX(NakshatraTbl,D31,1)</f>
        <v>Purva Ashadha</v>
      </c>
      <c r="F31" s="120"/>
      <c r="G31" s="119" t="str">
        <f aca="false">INDEX(NakshatraTbl,D31,3)</f>
        <v>Venus</v>
      </c>
      <c r="H31" s="119" t="n">
        <f aca="false">MOD(C31+B$27+26,28)+1</f>
        <v>20</v>
      </c>
      <c r="I31" s="119" t="str">
        <f aca="false">INDEX(NaxNames28,H31)</f>
        <v>P. Ashada</v>
      </c>
    </row>
    <row r="32" customFormat="false" ht="15" hidden="false" customHeight="false" outlineLevel="0" collapsed="false">
      <c r="A32" s="117" t="s">
        <v>166</v>
      </c>
      <c r="B32" s="118" t="s">
        <v>232</v>
      </c>
      <c r="C32" s="118" t="n">
        <v>18</v>
      </c>
      <c r="D32" s="119" t="n">
        <f aca="false">MOD(C32+B$27+25,27)+1</f>
        <v>24</v>
      </c>
      <c r="E32" s="119" t="str">
        <f aca="false">INDEX(NakshatraTbl,D32,1)</f>
        <v>Dhanistha</v>
      </c>
      <c r="F32" s="120"/>
      <c r="G32" s="119" t="str">
        <f aca="false">INDEX(NakshatraTbl,D32,3)</f>
        <v>Mars</v>
      </c>
      <c r="H32" s="119" t="n">
        <f aca="false">MOD(C32+B$27+26,28)+1</f>
        <v>24</v>
      </c>
      <c r="I32" s="119" t="str">
        <f aca="false">INDEX(NaxNames28,H32)</f>
        <v>Dhanishta</v>
      </c>
    </row>
    <row r="33" customFormat="false" ht="15" hidden="false" customHeight="false" outlineLevel="0" collapsed="false">
      <c r="A33" s="117" t="s">
        <v>233</v>
      </c>
      <c r="B33" s="118" t="s">
        <v>234</v>
      </c>
      <c r="C33" s="118" t="n">
        <v>21</v>
      </c>
      <c r="D33" s="119" t="n">
        <f aca="false">MOD(C33+B$27+25,27)+1</f>
        <v>27</v>
      </c>
      <c r="E33" s="119" t="str">
        <f aca="false">INDEX(NakshatraTbl,D33,1)</f>
        <v>Uttara Bhadrapad</v>
      </c>
      <c r="F33" s="120"/>
      <c r="G33" s="119" t="str">
        <f aca="false">INDEX(NakshatraTbl,D33,3)</f>
        <v>Sat</v>
      </c>
      <c r="H33" s="119" t="n">
        <f aca="false">MOD(C33+B$27+26,28)+1</f>
        <v>27</v>
      </c>
      <c r="I33" s="119" t="str">
        <f aca="false">INDEX(NaxNames28,H33)</f>
        <v>U. Bhadra</v>
      </c>
    </row>
    <row r="34" customFormat="false" ht="15" hidden="false" customHeight="false" outlineLevel="0" collapsed="false">
      <c r="A34" s="117" t="s">
        <v>235</v>
      </c>
      <c r="B34" s="118" t="s">
        <v>236</v>
      </c>
      <c r="C34" s="118" t="n">
        <v>22</v>
      </c>
      <c r="D34" s="119" t="n">
        <f aca="false">MOD(C34+B$27+25,27)+1</f>
        <v>1</v>
      </c>
      <c r="E34" s="119" t="str">
        <f aca="false">INDEX(NakshatraTbl,D34,1)</f>
        <v>Ashvini</v>
      </c>
      <c r="F34" s="120"/>
      <c r="G34" s="119" t="str">
        <f aca="false">INDEX(NakshatraTbl,D34,3)</f>
        <v>Ketu</v>
      </c>
      <c r="H34" s="119" t="n">
        <f aca="false">MOD(C34+B$27+26,28)+1</f>
        <v>28</v>
      </c>
      <c r="I34" s="119" t="str">
        <f aca="false">INDEX(NaxNames28,H34)</f>
        <v>Revati</v>
      </c>
    </row>
    <row r="35" customFormat="false" ht="15" hidden="false" customHeight="false" outlineLevel="0" collapsed="false">
      <c r="A35" s="117" t="s">
        <v>237</v>
      </c>
      <c r="B35" s="118" t="s">
        <v>238</v>
      </c>
      <c r="C35" s="118" t="n">
        <v>23</v>
      </c>
      <c r="D35" s="119" t="n">
        <f aca="false">MOD(C35+B$27+25,27)+1</f>
        <v>2</v>
      </c>
      <c r="E35" s="119" t="str">
        <f aca="false">INDEX(NakshatraTbl,D35,1)</f>
        <v>Bharani</v>
      </c>
      <c r="F35" s="120"/>
      <c r="G35" s="119" t="str">
        <f aca="false">INDEX(NakshatraTbl,D35,3)</f>
        <v>Venus</v>
      </c>
      <c r="H35" s="119" t="n">
        <f aca="false">MOD(C35+B$27+26,28)+1</f>
        <v>1</v>
      </c>
      <c r="I35" s="119" t="str">
        <f aca="false">INDEX(NaxNames28,H35)</f>
        <v>Ashwini</v>
      </c>
    </row>
    <row r="36" customFormat="false" ht="15" hidden="false" customHeight="false" outlineLevel="0" collapsed="false">
      <c r="A36" s="117" t="s">
        <v>239</v>
      </c>
      <c r="B36" s="118" t="s">
        <v>240</v>
      </c>
      <c r="C36" s="118" t="n">
        <v>24</v>
      </c>
      <c r="D36" s="119" t="n">
        <f aca="false">MOD(C36+B$27+25,27)+1</f>
        <v>3</v>
      </c>
      <c r="E36" s="119" t="str">
        <f aca="false">INDEX(NakshatraTbl,D36,1)</f>
        <v>Kritika</v>
      </c>
      <c r="F36" s="120"/>
      <c r="G36" s="119" t="str">
        <f aca="false">INDEX(NakshatraTbl,D36,3)</f>
        <v>Sun</v>
      </c>
      <c r="H36" s="119" t="n">
        <f aca="false">MOD(C36+B$27+26,28)+1</f>
        <v>2</v>
      </c>
      <c r="I36" s="119" t="str">
        <f aca="false">INDEX(NaxNames28,H36)</f>
        <v>Bharani</v>
      </c>
    </row>
    <row r="39" customFormat="false" ht="15" hidden="false" customHeight="false" outlineLevel="0" collapsed="false">
      <c r="A39" s="121" t="s">
        <v>241</v>
      </c>
      <c r="B39" s="121" t="s">
        <v>242</v>
      </c>
      <c r="C39" s="121" t="s">
        <v>243</v>
      </c>
      <c r="D39" s="122" t="s">
        <v>244</v>
      </c>
      <c r="E39" s="123" t="s">
        <v>245</v>
      </c>
      <c r="F39" s="124" t="s">
        <v>246</v>
      </c>
      <c r="G39" s="125" t="s">
        <v>247</v>
      </c>
      <c r="H39" s="123" t="s">
        <v>248</v>
      </c>
      <c r="I39" s="124" t="s">
        <v>249</v>
      </c>
      <c r="J39" s="125" t="s">
        <v>250</v>
      </c>
      <c r="K39" s="123" t="s">
        <v>251</v>
      </c>
      <c r="L39" s="124" t="s">
        <v>252</v>
      </c>
      <c r="M39" s="124" t="s">
        <v>253</v>
      </c>
      <c r="N39" s="125" t="s">
        <v>254</v>
      </c>
      <c r="O39" s="121" t="s">
        <v>255</v>
      </c>
    </row>
    <row r="40" customFormat="false" ht="15" hidden="false" customHeight="false" outlineLevel="0" collapsed="false">
      <c r="A40" s="21" t="s">
        <v>186</v>
      </c>
      <c r="B40" s="21" t="s">
        <v>159</v>
      </c>
      <c r="C40" s="126" t="n">
        <v>1</v>
      </c>
      <c r="D40" s="127" t="str">
        <f aca="false">VLOOKUP(E40,NakshatraInfo,4)</f>
        <v>Moon</v>
      </c>
      <c r="E40" s="128" t="n">
        <f aca="false">D1</f>
        <v>4</v>
      </c>
      <c r="F40" s="6" t="str">
        <f aca="false">VLOOKUP(E40,NakshatraInfo,2)</f>
        <v>Rohini</v>
      </c>
      <c r="G40" s="129" t="s">
        <v>186</v>
      </c>
      <c r="H40" s="130" t="n">
        <f aca="false">MOD(E48,27)+1</f>
        <v>13</v>
      </c>
      <c r="I40" s="6" t="str">
        <f aca="false">VLOOKUP(H40,NakshatraInfo,2)</f>
        <v>Hasta</v>
      </c>
      <c r="J40" s="129" t="s">
        <v>256</v>
      </c>
      <c r="K40" s="130" t="n">
        <f aca="false">MOD(H48,27)+1</f>
        <v>22</v>
      </c>
      <c r="L40" s="6" t="str">
        <f aca="false">VLOOKUP(K40,NakshatraInfo,2)</f>
        <v>Shravan</v>
      </c>
      <c r="M40" s="6" t="s">
        <v>257</v>
      </c>
      <c r="N40" s="129" t="str">
        <f aca="false">VLOOKUP(K40,NakshatraInfo,4)</f>
        <v>Moon</v>
      </c>
      <c r="O40" s="6" t="n">
        <v>1</v>
      </c>
    </row>
    <row r="41" customFormat="false" ht="15" hidden="false" customHeight="false" outlineLevel="0" collapsed="false">
      <c r="A41" s="21" t="s">
        <v>258</v>
      </c>
      <c r="B41" s="21" t="s">
        <v>160</v>
      </c>
      <c r="C41" s="126" t="n">
        <v>2</v>
      </c>
      <c r="D41" s="127" t="str">
        <f aca="false">VLOOKUP(E41,NakshatraInfo,4)</f>
        <v>Mars</v>
      </c>
      <c r="E41" s="130" t="n">
        <f aca="false">MOD(E40,27)+1</f>
        <v>5</v>
      </c>
      <c r="F41" s="6" t="str">
        <f aca="false">VLOOKUP(E41,NakshatraInfo,2)</f>
        <v>Mrigashira</v>
      </c>
      <c r="G41" s="129" t="s">
        <v>259</v>
      </c>
      <c r="H41" s="130" t="n">
        <f aca="false">MOD(H40,27)+1</f>
        <v>14</v>
      </c>
      <c r="I41" s="6" t="str">
        <f aca="false">VLOOKUP(H41,NakshatraInfo,2)</f>
        <v>Chitra</v>
      </c>
      <c r="J41" s="129" t="s">
        <v>260</v>
      </c>
      <c r="K41" s="130" t="n">
        <f aca="false">MOD(K40,27)+1</f>
        <v>23</v>
      </c>
      <c r="L41" s="6" t="str">
        <f aca="false">VLOOKUP(K41,NakshatraInfo,2)</f>
        <v>Dhanistha</v>
      </c>
      <c r="M41" s="6" t="s">
        <v>261</v>
      </c>
      <c r="N41" s="129" t="str">
        <f aca="false">VLOOKUP(K41,NakshatraInfo,4)</f>
        <v>Mars</v>
      </c>
      <c r="O41" s="6" t="n">
        <v>2</v>
      </c>
    </row>
    <row r="42" customFormat="false" ht="15" hidden="false" customHeight="false" outlineLevel="0" collapsed="false">
      <c r="A42" s="131" t="s">
        <v>262</v>
      </c>
      <c r="B42" s="131" t="s">
        <v>165</v>
      </c>
      <c r="C42" s="132" t="n">
        <v>3</v>
      </c>
      <c r="D42" s="133" t="str">
        <f aca="false">VLOOKUP(E42,NakshatraInfo,4)</f>
        <v>Rahu</v>
      </c>
      <c r="E42" s="134" t="n">
        <f aca="false">MOD(E41,27)+1</f>
        <v>6</v>
      </c>
      <c r="F42" s="135" t="str">
        <f aca="false">VLOOKUP(E42,NakshatraInfo,2)</f>
        <v>Ardra</v>
      </c>
      <c r="G42" s="136" t="s">
        <v>263</v>
      </c>
      <c r="H42" s="134" t="n">
        <f aca="false">MOD(H41,27)+1</f>
        <v>15</v>
      </c>
      <c r="I42" s="135" t="str">
        <f aca="false">VLOOKUP(H42,NakshatraInfo,2)</f>
        <v>Swati</v>
      </c>
      <c r="J42" s="136" t="s">
        <v>264</v>
      </c>
      <c r="K42" s="134" t="n">
        <f aca="false">MOD(K41,27)+1</f>
        <v>24</v>
      </c>
      <c r="L42" s="135" t="str">
        <f aca="false">VLOOKUP(K42,NakshatraInfo,2)</f>
        <v>Satabishak</v>
      </c>
      <c r="M42" s="135" t="s">
        <v>265</v>
      </c>
      <c r="N42" s="136" t="str">
        <f aca="false">VLOOKUP(K42,NakshatraInfo,4)</f>
        <v>Rahu</v>
      </c>
      <c r="O42" s="6" t="n">
        <v>3</v>
      </c>
    </row>
    <row r="43" customFormat="false" ht="15" hidden="false" customHeight="false" outlineLevel="0" collapsed="false">
      <c r="A43" s="21" t="s">
        <v>266</v>
      </c>
      <c r="B43" s="21" t="s">
        <v>162</v>
      </c>
      <c r="C43" s="126" t="n">
        <v>4</v>
      </c>
      <c r="D43" s="127" t="str">
        <f aca="false">VLOOKUP(E43,NakshatraInfo,4)</f>
        <v>Jupiter</v>
      </c>
      <c r="E43" s="130" t="n">
        <f aca="false">MOD(E42,27)+1</f>
        <v>7</v>
      </c>
      <c r="F43" s="6" t="str">
        <f aca="false">VLOOKUP(E43,NakshatraInfo,2)</f>
        <v>Punarvasu</v>
      </c>
      <c r="G43" s="129" t="s">
        <v>267</v>
      </c>
      <c r="H43" s="130" t="n">
        <f aca="false">MOD(H42,27)+1</f>
        <v>16</v>
      </c>
      <c r="I43" s="6" t="str">
        <f aca="false">VLOOKUP(H43,NakshatraInfo,2)</f>
        <v>Vishakha</v>
      </c>
      <c r="J43" s="129" t="s">
        <v>268</v>
      </c>
      <c r="K43" s="130" t="n">
        <f aca="false">MOD(K42,27)+1</f>
        <v>25</v>
      </c>
      <c r="L43" s="6" t="str">
        <f aca="false">VLOOKUP(K43,NakshatraInfo,2)</f>
        <v>Purva Bhadrapad</v>
      </c>
      <c r="M43" s="6" t="s">
        <v>269</v>
      </c>
      <c r="N43" s="129" t="str">
        <f aca="false">VLOOKUP(K43,NakshatraInfo,4)</f>
        <v>Jupiter</v>
      </c>
      <c r="O43" s="6" t="n">
        <v>4</v>
      </c>
    </row>
    <row r="44" customFormat="false" ht="15" hidden="false" customHeight="false" outlineLevel="0" collapsed="false">
      <c r="A44" s="131" t="s">
        <v>270</v>
      </c>
      <c r="B44" s="131" t="s">
        <v>164</v>
      </c>
      <c r="C44" s="132" t="n">
        <v>5</v>
      </c>
      <c r="D44" s="133" t="str">
        <f aca="false">VLOOKUP(E44,NakshatraInfo,4)</f>
        <v>Sat</v>
      </c>
      <c r="E44" s="134" t="n">
        <f aca="false">MOD(E43,27)+1</f>
        <v>8</v>
      </c>
      <c r="F44" s="135" t="str">
        <f aca="false">VLOOKUP(E44,NakshatraInfo,2)</f>
        <v>Pushya</v>
      </c>
      <c r="G44" s="136" t="s">
        <v>271</v>
      </c>
      <c r="H44" s="134" t="n">
        <f aca="false">MOD(H43,27)+1</f>
        <v>17</v>
      </c>
      <c r="I44" s="135" t="str">
        <f aca="false">VLOOKUP(H44,NakshatraInfo,2)</f>
        <v>Anuradha</v>
      </c>
      <c r="J44" s="136" t="s">
        <v>272</v>
      </c>
      <c r="K44" s="134" t="n">
        <f aca="false">MOD(K43,27)+1</f>
        <v>26</v>
      </c>
      <c r="L44" s="135" t="str">
        <f aca="false">VLOOKUP(K44,NakshatraInfo,2)</f>
        <v>Uttara Bhadrapad</v>
      </c>
      <c r="M44" s="135" t="s">
        <v>273</v>
      </c>
      <c r="N44" s="136" t="str">
        <f aca="false">VLOOKUP(K44,NakshatraInfo,4)</f>
        <v>Sat</v>
      </c>
      <c r="O44" s="6" t="n">
        <v>5</v>
      </c>
    </row>
    <row r="45" customFormat="false" ht="15" hidden="false" customHeight="false" outlineLevel="0" collapsed="false">
      <c r="A45" s="21" t="s">
        <v>274</v>
      </c>
      <c r="B45" s="21" t="s">
        <v>161</v>
      </c>
      <c r="C45" s="126" t="n">
        <v>6</v>
      </c>
      <c r="D45" s="127" t="str">
        <f aca="false">VLOOKUP(E45,NakshatraInfo,4)</f>
        <v>Merc</v>
      </c>
      <c r="E45" s="130" t="n">
        <f aca="false">MOD(E44,27)+1</f>
        <v>9</v>
      </c>
      <c r="F45" s="6" t="str">
        <f aca="false">VLOOKUP(E45,NakshatraInfo,2)</f>
        <v>Ashlesha</v>
      </c>
      <c r="G45" s="129" t="s">
        <v>275</v>
      </c>
      <c r="H45" s="130" t="n">
        <f aca="false">MOD(H44,27)+1</f>
        <v>18</v>
      </c>
      <c r="I45" s="6" t="str">
        <f aca="false">VLOOKUP(H45,NakshatraInfo,2)</f>
        <v>Jyeshtha</v>
      </c>
      <c r="J45" s="129" t="s">
        <v>276</v>
      </c>
      <c r="K45" s="130" t="n">
        <f aca="false">MOD(K44,27)+1</f>
        <v>27</v>
      </c>
      <c r="L45" s="6" t="str">
        <f aca="false">VLOOKUP(K45,NakshatraInfo,2)</f>
        <v>Revati</v>
      </c>
      <c r="M45" s="6" t="s">
        <v>277</v>
      </c>
      <c r="N45" s="129" t="str">
        <f aca="false">VLOOKUP(K45,NakshatraInfo,4)</f>
        <v>Merc</v>
      </c>
      <c r="O45" s="6" t="n">
        <v>6</v>
      </c>
    </row>
    <row r="46" customFormat="false" ht="15" hidden="false" customHeight="false" outlineLevel="0" collapsed="false">
      <c r="A46" s="131" t="s">
        <v>278</v>
      </c>
      <c r="B46" s="131" t="s">
        <v>166</v>
      </c>
      <c r="C46" s="132" t="n">
        <v>7</v>
      </c>
      <c r="D46" s="133" t="str">
        <f aca="false">VLOOKUP(E46,NakshatraInfo,4)</f>
        <v>Ketu</v>
      </c>
      <c r="E46" s="134" t="n">
        <f aca="false">MOD(E45,27)+1</f>
        <v>10</v>
      </c>
      <c r="F46" s="135" t="str">
        <f aca="false">VLOOKUP(E46,NakshatraInfo,2)</f>
        <v>Magha</v>
      </c>
      <c r="G46" s="136" t="s">
        <v>279</v>
      </c>
      <c r="H46" s="134" t="n">
        <f aca="false">MOD(H45,27)+1</f>
        <v>19</v>
      </c>
      <c r="I46" s="135" t="str">
        <f aca="false">VLOOKUP(H46,NakshatraInfo,2)</f>
        <v>Mula</v>
      </c>
      <c r="J46" s="136" t="s">
        <v>280</v>
      </c>
      <c r="K46" s="134" t="n">
        <f aca="false">MOD(K45,27)+1</f>
        <v>1</v>
      </c>
      <c r="L46" s="135" t="str">
        <f aca="false">VLOOKUP(K46,NakshatraInfo,2)</f>
        <v>Ashvini</v>
      </c>
      <c r="M46" s="135" t="s">
        <v>281</v>
      </c>
      <c r="N46" s="136" t="str">
        <f aca="false">VLOOKUP(K46,NakshatraInfo,4)</f>
        <v>Ketu</v>
      </c>
      <c r="O46" s="6" t="n">
        <v>7</v>
      </c>
    </row>
    <row r="47" customFormat="false" ht="15" hidden="false" customHeight="false" outlineLevel="0" collapsed="false">
      <c r="A47" s="21" t="s">
        <v>282</v>
      </c>
      <c r="B47" s="21" t="s">
        <v>163</v>
      </c>
      <c r="C47" s="126" t="n">
        <v>8</v>
      </c>
      <c r="D47" s="127" t="str">
        <f aca="false">VLOOKUP(E47,NakshatraInfo,4)</f>
        <v>Venus</v>
      </c>
      <c r="E47" s="130" t="n">
        <f aca="false">MOD(E46,27)+1</f>
        <v>11</v>
      </c>
      <c r="F47" s="6" t="str">
        <f aca="false">VLOOKUP(E47,NakshatraInfo,2)</f>
        <v>Purva Phalguni</v>
      </c>
      <c r="G47" s="129" t="s">
        <v>283</v>
      </c>
      <c r="H47" s="130" t="n">
        <f aca="false">MOD(H46,27)+1</f>
        <v>20</v>
      </c>
      <c r="I47" s="6" t="str">
        <f aca="false">VLOOKUP(H47,NakshatraInfo,2)</f>
        <v>Purva Ashadha</v>
      </c>
      <c r="J47" s="129" t="s">
        <v>284</v>
      </c>
      <c r="K47" s="130" t="n">
        <f aca="false">MOD(K46,27)+1</f>
        <v>2</v>
      </c>
      <c r="L47" s="6" t="str">
        <f aca="false">VLOOKUP(K47,NakshatraInfo,2)</f>
        <v>Bharani</v>
      </c>
      <c r="M47" s="6" t="s">
        <v>285</v>
      </c>
      <c r="N47" s="129" t="str">
        <f aca="false">VLOOKUP(K47,NakshatraInfo,4)</f>
        <v>Venus</v>
      </c>
      <c r="O47" s="6" t="n">
        <v>8</v>
      </c>
    </row>
    <row r="48" customFormat="false" ht="15" hidden="false" customHeight="false" outlineLevel="0" collapsed="false">
      <c r="A48" s="21" t="s">
        <v>286</v>
      </c>
      <c r="B48" s="21" t="s">
        <v>158</v>
      </c>
      <c r="C48" s="126" t="n">
        <v>9</v>
      </c>
      <c r="D48" s="137" t="str">
        <f aca="false">VLOOKUP(E48,NakshatraInfo,4)</f>
        <v>Sun</v>
      </c>
      <c r="E48" s="138" t="n">
        <f aca="false">MOD(E47,27)+1</f>
        <v>12</v>
      </c>
      <c r="F48" s="139" t="str">
        <f aca="false">VLOOKUP(E48,NakshatraInfo,2)</f>
        <v>Uttara Phalguni</v>
      </c>
      <c r="G48" s="140" t="s">
        <v>287</v>
      </c>
      <c r="H48" s="138" t="n">
        <f aca="false">MOD(H47,27)+1</f>
        <v>21</v>
      </c>
      <c r="I48" s="139" t="str">
        <f aca="false">VLOOKUP(H48,NakshatraInfo,2)</f>
        <v>Uttara Ashadha</v>
      </c>
      <c r="J48" s="140" t="s">
        <v>288</v>
      </c>
      <c r="K48" s="138" t="n">
        <f aca="false">MOD(K47,27)+1</f>
        <v>3</v>
      </c>
      <c r="L48" s="139" t="str">
        <f aca="false">VLOOKUP(K48,NakshatraInfo,2)</f>
        <v>Kritika</v>
      </c>
      <c r="M48" s="139" t="s">
        <v>289</v>
      </c>
      <c r="N48" s="140" t="str">
        <f aca="false">VLOOKUP(K48,NakshatraInfo,4)</f>
        <v>Sun</v>
      </c>
      <c r="O48" s="6" t="n">
        <v>9</v>
      </c>
    </row>
    <row r="51" customFormat="false" ht="15" hidden="false" customHeight="false" outlineLevel="0" collapsed="false">
      <c r="A51" s="6" t="s">
        <v>290</v>
      </c>
      <c r="B51" s="6" t="s">
        <v>140</v>
      </c>
      <c r="C51" s="6" t="s">
        <v>291</v>
      </c>
    </row>
    <row r="52" customFormat="false" ht="15" hidden="false" customHeight="false" outlineLevel="0" collapsed="false">
      <c r="B52" s="6" t="str">
        <f aca="false">INDEX(NakshatraTbl,C52,1)</f>
        <v>Revati</v>
      </c>
      <c r="C52" s="6" t="n">
        <v>28</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&amp;C&amp;"Arial,Regular"&amp;10&amp;A</oddHeader>
    <oddFooter>&amp;C&amp;"Arial,Regular"&amp;10Page &amp;P</oddFooter>
  </headerFooter>
  <legacyDrawing r:id="rId2"/>
  <tableParts>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1"/>
  <sheetViews>
    <sheetView showFormulas="false" showGridLines="true" showRowColHeaders="true" showZeros="true" rightToLeft="false" tabSelected="false" showOutlineSymbols="true" defaultGridColor="true" view="normal" topLeftCell="A1" colorId="64" zoomScale="181" zoomScaleNormal="181" zoomScalePageLayoutView="100" workbookViewId="0">
      <selection pane="topLeft" activeCell="P18" activeCellId="0" sqref="P18"/>
    </sheetView>
  </sheetViews>
  <sheetFormatPr defaultColWidth="8.5703125" defaultRowHeight="15" customHeight="true" zeroHeight="false" outlineLevelRow="0" outlineLevelCol="0"/>
  <cols>
    <col collapsed="false" customWidth="true" hidden="false" outlineLevel="0" max="1" min="1" style="6" width="11"/>
    <col collapsed="false" customWidth="true" hidden="false" outlineLevel="0" max="2" min="2" style="6" width="9"/>
    <col collapsed="false" customWidth="true" hidden="false" outlineLevel="0" max="3" min="3" style="6" width="10.14"/>
    <col collapsed="false" customWidth="true" hidden="false" outlineLevel="0" max="4" min="4" style="6" width="10.71"/>
    <col collapsed="false" customWidth="true" hidden="false" outlineLevel="0" max="5" min="5" style="6" width="9"/>
    <col collapsed="false" customWidth="true" hidden="false" outlineLevel="0" max="6" min="6" style="6" width="12.42"/>
    <col collapsed="false" customWidth="true" hidden="false" outlineLevel="0" max="7" min="7" style="6" width="8.71"/>
    <col collapsed="false" customWidth="true" hidden="false" outlineLevel="0" max="8" min="8" style="6" width="10"/>
    <col collapsed="false" customWidth="true" hidden="false" outlineLevel="0" max="9" min="9" style="6" width="13.42"/>
    <col collapsed="false" customWidth="true" hidden="false" outlineLevel="0" max="10" min="10" style="6" width="9.71"/>
    <col collapsed="false" customWidth="true" hidden="false" outlineLevel="0" max="11" min="11" style="6" width="7"/>
    <col collapsed="false" customWidth="true" hidden="false" outlineLevel="0" max="12" min="12" style="6" width="13.42"/>
    <col collapsed="false" customWidth="true" hidden="false" outlineLevel="0" max="13" min="13" style="6" width="12.71"/>
    <col collapsed="false" customWidth="true" hidden="false" outlineLevel="0" max="14" min="14" style="6" width="10"/>
    <col collapsed="false" customWidth="true" hidden="false" outlineLevel="0" max="15" min="15" style="6" width="11"/>
    <col collapsed="false" customWidth="true" hidden="false" outlineLevel="0" max="16" min="16" style="6" width="11.85"/>
    <col collapsed="false" customWidth="true" hidden="false" outlineLevel="0" max="17" min="17" style="6" width="18.71"/>
    <col collapsed="false" customWidth="true" hidden="false" outlineLevel="0" max="18" min="18" style="6" width="24.42"/>
    <col collapsed="false" customWidth="true" hidden="false" outlineLevel="0" max="19" min="19" style="6" width="19.71"/>
  </cols>
  <sheetData>
    <row r="1" customFormat="false" ht="15" hidden="false" customHeight="false" outlineLevel="0" collapsed="false">
      <c r="A1" s="141"/>
      <c r="B1" s="142" t="s">
        <v>292</v>
      </c>
      <c r="C1" s="142"/>
      <c r="D1" s="142"/>
      <c r="E1" s="142" t="s">
        <v>293</v>
      </c>
      <c r="F1" s="142"/>
      <c r="G1" s="142"/>
      <c r="H1" s="143" t="s">
        <v>294</v>
      </c>
      <c r="I1" s="143"/>
      <c r="J1" s="143"/>
      <c r="K1" s="143" t="s">
        <v>295</v>
      </c>
      <c r="L1" s="143"/>
      <c r="M1" s="124" t="s">
        <v>296</v>
      </c>
      <c r="N1" s="143" t="s">
        <v>297</v>
      </c>
      <c r="O1" s="143"/>
      <c r="P1" s="143"/>
      <c r="Q1" s="125" t="s">
        <v>298</v>
      </c>
      <c r="R1" s="125" t="s">
        <v>299</v>
      </c>
      <c r="S1" s="129" t="s">
        <v>300</v>
      </c>
    </row>
    <row r="2" customFormat="false" ht="15" hidden="false" customHeight="false" outlineLevel="0" collapsed="false">
      <c r="A2" s="121" t="s">
        <v>301</v>
      </c>
      <c r="B2" s="121" t="s">
        <v>302</v>
      </c>
      <c r="C2" s="121" t="s">
        <v>303</v>
      </c>
      <c r="D2" s="129" t="s">
        <v>304</v>
      </c>
      <c r="E2" s="144" t="s">
        <v>305</v>
      </c>
      <c r="F2" s="144" t="s">
        <v>306</v>
      </c>
      <c r="G2" s="140" t="s">
        <v>307</v>
      </c>
      <c r="H2" s="145" t="s">
        <v>308</v>
      </c>
      <c r="I2" s="144" t="s">
        <v>309</v>
      </c>
      <c r="J2" s="140" t="s">
        <v>310</v>
      </c>
      <c r="K2" s="146" t="s">
        <v>151</v>
      </c>
      <c r="L2" s="129" t="s">
        <v>311</v>
      </c>
      <c r="M2" s="121" t="s">
        <v>312</v>
      </c>
      <c r="N2" s="145" t="s">
        <v>313</v>
      </c>
      <c r="O2" s="144" t="s">
        <v>314</v>
      </c>
      <c r="P2" s="140" t="s">
        <v>315</v>
      </c>
      <c r="Q2" s="144" t="s">
        <v>316</v>
      </c>
      <c r="R2" s="144" t="s">
        <v>317</v>
      </c>
      <c r="S2" s="121" t="s">
        <v>318</v>
      </c>
    </row>
    <row r="3" customFormat="false" ht="15" hidden="false" customHeight="false" outlineLevel="0" collapsed="false">
      <c r="A3" s="124" t="s">
        <v>158</v>
      </c>
      <c r="B3" s="147" t="n">
        <f aca="true">INDIRECT(A3)</f>
        <v>92.3992027777778</v>
      </c>
      <c r="C3" s="148" t="n">
        <f aca="false">SunDeb</f>
        <v>190</v>
      </c>
      <c r="D3" s="149" t="n">
        <f aca="false">(1-COS((360+B3-C3)/180*PI()))/2</f>
        <v>0.566135091084327</v>
      </c>
      <c r="E3" s="6" t="n">
        <v>19</v>
      </c>
      <c r="G3" s="150" t="n">
        <f aca="false">(1-COS((360+B3-C3)/180*PI()))/2*E3</f>
        <v>10.7565667306022</v>
      </c>
      <c r="H3" s="130" t="n">
        <v>1</v>
      </c>
      <c r="J3" s="151" t="n">
        <f aca="false">(1-COS((360+B3-C3)/180*PI()))/2*H3</f>
        <v>0.566135091084327</v>
      </c>
      <c r="K3" s="152" t="n">
        <f aca="false">MOD(B3/3.333,12)</f>
        <v>3.722533086642</v>
      </c>
      <c r="L3" s="125"/>
      <c r="M3" s="147" t="n">
        <f aca="false">Ashtakavarga!P30</f>
        <v>8.0383293996794</v>
      </c>
      <c r="N3" s="130" t="n">
        <v>10</v>
      </c>
      <c r="O3" s="17" t="n">
        <f aca="false">N3*$D3*Table19[[#This Row],[Factor]]</f>
        <v>5.66135091084327</v>
      </c>
      <c r="P3" s="153" t="n">
        <v>1</v>
      </c>
    </row>
    <row r="4" customFormat="false" ht="15" hidden="false" customHeight="false" outlineLevel="0" collapsed="false">
      <c r="A4" s="6" t="s">
        <v>159</v>
      </c>
      <c r="B4" s="17" t="n">
        <f aca="true">INDIRECT(A4)</f>
        <v>53.0159444444444</v>
      </c>
      <c r="C4" s="53" t="n">
        <f aca="false">MoonDeb</f>
        <v>213</v>
      </c>
      <c r="D4" s="150" t="n">
        <f aca="false">(1-COS((360+B4-C4)/180*PI()))/2</f>
        <v>0.969798702995948</v>
      </c>
      <c r="E4" s="6" t="n">
        <v>25</v>
      </c>
      <c r="G4" s="150" t="n">
        <f aca="false">(1-COS((360+B4-C4)/180*PI()))/2*E4</f>
        <v>24.2449675748987</v>
      </c>
      <c r="H4" s="130" t="n">
        <v>2</v>
      </c>
      <c r="J4" s="151" t="n">
        <f aca="false">(1-COS((360+B4-C4)/180*PI()))/2*H4</f>
        <v>1.9395974059919</v>
      </c>
      <c r="K4" s="154" t="n">
        <f aca="false">MOD(B4/3.333,12)</f>
        <v>3.90637397073041</v>
      </c>
      <c r="L4" s="129"/>
      <c r="M4" s="17" t="n">
        <f aca="false">Ashtakavarga!P31</f>
        <v>20.0492806567307</v>
      </c>
      <c r="N4" s="130" t="n">
        <v>9</v>
      </c>
      <c r="O4" s="17" t="n">
        <f aca="false">N4*$D4*Table19[[#This Row],[Factor]]</f>
        <v>26.1845649808906</v>
      </c>
      <c r="P4" s="153" t="n">
        <v>3</v>
      </c>
    </row>
    <row r="5" customFormat="false" ht="15" hidden="false" customHeight="false" outlineLevel="0" collapsed="false">
      <c r="A5" s="6" t="s">
        <v>160</v>
      </c>
      <c r="B5" s="17" t="n">
        <f aca="true">INDIRECT(A5)</f>
        <v>298.108663888889</v>
      </c>
      <c r="C5" s="53" t="n">
        <f aca="false">MarsDeb</f>
        <v>118</v>
      </c>
      <c r="D5" s="150" t="n">
        <f aca="false">(1-COS((360+B5-C5)/180*PI()))/2</f>
        <v>0.999999100781774</v>
      </c>
      <c r="E5" s="6" t="n">
        <v>15</v>
      </c>
      <c r="G5" s="150" t="n">
        <f aca="false">(1-COS((360+B5-C5)/180*PI()))/2*E5</f>
        <v>14.9999865117266</v>
      </c>
      <c r="H5" s="130" t="n">
        <v>9</v>
      </c>
      <c r="J5" s="151" t="n">
        <f aca="false">(1-COS((360+B5-C5)/180*PI()))/2*H5</f>
        <v>8.99999190703597</v>
      </c>
      <c r="K5" s="154" t="n">
        <f aca="false">MOD(B5/3.333,12)</f>
        <v>5.44154332099876</v>
      </c>
      <c r="L5" s="129"/>
      <c r="M5" s="17" t="n">
        <f aca="false">Ashtakavarga!P32</f>
        <v>20.043805028205</v>
      </c>
      <c r="N5" s="130" t="n">
        <v>5</v>
      </c>
      <c r="O5" s="17" t="n">
        <f aca="false">N5*$D5*Table19[[#This Row],[Factor]]</f>
        <v>14.9999865117266</v>
      </c>
      <c r="P5" s="153" t="n">
        <v>3</v>
      </c>
    </row>
    <row r="6" customFormat="false" ht="15" hidden="false" customHeight="false" outlineLevel="0" collapsed="false">
      <c r="A6" s="6" t="s">
        <v>161</v>
      </c>
      <c r="B6" s="17" t="n">
        <f aca="true">INDIRECT(A6)</f>
        <v>117.129786111111</v>
      </c>
      <c r="C6" s="53" t="n">
        <f aca="false">MercDeb</f>
        <v>345</v>
      </c>
      <c r="D6" s="150" t="n">
        <f aca="false">(1-COS((360+B6-C6)/180*PI()))/2</f>
        <v>0.835406128072059</v>
      </c>
      <c r="E6" s="6" t="n">
        <v>12</v>
      </c>
      <c r="G6" s="150" t="n">
        <f aca="false">(1-COS((360+B6-C6)/180*PI()))/2*E6</f>
        <v>10.0248735368647</v>
      </c>
      <c r="H6" s="130" t="n">
        <v>20</v>
      </c>
      <c r="J6" s="151" t="n">
        <f aca="false">(1-COS((360+B6-C6)/180*PI()))/2*H6</f>
        <v>16.7081225614412</v>
      </c>
      <c r="K6" s="154" t="n">
        <f aca="false">MOD(B6/3.333,12)</f>
        <v>11.1424500783412</v>
      </c>
      <c r="L6" s="129"/>
      <c r="M6" s="17" t="n">
        <f aca="false">Ashtakavarga!P33</f>
        <v>14.1245705489581</v>
      </c>
      <c r="N6" s="130" t="n">
        <v>5</v>
      </c>
      <c r="O6" s="17" t="n">
        <f aca="false">N6*$D6*Table19[[#This Row],[Factor]]</f>
        <v>4.1770306403603</v>
      </c>
      <c r="P6" s="153" t="n">
        <v>1</v>
      </c>
    </row>
    <row r="7" customFormat="false" ht="15" hidden="false" customHeight="false" outlineLevel="0" collapsed="false">
      <c r="A7" s="6" t="s">
        <v>162</v>
      </c>
      <c r="B7" s="17" t="n">
        <f aca="true">INDIRECT(A7)</f>
        <v>213.197175</v>
      </c>
      <c r="C7" s="53" t="n">
        <f aca="false">JupDeb</f>
        <v>275</v>
      </c>
      <c r="D7" s="150" t="n">
        <f aca="false">(1-COS((360+B7-C7)/180*PI()))/2</f>
        <v>0.263746344428975</v>
      </c>
      <c r="E7" s="6" t="n">
        <v>15</v>
      </c>
      <c r="G7" s="150" t="n">
        <f aca="false">(1-COS((360+B7-C7)/180*PI()))/2*E7</f>
        <v>3.95619516643462</v>
      </c>
      <c r="H7" s="130" t="n">
        <v>18</v>
      </c>
      <c r="J7" s="151" t="n">
        <f aca="false">(1-COS((360+B7-C7)/180*PI()))/2*H7</f>
        <v>4.74743419972155</v>
      </c>
      <c r="K7" s="154" t="n">
        <f aca="false">MOD(B7/3.333,12)</f>
        <v>3.96554905490548</v>
      </c>
      <c r="L7" s="129"/>
      <c r="M7" s="17" t="n">
        <f aca="false">Ashtakavarga!P34</f>
        <v>4.09719240632992</v>
      </c>
      <c r="N7" s="130" t="n">
        <v>7</v>
      </c>
      <c r="O7" s="17" t="n">
        <f aca="false">N7*$D7*Table19[[#This Row],[Factor]]</f>
        <v>2.45547846663376</v>
      </c>
      <c r="P7" s="153" t="n">
        <v>1.33</v>
      </c>
    </row>
    <row r="8" customFormat="false" ht="15" hidden="false" customHeight="false" outlineLevel="0" collapsed="false">
      <c r="A8" s="6" t="s">
        <v>163</v>
      </c>
      <c r="B8" s="17" t="n">
        <f aca="true">INDIRECT(A8)</f>
        <v>81.5406027777778</v>
      </c>
      <c r="C8" s="53" t="n">
        <f aca="false">VenuDeb</f>
        <v>177</v>
      </c>
      <c r="D8" s="150" t="n">
        <f aca="false">(1-COS((360+B8-C8)/180*PI()))/2</f>
        <v>0.54757016942463</v>
      </c>
      <c r="E8" s="6" t="n">
        <v>21</v>
      </c>
      <c r="G8" s="150" t="n">
        <f aca="false">(1-COS((360+B8-C8)/180*PI()))/2*E8</f>
        <v>11.4989735579172</v>
      </c>
      <c r="H8" s="130" t="n">
        <v>20</v>
      </c>
      <c r="J8" s="151" t="n">
        <f aca="false">(1-COS((360+B8-C8)/180*PI()))/2*H8</f>
        <v>10.9514033884926</v>
      </c>
      <c r="K8" s="154" t="n">
        <f aca="false">MOD(B8/3.333,12)</f>
        <v>0.46462729606294</v>
      </c>
      <c r="L8" s="129"/>
      <c r="M8" s="17" t="n">
        <f aca="false">Ashtakavarga!P35</f>
        <v>14.0698142637018</v>
      </c>
      <c r="N8" s="130" t="n">
        <v>8</v>
      </c>
      <c r="O8" s="17" t="n">
        <f aca="false">N8*$D8*Table19[[#This Row],[Factor]]</f>
        <v>5.82614660267807</v>
      </c>
      <c r="P8" s="153" t="n">
        <v>1.33</v>
      </c>
    </row>
    <row r="9" customFormat="false" ht="15" hidden="false" customHeight="false" outlineLevel="0" collapsed="false">
      <c r="A9" s="6" t="s">
        <v>164</v>
      </c>
      <c r="B9" s="17" t="n">
        <f aca="true">INDIRECT(A9)</f>
        <v>39.8852111111111</v>
      </c>
      <c r="C9" s="53" t="n">
        <f aca="false">SatDeb</f>
        <v>20</v>
      </c>
      <c r="D9" s="150" t="n">
        <f aca="false">(1-COS((360+B9-C9)/180*PI()))/2</f>
        <v>0.0298120236561272</v>
      </c>
      <c r="E9" s="6" t="n">
        <v>20</v>
      </c>
      <c r="G9" s="150" t="n">
        <f aca="false">(1-COS((360+B9-C9)/180*PI()))/2*E9</f>
        <v>0.596240473122544</v>
      </c>
      <c r="H9" s="130" t="n">
        <v>50</v>
      </c>
      <c r="J9" s="151" t="n">
        <f aca="false">(1-COS((360+B9-C9)/180*PI()))/2*H9</f>
        <v>1.49060118280636</v>
      </c>
      <c r="K9" s="154" t="n">
        <f aca="false">MOD(B9/3.333,12)</f>
        <v>11.9667600093343</v>
      </c>
      <c r="L9" s="129"/>
      <c r="M9" s="17" t="n">
        <f aca="false">Ashtakavarga!P36</f>
        <v>8.08761005641007</v>
      </c>
      <c r="N9" s="130" t="n">
        <v>5</v>
      </c>
      <c r="O9" s="17" t="n">
        <f aca="false">N9*$D9*Table19[[#This Row],[Factor]]</f>
        <v>0.198249957313246</v>
      </c>
      <c r="P9" s="153" t="n">
        <v>1.33</v>
      </c>
    </row>
    <row r="10" customFormat="false" ht="15" hidden="false" customHeight="false" outlineLevel="0" collapsed="false">
      <c r="A10" s="6" t="s">
        <v>319</v>
      </c>
      <c r="B10" s="17" t="n">
        <f aca="true">INDIRECT(A10)</f>
        <v>136.711516666667</v>
      </c>
      <c r="C10" s="53"/>
      <c r="D10" s="150" t="n">
        <f aca="false">(1-COS((360+B10-C10)/180*PI()))/2</f>
        <v>0.863955297508309</v>
      </c>
      <c r="E10" s="6" t="s">
        <v>98</v>
      </c>
      <c r="G10" s="151"/>
      <c r="H10" s="130" t="s">
        <v>98</v>
      </c>
      <c r="J10" s="151"/>
      <c r="K10" s="155" t="n">
        <f aca="false">MOD(B10/3.333,12)</f>
        <v>5.01755675567556</v>
      </c>
      <c r="L10" s="129"/>
      <c r="M10" s="156" t="n">
        <f aca="false">Ashtakavarga!P37</f>
        <v>12.0889789635415</v>
      </c>
      <c r="N10" s="130"/>
      <c r="P10" s="153" t="n">
        <f aca="false">O10</f>
        <v>0</v>
      </c>
    </row>
    <row r="11" customFormat="false" ht="15" hidden="false" customHeight="false" outlineLevel="0" collapsed="false">
      <c r="A11" s="124" t="s">
        <v>320</v>
      </c>
      <c r="B11" s="124"/>
      <c r="C11" s="124"/>
      <c r="D11" s="125"/>
      <c r="E11" s="141" t="n">
        <f aca="false">SUM(E3:E9)</f>
        <v>127</v>
      </c>
      <c r="F11" s="124"/>
      <c r="G11" s="157" t="n">
        <f aca="false">SUM(G3:G9)</f>
        <v>76.0778035515666</v>
      </c>
      <c r="H11" s="141" t="n">
        <f aca="false">SUM(H3:H9)</f>
        <v>120</v>
      </c>
      <c r="I11" s="124"/>
      <c r="J11" s="147" t="n">
        <f aca="false">SUM(J3:J9)</f>
        <v>45.4032857365739</v>
      </c>
      <c r="K11" s="152" t="n">
        <f aca="false">SUM(K3:K10)</f>
        <v>45.6273935726906</v>
      </c>
      <c r="L11" s="125"/>
      <c r="M11" s="152" t="n">
        <f aca="false">SUM(M3:M10)</f>
        <v>100.599581323556</v>
      </c>
      <c r="N11" s="141" t="n">
        <f aca="false">SUM(N3:N9)</f>
        <v>49</v>
      </c>
      <c r="O11" s="147" t="n">
        <f aca="false">SUM(O3:O9)</f>
        <v>59.5028080704458</v>
      </c>
      <c r="P11" s="158" t="n">
        <f aca="false">SUM(P3:P9)</f>
        <v>11.99</v>
      </c>
      <c r="Q11" s="141" t="n">
        <f aca="false">'KalaChakra Dasa'!L31</f>
        <v>100</v>
      </c>
      <c r="R11" s="141"/>
    </row>
    <row r="16" customFormat="false" ht="15" hidden="false" customHeight="false" outlineLevel="0" collapsed="false">
      <c r="D16" s="6" t="s">
        <v>321</v>
      </c>
    </row>
    <row r="17" customFormat="false" ht="15" hidden="false" customHeight="false" outlineLevel="0" collapsed="false">
      <c r="A17" s="121" t="s">
        <v>322</v>
      </c>
      <c r="B17" s="121" t="s">
        <v>75</v>
      </c>
      <c r="C17" s="121" t="s">
        <v>323</v>
      </c>
      <c r="D17" s="6" t="s">
        <v>324</v>
      </c>
      <c r="E17" s="6" t="n">
        <f aca="false">E11</f>
        <v>127</v>
      </c>
    </row>
    <row r="18" customFormat="false" ht="15" hidden="false" customHeight="false" outlineLevel="0" collapsed="false">
      <c r="A18" s="6" t="s">
        <v>325</v>
      </c>
      <c r="B18" s="6" t="n">
        <v>365.2425</v>
      </c>
      <c r="C18" s="6" t="n">
        <f aca="false">B18/B18</f>
        <v>1</v>
      </c>
      <c r="E18" s="6" t="n">
        <f aca="false">E17*C18</f>
        <v>127</v>
      </c>
    </row>
    <row r="19" customFormat="false" ht="15" hidden="false" customHeight="false" outlineLevel="0" collapsed="false">
      <c r="A19" s="6" t="s">
        <v>140</v>
      </c>
      <c r="B19" s="6" t="n">
        <f aca="false">27.33*12</f>
        <v>327.96</v>
      </c>
      <c r="C19" s="159" t="n">
        <f aca="false">B18/B19</f>
        <v>1.1136800219539</v>
      </c>
      <c r="D19" s="151"/>
      <c r="E19" s="6" t="n">
        <f aca="false">E17/C19</f>
        <v>114.036345715518</v>
      </c>
    </row>
    <row r="20" customFormat="false" ht="15" hidden="false" customHeight="false" outlineLevel="0" collapsed="false">
      <c r="A20" s="6" t="s">
        <v>326</v>
      </c>
      <c r="B20" s="6" t="n">
        <f aca="false">29.5*12</f>
        <v>354</v>
      </c>
      <c r="C20" s="159" t="n">
        <f aca="false">B18/B20</f>
        <v>1.03175847457627</v>
      </c>
      <c r="D20" s="151"/>
      <c r="E20" s="6" t="n">
        <f aca="false">E17/C20</f>
        <v>123.090823220189</v>
      </c>
    </row>
    <row r="21" customFormat="false" ht="15" hidden="false" customHeight="false" outlineLevel="0" collapsed="false">
      <c r="A21" s="6" t="s">
        <v>327</v>
      </c>
      <c r="B21" s="6" t="n">
        <v>360</v>
      </c>
      <c r="C21" s="159" t="n">
        <f aca="false">B18/B21</f>
        <v>1.0145625</v>
      </c>
      <c r="D21" s="151"/>
      <c r="E21" s="6" t="n">
        <f aca="false">E17/C21</f>
        <v>125.177108359515</v>
      </c>
    </row>
  </sheetData>
  <mergeCells count="5">
    <mergeCell ref="B1:D1"/>
    <mergeCell ref="E1:G1"/>
    <mergeCell ref="H1:J1"/>
    <mergeCell ref="K1:L1"/>
    <mergeCell ref="N1:P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E24"/>
  <sheetViews>
    <sheetView showFormulas="false" showGridLines="true" showRowColHeaders="true" showZeros="true" rightToLeft="false" tabSelected="false" showOutlineSymbols="true" defaultGridColor="true" view="normal" topLeftCell="A5" colorId="64" zoomScale="181" zoomScaleNormal="181" zoomScalePageLayoutView="100" workbookViewId="0">
      <selection pane="topLeft" activeCell="F16" activeCellId="0" sqref="F16"/>
    </sheetView>
  </sheetViews>
  <sheetFormatPr defaultColWidth="8.5703125" defaultRowHeight="15" customHeight="true" zeroHeight="false" outlineLevelRow="0" outlineLevelCol="0"/>
  <cols>
    <col collapsed="false" customWidth="true" hidden="false" outlineLevel="0" max="1" min="1" style="6" width="3.71"/>
    <col collapsed="false" customWidth="true" hidden="false" outlineLevel="0" max="2" min="2" style="6" width="8.29"/>
    <col collapsed="false" customWidth="true" hidden="false" outlineLevel="0" max="3" min="3" style="6" width="6.57"/>
    <col collapsed="false" customWidth="true" hidden="false" outlineLevel="0" max="4" min="4" style="6" width="6.29"/>
    <col collapsed="false" customWidth="true" hidden="false" outlineLevel="0" max="5" min="5" style="6" width="21"/>
    <col collapsed="false" customWidth="true" hidden="false" outlineLevel="0" max="6" min="6" style="6" width="6.57"/>
    <col collapsed="false" customWidth="true" hidden="false" outlineLevel="0" max="8" min="7" style="6" width="3.71"/>
    <col collapsed="false" customWidth="true" hidden="false" outlineLevel="0" max="9" min="9" style="6" width="4.86"/>
    <col collapsed="false" customWidth="true" hidden="false" outlineLevel="0" max="10" min="10" style="6" width="3.71"/>
    <col collapsed="false" customWidth="true" hidden="false" outlineLevel="0" max="11" min="11" style="6" width="6.29"/>
    <col collapsed="false" customWidth="true" hidden="false" outlineLevel="0" max="21" min="12" style="6" width="3.71"/>
    <col collapsed="false" customWidth="true" hidden="false" outlineLevel="0" max="22" min="22" style="6" width="4.57"/>
    <col collapsed="false" customWidth="true" hidden="false" outlineLevel="0" max="26" min="23" style="6" width="3.71"/>
    <col collapsed="false" customWidth="true" hidden="false" outlineLevel="0" max="27" min="27" style="6" width="4.57"/>
    <col collapsed="false" customWidth="true" hidden="false" outlineLevel="0" max="31" min="28" style="6" width="3.71"/>
  </cols>
  <sheetData>
    <row r="2" customFormat="false" ht="75" hidden="false" customHeight="true" outlineLevel="0" collapsed="false">
      <c r="B2" s="160" t="s">
        <v>301</v>
      </c>
      <c r="C2" s="161" t="s">
        <v>328</v>
      </c>
      <c r="D2" s="162" t="s">
        <v>329</v>
      </c>
      <c r="E2" s="162"/>
      <c r="F2" s="162"/>
      <c r="G2" s="162"/>
      <c r="H2" s="162"/>
      <c r="I2" s="162"/>
      <c r="J2" s="162"/>
      <c r="K2" s="162"/>
      <c r="L2" s="162"/>
      <c r="M2" s="162"/>
      <c r="N2" s="162"/>
      <c r="O2" s="162"/>
      <c r="P2" s="162"/>
      <c r="Q2" s="163" t="s">
        <v>330</v>
      </c>
      <c r="R2" s="162" t="s">
        <v>331</v>
      </c>
      <c r="S2" s="162"/>
      <c r="T2" s="162"/>
      <c r="U2" s="162"/>
      <c r="V2" s="162"/>
      <c r="W2" s="162"/>
      <c r="X2" s="162"/>
      <c r="Y2" s="162"/>
      <c r="Z2" s="162"/>
      <c r="AA2" s="163" t="s">
        <v>332</v>
      </c>
      <c r="AB2" s="163" t="s">
        <v>333</v>
      </c>
      <c r="AC2" s="163" t="s">
        <v>334</v>
      </c>
      <c r="AD2" s="163" t="s">
        <v>335</v>
      </c>
      <c r="AE2" s="163" t="s">
        <v>336</v>
      </c>
    </row>
    <row r="3" customFormat="false" ht="96" hidden="false" customHeight="true" outlineLevel="0" collapsed="false">
      <c r="B3" s="160"/>
      <c r="C3" s="161"/>
      <c r="D3" s="164" t="s">
        <v>337</v>
      </c>
      <c r="E3" s="165" t="s">
        <v>338</v>
      </c>
      <c r="F3" s="165"/>
      <c r="G3" s="165"/>
      <c r="H3" s="165"/>
      <c r="I3" s="165"/>
      <c r="J3" s="165"/>
      <c r="K3" s="165"/>
      <c r="L3" s="165"/>
      <c r="M3" s="164" t="s">
        <v>339</v>
      </c>
      <c r="N3" s="164" t="s">
        <v>340</v>
      </c>
      <c r="O3" s="164" t="s">
        <v>341</v>
      </c>
      <c r="P3" s="164" t="s">
        <v>342</v>
      </c>
      <c r="Q3" s="163"/>
      <c r="R3" s="164" t="s">
        <v>343</v>
      </c>
      <c r="S3" s="164" t="s">
        <v>344</v>
      </c>
      <c r="T3" s="164" t="s">
        <v>345</v>
      </c>
      <c r="U3" s="166" t="s">
        <v>346</v>
      </c>
      <c r="V3" s="166"/>
      <c r="W3" s="166"/>
      <c r="X3" s="166"/>
      <c r="Y3" s="166"/>
      <c r="Z3" s="167" t="s">
        <v>347</v>
      </c>
      <c r="AA3" s="163"/>
      <c r="AB3" s="163"/>
      <c r="AC3" s="163"/>
      <c r="AD3" s="163"/>
      <c r="AE3" s="163"/>
    </row>
    <row r="4" s="168" customFormat="true" ht="61.15" hidden="false" customHeight="false" outlineLevel="0" collapsed="false">
      <c r="B4" s="160"/>
      <c r="C4" s="161"/>
      <c r="D4" s="164"/>
      <c r="E4" s="169" t="s">
        <v>142</v>
      </c>
      <c r="F4" s="169" t="s">
        <v>348</v>
      </c>
      <c r="G4" s="169" t="s">
        <v>145</v>
      </c>
      <c r="H4" s="169" t="s">
        <v>149</v>
      </c>
      <c r="I4" s="169" t="s">
        <v>151</v>
      </c>
      <c r="J4" s="169" t="s">
        <v>155</v>
      </c>
      <c r="K4" s="169" t="s">
        <v>349</v>
      </c>
      <c r="L4" s="170" t="s">
        <v>320</v>
      </c>
      <c r="M4" s="164"/>
      <c r="N4" s="164"/>
      <c r="O4" s="164"/>
      <c r="P4" s="164"/>
      <c r="Q4" s="164"/>
      <c r="R4" s="164"/>
      <c r="S4" s="164"/>
      <c r="T4" s="164"/>
      <c r="U4" s="169" t="s">
        <v>350</v>
      </c>
      <c r="V4" s="169" t="s">
        <v>351</v>
      </c>
      <c r="W4" s="169" t="s">
        <v>352</v>
      </c>
      <c r="X4" s="169" t="s">
        <v>353</v>
      </c>
      <c r="Y4" s="169" t="s">
        <v>354</v>
      </c>
      <c r="Z4" s="167"/>
      <c r="AA4" s="163"/>
      <c r="AB4" s="163"/>
      <c r="AC4" s="163"/>
      <c r="AD4" s="163"/>
      <c r="AE4" s="163"/>
    </row>
    <row r="5" customFormat="false" ht="15" hidden="false" customHeight="false" outlineLevel="0" collapsed="false">
      <c r="B5" s="130" t="str">
        <f aca="false">Basics!A8</f>
        <v>Sun</v>
      </c>
      <c r="C5" s="171" t="n">
        <f aca="false">Basics!G8</f>
        <v>92.3992027777778</v>
      </c>
      <c r="D5" s="172" t="n">
        <f aca="false">(1-COS((360+C5-SunDeb)/180*PI()))/2</f>
        <v>0.566135091084327</v>
      </c>
      <c r="E5" s="17" t="n">
        <f aca="false">ACOS(1-2*D5)*180/PI()/3/60</f>
        <v>0.542226651234568</v>
      </c>
      <c r="F5" s="147"/>
      <c r="G5" s="147"/>
      <c r="H5" s="147"/>
      <c r="I5" s="147"/>
      <c r="J5" s="147"/>
      <c r="K5" s="147"/>
      <c r="L5" s="173"/>
      <c r="M5" s="173"/>
      <c r="N5" s="173"/>
      <c r="O5" s="173"/>
      <c r="P5" s="158"/>
      <c r="Q5" s="17"/>
      <c r="R5" s="171"/>
      <c r="S5" s="171"/>
      <c r="T5" s="171"/>
      <c r="U5" s="152"/>
      <c r="V5" s="147"/>
      <c r="W5" s="147"/>
      <c r="X5" s="147"/>
      <c r="Y5" s="147"/>
      <c r="Z5" s="158"/>
      <c r="AA5" s="172" t="n">
        <f aca="false">7/7</f>
        <v>1</v>
      </c>
      <c r="AB5" s="171"/>
      <c r="AC5" s="171"/>
      <c r="AD5" s="171"/>
      <c r="AE5" s="153"/>
    </row>
    <row r="6" customFormat="false" ht="15" hidden="false" customHeight="false" outlineLevel="0" collapsed="false">
      <c r="B6" s="130" t="str">
        <f aca="false">Basics!A9</f>
        <v>Moon</v>
      </c>
      <c r="C6" s="172" t="n">
        <f aca="false">Basics!G9</f>
        <v>53.0159444444444</v>
      </c>
      <c r="D6" s="172" t="n">
        <f aca="false">(1-COS((360+C6-MoonDeb)/180*PI()))/2</f>
        <v>0.969798702995948</v>
      </c>
      <c r="E6" s="17" t="n">
        <f aca="false">ACOS(1-2*D6)*180/PI()/3/60</f>
        <v>0.888800308641975</v>
      </c>
      <c r="F6" s="17"/>
      <c r="G6" s="17"/>
      <c r="H6" s="17"/>
      <c r="I6" s="17"/>
      <c r="J6" s="17"/>
      <c r="K6" s="17"/>
      <c r="L6" s="174"/>
      <c r="M6" s="174"/>
      <c r="N6" s="174"/>
      <c r="O6" s="174"/>
      <c r="P6" s="153"/>
      <c r="Q6" s="17"/>
      <c r="R6" s="172"/>
      <c r="S6" s="172"/>
      <c r="T6" s="172"/>
      <c r="U6" s="154"/>
      <c r="V6" s="17"/>
      <c r="W6" s="17"/>
      <c r="X6" s="17"/>
      <c r="Y6" s="17"/>
      <c r="Z6" s="153"/>
      <c r="AA6" s="172" t="n">
        <f aca="false">6/7</f>
        <v>0.857142857142857</v>
      </c>
      <c r="AB6" s="172"/>
      <c r="AC6" s="172"/>
      <c r="AD6" s="172"/>
      <c r="AE6" s="153"/>
    </row>
    <row r="7" customFormat="false" ht="15" hidden="false" customHeight="false" outlineLevel="0" collapsed="false">
      <c r="B7" s="130" t="str">
        <f aca="false">Basics!A10</f>
        <v>Mars</v>
      </c>
      <c r="C7" s="172" t="n">
        <f aca="false">Basics!G10</f>
        <v>298.108663888889</v>
      </c>
      <c r="D7" s="172" t="n">
        <f aca="false">(1-COS((360+C7-MarsDeb)/180*PI()))/2</f>
        <v>0.999999100781774</v>
      </c>
      <c r="E7" s="17" t="n">
        <f aca="false">ACOS(1-2*D7)*180/PI()/3/60</f>
        <v>0.999396311728392</v>
      </c>
      <c r="F7" s="17"/>
      <c r="G7" s="17"/>
      <c r="H7" s="17"/>
      <c r="I7" s="17"/>
      <c r="J7" s="17"/>
      <c r="K7" s="17"/>
      <c r="L7" s="174"/>
      <c r="M7" s="174"/>
      <c r="N7" s="174"/>
      <c r="O7" s="174"/>
      <c r="P7" s="153"/>
      <c r="Q7" s="17"/>
      <c r="R7" s="172"/>
      <c r="S7" s="172"/>
      <c r="T7" s="172"/>
      <c r="U7" s="154"/>
      <c r="V7" s="17"/>
      <c r="W7" s="17"/>
      <c r="X7" s="17"/>
      <c r="Y7" s="17"/>
      <c r="Z7" s="153"/>
      <c r="AA7" s="172" t="n">
        <f aca="false">5/7</f>
        <v>0.714285714285714</v>
      </c>
      <c r="AB7" s="172"/>
      <c r="AC7" s="172"/>
      <c r="AD7" s="172"/>
      <c r="AE7" s="153"/>
    </row>
    <row r="8" customFormat="false" ht="15" hidden="false" customHeight="false" outlineLevel="0" collapsed="false">
      <c r="B8" s="130" t="str">
        <f aca="false">Basics!A11</f>
        <v>Mercury</v>
      </c>
      <c r="C8" s="172" t="n">
        <f aca="false">Basics!G11</f>
        <v>117.129786111111</v>
      </c>
      <c r="D8" s="172" t="n">
        <f aca="false">(1-COS((360+C8-MercDeb)/180*PI()))/2</f>
        <v>0.835406128072059</v>
      </c>
      <c r="E8" s="17" t="n">
        <f aca="false">ACOS(1-2*D8)*180/PI()/3/60</f>
        <v>0.734054367283951</v>
      </c>
      <c r="F8" s="17"/>
      <c r="G8" s="17"/>
      <c r="H8" s="17"/>
      <c r="I8" s="17"/>
      <c r="J8" s="17"/>
      <c r="K8" s="17"/>
      <c r="L8" s="174"/>
      <c r="M8" s="174"/>
      <c r="N8" s="174"/>
      <c r="O8" s="174"/>
      <c r="P8" s="153"/>
      <c r="Q8" s="17"/>
      <c r="R8" s="172"/>
      <c r="S8" s="172"/>
      <c r="T8" s="172"/>
      <c r="U8" s="154"/>
      <c r="V8" s="17"/>
      <c r="W8" s="17"/>
      <c r="X8" s="17"/>
      <c r="Y8" s="17"/>
      <c r="Z8" s="153"/>
      <c r="AA8" s="172" t="n">
        <f aca="false">4/7</f>
        <v>0.571428571428571</v>
      </c>
      <c r="AB8" s="172"/>
      <c r="AC8" s="172"/>
      <c r="AD8" s="172"/>
      <c r="AE8" s="153"/>
    </row>
    <row r="9" customFormat="false" ht="15" hidden="false" customHeight="false" outlineLevel="0" collapsed="false">
      <c r="B9" s="130" t="str">
        <f aca="false">Basics!A12</f>
        <v>Jupiter</v>
      </c>
      <c r="C9" s="172" t="n">
        <f aca="false">Basics!G12</f>
        <v>213.197175</v>
      </c>
      <c r="D9" s="172" t="n">
        <f aca="false">(1-COS((360+C9-JupDeb)/180*PI()))/2</f>
        <v>0.263746344428975</v>
      </c>
      <c r="E9" s="17" t="n">
        <f aca="false">ACOS(1-2*D9)*180/PI()/3/60</f>
        <v>0.343349027777778</v>
      </c>
      <c r="F9" s="17"/>
      <c r="G9" s="17"/>
      <c r="H9" s="17"/>
      <c r="I9" s="17"/>
      <c r="J9" s="17"/>
      <c r="K9" s="17"/>
      <c r="L9" s="174"/>
      <c r="M9" s="174"/>
      <c r="N9" s="174"/>
      <c r="O9" s="174"/>
      <c r="P9" s="153"/>
      <c r="Q9" s="17"/>
      <c r="R9" s="172"/>
      <c r="S9" s="172"/>
      <c r="T9" s="172"/>
      <c r="U9" s="154"/>
      <c r="V9" s="17"/>
      <c r="W9" s="17"/>
      <c r="X9" s="17"/>
      <c r="Y9" s="17"/>
      <c r="Z9" s="153"/>
      <c r="AA9" s="172" t="n">
        <f aca="false">3/7</f>
        <v>0.428571428571429</v>
      </c>
      <c r="AB9" s="172"/>
      <c r="AC9" s="172"/>
      <c r="AD9" s="172"/>
      <c r="AE9" s="153"/>
    </row>
    <row r="10" customFormat="false" ht="15" hidden="false" customHeight="false" outlineLevel="0" collapsed="false">
      <c r="B10" s="130" t="str">
        <f aca="false">Basics!A13</f>
        <v>Venus</v>
      </c>
      <c r="C10" s="172" t="n">
        <f aca="false">Basics!G13</f>
        <v>81.5406027777778</v>
      </c>
      <c r="D10" s="172" t="n">
        <f aca="false">(1-COS((360+C10-VenuDeb)/180*PI()))/2</f>
        <v>0.54757016942463</v>
      </c>
      <c r="E10" s="17" t="n">
        <f aca="false">ACOS(1-2*D10)*180/PI()/3/60</f>
        <v>0.530329984567902</v>
      </c>
      <c r="F10" s="17"/>
      <c r="G10" s="17"/>
      <c r="H10" s="17"/>
      <c r="I10" s="17"/>
      <c r="J10" s="17"/>
      <c r="K10" s="17"/>
      <c r="L10" s="174"/>
      <c r="M10" s="174"/>
      <c r="N10" s="174"/>
      <c r="O10" s="174"/>
      <c r="P10" s="153"/>
      <c r="Q10" s="17"/>
      <c r="R10" s="172"/>
      <c r="S10" s="172"/>
      <c r="T10" s="172"/>
      <c r="U10" s="154"/>
      <c r="V10" s="17"/>
      <c r="W10" s="17"/>
      <c r="X10" s="17"/>
      <c r="Y10" s="17"/>
      <c r="Z10" s="153"/>
      <c r="AA10" s="172" t="n">
        <f aca="false">2/7</f>
        <v>0.285714285714286</v>
      </c>
      <c r="AB10" s="172"/>
      <c r="AC10" s="172"/>
      <c r="AD10" s="172"/>
      <c r="AE10" s="153"/>
    </row>
    <row r="11" customFormat="false" ht="15" hidden="false" customHeight="false" outlineLevel="0" collapsed="false">
      <c r="B11" s="138" t="str">
        <f aca="false">Basics!A14</f>
        <v>Saturn</v>
      </c>
      <c r="C11" s="175" t="n">
        <f aca="false">Basics!G14</f>
        <v>39.8852111111111</v>
      </c>
      <c r="D11" s="175" t="n">
        <f aca="false">(1-COS((360+C11-SatDeb)/180*PI()))/2</f>
        <v>0.0298120236561272</v>
      </c>
      <c r="E11" s="176" t="n">
        <f aca="false">ACOS(1-2*D11)*180/PI()/3/60</f>
        <v>0.110473395061728</v>
      </c>
      <c r="F11" s="176"/>
      <c r="G11" s="176"/>
      <c r="H11" s="176"/>
      <c r="I11" s="176"/>
      <c r="J11" s="176"/>
      <c r="K11" s="176"/>
      <c r="L11" s="177"/>
      <c r="M11" s="177"/>
      <c r="N11" s="177"/>
      <c r="O11" s="177"/>
      <c r="P11" s="178"/>
      <c r="Q11" s="176"/>
      <c r="R11" s="175"/>
      <c r="S11" s="175"/>
      <c r="T11" s="175"/>
      <c r="U11" s="179"/>
      <c r="V11" s="176"/>
      <c r="W11" s="176"/>
      <c r="X11" s="176"/>
      <c r="Y11" s="176"/>
      <c r="Z11" s="178"/>
      <c r="AA11" s="175" t="n">
        <f aca="false">1/7</f>
        <v>0.142857142857143</v>
      </c>
      <c r="AB11" s="175"/>
      <c r="AC11" s="175"/>
      <c r="AD11" s="175"/>
      <c r="AE11" s="178"/>
    </row>
    <row r="12" customFormat="false" ht="15" hidden="false" customHeight="false" outlineLevel="0" collapsed="false">
      <c r="U12" s="17"/>
      <c r="V12" s="17"/>
      <c r="W12" s="17"/>
      <c r="X12" s="17"/>
      <c r="Y12" s="17"/>
      <c r="Z12" s="17"/>
    </row>
    <row r="13" customFormat="false" ht="15" hidden="false" customHeight="false" outlineLevel="0" collapsed="false">
      <c r="G13" s="180" t="s">
        <v>355</v>
      </c>
      <c r="H13" s="180"/>
      <c r="I13" s="180"/>
      <c r="J13" s="180"/>
      <c r="K13" s="6" t="s">
        <v>356</v>
      </c>
    </row>
    <row r="14" customFormat="false" ht="15" hidden="false" customHeight="false" outlineLevel="0" collapsed="false">
      <c r="C14" s="21" t="s">
        <v>78</v>
      </c>
      <c r="D14" s="21"/>
      <c r="E14" s="21"/>
      <c r="F14" s="21"/>
      <c r="G14" s="21" t="s">
        <v>357</v>
      </c>
      <c r="H14" s="6" t="s">
        <v>358</v>
      </c>
      <c r="I14" s="6" t="s">
        <v>359</v>
      </c>
      <c r="J14" s="6" t="s">
        <v>360</v>
      </c>
    </row>
    <row r="15" customFormat="false" ht="15" hidden="false" customHeight="false" outlineLevel="0" collapsed="false">
      <c r="B15" s="6" t="str">
        <f aca="false">Basics!A7</f>
        <v>Lagna</v>
      </c>
      <c r="C15" s="17" t="n">
        <f aca="false">Basics!G7</f>
        <v>136.711516666667</v>
      </c>
      <c r="D15" s="26"/>
      <c r="E15" s="27" t="n">
        <f aca="false">+ROUNDUP(Moon/13.333,0)+ROUNDUP(JanmaGhatika,0)+ROUNDUP(Lagna/30,0)</f>
        <v>17</v>
      </c>
      <c r="F15" s="28"/>
      <c r="G15" s="28"/>
    </row>
    <row r="16" customFormat="false" ht="15" hidden="false" customHeight="false" outlineLevel="0" collapsed="false">
      <c r="B16" s="6" t="str">
        <f aca="false">Basics!A8</f>
        <v>Sun</v>
      </c>
      <c r="C16" s="26" t="n">
        <f aca="false">Basics!G8</f>
        <v>92.3992027777778</v>
      </c>
      <c r="D16" s="26"/>
      <c r="E16" s="27" t="str">
        <f aca="false">INDEX(NakshatraTbl,INT(C16*0.075)+1,3)</f>
        <v>Jupiter</v>
      </c>
      <c r="F16" s="28" t="n">
        <f aca="false">MOD(ROUNDUP(C16/13.3333333333,0)*1*ROUNDUP(MOD(C16,30)/3.33333,0)+ROUNDUP(Moon/13.333,0)+ROUNDUP(JanmaGhatika,0)+ROUNDUP(Lagna/30,0)+11,12)+1</f>
        <v>12</v>
      </c>
      <c r="G16" s="28" t="n">
        <v>1</v>
      </c>
      <c r="H16" s="6" t="n">
        <f aca="false">ROUNDUP(C16/13.3333333333,0)</f>
        <v>7</v>
      </c>
      <c r="I16" s="6" t="n">
        <f aca="false">ROUNDUP(MOD(C16,30)/3.33333,0)</f>
        <v>1</v>
      </c>
      <c r="J16" s="6" t="n">
        <f aca="false">ROUNDUP(MOD(C16,30),0)</f>
        <v>3</v>
      </c>
      <c r="K16" s="6" t="n">
        <f aca="false">G16*H16*J16</f>
        <v>21</v>
      </c>
      <c r="L16" s="6" t="n">
        <f aca="false">MOD(K16+$E$15,12)</f>
        <v>2</v>
      </c>
    </row>
    <row r="17" customFormat="false" ht="15" hidden="false" customHeight="false" outlineLevel="0" collapsed="false">
      <c r="B17" s="6" t="str">
        <f aca="false">Basics!A9</f>
        <v>Moon</v>
      </c>
      <c r="C17" s="32" t="n">
        <f aca="false">Basics!G9</f>
        <v>53.0159444444444</v>
      </c>
      <c r="D17" s="32"/>
      <c r="E17" s="33" t="str">
        <f aca="false">INDEX(NakshatraTbl,INT(C17*0.075)+1,3)</f>
        <v>Moon</v>
      </c>
      <c r="F17" s="28" t="n">
        <f aca="false">MOD(ROUNDUP(C17/13.3333333333,0)*2*ROUNDUP(MOD(C17,30)/3.33333,0)+ROUNDUP(Moon/13.333,0)+ROUNDUP(JanmaGhatika,0)+ROUNDUP(Lagna/30,0)+11,12)+1</f>
        <v>1</v>
      </c>
      <c r="G17" s="28" t="n">
        <v>2</v>
      </c>
      <c r="H17" s="6" t="n">
        <f aca="false">ROUNDUP(C17/13.3333333333,0)</f>
        <v>4</v>
      </c>
      <c r="I17" s="6" t="n">
        <f aca="false">ROUNDUP(MOD(C17,30)/3.33333,0)</f>
        <v>7</v>
      </c>
      <c r="J17" s="6" t="n">
        <f aca="false">ROUNDUP(MOD(C17,30),0)</f>
        <v>24</v>
      </c>
      <c r="K17" s="6" t="n">
        <f aca="false">G17*H17*J17</f>
        <v>192</v>
      </c>
      <c r="L17" s="6" t="n">
        <f aca="false">MOD(K17+$E$15,12)</f>
        <v>5</v>
      </c>
    </row>
    <row r="18" customFormat="false" ht="15" hidden="false" customHeight="false" outlineLevel="0" collapsed="false">
      <c r="B18" s="6" t="str">
        <f aca="false">Basics!A10</f>
        <v>Mars</v>
      </c>
      <c r="C18" s="32" t="n">
        <f aca="false">Basics!G10</f>
        <v>298.108663888889</v>
      </c>
      <c r="D18" s="26"/>
      <c r="E18" s="27" t="str">
        <f aca="false">INDEX(NakshatraTbl,INT(C18*0.075)+1,3)</f>
        <v>Moon</v>
      </c>
      <c r="F18" s="28" t="n">
        <f aca="false">MOD(ROUNDUP(C18/13.3333333333,0)*3*ROUNDUP(MOD(C18,30)/3.33333,0)+ROUNDUP(Moon/13.333,0)+ROUNDUP(JanmaGhatika,0)+ROUNDUP(Lagna/30,0)+11,12)+1</f>
        <v>2</v>
      </c>
      <c r="G18" s="28" t="n">
        <v>3</v>
      </c>
      <c r="H18" s="6" t="n">
        <f aca="false">ROUNDUP(C18/13.3333333333,0)</f>
        <v>23</v>
      </c>
      <c r="I18" s="6" t="n">
        <f aca="false">ROUNDUP(MOD(C18,30)/3.33333,0)</f>
        <v>9</v>
      </c>
      <c r="J18" s="6" t="n">
        <f aca="false">ROUNDUP(MOD(C18,30),0)</f>
        <v>29</v>
      </c>
      <c r="K18" s="6" t="n">
        <f aca="false">G18*H18*J18</f>
        <v>2001</v>
      </c>
      <c r="L18" s="6" t="n">
        <f aca="false">MOD(K18+$E$15,12)</f>
        <v>2</v>
      </c>
    </row>
    <row r="19" customFormat="false" ht="15" hidden="false" customHeight="false" outlineLevel="0" collapsed="false">
      <c r="B19" s="6" t="str">
        <f aca="false">Basics!A11</f>
        <v>Mercury</v>
      </c>
      <c r="C19" s="32" t="n">
        <f aca="false">Basics!G11</f>
        <v>117.129786111111</v>
      </c>
      <c r="D19" s="26"/>
      <c r="E19" s="27" t="str">
        <f aca="false">INDEX(NakshatraTbl,INT(C19*0.075)+1,3)</f>
        <v>Merc</v>
      </c>
      <c r="F19" s="28" t="n">
        <f aca="false">MOD(ROUNDUP(C19/13.3333333333,0)*4*ROUNDUP(MOD(C19,30)/3.33333,0)+ROUNDUP(Moon/13.333,0)+ROUNDUP(JanmaGhatika,0)+ROUNDUP(Lagna/30,0)+11,12)+1</f>
        <v>5</v>
      </c>
      <c r="G19" s="28" t="n">
        <v>4</v>
      </c>
      <c r="H19" s="6" t="n">
        <f aca="false">ROUNDUP(C19/13.3333333333,0)</f>
        <v>9</v>
      </c>
      <c r="I19" s="6" t="n">
        <f aca="false">ROUNDUP(MOD(C19,30)/3.33333,0)</f>
        <v>9</v>
      </c>
      <c r="J19" s="6" t="n">
        <f aca="false">ROUNDUP(MOD(C19,30),0)</f>
        <v>28</v>
      </c>
      <c r="K19" s="6" t="n">
        <f aca="false">G19*H19*J19</f>
        <v>1008</v>
      </c>
      <c r="L19" s="6" t="n">
        <f aca="false">MOD(K19+$E$15,12)</f>
        <v>5</v>
      </c>
    </row>
    <row r="20" customFormat="false" ht="15" hidden="false" customHeight="false" outlineLevel="0" collapsed="false">
      <c r="B20" s="6" t="str">
        <f aca="false">Basics!A12</f>
        <v>Jupiter</v>
      </c>
      <c r="C20" s="32" t="n">
        <f aca="false">Basics!G12</f>
        <v>213.197175</v>
      </c>
      <c r="D20" s="26"/>
      <c r="E20" s="27" t="str">
        <f aca="false">INDEX(NakshatraTbl,INT(C20*0.075)+1,3)</f>
        <v>Jupiter</v>
      </c>
      <c r="F20" s="28" t="n">
        <f aca="false">MOD(ROUNDUP(C20/13.3333333333,0)*5*ROUNDUP(MOD(C20,30)/3.33333,0)+ROUNDUP(Moon/13.333,0)+ROUNDUP(JanmaGhatika,0)+ROUNDUP(Lagna/30,0),12)</f>
        <v>1</v>
      </c>
      <c r="G20" s="28" t="n">
        <v>5</v>
      </c>
      <c r="H20" s="6" t="n">
        <f aca="false">ROUNDUP(C20/13.3333333333,0)</f>
        <v>16</v>
      </c>
      <c r="I20" s="6" t="n">
        <f aca="false">ROUNDUP(MOD(C20,30)/3.33333,0)</f>
        <v>1</v>
      </c>
      <c r="J20" s="6" t="n">
        <f aca="false">ROUNDUP(MOD(C20,30),0)</f>
        <v>4</v>
      </c>
      <c r="K20" s="6" t="n">
        <f aca="false">G20*H20*J20</f>
        <v>320</v>
      </c>
      <c r="L20" s="6" t="n">
        <f aca="false">MOD(K20+$E$15,12)</f>
        <v>1</v>
      </c>
    </row>
    <row r="21" customFormat="false" ht="15" hidden="false" customHeight="false" outlineLevel="0" collapsed="false">
      <c r="B21" s="6" t="str">
        <f aca="false">Basics!A13</f>
        <v>Venus</v>
      </c>
      <c r="C21" s="32" t="n">
        <f aca="false">Basics!G13</f>
        <v>81.5406027777778</v>
      </c>
      <c r="D21" s="26"/>
      <c r="E21" s="27" t="str">
        <f aca="false">INDEX(NakshatraTbl,INT(C21*0.075)+1,3)</f>
        <v>Jupiter</v>
      </c>
      <c r="F21" s="28" t="n">
        <f aca="false">MOD(ROUNDUP(C21/13.3333333333,0)*6*ROUNDUP(MOD(C21,30)/3.33333,0)+ROUNDUP(Moon/13.333,0)+ROUNDUP(JanmaGhatika,0)+ROUNDUP(Lagna/30,0)+11,12)+1</f>
        <v>11</v>
      </c>
      <c r="G21" s="28" t="n">
        <v>6</v>
      </c>
      <c r="H21" s="6" t="n">
        <f aca="false">ROUNDUP(C21/13.3333333333,0)</f>
        <v>7</v>
      </c>
      <c r="I21" s="6" t="n">
        <f aca="false">ROUNDUP(MOD(C21,30)/3.33333,0)</f>
        <v>7</v>
      </c>
      <c r="J21" s="6" t="n">
        <f aca="false">ROUNDUP(MOD(C21,30),0)</f>
        <v>22</v>
      </c>
      <c r="K21" s="6" t="n">
        <f aca="false">G21*H21*J21</f>
        <v>924</v>
      </c>
      <c r="L21" s="6" t="n">
        <f aca="false">MOD(K21+$E$15,12)</f>
        <v>5</v>
      </c>
    </row>
    <row r="22" customFormat="false" ht="15" hidden="false" customHeight="false" outlineLevel="0" collapsed="false">
      <c r="B22" s="6" t="str">
        <f aca="false">Basics!A14</f>
        <v>Saturn</v>
      </c>
      <c r="C22" s="32" t="n">
        <f aca="false">Basics!G14</f>
        <v>39.8852111111111</v>
      </c>
      <c r="D22" s="26"/>
      <c r="E22" s="27" t="str">
        <f aca="false">INDEX(NakshatraTbl,INT(C22*0.075)+1,3)</f>
        <v>Sun</v>
      </c>
      <c r="F22" s="28" t="n">
        <f aca="false">MOD(ROUNDUP(C22/13.3333333333,0)*7*ROUNDUP(MOD(C22,30)/3.33333,0)+ROUNDUP(Moon/13.333,0)+ROUNDUP(JanmaGhatika,0)+ROUNDUP(Lagna/30,0)+11,12)+1</f>
        <v>8</v>
      </c>
      <c r="G22" s="28" t="n">
        <v>7</v>
      </c>
      <c r="H22" s="6" t="n">
        <f aca="false">ROUNDUP(C22/13.3333333333,0)</f>
        <v>3</v>
      </c>
      <c r="I22" s="6" t="n">
        <f aca="false">ROUNDUP(MOD(C22,30)/3.33333,0)</f>
        <v>3</v>
      </c>
      <c r="J22" s="6" t="n">
        <f aca="false">ROUNDUP(MOD(C22,30),0)</f>
        <v>10</v>
      </c>
      <c r="K22" s="6" t="n">
        <f aca="false">G22*H22*J22</f>
        <v>210</v>
      </c>
      <c r="L22" s="6" t="n">
        <f aca="false">MOD(K22+$E$15,12)</f>
        <v>11</v>
      </c>
    </row>
    <row r="23" customFormat="false" ht="15" hidden="false" customHeight="false" outlineLevel="0" collapsed="false">
      <c r="B23" s="6" t="str">
        <f aca="false">Basics!A15</f>
        <v>Rahu</v>
      </c>
      <c r="C23" s="32" t="n">
        <f aca="false">Basics!G15</f>
        <v>291.967238888889</v>
      </c>
      <c r="D23" s="26"/>
      <c r="E23" s="27" t="str">
        <f aca="false">INDEX(NakshatraTbl,INT(C23*0.075)+1,3)</f>
        <v>Sun</v>
      </c>
      <c r="F23" s="28" t="n">
        <f aca="false">MOD(ROUNDUP(C23/13.3333333333,0)*8*ROUNDUP(MOD(C23,30)/3.33333,0)+ROUNDUP(Moon/13.333,0)+ROUNDUP(JanmaGhatika,0)+ROUNDUP(Lagna/30,0)+11,12)+1</f>
        <v>1</v>
      </c>
      <c r="G23" s="28" t="n">
        <v>8</v>
      </c>
      <c r="H23" s="6" t="n">
        <f aca="false">ROUNDUP(C23/13.3333333333,0)</f>
        <v>22</v>
      </c>
      <c r="I23" s="6" t="n">
        <f aca="false">ROUNDUP(MOD(C23,30)/3.33333,0)</f>
        <v>7</v>
      </c>
      <c r="J23" s="6" t="n">
        <f aca="false">ROUNDUP(MOD(C23,30),0)</f>
        <v>22</v>
      </c>
      <c r="K23" s="6" t="n">
        <f aca="false">G23*H23*J23</f>
        <v>3872</v>
      </c>
      <c r="L23" s="6" t="n">
        <f aca="false">MOD(K23+$E$15,12)</f>
        <v>1</v>
      </c>
    </row>
    <row r="24" customFormat="false" ht="15" hidden="false" customHeight="false" outlineLevel="0" collapsed="false">
      <c r="B24" s="6" t="str">
        <f aca="false">Basics!A16</f>
        <v>Ketu</v>
      </c>
      <c r="C24" s="32" t="n">
        <f aca="false">Basics!G16</f>
        <v>111.967238888889</v>
      </c>
      <c r="D24" s="26"/>
      <c r="E24" s="27" t="str">
        <f aca="false">INDEX(NakshatraTbl,INT(C24*0.075)+1,3)</f>
        <v>Merc</v>
      </c>
      <c r="F24" s="28" t="n">
        <f aca="false">MOD(ROUNDUP(C24/13.3333333333,0)*9*ROUNDUP(MOD(C24,30)/3.33333,0)+ROUNDUP(Moon/13.333,0)+ROUNDUP(JanmaGhatika,0)+ROUNDUP(Lagna/30,0)+11,12)+1</f>
        <v>8</v>
      </c>
      <c r="G24" s="28" t="n">
        <v>9</v>
      </c>
      <c r="H24" s="6" t="n">
        <f aca="false">ROUNDUP(C24/13.3333333333,0)</f>
        <v>9</v>
      </c>
      <c r="I24" s="6" t="n">
        <f aca="false">ROUNDUP(MOD(C24,30)/3.33333,0)</f>
        <v>7</v>
      </c>
      <c r="J24" s="6" t="n">
        <f aca="false">ROUNDUP(MOD(C24,30),0)</f>
        <v>22</v>
      </c>
      <c r="K24" s="6" t="n">
        <f aca="false">G24*H24*J24</f>
        <v>1782</v>
      </c>
      <c r="L24" s="6" t="n">
        <f aca="false">MOD(K24+$E$15,12)</f>
        <v>11</v>
      </c>
    </row>
  </sheetData>
  <mergeCells count="22">
    <mergeCell ref="B2:B4"/>
    <mergeCell ref="C2:C4"/>
    <mergeCell ref="D2:P2"/>
    <mergeCell ref="Q2:Q4"/>
    <mergeCell ref="R2:Z2"/>
    <mergeCell ref="AA2:AA4"/>
    <mergeCell ref="AB2:AB4"/>
    <mergeCell ref="AC2:AC4"/>
    <mergeCell ref="AD2:AD4"/>
    <mergeCell ref="AE2:AE4"/>
    <mergeCell ref="D3:D4"/>
    <mergeCell ref="E3:L3"/>
    <mergeCell ref="M3:M4"/>
    <mergeCell ref="N3:N4"/>
    <mergeCell ref="O3:O4"/>
    <mergeCell ref="P3:P4"/>
    <mergeCell ref="R3:R4"/>
    <mergeCell ref="S3:S4"/>
    <mergeCell ref="T3:T4"/>
    <mergeCell ref="U3:Y3"/>
    <mergeCell ref="Z3:Z4"/>
    <mergeCell ref="G13:J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323"/>
  <sheetViews>
    <sheetView showFormulas="false" showGridLines="true" showRowColHeaders="true" showZeros="true" rightToLeft="false" tabSelected="false" showOutlineSymbols="true" defaultGridColor="true" view="normal" topLeftCell="A5" colorId="64" zoomScale="181" zoomScaleNormal="181" zoomScalePageLayoutView="100" workbookViewId="0">
      <selection pane="topLeft" activeCell="F21" activeCellId="0" sqref="F21"/>
    </sheetView>
  </sheetViews>
  <sheetFormatPr defaultColWidth="7.1484375" defaultRowHeight="15" customHeight="true" zeroHeight="false" outlineLevelRow="0" outlineLevelCol="0"/>
  <cols>
    <col collapsed="false" customWidth="true" hidden="false" outlineLevel="0" max="1" min="1" style="6" width="22.57"/>
    <col collapsed="false" customWidth="true" hidden="false" outlineLevel="0" max="2" min="2" style="6" width="16.29"/>
    <col collapsed="false" customWidth="true" hidden="false" outlineLevel="0" max="3" min="3" style="6" width="14.29"/>
    <col collapsed="false" customWidth="true" hidden="false" outlineLevel="0" max="4" min="4" style="6" width="19.42"/>
    <col collapsed="false" customWidth="true" hidden="false" outlineLevel="0" max="5" min="5" style="6" width="13"/>
    <col collapsed="false" customWidth="true" hidden="false" outlineLevel="0" max="6" min="6" style="6" width="16"/>
    <col collapsed="false" customWidth="true" hidden="false" outlineLevel="0" max="7" min="7" style="6" width="20"/>
    <col collapsed="false" customWidth="true" hidden="false" outlineLevel="0" max="8" min="8" style="6" width="17"/>
    <col collapsed="false" customWidth="true" hidden="false" outlineLevel="0" max="10" min="9" style="6" width="16.14"/>
    <col collapsed="false" customWidth="true" hidden="false" outlineLevel="0" max="11" min="11" style="6" width="15.57"/>
    <col collapsed="false" customWidth="true" hidden="false" outlineLevel="0" max="12" min="12" style="6" width="18"/>
    <col collapsed="false" customWidth="true" hidden="false" outlineLevel="0" max="13" min="13" style="6" width="13"/>
    <col collapsed="false" customWidth="true" hidden="false" outlineLevel="0" max="14" min="14" style="6" width="11.57"/>
    <col collapsed="false" customWidth="true" hidden="false" outlineLevel="0" max="15" min="15" style="6" width="12.29"/>
    <col collapsed="false" customWidth="true" hidden="false" outlineLevel="0" max="16" min="16" style="6" width="12.42"/>
    <col collapsed="false" customWidth="true" hidden="false" outlineLevel="0" max="17" min="17" style="6" width="11.57"/>
    <col collapsed="false" customWidth="true" hidden="false" outlineLevel="0" max="18" min="18" style="6" width="18.14"/>
    <col collapsed="false" customWidth="true" hidden="false" outlineLevel="0" max="19" min="19" style="6" width="27"/>
    <col collapsed="false" customWidth="true" hidden="false" outlineLevel="0" max="20" min="20" style="6" width="9.86"/>
    <col collapsed="false" customWidth="true" hidden="false" outlineLevel="0" max="21" min="21" style="6" width="17.86"/>
    <col collapsed="false" customWidth="true" hidden="false" outlineLevel="0" max="22" min="22" style="6" width="15.42"/>
  </cols>
  <sheetData>
    <row r="1" customFormat="false" ht="15" hidden="false" customHeight="false" outlineLevel="0" collapsed="false">
      <c r="A1" s="121" t="s">
        <v>138</v>
      </c>
      <c r="B1" s="121" t="s">
        <v>361</v>
      </c>
      <c r="C1" s="121" t="s">
        <v>362</v>
      </c>
      <c r="D1" s="121" t="s">
        <v>363</v>
      </c>
      <c r="E1" s="121" t="s">
        <v>364</v>
      </c>
      <c r="F1" s="121" t="s">
        <v>301</v>
      </c>
      <c r="G1" s="121" t="s">
        <v>365</v>
      </c>
      <c r="H1" s="121" t="s">
        <v>366</v>
      </c>
      <c r="I1" s="121" t="s">
        <v>367</v>
      </c>
      <c r="J1" s="121" t="s">
        <v>368</v>
      </c>
      <c r="K1" s="121" t="s">
        <v>369</v>
      </c>
      <c r="L1" s="121" t="s">
        <v>370</v>
      </c>
    </row>
    <row r="2" customFormat="false" ht="15" hidden="false" customHeight="false" outlineLevel="0" collapsed="false">
      <c r="A2" s="6" t="str">
        <f aca="false">IF($E$1,F2,D2)</f>
        <v>Ketu</v>
      </c>
      <c r="B2" s="6" t="n">
        <f aca="false">IF($E$1,G2,E2)</f>
        <v>7</v>
      </c>
      <c r="C2" s="6" t="n">
        <f aca="false">H2</f>
        <v>0</v>
      </c>
      <c r="D2" s="6" t="s">
        <v>161</v>
      </c>
      <c r="E2" s="6" t="n">
        <f aca="false">VimFactor*17</f>
        <v>17</v>
      </c>
      <c r="F2" s="6" t="s">
        <v>166</v>
      </c>
      <c r="G2" s="6" t="n">
        <v>7</v>
      </c>
      <c r="H2" s="6" t="n">
        <v>0</v>
      </c>
      <c r="I2" s="53" t="n">
        <f aca="false">G2*360/13.33333333</f>
        <v>189.00000004725</v>
      </c>
      <c r="J2" s="6" t="n">
        <f aca="false">G2*360/800</f>
        <v>3.15</v>
      </c>
      <c r="K2" s="6" t="n">
        <f aca="false">J2/60</f>
        <v>0.0525</v>
      </c>
      <c r="L2" s="6" t="n">
        <f aca="false">G2*360/(MoonPeriod/27*24*60)</f>
        <v>1.72940205292651</v>
      </c>
    </row>
    <row r="3" customFormat="false" ht="15" hidden="false" customHeight="false" outlineLevel="0" collapsed="false">
      <c r="A3" s="6" t="str">
        <f aca="false">IF($E$1,F3,D3)</f>
        <v>Venus</v>
      </c>
      <c r="B3" s="6" t="n">
        <f aca="false">IF($E$1,G3,E3)</f>
        <v>20</v>
      </c>
      <c r="C3" s="6" t="n">
        <f aca="false">H3</f>
        <v>1</v>
      </c>
      <c r="D3" s="6" t="s">
        <v>164</v>
      </c>
      <c r="E3" s="6" t="n">
        <f aca="false">VimFactor*19</f>
        <v>19</v>
      </c>
      <c r="F3" s="6" t="s">
        <v>163</v>
      </c>
      <c r="G3" s="6" t="n">
        <v>20</v>
      </c>
      <c r="H3" s="6" t="n">
        <v>1</v>
      </c>
      <c r="I3" s="53" t="n">
        <f aca="false">G3*360/13.33333333</f>
        <v>540.000000135</v>
      </c>
      <c r="J3" s="6" t="n">
        <f aca="false">G3*360/800</f>
        <v>9</v>
      </c>
      <c r="K3" s="6" t="n">
        <f aca="false">J3/60</f>
        <v>0.15</v>
      </c>
      <c r="L3" s="6" t="n">
        <f aca="false">G3*360/(MoonPeriod/27*24*60)</f>
        <v>4.94114872264717</v>
      </c>
    </row>
    <row r="4" customFormat="false" ht="15" hidden="false" customHeight="false" outlineLevel="0" collapsed="false">
      <c r="A4" s="6" t="str">
        <f aca="false">IF($E$1,F4,D4)</f>
        <v>Sun</v>
      </c>
      <c r="B4" s="6" t="n">
        <f aca="false">IF($E$1,G4,E4)</f>
        <v>6</v>
      </c>
      <c r="C4" s="6" t="n">
        <f aca="false">H4</f>
        <v>2</v>
      </c>
      <c r="D4" s="6" t="s">
        <v>162</v>
      </c>
      <c r="E4" s="6" t="n">
        <f aca="false">VimFactor*16</f>
        <v>16</v>
      </c>
      <c r="F4" s="6" t="s">
        <v>158</v>
      </c>
      <c r="G4" s="6" t="n">
        <v>6</v>
      </c>
      <c r="H4" s="6" t="n">
        <v>2</v>
      </c>
      <c r="I4" s="53" t="n">
        <f aca="false">G4*360/13.33333333</f>
        <v>162.0000000405</v>
      </c>
      <c r="J4" s="6" t="n">
        <f aca="false">G4*360/800</f>
        <v>2.7</v>
      </c>
      <c r="K4" s="6" t="n">
        <f aca="false">J4/60</f>
        <v>0.045</v>
      </c>
      <c r="L4" s="6" t="n">
        <f aca="false">G4*360/(MoonPeriod/27*24*60)</f>
        <v>1.48234461679415</v>
      </c>
    </row>
    <row r="5" customFormat="false" ht="15" hidden="false" customHeight="false" outlineLevel="0" collapsed="false">
      <c r="A5" s="6" t="str">
        <f aca="false">IF($E$1,F5,D5)</f>
        <v>Moon</v>
      </c>
      <c r="B5" s="6" t="n">
        <f aca="false">IF($E$1,G5,E5)</f>
        <v>10</v>
      </c>
      <c r="C5" s="6" t="n">
        <f aca="false">H5</f>
        <v>3</v>
      </c>
      <c r="D5" s="6" t="s">
        <v>165</v>
      </c>
      <c r="E5" s="6" t="n">
        <f aca="false">VimFactor*18</f>
        <v>18</v>
      </c>
      <c r="F5" s="6" t="s">
        <v>159</v>
      </c>
      <c r="G5" s="6" t="n">
        <v>10</v>
      </c>
      <c r="H5" s="6" t="n">
        <v>3</v>
      </c>
      <c r="I5" s="53" t="n">
        <f aca="false">G5*360/13.33333333</f>
        <v>270.0000000675</v>
      </c>
      <c r="J5" s="6" t="n">
        <f aca="false">G5*360/800</f>
        <v>4.5</v>
      </c>
      <c r="K5" s="6" t="n">
        <f aca="false">J5/60</f>
        <v>0.075</v>
      </c>
      <c r="L5" s="6" t="n">
        <f aca="false">G5*360/(MoonPeriod/27*24*60)</f>
        <v>2.47057436132359</v>
      </c>
    </row>
    <row r="6" customFormat="false" ht="15" hidden="false" customHeight="false" outlineLevel="0" collapsed="false">
      <c r="A6" s="6" t="str">
        <f aca="false">IF($E$1,F6,D6)</f>
        <v>Mars</v>
      </c>
      <c r="B6" s="6" t="n">
        <f aca="false">IF($E$1,G6,E6)</f>
        <v>7</v>
      </c>
      <c r="C6" s="6" t="n">
        <f aca="false">H6</f>
        <v>4</v>
      </c>
      <c r="D6" s="6" t="s">
        <v>160</v>
      </c>
      <c r="E6" s="6" t="n">
        <f aca="false">VimFactor*7</f>
        <v>7</v>
      </c>
      <c r="F6" s="6" t="s">
        <v>160</v>
      </c>
      <c r="G6" s="6" t="n">
        <v>7</v>
      </c>
      <c r="H6" s="6" t="n">
        <v>4</v>
      </c>
      <c r="I6" s="53" t="n">
        <f aca="false">G6*360/13.33333333</f>
        <v>189.00000004725</v>
      </c>
      <c r="J6" s="6" t="n">
        <f aca="false">G6*360/800</f>
        <v>3.15</v>
      </c>
      <c r="K6" s="6" t="n">
        <f aca="false">J6/60</f>
        <v>0.0525</v>
      </c>
      <c r="L6" s="6" t="n">
        <f aca="false">G6*360/(MoonPeriod/27*24*60)</f>
        <v>1.72940205292651</v>
      </c>
    </row>
    <row r="7" customFormat="false" ht="15" hidden="false" customHeight="false" outlineLevel="0" collapsed="false">
      <c r="A7" s="6" t="str">
        <f aca="false">IF($E$1,F7,D7)</f>
        <v>Rahu</v>
      </c>
      <c r="B7" s="6" t="n">
        <f aca="false">IF($E$1,G7,E7)</f>
        <v>18</v>
      </c>
      <c r="C7" s="6" t="n">
        <f aca="false">H7</f>
        <v>5</v>
      </c>
      <c r="D7" s="6" t="s">
        <v>159</v>
      </c>
      <c r="E7" s="6" t="n">
        <f aca="false">VimFactor*10</f>
        <v>10</v>
      </c>
      <c r="F7" s="6" t="s">
        <v>165</v>
      </c>
      <c r="G7" s="6" t="n">
        <v>18</v>
      </c>
      <c r="H7" s="6" t="n">
        <v>5</v>
      </c>
      <c r="I7" s="53" t="n">
        <f aca="false">G7*360/13.33333333</f>
        <v>486.0000001215</v>
      </c>
      <c r="J7" s="6" t="n">
        <f aca="false">G7*360/800</f>
        <v>8.1</v>
      </c>
      <c r="K7" s="6" t="n">
        <f aca="false">J7/60</f>
        <v>0.135</v>
      </c>
      <c r="L7" s="6" t="n">
        <f aca="false">G7*360/(MoonPeriod/27*24*60)</f>
        <v>4.44703385038246</v>
      </c>
    </row>
    <row r="8" customFormat="false" ht="15" hidden="false" customHeight="false" outlineLevel="0" collapsed="false">
      <c r="A8" s="6" t="str">
        <f aca="false">IF($E$1,F8,D8)</f>
        <v>Jupiter</v>
      </c>
      <c r="B8" s="6" t="n">
        <f aca="false">IF($E$1,G8,E8)</f>
        <v>16</v>
      </c>
      <c r="C8" s="6" t="n">
        <f aca="false">H8</f>
        <v>6</v>
      </c>
      <c r="D8" s="6" t="s">
        <v>158</v>
      </c>
      <c r="E8" s="6" t="n">
        <f aca="false">VimFactor*6</f>
        <v>6</v>
      </c>
      <c r="F8" s="6" t="s">
        <v>162</v>
      </c>
      <c r="G8" s="6" t="n">
        <v>16</v>
      </c>
      <c r="H8" s="6" t="n">
        <v>6</v>
      </c>
      <c r="I8" s="53" t="n">
        <f aca="false">G8*360/13.33333333</f>
        <v>432.000000108</v>
      </c>
      <c r="J8" s="6" t="n">
        <f aca="false">G8*360/800</f>
        <v>7.2</v>
      </c>
      <c r="K8" s="6" t="n">
        <f aca="false">J8/60</f>
        <v>0.12</v>
      </c>
      <c r="L8" s="6" t="n">
        <f aca="false">G8*360/(MoonPeriod/27*24*60)</f>
        <v>3.95291897811774</v>
      </c>
    </row>
    <row r="9" customFormat="false" ht="15" hidden="false" customHeight="false" outlineLevel="0" collapsed="false">
      <c r="A9" s="6" t="str">
        <f aca="false">IF($E$1,F9,D9)</f>
        <v>Saturn</v>
      </c>
      <c r="B9" s="6" t="n">
        <f aca="false">IF($E$1,G9,E9)</f>
        <v>19</v>
      </c>
      <c r="C9" s="6" t="n">
        <f aca="false">H9</f>
        <v>7</v>
      </c>
      <c r="D9" s="6" t="s">
        <v>163</v>
      </c>
      <c r="E9" s="6" t="n">
        <f aca="false">VimFactor*20</f>
        <v>20</v>
      </c>
      <c r="F9" s="6" t="s">
        <v>164</v>
      </c>
      <c r="G9" s="6" t="n">
        <v>19</v>
      </c>
      <c r="H9" s="6" t="n">
        <v>7</v>
      </c>
      <c r="I9" s="53" t="n">
        <f aca="false">G9*360/13.33333333</f>
        <v>513.00000012825</v>
      </c>
      <c r="J9" s="6" t="n">
        <f aca="false">G9*360/800</f>
        <v>8.55</v>
      </c>
      <c r="K9" s="6" t="n">
        <f aca="false">J9/60</f>
        <v>0.1425</v>
      </c>
      <c r="L9" s="6" t="n">
        <f aca="false">G9*360/(MoonPeriod/27*24*60)</f>
        <v>4.69409128651481</v>
      </c>
    </row>
    <row r="10" customFormat="false" ht="15" hidden="false" customHeight="false" outlineLevel="0" collapsed="false">
      <c r="A10" s="6" t="str">
        <f aca="false">IF($E$1,F10,D10)</f>
        <v>Mercury</v>
      </c>
      <c r="B10" s="6" t="n">
        <f aca="false">IF($E$1,G10,E10)</f>
        <v>17</v>
      </c>
      <c r="C10" s="6" t="n">
        <f aca="false">H10</f>
        <v>8</v>
      </c>
      <c r="D10" s="6" t="s">
        <v>166</v>
      </c>
      <c r="E10" s="6" t="n">
        <f aca="false">VimFactor*7</f>
        <v>7</v>
      </c>
      <c r="F10" s="6" t="s">
        <v>161</v>
      </c>
      <c r="G10" s="6" t="n">
        <v>17</v>
      </c>
      <c r="H10" s="6" t="n">
        <v>8</v>
      </c>
      <c r="I10" s="53" t="n">
        <f aca="false">G10*360/13.33333333</f>
        <v>459.00000011475</v>
      </c>
      <c r="J10" s="6" t="n">
        <f aca="false">G10*360/800</f>
        <v>7.65</v>
      </c>
      <c r="K10" s="6" t="n">
        <f aca="false">J10/60</f>
        <v>0.1275</v>
      </c>
      <c r="L10" s="6" t="n">
        <f aca="false">G10*360/(MoonPeriod/27*24*60)</f>
        <v>4.1999764142501</v>
      </c>
    </row>
    <row r="11" customFormat="false" ht="15" hidden="false" customHeight="false" outlineLevel="0" collapsed="false">
      <c r="C11" s="181"/>
    </row>
    <row r="12" customFormat="false" ht="15" hidden="false" customHeight="false" outlineLevel="0" collapsed="false">
      <c r="A12" s="182" t="s">
        <v>371</v>
      </c>
      <c r="B12" s="183"/>
      <c r="C12" s="183"/>
      <c r="D12" s="183"/>
      <c r="E12" s="184"/>
      <c r="F12" s="6" t="s">
        <v>372</v>
      </c>
      <c r="G12" s="6" t="n">
        <f aca="false">DATA!L4</f>
        <v>27.321582</v>
      </c>
      <c r="H12" s="6" t="s">
        <v>373</v>
      </c>
    </row>
    <row r="13" customFormat="false" ht="15" hidden="false" customHeight="false" outlineLevel="0" collapsed="false">
      <c r="A13" s="185" t="str">
        <f aca="false">Basics!A9</f>
        <v>Moon</v>
      </c>
      <c r="B13" s="6" t="s">
        <v>374</v>
      </c>
      <c r="E13" s="186"/>
      <c r="H13" s="6" t="n">
        <f aca="false">E15*360/(G12/27*24*60)</f>
        <v>2.47057436132359</v>
      </c>
    </row>
    <row r="14" customFormat="false" ht="15" hidden="false" customHeight="false" outlineLevel="0" collapsed="false">
      <c r="A14" s="187" t="s">
        <v>375</v>
      </c>
      <c r="B14" s="188" t="n">
        <f aca="false">VLOOKUP(A13,ChartInfo,7,0)</f>
        <v>53.0159444444444</v>
      </c>
      <c r="C14" s="188"/>
      <c r="D14" s="188"/>
      <c r="E14" s="186"/>
      <c r="G14" s="6" t="s">
        <v>367</v>
      </c>
      <c r="H14" s="6" t="s">
        <v>368</v>
      </c>
      <c r="I14" s="6" t="s">
        <v>369</v>
      </c>
    </row>
    <row r="15" customFormat="false" ht="15" hidden="false" customHeight="false" outlineLevel="0" collapsed="false">
      <c r="A15" s="189" t="s">
        <v>376</v>
      </c>
      <c r="B15" s="6" t="str">
        <f aca="false">INDEX(DasaYears,D15+1,1)</f>
        <v>Moon</v>
      </c>
      <c r="D15" s="6" t="n">
        <f aca="false">MOD(FLOOR(B14/StarDeg,1),9)</f>
        <v>3</v>
      </c>
      <c r="E15" s="186" t="n">
        <f aca="false">INDEX(DasaYears,MOD(FLOOR(B14/StarDeg,1),9)+1,2)</f>
        <v>10</v>
      </c>
      <c r="G15" s="151" t="n">
        <f aca="false">E15*360/13.33333333</f>
        <v>270.0000000675</v>
      </c>
      <c r="H15" s="6" t="n">
        <f aca="false">E15*360/800</f>
        <v>4.5</v>
      </c>
      <c r="I15" s="190" t="n">
        <f aca="false">H15/60</f>
        <v>0.075</v>
      </c>
    </row>
    <row r="16" customFormat="false" ht="15" hidden="false" customHeight="false" outlineLevel="0" collapsed="false">
      <c r="A16" s="189" t="s">
        <v>377</v>
      </c>
      <c r="B16" s="186" t="n">
        <f aca="false">((StarDeg-MOD(B14,StarDeg))/StarDeg)*E15</f>
        <v>0.238041666666569</v>
      </c>
      <c r="C16" s="186"/>
      <c r="D16" s="186"/>
      <c r="E16" s="186"/>
      <c r="F16" s="39"/>
    </row>
    <row r="17" customFormat="false" ht="15" hidden="false" customHeight="false" outlineLevel="0" collapsed="false">
      <c r="A17" s="189" t="s">
        <v>378</v>
      </c>
      <c r="E17" s="186" t="n">
        <f aca="false">((MOD(B14,StarDeg))/StarDeg)*E15</f>
        <v>9.76195833333343</v>
      </c>
      <c r="F17" s="39"/>
    </row>
    <row r="18" customFormat="false" ht="15" hidden="false" customHeight="false" outlineLevel="0" collapsed="false">
      <c r="A18" s="189" t="str">
        <f aca="false">INDEX(DasaYears,MOD(D15,9)+1,1)</f>
        <v>Moon</v>
      </c>
      <c r="B18" s="191" t="n">
        <f aca="false">DoB+G18</f>
        <v>26133.3841435185</v>
      </c>
      <c r="C18" s="191"/>
      <c r="D18" s="191"/>
      <c r="E18" s="191"/>
      <c r="F18" s="39"/>
      <c r="G18" s="6" t="n">
        <v>0</v>
      </c>
      <c r="H18" s="6" t="s">
        <v>379</v>
      </c>
    </row>
    <row r="19" customFormat="false" ht="15" hidden="false" customHeight="false" outlineLevel="0" collapsed="false">
      <c r="A19" s="189"/>
      <c r="E19" s="186"/>
      <c r="I19" s="6" t="s">
        <v>380</v>
      </c>
      <c r="L19" s="6" t="s">
        <v>381</v>
      </c>
      <c r="O19" s="6" t="s">
        <v>382</v>
      </c>
      <c r="R19" s="6" t="s">
        <v>383</v>
      </c>
      <c r="U19" s="6" t="s">
        <v>384</v>
      </c>
    </row>
    <row r="20" customFormat="false" ht="15" hidden="false" customHeight="false" outlineLevel="0" collapsed="false">
      <c r="A20" s="192" t="s">
        <v>385</v>
      </c>
      <c r="B20" s="192" t="s">
        <v>386</v>
      </c>
      <c r="C20" s="193" t="s">
        <v>387</v>
      </c>
      <c r="D20" s="39" t="s">
        <v>388</v>
      </c>
      <c r="E20" s="194"/>
      <c r="F20" s="194" t="s">
        <v>389</v>
      </c>
      <c r="G20" s="193" t="s">
        <v>390</v>
      </c>
      <c r="H20" s="39" t="s">
        <v>391</v>
      </c>
      <c r="I20" s="195" t="str">
        <f aca="false">VLOOKUP("&gt;",VimMahaDasa,2,0)</f>
        <v>Saturn</v>
      </c>
      <c r="J20" s="196" t="n">
        <f aca="false">I30</f>
        <v>48135.6223832815</v>
      </c>
      <c r="K20" s="39" t="s">
        <v>392</v>
      </c>
      <c r="L20" s="197" t="str">
        <f aca="false">VLOOKUP("&gt;",VimAD,2,0)</f>
        <v>Moon</v>
      </c>
      <c r="M20" s="198" t="n">
        <f aca="false">L30</f>
        <v>42121.0921463988</v>
      </c>
      <c r="N20" s="39" t="s">
        <v>393</v>
      </c>
      <c r="O20" s="197" t="str">
        <f aca="false">VLOOKUP("&gt;",VimPD,2,0)</f>
        <v>Sun</v>
      </c>
      <c r="P20" s="198" t="n">
        <f aca="false">O30</f>
        <v>42121.0921463988</v>
      </c>
      <c r="Q20" s="39" t="s">
        <v>384</v>
      </c>
      <c r="R20" s="197" t="str">
        <f aca="false">VLOOKUP("&gt;",VimSD,2,0)</f>
        <v>Sun</v>
      </c>
      <c r="S20" s="199" t="n">
        <f aca="false">R30</f>
        <v>42093.6219361823</v>
      </c>
      <c r="T20" s="39" t="s">
        <v>245</v>
      </c>
      <c r="U20" s="197" t="str">
        <f aca="false">VLOOKUP("&gt;",VimPAD,2,0)</f>
        <v>Jupiter</v>
      </c>
      <c r="V20" s="200" t="n">
        <f aca="false">U30</f>
        <v>42092.8628909</v>
      </c>
    </row>
    <row r="21" customFormat="false" ht="15" hidden="false" customHeight="false" outlineLevel="0" collapsed="false">
      <c r="A21" s="6" t="n">
        <v>1</v>
      </c>
      <c r="B21" s="6" t="s">
        <v>186</v>
      </c>
      <c r="C21" s="193"/>
      <c r="D21" s="201" t="str">
        <f aca="false">INDEX(DasaYears,MOD(D15,9)+1,1)</f>
        <v>Moon</v>
      </c>
      <c r="E21" s="202" t="n">
        <f aca="false">DoB-DaysInYear*E17</f>
        <v>22567.7812953187</v>
      </c>
      <c r="F21" s="203" t="n">
        <f aca="false">(SunDeg-360*E17)/360</f>
        <v>-9.50529388117294</v>
      </c>
      <c r="G21" s="204"/>
      <c r="H21" s="201" t="str">
        <f aca="false">INDEX(DasaYears,MOD(VLOOKUP(VLOOKUP("&gt;",VimMahaDasa,2),DasaYears,3,0)+IF(VLOOKUP(""&amp;VLOOKUP("&gt;",VimMahaDasa,2)&amp;"",ChartInfo,11),-1,0),9)+1,1)</f>
        <v>Sun</v>
      </c>
      <c r="I21" s="205" t="n">
        <f aca="false">VLOOKUP("&gt;",VimMahaDasa,3,0)</f>
        <v>41195.779802263</v>
      </c>
      <c r="J21" s="206"/>
      <c r="K21" s="201" t="str">
        <f aca="false">INDEX(DasaYears,MOD(VLOOKUP(L20,DasaYears,3,0)+IF(VLOOKUP(L20,ChartInfo,11,0),-1,0),9)+1,1)</f>
        <v>Moon</v>
      </c>
      <c r="L21" s="205" t="n">
        <f aca="false">VLOOKUP("&gt;",VimAD,3,0)</f>
        <v>41542.7719313139</v>
      </c>
      <c r="M21" s="193" t="s">
        <v>394</v>
      </c>
      <c r="N21" s="201" t="str">
        <f aca="false">INDEX(DasaYears,MOD(VLOOKUP(O20,DasaYears,3,0)+IF(VLOOKUP(O20,ChartInfo,11,0),-1,0),9)+1,1)</f>
        <v>Sun</v>
      </c>
      <c r="O21" s="205" t="n">
        <f aca="false">VLOOKUP("&gt;",VimPD,3,0)</f>
        <v>42092.1761356446</v>
      </c>
      <c r="P21" s="193"/>
      <c r="Q21" s="201" t="str">
        <f aca="false">INDEX(DasaYears,MOD(VLOOKUP(R20,DasaYears,3,0)+IF(VLOOKUP(R20,ChartInfo,11,0),-1,0),9)+1,1)</f>
        <v>Sun</v>
      </c>
      <c r="R21" s="202" t="n">
        <f aca="false">VLOOKUP("&gt;",VimSD,3,0)</f>
        <v>42092.1761356446</v>
      </c>
      <c r="S21" s="201"/>
      <c r="T21" s="205" t="str">
        <f aca="false">INDEX(DasaYears,MOD(VLOOKUP(U20,DasaYears,3,0)+IF(VLOOKUP(U20,ChartInfo,11,0),-1,0),9)+1,1)</f>
        <v>Rahu</v>
      </c>
      <c r="U21" s="207" t="n">
        <f aca="false">VLOOKUP("&gt;",VimPAD,3,0)</f>
        <v>42092.670117495</v>
      </c>
    </row>
    <row r="22" customFormat="false" ht="15" hidden="false" customHeight="false" outlineLevel="0" collapsed="false">
      <c r="A22" s="6" t="n">
        <v>2</v>
      </c>
      <c r="B22" s="6" t="s">
        <v>258</v>
      </c>
      <c r="C22" s="193"/>
      <c r="D22" s="194" t="str">
        <f aca="false">INDEX(DasaYears,MOD($D$15+1,9)+1,1)</f>
        <v>Mars</v>
      </c>
      <c r="E22" s="208" t="n">
        <f aca="false">B18+(B16*DaysInYear)</f>
        <v>26220.3300221706</v>
      </c>
      <c r="F22" s="203" t="n">
        <f aca="false">(SunDeg+(B16*360))</f>
        <v>178.094202777743</v>
      </c>
      <c r="G22" s="209" t="s">
        <v>394</v>
      </c>
      <c r="H22" s="194" t="str">
        <f aca="false">INDEX(DasaYears,(MOD(VLOOKUP(H21,DasaYears,3,0)+IF(VLOOKUP(VLOOKUP("&gt;",VimMahaDasa,2,0),ChartInfo,11),-1,1),9)+1),1)</f>
        <v>Moon</v>
      </c>
      <c r="I22" s="210" t="n">
        <f aca="false">I21+(VLOOKUP($I$20,DasaYears,2,0)*VLOOKUP(H21,DasaYears,2,0)/VimTotal)*DaysInYear</f>
        <v>41542.7719313139</v>
      </c>
      <c r="J22" s="193"/>
      <c r="K22" s="194" t="str">
        <f aca="false">INDEX(DasaYears,(MOD(VLOOKUP(K21,DasaYears,3,0)+IF(VLOOKUP($L$20,ChartInfo,11,0),-1,1),9)+1),1)</f>
        <v>Mars</v>
      </c>
      <c r="L22" s="210" t="n">
        <f aca="false">L21+DaysInYear*VLOOKUP($I$20,DasaYears,2,0)*VLOOKUP($L$20,DasaYears,2,0)/120*VLOOKUP(K21,DasaYears,2,0)/120</f>
        <v>41590.965282571</v>
      </c>
      <c r="M22" s="193"/>
      <c r="N22" s="194" t="str">
        <f aca="false">INDEX(DasaYears,(MOD(VLOOKUP(N21,DasaYears,3,0)+IF(VLOOKUP($L$20,ChartInfo,11,0),-1,1),9)+1),1)</f>
        <v>Moon</v>
      </c>
      <c r="O22" s="210" t="n">
        <f aca="false">O21+DaysInYear*VLOOKUP($I$20,DasaYears,2,0)*VLOOKUP($L$20,DasaYears,2,0)/120*VLOOKUP(N21,DasaYears,2,0)/120*VLOOKUP($O$20,DasaYears,2,0)/120</f>
        <v>42093.6219361823</v>
      </c>
      <c r="P22" s="193"/>
      <c r="Q22" s="194" t="str">
        <f aca="false">INDEX(DasaYears,(MOD(VLOOKUP(Q21,DasaYears,3,0)+IF(VLOOKUP($L$20,ChartInfo,11,0),-1,1),9)+1),1)</f>
        <v>Moon</v>
      </c>
      <c r="R22" s="208" t="n">
        <f aca="false">R21+DaysInYear*VLOOKUP($I$20,DasaYears,2,0)*VLOOKUP($L$20,DasaYears,2,0)/120*VLOOKUP(Q21,DasaYears,2,0)/120*VLOOKUP($O$20,DasaYears,2,0)/120*VLOOKUP($R$20,DasaYears,2,0)/120</f>
        <v>42092.2484256715</v>
      </c>
      <c r="S22" s="194"/>
      <c r="T22" s="210" t="str">
        <f aca="false">INDEX(DasaYears,(MOD(VLOOKUP(T21,DasaYears,3,0)+IF(VLOOKUP($L$20,ChartInfo,11,0),-1,1),9)+1),1)</f>
        <v>Jupiter</v>
      </c>
      <c r="U22" s="211" t="n">
        <f aca="false">U21+DaysInYear*VLOOKUP($I$20,DasaYears,2,0)*VLOOKUP($L$20,DasaYears,2,0)/120*VLOOKUP(T21,DasaYears,2,0)/120*VLOOKUP($O$20,DasaYears,2,0)/120*VLOOKUP($R$20,DasaYears,2,0)/120*VLOOKUP($U$20,DasaYears,2,0)/120</f>
        <v>42092.6990335057</v>
      </c>
    </row>
    <row r="23" customFormat="false" ht="15" hidden="false" customHeight="false" outlineLevel="0" collapsed="false">
      <c r="A23" s="6" t="n">
        <v>3</v>
      </c>
      <c r="B23" s="6" t="s">
        <v>262</v>
      </c>
      <c r="C23" s="193"/>
      <c r="D23" s="201" t="str">
        <f aca="false">INDEX(DasaYears,MOD($D$15+2,9)+1,1)</f>
        <v>Rahu</v>
      </c>
      <c r="E23" s="202" t="n">
        <f aca="false">E22+DaysInYear*VLOOKUP(D22,DasaYears,2,0)</f>
        <v>28777.1141309668</v>
      </c>
      <c r="F23" s="212" t="n">
        <f aca="false">F22+360*VLOOKUP(D22,DasaYears,2,0)</f>
        <v>2698.09420277774</v>
      </c>
      <c r="G23" s="204"/>
      <c r="H23" s="194" t="str">
        <f aca="false">INDEX(DasaYears,(MOD(VLOOKUP(H22,DasaYears,3,0)+IF(VLOOKUP(VLOOKUP("&gt;",VimMahaDasa,2,0),ChartInfo,11),-1,1),9)+1),1)</f>
        <v>Mars</v>
      </c>
      <c r="I23" s="205" t="n">
        <f aca="false">I22+(VLOOKUP($I$20,DasaYears,2,0)*VLOOKUP(H22,DasaYears,2,0)/VimTotal)*DaysInYear</f>
        <v>42121.0921463988</v>
      </c>
      <c r="J23" s="206"/>
      <c r="K23" s="201" t="str">
        <f aca="false">INDEX(DasaYears,(MOD(VLOOKUP(K22,DasaYears,3,0)+IF(VLOOKUP($L$20,ChartInfo,11,0),-1,1),9)+1),1)</f>
        <v>Rahu</v>
      </c>
      <c r="L23" s="205" t="n">
        <f aca="false">L22+DaysInYear*VLOOKUP($I$20,DasaYears,2,0)*VLOOKUP($L$20,DasaYears,2,0)/120*VLOOKUP(K22,DasaYears,2,0)/120</f>
        <v>41624.700628451</v>
      </c>
      <c r="M23" s="193"/>
      <c r="N23" s="201" t="str">
        <f aca="false">INDEX(DasaYears,(MOD(VLOOKUP(N22,DasaYears,3,0)+IF(VLOOKUP($L$20,ChartInfo,11,0),-1,1),9)+1),1)</f>
        <v>Mars</v>
      </c>
      <c r="O23" s="205" t="n">
        <f aca="false">O22+DaysInYear*VLOOKUP($I$20,DasaYears,2,0)*VLOOKUP($L$20,DasaYears,2,0)/120*VLOOKUP(N22,DasaYears,2,0)/120*VLOOKUP($O$20,DasaYears,2,0)/120</f>
        <v>42096.0316037451</v>
      </c>
      <c r="P23" s="193"/>
      <c r="Q23" s="201" t="str">
        <f aca="false">INDEX(DasaYears,(MOD(VLOOKUP(Q22,DasaYears,3,0)+IF(VLOOKUP($L$20,ChartInfo,11,0),-1,1),9)+1),1)</f>
        <v>Mars</v>
      </c>
      <c r="R23" s="202" t="n">
        <f aca="false">R22+DaysInYear*VLOOKUP($I$20,DasaYears,2,0)*VLOOKUP($L$20,DasaYears,2,0)/120*VLOOKUP(Q22,DasaYears,2,0)/120*VLOOKUP($O$20,DasaYears,2,0)/120*VLOOKUP($R$20,DasaYears,2,0)/120</f>
        <v>42092.3689090496</v>
      </c>
      <c r="S23" s="201"/>
      <c r="T23" s="205" t="str">
        <f aca="false">INDEX(DasaYears,(MOD(VLOOKUP(T22,DasaYears,3,0)+IF(VLOOKUP($L$20,ChartInfo,11,0),-1,1),9)+1),1)</f>
        <v>Saturn</v>
      </c>
      <c r="U23" s="207" t="n">
        <f aca="false">U22+DaysInYear*VLOOKUP($I$20,DasaYears,2,0)*VLOOKUP($L$20,DasaYears,2,0)/120*VLOOKUP(T22,DasaYears,2,0)/120*VLOOKUP($O$20,DasaYears,2,0)/120*VLOOKUP($R$20,DasaYears,2,0)/120*VLOOKUP($U$20,DasaYears,2,0)/120</f>
        <v>42092.7247366264</v>
      </c>
    </row>
    <row r="24" customFormat="false" ht="15" hidden="false" customHeight="false" outlineLevel="0" collapsed="false">
      <c r="A24" s="6" t="n">
        <v>4</v>
      </c>
      <c r="B24" s="6" t="s">
        <v>395</v>
      </c>
      <c r="C24" s="193"/>
      <c r="D24" s="194" t="str">
        <f aca="false">INDEX(DasaYears,MOD($D$15+3,9)+1,1)</f>
        <v>Jupiter</v>
      </c>
      <c r="E24" s="208" t="n">
        <f aca="false">E23+DaysInYear*VLOOKUP(D23,DasaYears,2,0)</f>
        <v>35351.7018393001</v>
      </c>
      <c r="F24" s="212" t="n">
        <f aca="false">F23+360*VLOOKUP(D23,DasaYears,2,0)</f>
        <v>9178.09420277774</v>
      </c>
      <c r="G24" s="209"/>
      <c r="H24" s="194" t="str">
        <f aca="false">INDEX(DasaYears,(MOD(VLOOKUP(H23,DasaYears,3,0)+IF(VLOOKUP(VLOOKUP("&gt;",VimMahaDasa,2,0),ChartInfo,11),-1,1),9)+1),1)</f>
        <v>Rahu</v>
      </c>
      <c r="I24" s="210" t="n">
        <f aca="false">I23+(VLOOKUP($I$20,DasaYears,2,0)*VLOOKUP(H23,DasaYears,2,0)/VimTotal)*DaysInYear</f>
        <v>42525.9162969582</v>
      </c>
      <c r="J24" s="206"/>
      <c r="K24" s="194" t="str">
        <f aca="false">INDEX(DasaYears,(MOD(VLOOKUP(K23,DasaYears,3,0)+IF(VLOOKUP($L$20,ChartInfo,11,0),-1,1),9)+1),1)</f>
        <v>Jupiter</v>
      </c>
      <c r="L24" s="210" t="n">
        <f aca="false">L23+DaysInYear*VLOOKUP($I$20,DasaYears,2,0)*VLOOKUP($L$20,DasaYears,2,0)/120*VLOOKUP(K23,DasaYears,2,0)/120</f>
        <v>41711.4486607137</v>
      </c>
      <c r="M24" s="193"/>
      <c r="N24" s="194" t="str">
        <f aca="false">INDEX(DasaYears,(MOD(VLOOKUP(N23,DasaYears,3,0)+IF(VLOOKUP($L$20,ChartInfo,11,0),-1,1),9)+1),1)</f>
        <v>Rahu</v>
      </c>
      <c r="O24" s="210" t="n">
        <f aca="false">O23+DaysInYear*VLOOKUP($I$20,DasaYears,2,0)*VLOOKUP($L$20,DasaYears,2,0)/120*VLOOKUP(N23,DasaYears,2,0)/120*VLOOKUP($O$20,DasaYears,2,0)/120</f>
        <v>42097.7183710391</v>
      </c>
      <c r="P24" s="193"/>
      <c r="Q24" s="194" t="str">
        <f aca="false">INDEX(DasaYears,(MOD(VLOOKUP(Q23,DasaYears,3,0)+IF(VLOOKUP($L$20,ChartInfo,11,0),-1,1),9)+1),1)</f>
        <v>Rahu</v>
      </c>
      <c r="R24" s="208" t="n">
        <f aca="false">R23+DaysInYear*VLOOKUP($I$20,DasaYears,2,0)*VLOOKUP($L$20,DasaYears,2,0)/120*VLOOKUP(Q23,DasaYears,2,0)/120*VLOOKUP($O$20,DasaYears,2,0)/120*VLOOKUP($R$20,DasaYears,2,0)/120</f>
        <v>42092.4532474143</v>
      </c>
      <c r="S24" s="194"/>
      <c r="T24" s="210" t="str">
        <f aca="false">INDEX(DasaYears,(MOD(VLOOKUP(T23,DasaYears,3,0)+IF(VLOOKUP($L$20,ChartInfo,11,0),-1,1),9)+1),1)</f>
        <v>Mercury</v>
      </c>
      <c r="U24" s="211" t="n">
        <f aca="false">U23+DaysInYear*VLOOKUP($I$20,DasaYears,2,0)*VLOOKUP($L$20,DasaYears,2,0)/120*VLOOKUP(T23,DasaYears,2,0)/120*VLOOKUP($O$20,DasaYears,2,0)/120*VLOOKUP($R$20,DasaYears,2,0)/120*VLOOKUP($U$20,DasaYears,2,0)/120</f>
        <v>42092.7552590822</v>
      </c>
    </row>
    <row r="25" customFormat="false" ht="15" hidden="false" customHeight="false" outlineLevel="0" collapsed="false">
      <c r="A25" s="6" t="n">
        <v>5</v>
      </c>
      <c r="B25" s="6" t="s">
        <v>396</v>
      </c>
      <c r="C25" s="193" t="s">
        <v>394</v>
      </c>
      <c r="D25" s="213" t="str">
        <f aca="false">INDEX(DasaYears,MOD($D$15+4,9)+1,1)</f>
        <v>Saturn</v>
      </c>
      <c r="E25" s="214" t="n">
        <f aca="false">E24+DaysInYear*VLOOKUP(D24,DasaYears,2,0)</f>
        <v>41195.779802263</v>
      </c>
      <c r="F25" s="212" t="n">
        <f aca="false">F24+360*VLOOKUP(D24,DasaYears,2,0)</f>
        <v>14938.0942027777</v>
      </c>
      <c r="G25" s="215" t="s">
        <v>394</v>
      </c>
      <c r="H25" s="194" t="str">
        <f aca="false">INDEX(DasaYears,(MOD(VLOOKUP(H24,DasaYears,3,0)+IF(VLOOKUP(VLOOKUP("&gt;",VimMahaDasa,2,0),ChartInfo,11),-1,1),9)+1),1)</f>
        <v>Jupiter</v>
      </c>
      <c r="I25" s="216" t="n">
        <f aca="false">I24+(VLOOKUP($I$20,DasaYears,2,0)*VLOOKUP(H24,DasaYears,2,0)/VimTotal)*DaysInYear</f>
        <v>43566.892684111</v>
      </c>
      <c r="J25" s="217"/>
      <c r="K25" s="213" t="str">
        <f aca="false">INDEX(DasaYears,(MOD(VLOOKUP(K24,DasaYears,3,0)+IF(VLOOKUP($L$20,ChartInfo,11,0),-1,1),9)+1),1)</f>
        <v>Saturn</v>
      </c>
      <c r="L25" s="216" t="n">
        <f aca="false">L24+DaysInYear*VLOOKUP($I$20,DasaYears,2,0)*VLOOKUP($L$20,DasaYears,2,0)/120*VLOOKUP(K24,DasaYears,2,0)/120</f>
        <v>41788.558022725</v>
      </c>
      <c r="M25" s="218"/>
      <c r="N25" s="213" t="str">
        <f aca="false">INDEX(DasaYears,(MOD(VLOOKUP(N24,DasaYears,3,0)+IF(VLOOKUP($L$20,ChartInfo,11,0),-1,1),9)+1),1)</f>
        <v>Jupiter</v>
      </c>
      <c r="O25" s="216" t="n">
        <f aca="false">O24+DaysInYear*VLOOKUP($I$20,DasaYears,2,0)*VLOOKUP($L$20,DasaYears,2,0)/120*VLOOKUP(N24,DasaYears,2,0)/120*VLOOKUP($O$20,DasaYears,2,0)/120</f>
        <v>42102.0557726523</v>
      </c>
      <c r="P25" s="218" t="s">
        <v>394</v>
      </c>
      <c r="Q25" s="213" t="str">
        <f aca="false">INDEX(DasaYears,(MOD(VLOOKUP(Q24,DasaYears,3,0)+IF(VLOOKUP($L$20,ChartInfo,11,0),-1,1),9)+1),1)</f>
        <v>Jupiter</v>
      </c>
      <c r="R25" s="214" t="n">
        <f aca="false">R24+DaysInYear*VLOOKUP($I$20,DasaYears,2,0)*VLOOKUP($L$20,DasaYears,2,0)/120*VLOOKUP(Q24,DasaYears,2,0)/120*VLOOKUP($O$20,DasaYears,2,0)/120*VLOOKUP($R$20,DasaYears,2,0)/120</f>
        <v>42092.670117495</v>
      </c>
      <c r="S25" s="213"/>
      <c r="T25" s="216" t="str">
        <f aca="false">INDEX(DasaYears,(MOD(VLOOKUP(T24,DasaYears,3,0)+IF(VLOOKUP($L$20,ChartInfo,11,0),-1,1),9)+1),1)</f>
        <v>Ketu</v>
      </c>
      <c r="U25" s="219" t="n">
        <f aca="false">U24+DaysInYear*VLOOKUP($I$20,DasaYears,2,0)*VLOOKUP($L$20,DasaYears,2,0)/120*VLOOKUP(T24,DasaYears,2,0)/120*VLOOKUP($O$20,DasaYears,2,0)/120*VLOOKUP($R$20,DasaYears,2,0)/120*VLOOKUP($U$20,DasaYears,2,0)/120</f>
        <v>42092.7825686479</v>
      </c>
    </row>
    <row r="26" customFormat="false" ht="15" hidden="false" customHeight="false" outlineLevel="0" collapsed="false">
      <c r="A26" s="6" t="n">
        <v>6</v>
      </c>
      <c r="B26" s="6" t="s">
        <v>397</v>
      </c>
      <c r="C26" s="193"/>
      <c r="D26" s="194" t="str">
        <f aca="false">INDEX(DasaYears,MOD($D$15+5,9)+1,1)</f>
        <v>Mercury</v>
      </c>
      <c r="E26" s="208" t="n">
        <f aca="false">E25+DaysInYear*VLOOKUP(D25,DasaYears,2,0)</f>
        <v>48135.6223832815</v>
      </c>
      <c r="F26" s="212" t="n">
        <f aca="false">F25+360*VLOOKUP(D25,DasaYears,2,0)</f>
        <v>21778.0942027777</v>
      </c>
      <c r="G26" s="209"/>
      <c r="H26" s="194" t="str">
        <f aca="false">INDEX(DasaYears,(MOD(VLOOKUP(H25,DasaYears,3,0)+IF(VLOOKUP(VLOOKUP("&gt;",VimMahaDasa,2,0),ChartInfo,11),-1,1),9)+1),1)</f>
        <v>Saturn</v>
      </c>
      <c r="I26" s="210" t="n">
        <f aca="false">I25+(VLOOKUP($I$20,DasaYears,2,0)*VLOOKUP(H25,DasaYears,2,0)/VimTotal)*DaysInYear</f>
        <v>44492.2050282468</v>
      </c>
      <c r="J26" s="206"/>
      <c r="K26" s="194" t="str">
        <f aca="false">INDEX(DasaYears,(MOD(VLOOKUP(K25,DasaYears,3,0)+IF(VLOOKUP($L$20,ChartInfo,11,0),-1,1),9)+1),1)</f>
        <v>Mercury</v>
      </c>
      <c r="L26" s="210" t="n">
        <f aca="false">L25+DaysInYear*VLOOKUP($I$20,DasaYears,2,0)*VLOOKUP($L$20,DasaYears,2,0)/120*VLOOKUP(K25,DasaYears,2,0)/120</f>
        <v>41880.1253901135</v>
      </c>
      <c r="M26" s="193"/>
      <c r="N26" s="194" t="str">
        <f aca="false">INDEX(DasaYears,(MOD(VLOOKUP(N25,DasaYears,3,0)+IF(VLOOKUP($L$20,ChartInfo,11,0),-1,1),9)+1),1)</f>
        <v>Saturn</v>
      </c>
      <c r="O26" s="210" t="n">
        <f aca="false">O25+DaysInYear*VLOOKUP($I$20,DasaYears,2,0)*VLOOKUP($L$20,DasaYears,2,0)/120*VLOOKUP(N25,DasaYears,2,0)/120*VLOOKUP($O$20,DasaYears,2,0)/120</f>
        <v>42105.9112407528</v>
      </c>
      <c r="P26" s="193"/>
      <c r="Q26" s="194" t="str">
        <f aca="false">INDEX(DasaYears,(MOD(VLOOKUP(Q25,DasaYears,3,0)+IF(VLOOKUP($L$20,ChartInfo,11,0),-1,1),9)+1),1)</f>
        <v>Saturn</v>
      </c>
      <c r="R26" s="208" t="n">
        <f aca="false">R25+DaysInYear*VLOOKUP($I$20,DasaYears,2,0)*VLOOKUP($L$20,DasaYears,2,0)/120*VLOOKUP(Q25,DasaYears,2,0)/120*VLOOKUP($O$20,DasaYears,2,0)/120*VLOOKUP($R$20,DasaYears,2,0)/120</f>
        <v>42092.8628909</v>
      </c>
      <c r="S26" s="194"/>
      <c r="T26" s="210" t="str">
        <f aca="false">INDEX(DasaYears,(MOD(VLOOKUP(T25,DasaYears,3,0)+IF(VLOOKUP($L$20,ChartInfo,11,0),-1,1),9)+1),1)</f>
        <v>Venus</v>
      </c>
      <c r="U26" s="211" t="n">
        <f aca="false">U25+DaysInYear*VLOOKUP($I$20,DasaYears,2,0)*VLOOKUP($L$20,DasaYears,2,0)/120*VLOOKUP(T25,DasaYears,2,0)/120*VLOOKUP($O$20,DasaYears,2,0)/120*VLOOKUP($R$20,DasaYears,2,0)/120*VLOOKUP($U$20,DasaYears,2,0)/120</f>
        <v>42092.7938137632</v>
      </c>
    </row>
    <row r="27" customFormat="false" ht="15" hidden="false" customHeight="false" outlineLevel="0" collapsed="false">
      <c r="A27" s="6" t="n">
        <v>7</v>
      </c>
      <c r="B27" s="6" t="s">
        <v>398</v>
      </c>
      <c r="C27" s="193"/>
      <c r="D27" s="213" t="str">
        <f aca="false">INDEX(DasaYears,MOD($D$15+6,9)+1,1)</f>
        <v>Ketu</v>
      </c>
      <c r="E27" s="214" t="n">
        <f aca="false">E26+DaysInYear*VLOOKUP(D26,DasaYears,2,0)</f>
        <v>54344.9552189296</v>
      </c>
      <c r="F27" s="212" t="n">
        <f aca="false">F26+360*VLOOKUP(D26,DasaYears,2,0)</f>
        <v>27898.0942027777</v>
      </c>
      <c r="G27" s="215"/>
      <c r="H27" s="194" t="str">
        <f aca="false">INDEX(DasaYears,(MOD(VLOOKUP(H26,DasaYears,3,0)+IF(VLOOKUP(VLOOKUP("&gt;",VimMahaDasa,2,0),ChartInfo,11),-1,1),9)+1),1)</f>
        <v>Mercury</v>
      </c>
      <c r="I27" s="216" t="n">
        <f aca="false">I26+(VLOOKUP($I$20,DasaYears,2,0)*VLOOKUP(H26,DasaYears,2,0)/VimTotal)*DaysInYear</f>
        <v>45591.0134369081</v>
      </c>
      <c r="J27" s="206"/>
      <c r="K27" s="213" t="str">
        <f aca="false">INDEX(DasaYears,(MOD(VLOOKUP(K26,DasaYears,3,0)+IF(VLOOKUP($L$20,ChartInfo,11,0),-1,1),9)+1),1)</f>
        <v>Ketu</v>
      </c>
      <c r="L27" s="216" t="n">
        <f aca="false">L26+DaysInYear*VLOOKUP($I$20,DasaYears,2,0)*VLOOKUP($L$20,DasaYears,2,0)/120*VLOOKUP(K26,DasaYears,2,0)/120</f>
        <v>41962.0540872505</v>
      </c>
      <c r="M27" s="193"/>
      <c r="N27" s="213" t="str">
        <f aca="false">INDEX(DasaYears,(MOD(VLOOKUP(N26,DasaYears,3,0)+IF(VLOOKUP($L$20,ChartInfo,11,0),-1,1),9)+1),1)</f>
        <v>Mercury</v>
      </c>
      <c r="O27" s="216" t="n">
        <f aca="false">O26+DaysInYear*VLOOKUP($I$20,DasaYears,2,0)*VLOOKUP($L$20,DasaYears,2,0)/120*VLOOKUP(N26,DasaYears,2,0)/120*VLOOKUP($O$20,DasaYears,2,0)/120</f>
        <v>42110.4896091223</v>
      </c>
      <c r="P27" s="193" t="s">
        <v>394</v>
      </c>
      <c r="Q27" s="213" t="str">
        <f aca="false">INDEX(DasaYears,(MOD(VLOOKUP(Q26,DasaYears,3,0)+IF(VLOOKUP($L$20,ChartInfo,11,0),-1,1),9)+1),1)</f>
        <v>Mercury</v>
      </c>
      <c r="R27" s="214" t="n">
        <f aca="false">R26+DaysInYear*VLOOKUP($I$20,DasaYears,2,0)*VLOOKUP($L$20,DasaYears,2,0)/120*VLOOKUP(Q26,DasaYears,2,0)/120*VLOOKUP($O$20,DasaYears,2,0)/120*VLOOKUP($R$20,DasaYears,2,0)/120</f>
        <v>42093.0918093185</v>
      </c>
      <c r="S27" s="213"/>
      <c r="T27" s="216" t="str">
        <f aca="false">INDEX(DasaYears,(MOD(VLOOKUP(T26,DasaYears,3,0)+IF(VLOOKUP($L$20,ChartInfo,11,0),-1,1),9)+1),1)</f>
        <v>Sun</v>
      </c>
      <c r="U27" s="219" t="n">
        <f aca="false">U26+DaysInYear*VLOOKUP($I$20,DasaYears,2,0)*VLOOKUP($L$20,DasaYears,2,0)/120*VLOOKUP(T26,DasaYears,2,0)/120*VLOOKUP($O$20,DasaYears,2,0)/120*VLOOKUP($R$20,DasaYears,2,0)/120*VLOOKUP($U$20,DasaYears,2,0)/120</f>
        <v>42092.825942664</v>
      </c>
    </row>
    <row r="28" customFormat="false" ht="15" hidden="false" customHeight="false" outlineLevel="0" collapsed="false">
      <c r="A28" s="6" t="n">
        <v>8</v>
      </c>
      <c r="B28" s="6" t="s">
        <v>282</v>
      </c>
      <c r="C28" s="193"/>
      <c r="D28" s="194" t="str">
        <f aca="false">INDEX(DasaYears,MOD($D$15+7,9)+1,1)</f>
        <v>Venus</v>
      </c>
      <c r="E28" s="208" t="n">
        <f aca="false">E27+DaysInYear*VLOOKUP(D27,DasaYears,2,0)</f>
        <v>56901.7393277258</v>
      </c>
      <c r="F28" s="212" t="n">
        <f aca="false">F27+360*VLOOKUP(D27,DasaYears,2,0)</f>
        <v>30418.0942027777</v>
      </c>
      <c r="G28" s="209" t="s">
        <v>394</v>
      </c>
      <c r="H28" s="194" t="str">
        <f aca="false">INDEX(DasaYears,(MOD(VLOOKUP(H27,DasaYears,3,0)+IF(VLOOKUP(VLOOKUP("&gt;",VimMahaDasa,2,0),ChartInfo,11),-1,1),9)+1),1)</f>
        <v>Ketu</v>
      </c>
      <c r="I28" s="210" t="n">
        <f aca="false">I27+(VLOOKUP($I$20,DasaYears,2,0)*VLOOKUP(H27,DasaYears,2,0)/VimTotal)*DaysInYear</f>
        <v>46574.1578025523</v>
      </c>
      <c r="J28" s="206"/>
      <c r="K28" s="194" t="str">
        <f aca="false">INDEX(DasaYears,(MOD(VLOOKUP(K27,DasaYears,3,0)+IF(VLOOKUP($L$20,ChartInfo,11,0),-1,1),9)+1),1)</f>
        <v>Venus</v>
      </c>
      <c r="L28" s="210" t="n">
        <f aca="false">L27+DaysInYear*VLOOKUP($I$20,DasaYears,2,0)*VLOOKUP($L$20,DasaYears,2,0)/120*VLOOKUP(K27,DasaYears,2,0)/120</f>
        <v>41995.7894331304</v>
      </c>
      <c r="M28" s="193" t="s">
        <v>394</v>
      </c>
      <c r="N28" s="194" t="str">
        <f aca="false">INDEX(DasaYears,(MOD(VLOOKUP(N27,DasaYears,3,0)+IF(VLOOKUP($L$20,ChartInfo,11,0),-1,1),9)+1),1)</f>
        <v>Ketu</v>
      </c>
      <c r="O28" s="210" t="n">
        <f aca="false">O27+DaysInYear*VLOOKUP($I$20,DasaYears,2,0)*VLOOKUP($L$20,DasaYears,2,0)/120*VLOOKUP(N27,DasaYears,2,0)/120*VLOOKUP($O$20,DasaYears,2,0)/120</f>
        <v>42114.5860439791</v>
      </c>
      <c r="P28" s="193" t="s">
        <v>394</v>
      </c>
      <c r="Q28" s="194" t="str">
        <f aca="false">INDEX(DasaYears,(MOD(VLOOKUP(Q27,DasaYears,3,0)+IF(VLOOKUP($L$20,ChartInfo,11,0),-1,1),9)+1),1)</f>
        <v>Ketu</v>
      </c>
      <c r="R28" s="208" t="n">
        <f aca="false">R27+DaysInYear*VLOOKUP($I$20,DasaYears,2,0)*VLOOKUP($L$20,DasaYears,2,0)/120*VLOOKUP(Q27,DasaYears,2,0)/120*VLOOKUP($O$20,DasaYears,2,0)/120*VLOOKUP($R$20,DasaYears,2,0)/120</f>
        <v>42093.2966310613</v>
      </c>
      <c r="S28" s="194"/>
      <c r="T28" s="210" t="str">
        <f aca="false">INDEX(DasaYears,(MOD(VLOOKUP(T27,DasaYears,3,0)+IF(VLOOKUP($L$20,ChartInfo,11,0),-1,1),9)+1),1)</f>
        <v>Moon</v>
      </c>
      <c r="U28" s="211" t="n">
        <f aca="false">U27+DaysInYear*VLOOKUP($I$20,DasaYears,2,0)*VLOOKUP($L$20,DasaYears,2,0)/120*VLOOKUP(T27,DasaYears,2,0)/120*VLOOKUP($O$20,DasaYears,2,0)/120*VLOOKUP($R$20,DasaYears,2,0)/120*VLOOKUP($U$20,DasaYears,2,0)/120</f>
        <v>42092.8355813343</v>
      </c>
    </row>
    <row r="29" customFormat="false" ht="15" hidden="false" customHeight="false" outlineLevel="0" collapsed="false">
      <c r="A29" s="6" t="n">
        <v>9</v>
      </c>
      <c r="B29" s="6" t="s">
        <v>399</v>
      </c>
      <c r="C29" s="193" t="s">
        <v>394</v>
      </c>
      <c r="D29" s="213" t="str">
        <f aca="false">INDEX(DasaYears,MOD($D$15+8,9)+1,1)</f>
        <v>Sun</v>
      </c>
      <c r="E29" s="214" t="n">
        <f aca="false">E28+DaysInYear*VLOOKUP(D28,DasaYears,2,0)</f>
        <v>64206.8367814295</v>
      </c>
      <c r="F29" s="212" t="n">
        <f aca="false">F28+360*VLOOKUP(D28,DasaYears,2,0)</f>
        <v>37618.0942027777</v>
      </c>
      <c r="G29" s="215" t="s">
        <v>394</v>
      </c>
      <c r="H29" s="194" t="str">
        <f aca="false">INDEX(DasaYears,(MOD(VLOOKUP(H28,DasaYears,3,0)+IF(VLOOKUP(VLOOKUP("&gt;",VimMahaDasa,2,0),ChartInfo,11),-1,1),9)+1),1)</f>
        <v>Venus</v>
      </c>
      <c r="I29" s="216" t="n">
        <f aca="false">I28+(VLOOKUP($I$20,DasaYears,2,0)*VLOOKUP(H28,DasaYears,2,0)/VimTotal)*DaysInYear</f>
        <v>46978.9819531118</v>
      </c>
      <c r="J29" s="206" t="s">
        <v>394</v>
      </c>
      <c r="K29" s="213" t="str">
        <f aca="false">INDEX(DasaYears,(MOD(VLOOKUP(K28,DasaYears,3,0)+IF(VLOOKUP($L$20,ChartInfo,11,0),-1,1),9)+1),1)</f>
        <v>Sun</v>
      </c>
      <c r="L29" s="216" t="n">
        <f aca="false">L28+DaysInYear*VLOOKUP($I$20,DasaYears,2,0)*VLOOKUP($L$20,DasaYears,2,0)/120*VLOOKUP(K28,DasaYears,2,0)/120</f>
        <v>42092.1761356446</v>
      </c>
      <c r="M29" s="193" t="s">
        <v>394</v>
      </c>
      <c r="N29" s="213" t="str">
        <f aca="false">INDEX(DasaYears,(MOD(VLOOKUP(N28,DasaYears,3,0)+IF(VLOOKUP($L$20,ChartInfo,11,0),-1,1),9)+1),1)</f>
        <v>Venus</v>
      </c>
      <c r="O29" s="216" t="n">
        <f aca="false">O28+DaysInYear*VLOOKUP($I$20,DasaYears,2,0)*VLOOKUP($L$20,DasaYears,2,0)/120*VLOOKUP(N28,DasaYears,2,0)/120*VLOOKUP($O$20,DasaYears,2,0)/120</f>
        <v>42116.2728112731</v>
      </c>
      <c r="P29" s="193" t="s">
        <v>394</v>
      </c>
      <c r="Q29" s="213" t="str">
        <f aca="false">INDEX(DasaYears,(MOD(VLOOKUP(Q28,DasaYears,3,0)+IF(VLOOKUP($L$20,ChartInfo,11,0),-1,1),9)+1),1)</f>
        <v>Venus</v>
      </c>
      <c r="R29" s="214" t="n">
        <f aca="false">R28+DaysInYear*VLOOKUP($I$20,DasaYears,2,0)*VLOOKUP($L$20,DasaYears,2,0)/120*VLOOKUP(Q28,DasaYears,2,0)/120*VLOOKUP($O$20,DasaYears,2,0)/120*VLOOKUP($R$20,DasaYears,2,0)/120</f>
        <v>42093.380969426</v>
      </c>
      <c r="S29" s="213"/>
      <c r="T29" s="214" t="str">
        <f aca="false">INDEX(DasaYears,(MOD(VLOOKUP(T28,DasaYears,3,0)+IF(VLOOKUP($L$20,ChartInfo,11,0),-1,1),9)+1),1)</f>
        <v>Mars</v>
      </c>
      <c r="U29" s="219" t="n">
        <f aca="false">U28+DaysInYear*VLOOKUP($I$20,DasaYears,2,0)*VLOOKUP($L$20,DasaYears,2,0)/120*VLOOKUP(T28,DasaYears,2,0)/120*VLOOKUP($O$20,DasaYears,2,0)/120*VLOOKUP($R$20,DasaYears,2,0)/120*VLOOKUP($U$20,DasaYears,2,0)/120</f>
        <v>42092.8516457847</v>
      </c>
    </row>
    <row r="30" customFormat="false" ht="15" hidden="false" customHeight="false" outlineLevel="0" collapsed="false">
      <c r="C30" s="193"/>
      <c r="D30" s="220" t="str">
        <f aca="false">INDEX(DasaYears,MOD(D15+9,9)+1,1)</f>
        <v>Moon</v>
      </c>
      <c r="E30" s="221" t="n">
        <f aca="false">E29+DaysInYear*VLOOKUP(D29,DasaYears,2,0)</f>
        <v>66398.3660175406</v>
      </c>
      <c r="F30" s="212" t="n">
        <f aca="false">F29+360*VLOOKUP(D29,DasaYears,2,0)</f>
        <v>39778.0942027777</v>
      </c>
      <c r="G30" s="193"/>
      <c r="H30" s="220"/>
      <c r="I30" s="222" t="n">
        <f aca="false">I29+(VLOOKUP($I$20,DasaYears,2,0)*VLOOKUP(H29,DasaYears,2,0)/VimTotal)*DaysInYear</f>
        <v>48135.6223832815</v>
      </c>
      <c r="J30" s="206"/>
      <c r="K30" s="220"/>
      <c r="L30" s="222" t="n">
        <f aca="false">L29+DaysInYear*VLOOKUP($I$20,DasaYears,2,0)*VLOOKUP($L$20,DasaYears,2,0)/120*VLOOKUP(K29,DasaYears,2,0)/120</f>
        <v>42121.0921463988</v>
      </c>
      <c r="M30" s="193"/>
      <c r="N30" s="220"/>
      <c r="O30" s="222" t="n">
        <f aca="false">O29+DaysInYear*VLOOKUP($I$20,DasaYears,2,0)*VLOOKUP($L$20,DasaYears,2,0)/120*VLOOKUP(N29,DasaYears,2,0)/120*VLOOKUP($O$20,DasaYears,2,0)/120</f>
        <v>42121.0921463988</v>
      </c>
      <c r="P30" s="193"/>
      <c r="Q30" s="220"/>
      <c r="R30" s="221" t="n">
        <f aca="false">R29+DaysInYear*VLOOKUP($I$20,DasaYears,2,0)*VLOOKUP($L$20,DasaYears,2,0)/120*VLOOKUP(Q29,DasaYears,2,0)/120*VLOOKUP($O$20,DasaYears,2,0)/120*VLOOKUP($R$20,DasaYears,2,0)/120</f>
        <v>42093.6219361823</v>
      </c>
      <c r="S30" s="220"/>
      <c r="T30" s="222"/>
      <c r="U30" s="223" t="n">
        <f aca="false">U29+DaysInYear*VLOOKUP($I$20,DasaYears,2,0)*VLOOKUP($L$20,DasaYears,2,0)/120*VLOOKUP(T29,DasaYears,2,0)/120*VLOOKUP($O$20,DasaYears,2,0)/120*VLOOKUP($R$20,DasaYears,2,0)/120*VLOOKUP($U$20,DasaYears,2,0)/120</f>
        <v>42092.8628909</v>
      </c>
    </row>
    <row r="31" customFormat="false" ht="15" hidden="false" customHeight="false" outlineLevel="0" collapsed="false">
      <c r="C31" s="193"/>
      <c r="D31" s="220"/>
      <c r="E31" s="222"/>
      <c r="F31" s="222"/>
      <c r="G31" s="193"/>
      <c r="H31" s="6" t="s">
        <v>400</v>
      </c>
      <c r="I31" s="6" t="n">
        <f aca="false">I30-I21</f>
        <v>6939.84258101846</v>
      </c>
      <c r="J31" s="206"/>
      <c r="K31" s="6" t="s">
        <v>400</v>
      </c>
      <c r="L31" s="6" t="n">
        <f aca="false">L30-L21</f>
        <v>578.320215084867</v>
      </c>
      <c r="M31" s="193"/>
      <c r="N31" s="6" t="s">
        <v>400</v>
      </c>
      <c r="O31" s="6" t="n">
        <f aca="false">O30-O21</f>
        <v>28.9160107542411</v>
      </c>
      <c r="P31" s="193"/>
      <c r="Q31" s="6" t="s">
        <v>400</v>
      </c>
      <c r="R31" s="224" t="n">
        <f aca="false">R30-R21</f>
        <v>1.44580053771991</v>
      </c>
      <c r="S31" s="220"/>
      <c r="T31" s="6" t="s">
        <v>400</v>
      </c>
      <c r="U31" s="224" t="n">
        <f aca="false">U30-U21</f>
        <v>0.192773405034722</v>
      </c>
    </row>
    <row r="32" customFormat="false" ht="15" hidden="false" customHeight="false" outlineLevel="0" collapsed="false">
      <c r="C32" s="193"/>
      <c r="D32" s="220"/>
      <c r="E32" s="222"/>
      <c r="F32" s="222"/>
      <c r="G32" s="193"/>
      <c r="H32" s="6" t="s">
        <v>401</v>
      </c>
      <c r="I32" s="225" t="n">
        <f aca="false">I21</f>
        <v>41195.779802263</v>
      </c>
      <c r="J32" s="206"/>
      <c r="K32" s="6" t="s">
        <v>402</v>
      </c>
      <c r="L32" s="225" t="n">
        <f aca="false">L21</f>
        <v>41542.7719313139</v>
      </c>
      <c r="M32" s="193"/>
      <c r="N32" s="6" t="s">
        <v>402</v>
      </c>
      <c r="O32" s="225" t="n">
        <f aca="false">O21</f>
        <v>42092.1761356446</v>
      </c>
      <c r="P32" s="193"/>
      <c r="Q32" s="6" t="s">
        <v>402</v>
      </c>
      <c r="R32" s="225" t="n">
        <f aca="false">R21</f>
        <v>42092.1761356446</v>
      </c>
      <c r="S32" s="220"/>
      <c r="T32" s="6" t="s">
        <v>402</v>
      </c>
      <c r="U32" s="225" t="n">
        <f aca="false">U21</f>
        <v>42092.670117495</v>
      </c>
    </row>
    <row r="33" customFormat="false" ht="15" hidden="false" customHeight="false" outlineLevel="0" collapsed="false">
      <c r="C33" s="193"/>
      <c r="D33" s="220"/>
      <c r="E33" s="222"/>
      <c r="F33" s="222"/>
      <c r="G33" s="193"/>
      <c r="H33" s="6" t="s">
        <v>403</v>
      </c>
      <c r="I33" s="225" t="n">
        <f aca="false">I32+I31/4</f>
        <v>42930.7404475176</v>
      </c>
      <c r="J33" s="206"/>
      <c r="K33" s="6" t="s">
        <v>404</v>
      </c>
      <c r="L33" s="225" t="n">
        <f aca="false">L32+L31/4</f>
        <v>41687.3519850852</v>
      </c>
      <c r="M33" s="193"/>
      <c r="N33" s="6" t="s">
        <v>404</v>
      </c>
      <c r="O33" s="225" t="n">
        <f aca="false">O32+O31/4</f>
        <v>42099.4051383331</v>
      </c>
      <c r="P33" s="193"/>
      <c r="Q33" s="6" t="s">
        <v>404</v>
      </c>
      <c r="R33" s="225" t="n">
        <f aca="false">R32+R31/4</f>
        <v>42092.537585779</v>
      </c>
      <c r="S33" s="220"/>
      <c r="T33" s="6" t="s">
        <v>404</v>
      </c>
      <c r="U33" s="225" t="n">
        <f aca="false">U32+U31/4</f>
        <v>42092.7183108462</v>
      </c>
    </row>
    <row r="34" customFormat="false" ht="15" hidden="false" customHeight="false" outlineLevel="0" collapsed="false">
      <c r="B34" s="226"/>
      <c r="C34" s="193"/>
      <c r="D34" s="220"/>
      <c r="E34" s="222"/>
      <c r="F34" s="222"/>
      <c r="G34" s="193"/>
      <c r="H34" s="6" t="s">
        <v>405</v>
      </c>
      <c r="I34" s="225" t="n">
        <f aca="false">I33+I31/4</f>
        <v>44665.7010927723</v>
      </c>
      <c r="J34" s="206"/>
      <c r="K34" s="6" t="s">
        <v>406</v>
      </c>
      <c r="L34" s="225" t="n">
        <f aca="false">L33+L31/4</f>
        <v>41831.9320388564</v>
      </c>
      <c r="M34" s="193"/>
      <c r="N34" s="6" t="s">
        <v>406</v>
      </c>
      <c r="O34" s="225" t="n">
        <f aca="false">O33+O31/4</f>
        <v>42106.6341410217</v>
      </c>
      <c r="P34" s="193"/>
      <c r="Q34" s="6" t="s">
        <v>406</v>
      </c>
      <c r="R34" s="225" t="n">
        <f aca="false">R33+R31/4</f>
        <v>42092.8990359134</v>
      </c>
      <c r="S34" s="220"/>
      <c r="T34" s="6" t="s">
        <v>406</v>
      </c>
      <c r="U34" s="225" t="n">
        <f aca="false">U33+U31/4</f>
        <v>42092.7665041975</v>
      </c>
    </row>
    <row r="35" customFormat="false" ht="15" hidden="false" customHeight="false" outlineLevel="0" collapsed="false">
      <c r="C35" s="193"/>
      <c r="D35" s="220"/>
      <c r="E35" s="222"/>
      <c r="F35" s="222"/>
      <c r="G35" s="193"/>
      <c r="H35" s="6" t="s">
        <v>407</v>
      </c>
      <c r="I35" s="225" t="n">
        <f aca="false">I34+I31/4</f>
        <v>46400.6617380269</v>
      </c>
      <c r="J35" s="206"/>
      <c r="K35" s="6" t="s">
        <v>408</v>
      </c>
      <c r="L35" s="225" t="n">
        <f aca="false">L34+L31/4</f>
        <v>41976.5120926276</v>
      </c>
      <c r="M35" s="193"/>
      <c r="N35" s="6" t="s">
        <v>408</v>
      </c>
      <c r="O35" s="225" t="n">
        <f aca="false">O34+O31/4</f>
        <v>42113.8631437103</v>
      </c>
      <c r="P35" s="193"/>
      <c r="Q35" s="6" t="s">
        <v>408</v>
      </c>
      <c r="R35" s="225" t="n">
        <f aca="false">R34+R31/4</f>
        <v>42093.2604860479</v>
      </c>
      <c r="S35" s="220"/>
      <c r="T35" s="6" t="s">
        <v>408</v>
      </c>
      <c r="U35" s="225" t="n">
        <f aca="false">U34+U31/4</f>
        <v>42092.8146975487</v>
      </c>
    </row>
    <row r="36" customFormat="false" ht="15" hidden="false" customHeight="false" outlineLevel="0" collapsed="false">
      <c r="C36" s="193"/>
      <c r="D36" s="227"/>
      <c r="E36" s="228"/>
      <c r="F36" s="228"/>
      <c r="G36" s="193"/>
      <c r="I36" s="225"/>
      <c r="J36" s="206"/>
      <c r="L36" s="225"/>
      <c r="M36" s="193"/>
      <c r="O36" s="225"/>
      <c r="P36" s="193"/>
      <c r="R36" s="225"/>
      <c r="S36" s="227"/>
      <c r="U36" s="225"/>
    </row>
    <row r="37" customFormat="false" ht="15" hidden="false" customHeight="false" outlineLevel="0" collapsed="false">
      <c r="C37" s="193"/>
      <c r="D37" s="227"/>
      <c r="I37" s="225"/>
      <c r="R37" s="225"/>
      <c r="S37" s="227"/>
      <c r="U37" s="225"/>
    </row>
    <row r="38" customFormat="false" ht="15" hidden="false" customHeight="false" outlineLevel="0" collapsed="false">
      <c r="A38" s="6" t="s">
        <v>409</v>
      </c>
      <c r="C38" s="229" t="str">
        <f aca="false">I20</f>
        <v>Saturn</v>
      </c>
      <c r="E38" s="228" t="s">
        <v>410</v>
      </c>
      <c r="F38" s="228" t="s">
        <v>411</v>
      </c>
      <c r="G38" s="193" t="s">
        <v>412</v>
      </c>
      <c r="H38" s="230" t="str">
        <f aca="false">IF(C38="Rahu","Saturn",IF(C38="Ketu","Ketu",C38))</f>
        <v>Saturn</v>
      </c>
      <c r="I38" s="206" t="s">
        <v>164</v>
      </c>
      <c r="J38" s="6" t="s">
        <v>162</v>
      </c>
      <c r="K38" s="225" t="s">
        <v>160</v>
      </c>
      <c r="L38" s="193" t="s">
        <v>158</v>
      </c>
      <c r="M38" s="6" t="s">
        <v>163</v>
      </c>
      <c r="N38" s="225" t="s">
        <v>161</v>
      </c>
      <c r="O38" s="193" t="s">
        <v>159</v>
      </c>
      <c r="P38" s="6" t="s">
        <v>319</v>
      </c>
      <c r="R38" s="225"/>
      <c r="S38" s="227"/>
      <c r="U38" s="225"/>
    </row>
    <row r="39" customFormat="false" ht="15" hidden="false" customHeight="false" outlineLevel="0" collapsed="false">
      <c r="C39" s="227"/>
      <c r="D39" s="228" t="s">
        <v>413</v>
      </c>
      <c r="E39" s="230" t="n">
        <f aca="false">INT(VLOOKUP(I20,ChartInfo,7,0)/30+0.9999999)</f>
        <v>2</v>
      </c>
      <c r="F39" s="231" t="n">
        <f aca="false">NOT(VLOOKUP(I20,ChartInfo,11,0))</f>
        <v>1</v>
      </c>
      <c r="G39" s="193" t="s">
        <v>414</v>
      </c>
      <c r="H39" s="6" t="s">
        <v>415</v>
      </c>
      <c r="I39" s="232" t="str">
        <f aca="false">VLOOKUP($H$38&amp;"-"&amp;I$38,AllPAV,$E40+3,0)</f>
        <v>*</v>
      </c>
      <c r="J39" s="233" t="str">
        <f aca="false">VLOOKUP($H$38&amp;"-"&amp;J$38,AllPAV,$E40+3,0)</f>
        <v>*</v>
      </c>
      <c r="K39" s="233" t="n">
        <f aca="false">VLOOKUP($H$38&amp;"-"&amp;K$38,AllPAV,$E40+3,0)</f>
        <v>1</v>
      </c>
      <c r="L39" s="233" t="n">
        <f aca="false">VLOOKUP($H$38&amp;"-"&amp;L$38,AllPAV,$E40+3,0)</f>
        <v>1</v>
      </c>
      <c r="M39" s="233" t="n">
        <f aca="false">VLOOKUP($H$38&amp;"-"&amp;M$38,AllPAV,$E40+3,0)</f>
        <v>1</v>
      </c>
      <c r="N39" s="233" t="n">
        <f aca="false">VLOOKUP($H$38&amp;"-"&amp;N$38,AllPAV,$E40+3,0)</f>
        <v>1</v>
      </c>
      <c r="O39" s="233" t="str">
        <f aca="false">VLOOKUP($H$38&amp;"-"&amp;O$38,AllPAV,$E40+3,0)</f>
        <v>*</v>
      </c>
      <c r="P39" s="234" t="n">
        <f aca="false">VLOOKUP($H$38&amp;"-"&amp;P$38,AllPAV,$E40+3,0)</f>
        <v>1</v>
      </c>
      <c r="Q39" s="125"/>
      <c r="R39" s="235"/>
      <c r="S39" s="227"/>
      <c r="U39" s="225"/>
    </row>
    <row r="40" customFormat="false" ht="15" hidden="false" customHeight="false" outlineLevel="0" collapsed="false">
      <c r="C40" s="227"/>
      <c r="D40" s="228"/>
      <c r="E40" s="236" t="n">
        <f aca="false">MOD(E39+12-IF($F$39,1,2),12)+1</f>
        <v>2</v>
      </c>
      <c r="F40" s="193" t="str">
        <f aca="false">INDEX(RsTbl,E40)</f>
        <v>Ta</v>
      </c>
      <c r="G40" s="6" t="n">
        <f aca="false">VLOOKUP($H$38,BAV,E40+2,0)</f>
        <v>5</v>
      </c>
      <c r="H40" s="237" t="s">
        <v>416</v>
      </c>
      <c r="I40" s="238" t="n">
        <f aca="false">I21</f>
        <v>41195.779802263</v>
      </c>
      <c r="J40" s="239" t="n">
        <f aca="false">I40+$I$31/12/8</f>
        <v>41268.0698291486</v>
      </c>
      <c r="K40" s="240" t="n">
        <f aca="false">J40+$I$31/12/8</f>
        <v>41340.3598560342</v>
      </c>
      <c r="L40" s="240" t="n">
        <f aca="false">K40+$I$31/12/8</f>
        <v>41412.6498829199</v>
      </c>
      <c r="M40" s="240" t="n">
        <f aca="false">L40+$I$31/12/8</f>
        <v>41484.9399098055</v>
      </c>
      <c r="N40" s="240" t="n">
        <f aca="false">M40+$I$31/12/8</f>
        <v>41557.2299366911</v>
      </c>
      <c r="O40" s="240" t="n">
        <f aca="false">N40+$I$31/12/8</f>
        <v>41629.5199635767</v>
      </c>
      <c r="P40" s="240" t="n">
        <f aca="false">O40+$I$31/12/8</f>
        <v>41701.8099904623</v>
      </c>
      <c r="Q40" s="241" t="n">
        <f aca="false">P40+$I$31/12/8</f>
        <v>41774.1000173479</v>
      </c>
      <c r="R40" s="241"/>
      <c r="S40" s="227"/>
      <c r="U40" s="225"/>
    </row>
    <row r="41" customFormat="false" ht="15" hidden="false" customHeight="false" outlineLevel="0" collapsed="false">
      <c r="C41" s="227"/>
      <c r="D41" s="228"/>
      <c r="E41" s="228"/>
      <c r="F41" s="193"/>
      <c r="H41" s="237"/>
      <c r="I41" s="232" t="str">
        <f aca="false">VLOOKUP($H$38&amp;"-"&amp;I$38,AllPAV,$E42+3,0)</f>
        <v>*</v>
      </c>
      <c r="J41" s="233" t="str">
        <f aca="false">VLOOKUP($H$38&amp;"-"&amp;J$38,AllPAV,$E42+3,0)</f>
        <v>*</v>
      </c>
      <c r="K41" s="233" t="n">
        <f aca="false">VLOOKUP($H$38&amp;"-"&amp;K$38,AllPAV,$E42+3,0)</f>
        <v>1</v>
      </c>
      <c r="L41" s="233" t="str">
        <f aca="false">VLOOKUP($H$38&amp;"-"&amp;L$38,AllPAV,$E42+3,0)</f>
        <v>*</v>
      </c>
      <c r="M41" s="233" t="str">
        <f aca="false">VLOOKUP($H$38&amp;"-"&amp;M$38,AllPAV,$E42+3,0)</f>
        <v>*</v>
      </c>
      <c r="N41" s="233" t="n">
        <f aca="false">VLOOKUP($H$38&amp;"-"&amp;N$38,AllPAV,$E42+3,0)</f>
        <v>1</v>
      </c>
      <c r="O41" s="233" t="str">
        <f aca="false">VLOOKUP($H$38&amp;"-"&amp;O$38,AllPAV,$E42+3,0)</f>
        <v>*</v>
      </c>
      <c r="P41" s="234" t="n">
        <f aca="false">VLOOKUP($H$38&amp;"-"&amp;P$38,AllPAV,$E42+3,0)</f>
        <v>1</v>
      </c>
      <c r="Q41" s="125"/>
      <c r="R41" s="235"/>
      <c r="S41" s="227"/>
      <c r="U41" s="225"/>
    </row>
    <row r="42" customFormat="false" ht="15" hidden="false" customHeight="false" outlineLevel="0" collapsed="false">
      <c r="E42" s="236" t="n">
        <f aca="false">MOD(E40+12-IF($F$39,0,2),12)+1</f>
        <v>3</v>
      </c>
      <c r="F42" s="193" t="str">
        <f aca="false">INDEX(RsTbl,E42)</f>
        <v>Ge</v>
      </c>
      <c r="G42" s="6" t="n">
        <f aca="false">VLOOKUP($H$38,BAV,E42+2,0)</f>
        <v>3</v>
      </c>
      <c r="H42" s="237" t="s">
        <v>417</v>
      </c>
      <c r="I42" s="239" t="n">
        <f aca="false">I40+$I$31/12</f>
        <v>41774.1000173479</v>
      </c>
      <c r="J42" s="239" t="n">
        <f aca="false">I42+$I$31/12/8</f>
        <v>41846.3900442335</v>
      </c>
      <c r="K42" s="240" t="n">
        <f aca="false">J42+$I$31/12/8</f>
        <v>41918.6800711191</v>
      </c>
      <c r="L42" s="240" t="n">
        <f aca="false">K42+$I$31/12/8</f>
        <v>41990.9700980047</v>
      </c>
      <c r="M42" s="240" t="n">
        <f aca="false">L42+$I$31/12/8</f>
        <v>42063.2601248903</v>
      </c>
      <c r="N42" s="240" t="n">
        <f aca="false">M42+$I$31/12/8</f>
        <v>42135.550151776</v>
      </c>
      <c r="O42" s="240" t="n">
        <f aca="false">N42+$I$31/12/8</f>
        <v>42207.8401786616</v>
      </c>
      <c r="P42" s="240" t="n">
        <f aca="false">O42+$I$31/12/8</f>
        <v>42280.1302055472</v>
      </c>
      <c r="Q42" s="241" t="n">
        <f aca="false">P42+$I$31/12/8</f>
        <v>42352.4202324328</v>
      </c>
      <c r="R42" s="241"/>
      <c r="S42" s="227"/>
      <c r="U42" s="225"/>
    </row>
    <row r="43" customFormat="false" ht="15" hidden="false" customHeight="false" outlineLevel="0" collapsed="false">
      <c r="E43" s="236"/>
      <c r="F43" s="193"/>
      <c r="H43" s="237"/>
      <c r="I43" s="232" t="n">
        <f aca="false">VLOOKUP($H$38&amp;"-"&amp;I$38,AllPAV,$E44+3,0)</f>
        <v>1</v>
      </c>
      <c r="J43" s="233" t="str">
        <f aca="false">VLOOKUP($H$38&amp;"-"&amp;J$38,AllPAV,$E44+3,0)</f>
        <v>*</v>
      </c>
      <c r="K43" s="233" t="str">
        <f aca="false">VLOOKUP($H$38&amp;"-"&amp;K$38,AllPAV,$E44+3,0)</f>
        <v>*</v>
      </c>
      <c r="L43" s="233" t="n">
        <f aca="false">VLOOKUP($H$38&amp;"-"&amp;L$38,AllPAV,$E44+3,0)</f>
        <v>1</v>
      </c>
      <c r="M43" s="233" t="str">
        <f aca="false">VLOOKUP($H$38&amp;"-"&amp;M$38,AllPAV,$E44+3,0)</f>
        <v>*</v>
      </c>
      <c r="N43" s="233" t="str">
        <f aca="false">VLOOKUP($H$38&amp;"-"&amp;N$38,AllPAV,$E44+3,0)</f>
        <v>*</v>
      </c>
      <c r="O43" s="233" t="n">
        <f aca="false">VLOOKUP($H$38&amp;"-"&amp;O$38,AllPAV,$E44+3,0)</f>
        <v>1</v>
      </c>
      <c r="P43" s="234" t="str">
        <f aca="false">VLOOKUP($H$38&amp;"-"&amp;P$38,AllPAV,$E44+3,0)</f>
        <v>*</v>
      </c>
      <c r="Q43" s="125"/>
      <c r="R43" s="235"/>
      <c r="S43" s="227"/>
      <c r="U43" s="225"/>
    </row>
    <row r="44" customFormat="false" ht="15" hidden="false" customHeight="false" outlineLevel="0" collapsed="false">
      <c r="C44" s="227"/>
      <c r="D44" s="228"/>
      <c r="E44" s="236" t="n">
        <f aca="false">MOD(E42+12-IF($F$39,0,2),12)+1</f>
        <v>4</v>
      </c>
      <c r="F44" s="193" t="str">
        <f aca="false">INDEX(RsTbl,E44)</f>
        <v>Cn</v>
      </c>
      <c r="G44" s="6" t="n">
        <f aca="false">VLOOKUP($H$38,BAV,E44+2,0)</f>
        <v>3</v>
      </c>
      <c r="H44" s="6" t="s">
        <v>418</v>
      </c>
      <c r="I44" s="239" t="n">
        <f aca="false">I42+$I$31/12</f>
        <v>42352.4202324328</v>
      </c>
      <c r="J44" s="239" t="n">
        <f aca="false">I44+$I$31/12/8</f>
        <v>42424.7102593184</v>
      </c>
      <c r="K44" s="240" t="n">
        <f aca="false">J44+$I$31/12/8</f>
        <v>42497.000286204</v>
      </c>
      <c r="L44" s="240" t="n">
        <f aca="false">K44+$I$31/12/8</f>
        <v>42569.2903130896</v>
      </c>
      <c r="M44" s="240" t="n">
        <f aca="false">L44+$I$31/12/8</f>
        <v>42641.5803399752</v>
      </c>
      <c r="N44" s="240" t="n">
        <f aca="false">M44+$I$31/12/8</f>
        <v>42713.8703668608</v>
      </c>
      <c r="O44" s="240" t="n">
        <f aca="false">N44+$I$31/12/8</f>
        <v>42786.1603937464</v>
      </c>
      <c r="P44" s="240" t="n">
        <f aca="false">O44+$I$31/12/8</f>
        <v>42858.450420632</v>
      </c>
      <c r="Q44" s="241" t="n">
        <f aca="false">P44+$I$31/12/8</f>
        <v>42930.7404475177</v>
      </c>
      <c r="R44" s="241"/>
      <c r="S44" s="227"/>
      <c r="U44" s="225"/>
    </row>
    <row r="45" customFormat="false" ht="15" hidden="false" customHeight="false" outlineLevel="0" collapsed="false">
      <c r="C45" s="227"/>
      <c r="D45" s="228"/>
      <c r="E45" s="236"/>
      <c r="F45" s="193"/>
      <c r="I45" s="232" t="str">
        <f aca="false">VLOOKUP($H$38&amp;"-"&amp;I$38,AllPAV,$E46+3,0)</f>
        <v>*</v>
      </c>
      <c r="J45" s="233" t="str">
        <f aca="false">VLOOKUP($H$38&amp;"-"&amp;J$38,AllPAV,$E46+3,0)</f>
        <v>*</v>
      </c>
      <c r="K45" s="233" t="str">
        <f aca="false">VLOOKUP($H$38&amp;"-"&amp;K$38,AllPAV,$E46+3,0)</f>
        <v>*</v>
      </c>
      <c r="L45" s="233" t="n">
        <f aca="false">VLOOKUP($H$38&amp;"-"&amp;L$38,AllPAV,$E46+3,0)</f>
        <v>1</v>
      </c>
      <c r="M45" s="233" t="str">
        <f aca="false">VLOOKUP($H$38&amp;"-"&amp;M$38,AllPAV,$E46+3,0)</f>
        <v>*</v>
      </c>
      <c r="N45" s="233" t="str">
        <f aca="false">VLOOKUP($H$38&amp;"-"&amp;N$38,AllPAV,$E46+3,0)</f>
        <v>*</v>
      </c>
      <c r="O45" s="233" t="str">
        <f aca="false">VLOOKUP($H$38&amp;"-"&amp;O$38,AllPAV,$E46+3,0)</f>
        <v>*</v>
      </c>
      <c r="P45" s="234" t="n">
        <f aca="false">VLOOKUP($H$38&amp;"-"&amp;P$38,AllPAV,$E46+3,0)</f>
        <v>1</v>
      </c>
      <c r="Q45" s="125"/>
      <c r="R45" s="235"/>
      <c r="S45" s="227"/>
      <c r="U45" s="225"/>
    </row>
    <row r="46" customFormat="false" ht="15" hidden="false" customHeight="false" outlineLevel="0" collapsed="false">
      <c r="C46" s="227"/>
      <c r="D46" s="228"/>
      <c r="E46" s="236" t="n">
        <f aca="false">MOD(E44+12-IF($F$39,0,2),12)+1</f>
        <v>5</v>
      </c>
      <c r="F46" s="193" t="str">
        <f aca="false">INDEX(RsTbl,E46)</f>
        <v>Le</v>
      </c>
      <c r="G46" s="6" t="n">
        <f aca="false">VLOOKUP($H$38,BAV,E46+2,0)</f>
        <v>2</v>
      </c>
      <c r="H46" s="6" t="s">
        <v>419</v>
      </c>
      <c r="I46" s="239" t="n">
        <f aca="false">I44+$I$31/12</f>
        <v>42930.7404475176</v>
      </c>
      <c r="J46" s="239" t="n">
        <f aca="false">I46+$I$31/12/8</f>
        <v>43003.0304744033</v>
      </c>
      <c r="K46" s="240" t="n">
        <f aca="false">J46+$I$31/12/8</f>
        <v>43075.3205012889</v>
      </c>
      <c r="L46" s="240" t="n">
        <f aca="false">K46+$I$31/12/8</f>
        <v>43147.6105281745</v>
      </c>
      <c r="M46" s="240" t="n">
        <f aca="false">L46+$I$31/12/8</f>
        <v>43219.9005550601</v>
      </c>
      <c r="N46" s="240" t="n">
        <f aca="false">M46+$I$31/12/8</f>
        <v>43292.1905819457</v>
      </c>
      <c r="O46" s="240" t="n">
        <f aca="false">N46+$I$31/12/8</f>
        <v>43364.4806088313</v>
      </c>
      <c r="P46" s="240" t="n">
        <f aca="false">O46+$I$31/12/8</f>
        <v>43436.7706357169</v>
      </c>
      <c r="Q46" s="241" t="n">
        <f aca="false">P46+$I$31/12/8</f>
        <v>43509.0606626025</v>
      </c>
      <c r="R46" s="241"/>
      <c r="S46" s="227"/>
      <c r="U46" s="225"/>
    </row>
    <row r="47" customFormat="false" ht="15" hidden="false" customHeight="false" outlineLevel="0" collapsed="false">
      <c r="C47" s="227"/>
      <c r="D47" s="228"/>
      <c r="E47" s="236"/>
      <c r="F47" s="193"/>
      <c r="I47" s="232" t="n">
        <f aca="false">VLOOKUP($H$38&amp;"-"&amp;I$38,AllPAV,$E48+3,0)</f>
        <v>1</v>
      </c>
      <c r="J47" s="233" t="n">
        <f aca="false">VLOOKUP($H$38&amp;"-"&amp;J$38,AllPAV,$E48+3,0)</f>
        <v>1</v>
      </c>
      <c r="K47" s="233" t="str">
        <f aca="false">VLOOKUP($H$38&amp;"-"&amp;K$38,AllPAV,$E48+3,0)</f>
        <v>*</v>
      </c>
      <c r="L47" s="233" t="str">
        <f aca="false">VLOOKUP($H$38&amp;"-"&amp;L$38,AllPAV,$E48+3,0)</f>
        <v>*</v>
      </c>
      <c r="M47" s="233" t="str">
        <f aca="false">VLOOKUP($H$38&amp;"-"&amp;M$38,AllPAV,$E48+3,0)</f>
        <v>*</v>
      </c>
      <c r="N47" s="233" t="str">
        <f aca="false">VLOOKUP($H$38&amp;"-"&amp;N$38,AllPAV,$E48+3,0)</f>
        <v>*</v>
      </c>
      <c r="O47" s="233" t="str">
        <f aca="false">VLOOKUP($H$38&amp;"-"&amp;O$38,AllPAV,$E48+3,0)</f>
        <v>*</v>
      </c>
      <c r="P47" s="234" t="str">
        <f aca="false">VLOOKUP($H$38&amp;"-"&amp;P$38,AllPAV,$E48+3,0)</f>
        <v>*</v>
      </c>
      <c r="Q47" s="125"/>
      <c r="R47" s="235"/>
      <c r="S47" s="227"/>
      <c r="U47" s="225"/>
    </row>
    <row r="48" customFormat="false" ht="15" hidden="false" customHeight="false" outlineLevel="0" collapsed="false">
      <c r="C48" s="227"/>
      <c r="D48" s="228"/>
      <c r="E48" s="236" t="n">
        <f aca="false">MOD(E46+12-IF($F$39,0,2),12)+1</f>
        <v>6</v>
      </c>
      <c r="F48" s="193" t="str">
        <f aca="false">INDEX(RsTbl,E48)</f>
        <v>Vi</v>
      </c>
      <c r="G48" s="6" t="n">
        <f aca="false">VLOOKUP($H$38,BAV,E48+2,0)</f>
        <v>2</v>
      </c>
      <c r="H48" s="6" t="s">
        <v>420</v>
      </c>
      <c r="I48" s="239" t="n">
        <f aca="false">I46+$I$31/12</f>
        <v>43509.0606626025</v>
      </c>
      <c r="J48" s="239" t="n">
        <f aca="false">I48+$I$31/12/8</f>
        <v>43581.3506894881</v>
      </c>
      <c r="K48" s="240" t="n">
        <f aca="false">J48+$I$31/12/8</f>
        <v>43653.6407163737</v>
      </c>
      <c r="L48" s="240" t="n">
        <f aca="false">K48+$I$31/12/8</f>
        <v>43725.9307432594</v>
      </c>
      <c r="M48" s="240" t="n">
        <f aca="false">L48+$I$31/12/8</f>
        <v>43798.220770145</v>
      </c>
      <c r="N48" s="240" t="n">
        <f aca="false">M48+$I$31/12/8</f>
        <v>43870.5107970306</v>
      </c>
      <c r="O48" s="240" t="n">
        <f aca="false">N48+$I$31/12/8</f>
        <v>43942.8008239162</v>
      </c>
      <c r="P48" s="240" t="n">
        <f aca="false">O48+$I$31/12/8</f>
        <v>44015.0908508018</v>
      </c>
      <c r="Q48" s="241" t="n">
        <f aca="false">P48+$I$31/12/8</f>
        <v>44087.3808776874</v>
      </c>
      <c r="R48" s="241"/>
      <c r="S48" s="227"/>
      <c r="U48" s="225"/>
    </row>
    <row r="49" customFormat="false" ht="15" hidden="false" customHeight="false" outlineLevel="0" collapsed="false">
      <c r="C49" s="227"/>
      <c r="D49" s="228"/>
      <c r="E49" s="236"/>
      <c r="F49" s="193"/>
      <c r="I49" s="232" t="n">
        <f aca="false">VLOOKUP($H$38&amp;"-"&amp;I$38,AllPAV,$E50+3,0)</f>
        <v>1</v>
      </c>
      <c r="J49" s="233" t="n">
        <f aca="false">VLOOKUP($H$38&amp;"-"&amp;J$38,AllPAV,$E50+3,0)</f>
        <v>1</v>
      </c>
      <c r="K49" s="233" t="n">
        <f aca="false">VLOOKUP($H$38&amp;"-"&amp;K$38,AllPAV,$E50+3,0)</f>
        <v>1</v>
      </c>
      <c r="L49" s="233" t="n">
        <f aca="false">VLOOKUP($H$38&amp;"-"&amp;L$38,AllPAV,$E50+3,0)</f>
        <v>1</v>
      </c>
      <c r="M49" s="233" t="str">
        <f aca="false">VLOOKUP($H$38&amp;"-"&amp;M$38,AllPAV,$E50+3,0)</f>
        <v>*</v>
      </c>
      <c r="N49" s="233" t="str">
        <f aca="false">VLOOKUP($H$38&amp;"-"&amp;N$38,AllPAV,$E50+3,0)</f>
        <v>*</v>
      </c>
      <c r="O49" s="233" t="n">
        <f aca="false">VLOOKUP($H$38&amp;"-"&amp;O$38,AllPAV,$E50+3,0)</f>
        <v>1</v>
      </c>
      <c r="P49" s="234" t="n">
        <f aca="false">VLOOKUP($H$38&amp;"-"&amp;P$38,AllPAV,$E50+3,0)</f>
        <v>1</v>
      </c>
      <c r="Q49" s="125"/>
      <c r="R49" s="235"/>
      <c r="S49" s="227"/>
      <c r="U49" s="225"/>
    </row>
    <row r="50" customFormat="false" ht="15" hidden="false" customHeight="false" outlineLevel="0" collapsed="false">
      <c r="C50" s="227"/>
      <c r="D50" s="228"/>
      <c r="E50" s="236" t="n">
        <f aca="false">MOD(E48+12-IF($F$39,0,2),12)+1</f>
        <v>7</v>
      </c>
      <c r="F50" s="193" t="str">
        <f aca="false">INDEX(RsTbl,E50)</f>
        <v>Li</v>
      </c>
      <c r="G50" s="6" t="n">
        <f aca="false">VLOOKUP($H$38,BAV,E50+2,0)</f>
        <v>6</v>
      </c>
      <c r="H50" s="6" t="s">
        <v>421</v>
      </c>
      <c r="I50" s="239" t="n">
        <f aca="false">I48+$I$31/12</f>
        <v>44087.3808776874</v>
      </c>
      <c r="J50" s="239" t="n">
        <f aca="false">I50+$I$31/12/8</f>
        <v>44159.670904573</v>
      </c>
      <c r="K50" s="240" t="n">
        <f aca="false">J50+$I$31/12/8</f>
        <v>44231.9609314586</v>
      </c>
      <c r="L50" s="240" t="n">
        <f aca="false">K50+$I$31/12/8</f>
        <v>44304.2509583442</v>
      </c>
      <c r="M50" s="240" t="n">
        <f aca="false">L50+$I$31/12/8</f>
        <v>44376.5409852298</v>
      </c>
      <c r="N50" s="240" t="n">
        <f aca="false">M50+$I$31/12/8</f>
        <v>44448.8310121154</v>
      </c>
      <c r="O50" s="240" t="n">
        <f aca="false">N50+$I$31/12/8</f>
        <v>44521.1210390011</v>
      </c>
      <c r="P50" s="240" t="n">
        <f aca="false">O50+$I$31/12/8</f>
        <v>44593.4110658867</v>
      </c>
      <c r="Q50" s="241" t="n">
        <f aca="false">P50+$I$31/12/8</f>
        <v>44665.7010927723</v>
      </c>
      <c r="R50" s="241"/>
      <c r="S50" s="227"/>
      <c r="U50" s="225"/>
    </row>
    <row r="51" customFormat="false" ht="15" hidden="false" customHeight="false" outlineLevel="0" collapsed="false">
      <c r="C51" s="227"/>
      <c r="D51" s="228"/>
      <c r="E51" s="236"/>
      <c r="F51" s="193"/>
      <c r="I51" s="232" t="str">
        <f aca="false">VLOOKUP($H$38&amp;"-"&amp;I$38,AllPAV,$E52+3,0)</f>
        <v>*</v>
      </c>
      <c r="J51" s="233" t="str">
        <f aca="false">VLOOKUP($H$38&amp;"-"&amp;J$38,AllPAV,$E52+3,0)</f>
        <v>*</v>
      </c>
      <c r="K51" s="233" t="n">
        <f aca="false">VLOOKUP($H$38&amp;"-"&amp;K$38,AllPAV,$E52+3,0)</f>
        <v>1</v>
      </c>
      <c r="L51" s="233" t="str">
        <f aca="false">VLOOKUP($H$38&amp;"-"&amp;L$38,AllPAV,$E52+3,0)</f>
        <v>*</v>
      </c>
      <c r="M51" s="233" t="n">
        <f aca="false">VLOOKUP($H$38&amp;"-"&amp;M$38,AllPAV,$E52+3,0)</f>
        <v>1</v>
      </c>
      <c r="N51" s="233" t="str">
        <f aca="false">VLOOKUP($H$38&amp;"-"&amp;N$38,AllPAV,$E52+3,0)</f>
        <v>*</v>
      </c>
      <c r="O51" s="233" t="str">
        <f aca="false">VLOOKUP($H$38&amp;"-"&amp;O$38,AllPAV,$E52+3,0)</f>
        <v>*</v>
      </c>
      <c r="P51" s="234" t="n">
        <f aca="false">VLOOKUP($H$38&amp;"-"&amp;P$38,AllPAV,$E52+3,0)</f>
        <v>1</v>
      </c>
      <c r="Q51" s="125"/>
      <c r="R51" s="235"/>
      <c r="S51" s="227"/>
      <c r="U51" s="225"/>
    </row>
    <row r="52" customFormat="false" ht="15" hidden="false" customHeight="false" outlineLevel="0" collapsed="false">
      <c r="C52" s="227"/>
      <c r="D52" s="228"/>
      <c r="E52" s="236" t="n">
        <f aca="false">MOD(E50+12-IF($F$39,0,2),12)+1</f>
        <v>8</v>
      </c>
      <c r="F52" s="193" t="str">
        <f aca="false">INDEX(RsTbl,E52)</f>
        <v>Sc</v>
      </c>
      <c r="G52" s="6" t="n">
        <f aca="false">VLOOKUP($H$38,BAV,E52+2,0)</f>
        <v>3</v>
      </c>
      <c r="H52" s="6" t="s">
        <v>422</v>
      </c>
      <c r="I52" s="239" t="n">
        <f aca="false">I50+$I$31/12</f>
        <v>44665.7010927723</v>
      </c>
      <c r="J52" s="239" t="n">
        <f aca="false">I52+$I$31/12/8</f>
        <v>44737.9911196579</v>
      </c>
      <c r="K52" s="240" t="n">
        <f aca="false">J52+$I$31/12/8</f>
        <v>44810.2811465435</v>
      </c>
      <c r="L52" s="240" t="n">
        <f aca="false">K52+$I$31/12/8</f>
        <v>44882.5711734291</v>
      </c>
      <c r="M52" s="240" t="n">
        <f aca="false">L52+$I$31/12/8</f>
        <v>44954.8612003147</v>
      </c>
      <c r="N52" s="240" t="n">
        <f aca="false">M52+$I$31/12/8</f>
        <v>45027.1512272003</v>
      </c>
      <c r="O52" s="240" t="n">
        <f aca="false">N52+$I$31/12/8</f>
        <v>45099.4412540859</v>
      </c>
      <c r="P52" s="240" t="n">
        <f aca="false">O52+$I$31/12/8</f>
        <v>45171.7312809715</v>
      </c>
      <c r="Q52" s="241" t="n">
        <f aca="false">P52+$I$31/12/8</f>
        <v>45244.0213078572</v>
      </c>
      <c r="R52" s="241"/>
      <c r="S52" s="227"/>
      <c r="U52" s="225"/>
    </row>
    <row r="53" customFormat="false" ht="15" hidden="false" customHeight="false" outlineLevel="0" collapsed="false">
      <c r="C53" s="227"/>
      <c r="D53" s="228"/>
      <c r="E53" s="236"/>
      <c r="F53" s="193"/>
      <c r="I53" s="232" t="str">
        <f aca="false">VLOOKUP($H$38&amp;"-"&amp;I$38,AllPAV,$E54+3,0)</f>
        <v>*</v>
      </c>
      <c r="J53" s="233" t="str">
        <f aca="false">VLOOKUP($H$38&amp;"-"&amp;J$38,AllPAV,$E54+3,0)</f>
        <v>*</v>
      </c>
      <c r="K53" s="233" t="n">
        <f aca="false">VLOOKUP($H$38&amp;"-"&amp;K$38,AllPAV,$E54+3,0)</f>
        <v>1</v>
      </c>
      <c r="L53" s="233" t="str">
        <f aca="false">VLOOKUP($H$38&amp;"-"&amp;L$38,AllPAV,$E54+3,0)</f>
        <v>*</v>
      </c>
      <c r="M53" s="233" t="str">
        <f aca="false">VLOOKUP($H$38&amp;"-"&amp;M$38,AllPAV,$E54+3,0)</f>
        <v>*</v>
      </c>
      <c r="N53" s="233" t="n">
        <f aca="false">VLOOKUP($H$38&amp;"-"&amp;N$38,AllPAV,$E54+3,0)</f>
        <v>1</v>
      </c>
      <c r="O53" s="233" t="str">
        <f aca="false">VLOOKUP($H$38&amp;"-"&amp;O$38,AllPAV,$E54+3,0)</f>
        <v>*</v>
      </c>
      <c r="P53" s="234" t="str">
        <f aca="false">VLOOKUP($H$38&amp;"-"&amp;P$38,AllPAV,$E54+3,0)</f>
        <v>*</v>
      </c>
      <c r="Q53" s="125"/>
      <c r="R53" s="235"/>
      <c r="S53" s="227"/>
      <c r="U53" s="225"/>
    </row>
    <row r="54" customFormat="false" ht="15" hidden="false" customHeight="false" outlineLevel="0" collapsed="false">
      <c r="C54" s="227"/>
      <c r="D54" s="228"/>
      <c r="E54" s="236" t="n">
        <f aca="false">MOD(E52+12-IF($F$39,0,2),12)+1</f>
        <v>9</v>
      </c>
      <c r="F54" s="193" t="str">
        <f aca="false">INDEX(RsTbl,E54)</f>
        <v>Sg</v>
      </c>
      <c r="G54" s="6" t="n">
        <f aca="false">VLOOKUP($H$38,BAV,E54+2,0)</f>
        <v>2</v>
      </c>
      <c r="H54" s="6" t="s">
        <v>423</v>
      </c>
      <c r="I54" s="239" t="n">
        <f aca="false">I52+$I$31/12</f>
        <v>45244.0213078571</v>
      </c>
      <c r="J54" s="239" t="n">
        <f aca="false">I54+$I$31/12/8</f>
        <v>45316.3113347428</v>
      </c>
      <c r="K54" s="240" t="n">
        <f aca="false">J54+$I$31/12/8</f>
        <v>45388.6013616284</v>
      </c>
      <c r="L54" s="240" t="n">
        <f aca="false">K54+$I$31/12/8</f>
        <v>45460.891388514</v>
      </c>
      <c r="M54" s="240" t="n">
        <f aca="false">L54+$I$31/12/8</f>
        <v>45533.1814153996</v>
      </c>
      <c r="N54" s="240" t="n">
        <f aca="false">M54+$I$31/12/8</f>
        <v>45605.4714422852</v>
      </c>
      <c r="O54" s="240" t="n">
        <f aca="false">N54+$I$31/12/8</f>
        <v>45677.7614691708</v>
      </c>
      <c r="P54" s="240" t="n">
        <f aca="false">O54+$I$31/12/8</f>
        <v>45750.0514960564</v>
      </c>
      <c r="Q54" s="241" t="n">
        <f aca="false">P54+$I$31/12/8</f>
        <v>45822.341522942</v>
      </c>
      <c r="R54" s="241"/>
      <c r="S54" s="227"/>
      <c r="U54" s="225"/>
    </row>
    <row r="55" customFormat="false" ht="15" hidden="false" customHeight="false" outlineLevel="0" collapsed="false">
      <c r="C55" s="227"/>
      <c r="D55" s="228"/>
      <c r="E55" s="236"/>
      <c r="F55" s="193"/>
      <c r="I55" s="232" t="str">
        <f aca="false">VLOOKUP($H$38&amp;"-"&amp;I$38,AllPAV,$E56+3,0)</f>
        <v>*</v>
      </c>
      <c r="J55" s="233" t="str">
        <f aca="false">VLOOKUP($H$38&amp;"-"&amp;J$38,AllPAV,$E56+3,0)</f>
        <v>*</v>
      </c>
      <c r="K55" s="233" t="str">
        <f aca="false">VLOOKUP($H$38&amp;"-"&amp;K$38,AllPAV,$E56+3,0)</f>
        <v>*</v>
      </c>
      <c r="L55" s="233" t="n">
        <f aca="false">VLOOKUP($H$38&amp;"-"&amp;L$38,AllPAV,$E56+3,0)</f>
        <v>1</v>
      </c>
      <c r="M55" s="233" t="str">
        <f aca="false">VLOOKUP($H$38&amp;"-"&amp;M$38,AllPAV,$E56+3,0)</f>
        <v>*</v>
      </c>
      <c r="N55" s="233" t="str">
        <f aca="false">VLOOKUP($H$38&amp;"-"&amp;N$38,AllPAV,$E56+3,0)</f>
        <v>*</v>
      </c>
      <c r="O55" s="233" t="str">
        <f aca="false">VLOOKUP($H$38&amp;"-"&amp;O$38,AllPAV,$E56+3,0)</f>
        <v>*</v>
      </c>
      <c r="P55" s="234" t="n">
        <f aca="false">VLOOKUP($H$38&amp;"-"&amp;P$38,AllPAV,$E56+3,0)</f>
        <v>1</v>
      </c>
      <c r="Q55" s="125"/>
      <c r="R55" s="235"/>
      <c r="S55" s="227"/>
      <c r="U55" s="225"/>
    </row>
    <row r="56" customFormat="false" ht="15" hidden="false" customHeight="false" outlineLevel="0" collapsed="false">
      <c r="C56" s="227"/>
      <c r="D56" s="228"/>
      <c r="E56" s="236" t="n">
        <f aca="false">MOD(E54+12-IF($F$39,0,2),12)+1</f>
        <v>10</v>
      </c>
      <c r="F56" s="193" t="str">
        <f aca="false">INDEX(RsTbl,E56)</f>
        <v>Cp</v>
      </c>
      <c r="G56" s="6" t="n">
        <f aca="false">VLOOKUP($H$38,BAV,E56+2,0)</f>
        <v>2</v>
      </c>
      <c r="H56" s="6" t="s">
        <v>424</v>
      </c>
      <c r="I56" s="239" t="n">
        <f aca="false">I54+$I$31/12</f>
        <v>45822.341522942</v>
      </c>
      <c r="J56" s="239" t="n">
        <f aca="false">I56+$I$31/12/8</f>
        <v>45894.6315498276</v>
      </c>
      <c r="K56" s="240" t="n">
        <f aca="false">J56+$I$31/12/8</f>
        <v>45966.9215767132</v>
      </c>
      <c r="L56" s="240" t="n">
        <f aca="false">K56+$I$31/12/8</f>
        <v>46039.2116035988</v>
      </c>
      <c r="M56" s="240" t="n">
        <f aca="false">L56+$I$31/12/8</f>
        <v>46111.5016304845</v>
      </c>
      <c r="N56" s="240" t="n">
        <f aca="false">M56+$I$31/12/8</f>
        <v>46183.7916573701</v>
      </c>
      <c r="O56" s="240" t="n">
        <f aca="false">N56+$I$31/12/8</f>
        <v>46256.0816842557</v>
      </c>
      <c r="P56" s="240" t="n">
        <f aca="false">O56+$I$31/12/8</f>
        <v>46328.3717111413</v>
      </c>
      <c r="Q56" s="241" t="n">
        <f aca="false">P56+$I$31/12/8</f>
        <v>46400.6617380269</v>
      </c>
      <c r="R56" s="241"/>
      <c r="S56" s="227"/>
      <c r="U56" s="225"/>
    </row>
    <row r="57" customFormat="false" ht="15" hidden="false" customHeight="false" outlineLevel="0" collapsed="false">
      <c r="C57" s="227"/>
      <c r="D57" s="228"/>
      <c r="E57" s="236"/>
      <c r="F57" s="193"/>
      <c r="I57" s="232" t="str">
        <f aca="false">VLOOKUP($H$38&amp;"-"&amp;I$38,AllPAV,$E58+3,0)</f>
        <v>*</v>
      </c>
      <c r="J57" s="233" t="str">
        <f aca="false">VLOOKUP($H$38&amp;"-"&amp;J$38,AllPAV,$E58+3,0)</f>
        <v>*</v>
      </c>
      <c r="K57" s="233" t="str">
        <f aca="false">VLOOKUP($H$38&amp;"-"&amp;K$38,AllPAV,$E58+3,0)</f>
        <v>*</v>
      </c>
      <c r="L57" s="233" t="n">
        <f aca="false">VLOOKUP($H$38&amp;"-"&amp;L$38,AllPAV,$E58+3,0)</f>
        <v>1</v>
      </c>
      <c r="M57" s="233" t="str">
        <f aca="false">VLOOKUP($H$38&amp;"-"&amp;M$38,AllPAV,$E58+3,0)</f>
        <v>*</v>
      </c>
      <c r="N57" s="233" t="n">
        <f aca="false">VLOOKUP($H$38&amp;"-"&amp;N$38,AllPAV,$E58+3,0)</f>
        <v>1</v>
      </c>
      <c r="O57" s="233" t="str">
        <f aca="false">VLOOKUP($H$38&amp;"-"&amp;O$38,AllPAV,$E58+3,0)</f>
        <v>*</v>
      </c>
      <c r="P57" s="234" t="str">
        <f aca="false">VLOOKUP($H$38&amp;"-"&amp;P$38,AllPAV,$E58+3,0)</f>
        <v>*</v>
      </c>
      <c r="Q57" s="125"/>
      <c r="R57" s="235"/>
      <c r="S57" s="227"/>
      <c r="U57" s="225"/>
    </row>
    <row r="58" customFormat="false" ht="15" hidden="false" customHeight="false" outlineLevel="0" collapsed="false">
      <c r="C58" s="227"/>
      <c r="D58" s="228"/>
      <c r="E58" s="236" t="n">
        <f aca="false">MOD(E56+12-IF($F$39,0,2),12)+1</f>
        <v>11</v>
      </c>
      <c r="F58" s="193" t="str">
        <f aca="false">INDEX(RsTbl,E58)</f>
        <v>Aq</v>
      </c>
      <c r="G58" s="6" t="n">
        <f aca="false">VLOOKUP($H$38,BAV,E58+2,0)</f>
        <v>2</v>
      </c>
      <c r="H58" s="6" t="s">
        <v>425</v>
      </c>
      <c r="I58" s="239" t="n">
        <f aca="false">I56+$I$31/12</f>
        <v>46400.6617380269</v>
      </c>
      <c r="J58" s="239" t="n">
        <f aca="false">I58+$I$31/12/8</f>
        <v>46472.9517649125</v>
      </c>
      <c r="K58" s="240" t="n">
        <f aca="false">J58+$I$31/12/8</f>
        <v>46545.2417917981</v>
      </c>
      <c r="L58" s="240" t="n">
        <f aca="false">K58+$I$31/12/8</f>
        <v>46617.5318186837</v>
      </c>
      <c r="M58" s="240" t="n">
        <f aca="false">L58+$I$31/12/8</f>
        <v>46689.8218455693</v>
      </c>
      <c r="N58" s="240" t="n">
        <f aca="false">M58+$I$31/12/8</f>
        <v>46762.1118724549</v>
      </c>
      <c r="O58" s="240" t="n">
        <f aca="false">N58+$I$31/12/8</f>
        <v>46834.4018993406</v>
      </c>
      <c r="P58" s="240" t="n">
        <f aca="false">O58+$I$31/12/8</f>
        <v>46906.6919262262</v>
      </c>
      <c r="Q58" s="241" t="n">
        <f aca="false">P58+$I$31/12/8</f>
        <v>46978.9819531118</v>
      </c>
      <c r="R58" s="241"/>
      <c r="S58" s="227"/>
      <c r="U58" s="225"/>
    </row>
    <row r="59" customFormat="false" ht="15" hidden="false" customHeight="false" outlineLevel="0" collapsed="false">
      <c r="C59" s="227"/>
      <c r="D59" s="228"/>
      <c r="E59" s="236"/>
      <c r="F59" s="193"/>
      <c r="I59" s="232" t="n">
        <f aca="false">VLOOKUP($H$38&amp;"-"&amp;I$38,AllPAV,$E60+3,0)</f>
        <v>1</v>
      </c>
      <c r="J59" s="233" t="n">
        <f aca="false">VLOOKUP($H$38&amp;"-"&amp;J$38,AllPAV,$E60+3,0)</f>
        <v>1</v>
      </c>
      <c r="K59" s="233" t="n">
        <f aca="false">VLOOKUP($H$38&amp;"-"&amp;K$38,AllPAV,$E60+3,0)</f>
        <v>1</v>
      </c>
      <c r="L59" s="233" t="str">
        <f aca="false">VLOOKUP($H$38&amp;"-"&amp;L$38,AllPAV,$E60+3,0)</f>
        <v>*</v>
      </c>
      <c r="M59" s="233" t="str">
        <f aca="false">VLOOKUP($H$38&amp;"-"&amp;M$38,AllPAV,$E60+3,0)</f>
        <v>*</v>
      </c>
      <c r="N59" s="233" t="n">
        <f aca="false">VLOOKUP($H$38&amp;"-"&amp;N$38,AllPAV,$E60+3,0)</f>
        <v>1</v>
      </c>
      <c r="O59" s="233" t="n">
        <f aca="false">VLOOKUP($H$38&amp;"-"&amp;O$38,AllPAV,$E60+3,0)</f>
        <v>1</v>
      </c>
      <c r="P59" s="234" t="str">
        <f aca="false">VLOOKUP($H$38&amp;"-"&amp;P$38,AllPAV,$E60+3,0)</f>
        <v>*</v>
      </c>
      <c r="Q59" s="125"/>
      <c r="R59" s="235"/>
      <c r="S59" s="227"/>
      <c r="U59" s="225"/>
    </row>
    <row r="60" customFormat="false" ht="15" hidden="false" customHeight="false" outlineLevel="0" collapsed="false">
      <c r="C60" s="227"/>
      <c r="D60" s="228"/>
      <c r="E60" s="236" t="n">
        <f aca="false">MOD(E58+12-IF($F$39,0,2),12)+1</f>
        <v>12</v>
      </c>
      <c r="F60" s="193" t="str">
        <f aca="false">INDEX(RsTbl,E60)</f>
        <v>Pi</v>
      </c>
      <c r="G60" s="6" t="n">
        <f aca="false">VLOOKUP($H$38,BAV,E60+2,0)</f>
        <v>5</v>
      </c>
      <c r="H60" s="6" t="s">
        <v>426</v>
      </c>
      <c r="I60" s="239" t="n">
        <f aca="false">I58+$I$31/12</f>
        <v>46978.9819531118</v>
      </c>
      <c r="J60" s="239" t="n">
        <f aca="false">I60+$I$31/12/8</f>
        <v>47051.2719799974</v>
      </c>
      <c r="K60" s="240" t="n">
        <f aca="false">J60+$I$31/12/8</f>
        <v>47123.562006883</v>
      </c>
      <c r="L60" s="240" t="n">
        <f aca="false">K60+$I$31/12/8</f>
        <v>47195.8520337686</v>
      </c>
      <c r="M60" s="240" t="n">
        <f aca="false">L60+$I$31/12/8</f>
        <v>47268.1420606542</v>
      </c>
      <c r="N60" s="240" t="n">
        <f aca="false">M60+$I$31/12/8</f>
        <v>47340.4320875398</v>
      </c>
      <c r="O60" s="240" t="n">
        <f aca="false">N60+$I$31/12/8</f>
        <v>47412.7221144254</v>
      </c>
      <c r="P60" s="240" t="n">
        <f aca="false">O60+$I$31/12/8</f>
        <v>47485.012141311</v>
      </c>
      <c r="Q60" s="241" t="n">
        <f aca="false">P60+$I$31/12/8</f>
        <v>47557.3021681966</v>
      </c>
      <c r="R60" s="241"/>
      <c r="S60" s="227"/>
      <c r="U60" s="225"/>
    </row>
    <row r="61" customFormat="false" ht="15" hidden="false" customHeight="false" outlineLevel="0" collapsed="false">
      <c r="C61" s="227"/>
      <c r="D61" s="228"/>
      <c r="E61" s="236"/>
      <c r="F61" s="193"/>
      <c r="I61" s="232" t="str">
        <f aca="false">VLOOKUP($H$38&amp;"-"&amp;I$38,AllPAV,$E62+3,0)</f>
        <v>*</v>
      </c>
      <c r="J61" s="233" t="n">
        <f aca="false">VLOOKUP($H$38&amp;"-"&amp;J$38,AllPAV,$E62+3,0)</f>
        <v>1</v>
      </c>
      <c r="K61" s="233" t="str">
        <f aca="false">VLOOKUP($H$38&amp;"-"&amp;K$38,AllPAV,$E62+3,0)</f>
        <v>*</v>
      </c>
      <c r="L61" s="233" t="n">
        <f aca="false">VLOOKUP($H$38&amp;"-"&amp;L$38,AllPAV,$E62+3,0)</f>
        <v>1</v>
      </c>
      <c r="M61" s="233" t="n">
        <f aca="false">VLOOKUP($H$38&amp;"-"&amp;M$38,AllPAV,$E62+3,0)</f>
        <v>1</v>
      </c>
      <c r="N61" s="233" t="n">
        <f aca="false">VLOOKUP($H$38&amp;"-"&amp;N$38,AllPAV,$E62+3,0)</f>
        <v>1</v>
      </c>
      <c r="O61" s="233" t="str">
        <f aca="false">VLOOKUP($H$38&amp;"-"&amp;O$38,AllPAV,$E62+3,0)</f>
        <v>*</v>
      </c>
      <c r="P61" s="234" t="str">
        <f aca="false">VLOOKUP($H$38&amp;"-"&amp;P$38,AllPAV,$E62+3,0)</f>
        <v>*</v>
      </c>
      <c r="Q61" s="125"/>
      <c r="R61" s="235"/>
      <c r="S61" s="227"/>
      <c r="U61" s="225"/>
    </row>
    <row r="62" customFormat="false" ht="15" hidden="false" customHeight="false" outlineLevel="0" collapsed="false">
      <c r="E62" s="236" t="n">
        <f aca="false">MOD(E60+12-IF($F$39,0,2),12)+1</f>
        <v>1</v>
      </c>
      <c r="F62" s="193" t="str">
        <f aca="false">INDEX(RsTbl,E62)</f>
        <v>Ar</v>
      </c>
      <c r="G62" s="6" t="n">
        <f aca="false">VLOOKUP($H$38,BAV,E62+2,0)</f>
        <v>4</v>
      </c>
      <c r="H62" s="6" t="s">
        <v>427</v>
      </c>
      <c r="I62" s="239" t="n">
        <f aca="false">I60+$I$31/12</f>
        <v>47557.3021681966</v>
      </c>
      <c r="J62" s="239" t="n">
        <f aca="false">I62+$I$31/12/8</f>
        <v>47629.5921950822</v>
      </c>
      <c r="K62" s="240" t="n">
        <f aca="false">J62+$I$31/12/8</f>
        <v>47701.8822219679</v>
      </c>
      <c r="L62" s="240" t="n">
        <f aca="false">K62+$I$31/12/8</f>
        <v>47774.1722488535</v>
      </c>
      <c r="M62" s="240" t="n">
        <f aca="false">L62+$I$31/12/8</f>
        <v>47846.4622757391</v>
      </c>
      <c r="N62" s="240" t="n">
        <f aca="false">M62+$I$31/12/8</f>
        <v>47918.7523026247</v>
      </c>
      <c r="O62" s="240" t="n">
        <f aca="false">N62+$I$31/12/8</f>
        <v>47991.0423295103</v>
      </c>
      <c r="P62" s="240" t="n">
        <f aca="false">O62+$I$31/12/8</f>
        <v>48063.3323563959</v>
      </c>
      <c r="Q62" s="241" t="n">
        <f aca="false">P62+$I$31/12/8</f>
        <v>48135.6223832815</v>
      </c>
      <c r="R62" s="241"/>
    </row>
    <row r="63" customFormat="false" ht="15" hidden="false" customHeight="false" outlineLevel="0" collapsed="false">
      <c r="A63" s="39" t="s">
        <v>428</v>
      </c>
      <c r="B63" s="242" t="n">
        <v>4</v>
      </c>
      <c r="C63" s="6" t="str">
        <f aca="false">VLOOKUP(B63,VimshottariDasa,2,0)</f>
        <v>Kshema</v>
      </c>
      <c r="I63" s="225"/>
    </row>
    <row r="64" customFormat="false" ht="15" hidden="false" customHeight="false" outlineLevel="0" collapsed="false">
      <c r="B64" s="39" t="s">
        <v>429</v>
      </c>
      <c r="C64" s="39"/>
      <c r="D64" s="39" t="s">
        <v>430</v>
      </c>
      <c r="E64" s="243"/>
      <c r="F64" s="39" t="s">
        <v>431</v>
      </c>
      <c r="G64" s="39"/>
      <c r="H64" s="39"/>
    </row>
    <row r="65" customFormat="false" ht="15" hidden="false" customHeight="false" outlineLevel="0" collapsed="false">
      <c r="B65" s="194" t="str">
        <f aca="false">INDEX(DasaYears,MOD($D$15+$B$63-1,9)+1,1)</f>
        <v>Jupiter</v>
      </c>
      <c r="C65" s="244" t="n">
        <f aca="false">VLOOKUP($B$63,VimshottariDasa,5,0)</f>
        <v>35351.7018393001</v>
      </c>
      <c r="D65" s="227" t="e">
        <f aca="false">INDEX(DasaYears,MOD(VLOOKUP(B65,DasaYears,3,0)+IF(VLOOKUP(B65,ChartInfo,11),-1,0),9)+1,1)</f>
        <v>#N/A</v>
      </c>
      <c r="E65" s="245" t="n">
        <f aca="false">C65</f>
        <v>35351.7018393001</v>
      </c>
      <c r="F65" s="227" t="e">
        <f aca="false">INDEX(DasaYears,MOD(VLOOKUP(D65,DasaYears,3,0)+IF(VLOOKUP(D65,ChartInfo,11),-1,0),9)+1,1)</f>
        <v>#N/A</v>
      </c>
      <c r="G65" s="246" t="n">
        <f aca="false">E65</f>
        <v>35351.7018393001</v>
      </c>
      <c r="H65" s="247"/>
      <c r="I65" s="236"/>
    </row>
    <row r="66" customFormat="false" ht="15" hidden="false" customHeight="false" outlineLevel="0" collapsed="false">
      <c r="B66" s="194" t="str">
        <f aca="false">INDEX(DasaYears,MOD($D$15+$B$63-1,9)+1,1)</f>
        <v>Jupiter</v>
      </c>
      <c r="C66" s="248"/>
      <c r="D66" s="226" t="e">
        <f aca="false">INDEX(DasaYears,(MOD(VLOOKUP(D65,DasaYears,3,0)+IF(VLOOKUP(B66,ChartInfo,11),-1,1)*NOT(ISBLANK(E66)),9)+1),1)</f>
        <v>#N/A</v>
      </c>
      <c r="E66" s="245"/>
      <c r="F66" s="226" t="e">
        <f aca="false">INDEX(DasaYears,(MOD(VLOOKUP(F65,DasaYears,3,0)+IF(VLOOKUP(D66,ChartInfo,11),-1,1)*ISBLANK(H66),9)+1),1)</f>
        <v>#N/A</v>
      </c>
      <c r="G66" s="249" t="e">
        <f aca="false">G65+DaysInYear*VLOOKUP(B65,DasaYears,2,0)*VLOOKUP(D65,DasaYears,2,0)/120*VLOOKUP(F65,DasaYears,2,0)/120</f>
        <v>#N/A</v>
      </c>
      <c r="H66" s="236"/>
      <c r="I66" s="236"/>
    </row>
    <row r="67" customFormat="false" ht="15" hidden="false" customHeight="false" outlineLevel="0" collapsed="false">
      <c r="B67" s="194" t="str">
        <f aca="false">INDEX(DasaYears,MOD($D$15+$B$63-1,9)+1,1)</f>
        <v>Jupiter</v>
      </c>
      <c r="C67" s="248"/>
      <c r="D67" s="226" t="e">
        <f aca="false">INDEX(DasaYears,(MOD(VLOOKUP(D66,DasaYears,3,0)+IF(VLOOKUP(B67,ChartInfo,11),-1,1)*NOT(ISBLANK(E67)),9)+1),1)</f>
        <v>#N/A</v>
      </c>
      <c r="E67" s="245"/>
      <c r="F67" s="226" t="e">
        <f aca="false">INDEX(DasaYears,(MOD(VLOOKUP(F66,DasaYears,3,0)+IF(VLOOKUP(D67,ChartInfo,11),-1,1)*ISBLANK(H67),9)+1),1)</f>
        <v>#N/A</v>
      </c>
      <c r="G67" s="249" t="e">
        <f aca="false">G66+DaysInYear*VLOOKUP(B66,DasaYears,2,0)*VLOOKUP(D66,DasaYears,2,0)/120*VLOOKUP(F66,DasaYears,2,0)/120</f>
        <v>#N/A</v>
      </c>
      <c r="H67" s="236"/>
      <c r="I67" s="236"/>
      <c r="J67" s="250"/>
      <c r="K67" s="225"/>
    </row>
    <row r="68" customFormat="false" ht="15" hidden="false" customHeight="false" outlineLevel="0" collapsed="false">
      <c r="B68" s="194" t="str">
        <f aca="false">INDEX(DasaYears,MOD($D$15+$B$63-1,9)+1,1)</f>
        <v>Jupiter</v>
      </c>
      <c r="C68" s="248"/>
      <c r="D68" s="226" t="e">
        <f aca="false">INDEX(DasaYears,(MOD(VLOOKUP(D67,DasaYears,3,0)+IF(VLOOKUP(B68,ChartInfo,11),-1,1)*NOT(ISBLANK(E68)),9)+1),1)</f>
        <v>#N/A</v>
      </c>
      <c r="E68" s="245"/>
      <c r="F68" s="226" t="e">
        <f aca="false">INDEX(DasaYears,(MOD(VLOOKUP(F67,DasaYears,3,0)+IF(VLOOKUP(D68,ChartInfo,11),-1,1)*ISBLANK(H68),9)+1),1)</f>
        <v>#N/A</v>
      </c>
      <c r="G68" s="249" t="e">
        <f aca="false">G67+DaysInYear*VLOOKUP(B67,DasaYears,2,0)*VLOOKUP(D67,DasaYears,2,0)/120*VLOOKUP(F67,DasaYears,2,0)/120</f>
        <v>#N/A</v>
      </c>
      <c r="H68" s="236"/>
      <c r="I68" s="236"/>
      <c r="J68" s="250"/>
      <c r="K68" s="244"/>
    </row>
    <row r="69" customFormat="false" ht="15" hidden="false" customHeight="false" outlineLevel="0" collapsed="false">
      <c r="B69" s="194" t="str">
        <f aca="false">INDEX(DasaYears,MOD($D$15+$B$63-1,9)+1,1)</f>
        <v>Jupiter</v>
      </c>
      <c r="C69" s="248"/>
      <c r="D69" s="226" t="e">
        <f aca="false">INDEX(DasaYears,(MOD(VLOOKUP(D68,DasaYears,3,0)+IF(VLOOKUP(B69,ChartInfo,11),-1,1)*NOT(ISBLANK(E69)),9)+1),1)</f>
        <v>#N/A</v>
      </c>
      <c r="E69" s="245"/>
      <c r="F69" s="226" t="e">
        <f aca="false">INDEX(DasaYears,(MOD(VLOOKUP(F68,DasaYears,3,0)+IF(VLOOKUP(D69,ChartInfo,11),-1,1)*ISBLANK(H69),9)+1),1)</f>
        <v>#N/A</v>
      </c>
      <c r="G69" s="249" t="e">
        <f aca="false">G68+DaysInYear*VLOOKUP(B68,DasaYears,2,0)*VLOOKUP(D68,DasaYears,2,0)/120*VLOOKUP(F68,DasaYears,2,0)/120</f>
        <v>#N/A</v>
      </c>
      <c r="H69" s="236"/>
      <c r="I69" s="236"/>
      <c r="J69" s="250"/>
      <c r="K69" s="244"/>
    </row>
    <row r="70" customFormat="false" ht="15" hidden="false" customHeight="false" outlineLevel="0" collapsed="false">
      <c r="B70" s="194" t="str">
        <f aca="false">INDEX(DasaYears,MOD($D$15+$B$63-1,9)+1,1)</f>
        <v>Jupiter</v>
      </c>
      <c r="C70" s="248"/>
      <c r="D70" s="226" t="e">
        <f aca="false">INDEX(DasaYears,(MOD(VLOOKUP(D69,DasaYears,3,0)+IF(VLOOKUP(B70,ChartInfo,11),-1,1)*NOT(ISBLANK(E70)),9)+1),1)</f>
        <v>#N/A</v>
      </c>
      <c r="E70" s="245"/>
      <c r="F70" s="226" t="e">
        <f aca="false">INDEX(DasaYears,(MOD(VLOOKUP(F69,DasaYears,3,0)+IF(VLOOKUP(D70,ChartInfo,11),-1,1)*ISBLANK(H70),9)+1),1)</f>
        <v>#N/A</v>
      </c>
      <c r="G70" s="249" t="e">
        <f aca="false">G69+DaysInYear*VLOOKUP(B69,DasaYears,2,0)*VLOOKUP(D69,DasaYears,2,0)/120*VLOOKUP(F69,DasaYears,2,0)/120</f>
        <v>#N/A</v>
      </c>
      <c r="H70" s="236"/>
      <c r="I70" s="236"/>
      <c r="J70" s="250"/>
      <c r="K70" s="244"/>
    </row>
    <row r="71" customFormat="false" ht="15" hidden="false" customHeight="false" outlineLevel="0" collapsed="false">
      <c r="B71" s="194" t="str">
        <f aca="false">INDEX(DasaYears,MOD($D$15+$B$63-1,9)+1,1)</f>
        <v>Jupiter</v>
      </c>
      <c r="C71" s="248"/>
      <c r="D71" s="226" t="e">
        <f aca="false">INDEX(DasaYears,(MOD(VLOOKUP(D70,DasaYears,3,0)+IF(VLOOKUP(B71,ChartInfo,11),-1,1)*NOT(ISBLANK(E71)),9)+1),1)</f>
        <v>#N/A</v>
      </c>
      <c r="E71" s="245"/>
      <c r="F71" s="226" t="e">
        <f aca="false">INDEX(DasaYears,(MOD(VLOOKUP(F70,DasaYears,3,0)+IF(VLOOKUP(D71,ChartInfo,11),-1,1)*ISBLANK(H71),9)+1),1)</f>
        <v>#N/A</v>
      </c>
      <c r="G71" s="249" t="e">
        <f aca="false">G70+DaysInYear*VLOOKUP(B70,DasaYears,2,0)*VLOOKUP(D70,DasaYears,2,0)/120*VLOOKUP(F70,DasaYears,2,0)/120</f>
        <v>#N/A</v>
      </c>
      <c r="H71" s="236"/>
      <c r="I71" s="236"/>
      <c r="J71" s="250"/>
      <c r="K71" s="244"/>
    </row>
    <row r="72" customFormat="false" ht="15" hidden="false" customHeight="false" outlineLevel="0" collapsed="false">
      <c r="B72" s="194" t="str">
        <f aca="false">INDEX(DasaYears,MOD($D$15+$B$63-1,9)+1,1)</f>
        <v>Jupiter</v>
      </c>
      <c r="C72" s="248"/>
      <c r="D72" s="226" t="e">
        <f aca="false">INDEX(DasaYears,(MOD(VLOOKUP(D71,DasaYears,3,0)+IF(VLOOKUP(B72,ChartInfo,11),-1,1)*NOT(ISBLANK(E72)),9)+1),1)</f>
        <v>#N/A</v>
      </c>
      <c r="E72" s="245"/>
      <c r="F72" s="226" t="e">
        <f aca="false">INDEX(DasaYears,(MOD(VLOOKUP(F71,DasaYears,3,0)+IF(VLOOKUP(D72,ChartInfo,11),-1,1)*ISBLANK(H72),9)+1),1)</f>
        <v>#N/A</v>
      </c>
      <c r="G72" s="249" t="e">
        <f aca="false">G71+DaysInYear*VLOOKUP(B71,DasaYears,2,0)*VLOOKUP(D71,DasaYears,2,0)/120*VLOOKUP(F71,DasaYears,2,0)/120</f>
        <v>#N/A</v>
      </c>
      <c r="H72" s="236"/>
      <c r="I72" s="236"/>
      <c r="J72" s="250"/>
      <c r="K72" s="244"/>
    </row>
    <row r="73" customFormat="false" ht="15" hidden="false" customHeight="false" outlineLevel="0" collapsed="false">
      <c r="B73" s="194" t="str">
        <f aca="false">INDEX(DasaYears,MOD($D$15+$B$63-1,9)+1,1)</f>
        <v>Jupiter</v>
      </c>
      <c r="C73" s="248"/>
      <c r="D73" s="226" t="e">
        <f aca="false">INDEX(DasaYears,(MOD(VLOOKUP(D72,DasaYears,3,0)+IF(VLOOKUP(B73,ChartInfo,11),-1,1)*NOT(ISBLANK(E73)),9)+1),1)</f>
        <v>#N/A</v>
      </c>
      <c r="E73" s="245"/>
      <c r="F73" s="226" t="e">
        <f aca="false">INDEX(DasaYears,(MOD(VLOOKUP(F72,DasaYears,3,0)+IF(VLOOKUP(D73,ChartInfo,11),-1,1)*ISBLANK(H73),9)+1),1)</f>
        <v>#N/A</v>
      </c>
      <c r="G73" s="249" t="e">
        <f aca="false">G72+DaysInYear*VLOOKUP(B72,DasaYears,2,0)*VLOOKUP(D72,DasaYears,2,0)/120*VLOOKUP(F72,DasaYears,2,0)/120</f>
        <v>#N/A</v>
      </c>
      <c r="H73" s="236"/>
      <c r="I73" s="236"/>
      <c r="J73" s="250"/>
      <c r="K73" s="244"/>
    </row>
    <row r="74" customFormat="false" ht="15" hidden="false" customHeight="false" outlineLevel="0" collapsed="false">
      <c r="B74" s="194" t="str">
        <f aca="false">INDEX(DasaYears,MOD($D$15+$B$63-1,9)+1,1)</f>
        <v>Jupiter</v>
      </c>
      <c r="C74" s="248"/>
      <c r="D74" s="226" t="e">
        <f aca="false">INDEX(DasaYears,(MOD(VLOOKUP(D73,DasaYears,3,0)+IF(VLOOKUP(B74,ChartInfo,11),-1,1)*NOT(ISBLANK(E74)),9)+1),1)</f>
        <v>#N/A</v>
      </c>
      <c r="E74" s="245" t="e">
        <f aca="false">E65+(VLOOKUP(B65,DasaYears,2,0)*VLOOKUP(D65,DasaYears,2,0)/VimTotal)*DaysInYear</f>
        <v>#N/A</v>
      </c>
      <c r="F74" s="226" t="e">
        <f aca="false">INDEX(DasaYears,(MOD(VLOOKUP(F73,DasaYears,3,0)+IF(VLOOKUP(D74,ChartInfo,11),-1,1)*ISBLANK(H74),9)+1),1)</f>
        <v>#N/A</v>
      </c>
      <c r="G74" s="249" t="e">
        <f aca="false">G73+DaysInYear*VLOOKUP(B73,DasaYears,2,0)*VLOOKUP(D73,DasaYears,2,0)/120*VLOOKUP(F73,DasaYears,2,0)/120</f>
        <v>#N/A</v>
      </c>
      <c r="H74" s="236"/>
      <c r="I74" s="236"/>
      <c r="J74" s="250"/>
      <c r="K74" s="244"/>
    </row>
    <row r="75" customFormat="false" ht="15" hidden="false" customHeight="false" outlineLevel="0" collapsed="false">
      <c r="B75" s="194" t="str">
        <f aca="false">INDEX(DasaYears,MOD($D$15+$B$63-1,9)+1,1)</f>
        <v>Jupiter</v>
      </c>
      <c r="C75" s="248"/>
      <c r="D75" s="226" t="e">
        <f aca="false">INDEX(DasaYears,(MOD(VLOOKUP(D74,DasaYears,3,0)+IF(VLOOKUP(B75,ChartInfo,11),-1,1)*NOT(ISBLANK(E75)),9)+1),1)</f>
        <v>#N/A</v>
      </c>
      <c r="E75" s="245"/>
      <c r="F75" s="226" t="e">
        <f aca="false">INDEX(DasaYears,(MOD(VLOOKUP(F74,DasaYears,3,0)+IF(VLOOKUP(D75,ChartInfo,11),-1,1)*ISBLANK(H75),9)+1),1)</f>
        <v>#N/A</v>
      </c>
      <c r="G75" s="249" t="e">
        <f aca="false">G74+DaysInYear*VLOOKUP(B74,DasaYears,2,0)*VLOOKUP(D74,DasaYears,2,0)/120*VLOOKUP(F74,DasaYears,2,0)/120</f>
        <v>#N/A</v>
      </c>
      <c r="H75" s="236"/>
      <c r="I75" s="236"/>
      <c r="J75" s="250"/>
      <c r="K75" s="244"/>
    </row>
    <row r="76" customFormat="false" ht="15" hidden="false" customHeight="false" outlineLevel="0" collapsed="false">
      <c r="B76" s="194" t="str">
        <f aca="false">INDEX(DasaYears,MOD($D$15+$B$63-1,9)+1,1)</f>
        <v>Jupiter</v>
      </c>
      <c r="C76" s="248"/>
      <c r="D76" s="226" t="e">
        <f aca="false">INDEX(DasaYears,(MOD(VLOOKUP(D75,DasaYears,3,0)+IF(VLOOKUP(B76,ChartInfo,11),-1,1)*NOT(ISBLANK(E76)),9)+1),1)</f>
        <v>#N/A</v>
      </c>
      <c r="E76" s="245"/>
      <c r="F76" s="226" t="e">
        <f aca="false">INDEX(DasaYears,(MOD(VLOOKUP(F75,DasaYears,3,0)+IF(VLOOKUP(D76,ChartInfo,11),-1,1)*ISBLANK(H76),9)+1),1)</f>
        <v>#N/A</v>
      </c>
      <c r="G76" s="249" t="e">
        <f aca="false">G75+DaysInYear*VLOOKUP(B75,DasaYears,2,0)*VLOOKUP(D75,DasaYears,2,0)/120*VLOOKUP(F75,DasaYears,2,0)/120</f>
        <v>#N/A</v>
      </c>
      <c r="H76" s="236"/>
      <c r="I76" s="236"/>
      <c r="J76" s="250"/>
      <c r="K76" s="244"/>
    </row>
    <row r="77" customFormat="false" ht="15" hidden="false" customHeight="false" outlineLevel="0" collapsed="false">
      <c r="B77" s="194" t="str">
        <f aca="false">INDEX(DasaYears,MOD($D$15+$B$63-1,9)+1,1)</f>
        <v>Jupiter</v>
      </c>
      <c r="C77" s="248"/>
      <c r="D77" s="226" t="e">
        <f aca="false">INDEX(DasaYears,(MOD(VLOOKUP(D76,DasaYears,3,0)+IF(VLOOKUP(B77,ChartInfo,11),-1,1)*NOT(ISBLANK(E77)),9)+1),1)</f>
        <v>#N/A</v>
      </c>
      <c r="E77" s="245"/>
      <c r="F77" s="226" t="e">
        <f aca="false">INDEX(DasaYears,(MOD(VLOOKUP(F76,DasaYears,3,0)+IF(VLOOKUP(D77,ChartInfo,11),-1,1)*ISBLANK(H77),9)+1),1)</f>
        <v>#N/A</v>
      </c>
      <c r="G77" s="249" t="e">
        <f aca="false">G76+DaysInYear*VLOOKUP(B76,DasaYears,2,0)*VLOOKUP(D76,DasaYears,2,0)/120*VLOOKUP(F76,DasaYears,2,0)/120</f>
        <v>#N/A</v>
      </c>
      <c r="H77" s="236"/>
      <c r="I77" s="236"/>
      <c r="J77" s="250"/>
      <c r="K77" s="244"/>
    </row>
    <row r="78" customFormat="false" ht="15" hidden="false" customHeight="false" outlineLevel="0" collapsed="false">
      <c r="B78" s="194" t="str">
        <f aca="false">INDEX(DasaYears,MOD($D$15+$B$63-1,9)+1,1)</f>
        <v>Jupiter</v>
      </c>
      <c r="C78" s="248"/>
      <c r="D78" s="226" t="e">
        <f aca="false">INDEX(DasaYears,(MOD(VLOOKUP(D77,DasaYears,3,0)+IF(VLOOKUP(B78,ChartInfo,11),-1,1)*NOT(ISBLANK(E78)),9)+1),1)</f>
        <v>#N/A</v>
      </c>
      <c r="E78" s="245"/>
      <c r="F78" s="226" t="e">
        <f aca="false">INDEX(DasaYears,(MOD(VLOOKUP(F77,DasaYears,3,0)+IF(VLOOKUP(D78,ChartInfo,11),-1,1)*ISBLANK(H78),9)+1),1)</f>
        <v>#N/A</v>
      </c>
      <c r="G78" s="249" t="e">
        <f aca="false">G77+DaysInYear*VLOOKUP(B77,DasaYears,2,0)*VLOOKUP(D77,DasaYears,2,0)/120*VLOOKUP(F77,DasaYears,2,0)/120</f>
        <v>#N/A</v>
      </c>
      <c r="H78" s="236"/>
      <c r="I78" s="236"/>
      <c r="J78" s="250"/>
      <c r="K78" s="244"/>
    </row>
    <row r="79" customFormat="false" ht="15" hidden="false" customHeight="false" outlineLevel="0" collapsed="false">
      <c r="B79" s="194" t="str">
        <f aca="false">INDEX(DasaYears,MOD($D$15+$B$63-1,9)+1,1)</f>
        <v>Jupiter</v>
      </c>
      <c r="C79" s="248"/>
      <c r="D79" s="226" t="e">
        <f aca="false">INDEX(DasaYears,(MOD(VLOOKUP(D78,DasaYears,3,0)+IF(VLOOKUP(B79,ChartInfo,11),-1,1)*NOT(ISBLANK(E79)),9)+1),1)</f>
        <v>#N/A</v>
      </c>
      <c r="E79" s="245"/>
      <c r="F79" s="226" t="e">
        <f aca="false">INDEX(DasaYears,(MOD(VLOOKUP(F78,DasaYears,3,0)+IF(VLOOKUP(D79,ChartInfo,11),-1,1)*ISBLANK(H79),9)+1),1)</f>
        <v>#N/A</v>
      </c>
      <c r="G79" s="249" t="e">
        <f aca="false">G78+DaysInYear*VLOOKUP(B78,DasaYears,2,0)*VLOOKUP(D78,DasaYears,2,0)/120*VLOOKUP(F78,DasaYears,2,0)/120</f>
        <v>#N/A</v>
      </c>
      <c r="H79" s="236"/>
      <c r="I79" s="236"/>
      <c r="J79" s="250"/>
      <c r="K79" s="244"/>
    </row>
    <row r="80" customFormat="false" ht="15" hidden="false" customHeight="false" outlineLevel="0" collapsed="false">
      <c r="B80" s="194" t="str">
        <f aca="false">INDEX(DasaYears,MOD($D$15+$B$63-1,9)+1,1)</f>
        <v>Jupiter</v>
      </c>
      <c r="C80" s="248"/>
      <c r="D80" s="226" t="e">
        <f aca="false">INDEX(DasaYears,(MOD(VLOOKUP(D79,DasaYears,3,0)+IF(VLOOKUP(B80,ChartInfo,11),-1,1)*NOT(ISBLANK(E80)),9)+1),1)</f>
        <v>#N/A</v>
      </c>
      <c r="E80" s="245"/>
      <c r="F80" s="226" t="e">
        <f aca="false">INDEX(DasaYears,(MOD(VLOOKUP(F79,DasaYears,3,0)+IF(VLOOKUP(D80,ChartInfo,11),-1,1)*ISBLANK(H80),9)+1),1)</f>
        <v>#N/A</v>
      </c>
      <c r="G80" s="249" t="e">
        <f aca="false">G79+DaysInYear*VLOOKUP(B79,DasaYears,2,0)*VLOOKUP(D79,DasaYears,2,0)/120*VLOOKUP(F79,DasaYears,2,0)/120</f>
        <v>#N/A</v>
      </c>
      <c r="H80" s="236"/>
      <c r="I80" s="236"/>
      <c r="J80" s="250"/>
      <c r="K80" s="244"/>
    </row>
    <row r="81" customFormat="false" ht="15" hidden="false" customHeight="false" outlineLevel="0" collapsed="false">
      <c r="B81" s="194" t="str">
        <f aca="false">INDEX(DasaYears,MOD($D$15+$B$63-1,9)+1,1)</f>
        <v>Jupiter</v>
      </c>
      <c r="C81" s="248"/>
      <c r="D81" s="226" t="e">
        <f aca="false">INDEX(DasaYears,(MOD(VLOOKUP(D80,DasaYears,3,0)+IF(VLOOKUP(B81,ChartInfo,11),-1,1)*NOT(ISBLANK(E81)),9)+1),1)</f>
        <v>#N/A</v>
      </c>
      <c r="E81" s="245"/>
      <c r="F81" s="226" t="e">
        <f aca="false">INDEX(DasaYears,(MOD(VLOOKUP(F80,DasaYears,3,0)+IF(VLOOKUP(D81,ChartInfo,11),-1,1)*ISBLANK(H81),9)+1),1)</f>
        <v>#N/A</v>
      </c>
      <c r="G81" s="249" t="e">
        <f aca="false">G80+DaysInYear*VLOOKUP(B80,DasaYears,2,0)*VLOOKUP(D80,DasaYears,2,0)/120*VLOOKUP(F80,DasaYears,2,0)/120</f>
        <v>#N/A</v>
      </c>
      <c r="H81" s="236"/>
      <c r="I81" s="236"/>
      <c r="J81" s="250"/>
      <c r="K81" s="244"/>
    </row>
    <row r="82" customFormat="false" ht="15" hidden="false" customHeight="false" outlineLevel="0" collapsed="false">
      <c r="B82" s="194" t="str">
        <f aca="false">INDEX(DasaYears,MOD($D$15+$B$63-1,9)+1,1)</f>
        <v>Jupiter</v>
      </c>
      <c r="C82" s="248"/>
      <c r="D82" s="226" t="e">
        <f aca="false">INDEX(DasaYears,(MOD(VLOOKUP(D81,DasaYears,3,0)+IF(VLOOKUP(B82,ChartInfo,11),-1,1)*NOT(ISBLANK(E82)),9)+1),1)</f>
        <v>#N/A</v>
      </c>
      <c r="E82" s="245"/>
      <c r="F82" s="226" t="e">
        <f aca="false">INDEX(DasaYears,(MOD(VLOOKUP(F81,DasaYears,3,0)+IF(VLOOKUP(D82,ChartInfo,11),-1,1)*ISBLANK(H82),9)+1),1)</f>
        <v>#N/A</v>
      </c>
      <c r="G82" s="249" t="e">
        <f aca="false">G81+DaysInYear*VLOOKUP(B81,DasaYears,2,0)*VLOOKUP(D81,DasaYears,2,0)/120*VLOOKUP(F81,DasaYears,2,0)/120</f>
        <v>#N/A</v>
      </c>
      <c r="H82" s="236"/>
      <c r="I82" s="236"/>
      <c r="J82" s="250"/>
      <c r="K82" s="244"/>
    </row>
    <row r="83" customFormat="false" ht="15" hidden="false" customHeight="false" outlineLevel="0" collapsed="false">
      <c r="B83" s="194" t="str">
        <f aca="false">INDEX(DasaYears,MOD($D$15+$B$63-1,9)+1,1)</f>
        <v>Jupiter</v>
      </c>
      <c r="C83" s="248"/>
      <c r="D83" s="226" t="e">
        <f aca="false">INDEX(DasaYears,(MOD(VLOOKUP(D82,DasaYears,3,0)+IF(VLOOKUP(B83,ChartInfo,11),-1,1)*NOT(ISBLANK(E83)),9)+1),1)</f>
        <v>#N/A</v>
      </c>
      <c r="E83" s="245" t="e">
        <f aca="false">E74+(VLOOKUP(B74,DasaYears,2,0)*VLOOKUP(D74,DasaYears,2,0)/VimTotal)*DaysInYear</f>
        <v>#N/A</v>
      </c>
      <c r="F83" s="226" t="e">
        <f aca="false">INDEX(DasaYears,(MOD(VLOOKUP(F82,DasaYears,3,0)+IF(VLOOKUP(D83,ChartInfo,11),-1,1)*ISBLANK(H83),9)+1),1)</f>
        <v>#N/A</v>
      </c>
      <c r="G83" s="249" t="e">
        <f aca="false">G82+DaysInYear*VLOOKUP(B82,DasaYears,2,0)*VLOOKUP(D82,DasaYears,2,0)/120*VLOOKUP(F82,DasaYears,2,0)/120</f>
        <v>#N/A</v>
      </c>
      <c r="H83" s="251"/>
      <c r="I83" s="236"/>
      <c r="J83" s="250"/>
      <c r="K83" s="244"/>
    </row>
    <row r="84" customFormat="false" ht="15" hidden="false" customHeight="false" outlineLevel="0" collapsed="false">
      <c r="B84" s="194" t="str">
        <f aca="false">INDEX(DasaYears,MOD($D$15+$B$63-1,9)+1,1)</f>
        <v>Jupiter</v>
      </c>
      <c r="C84" s="248"/>
      <c r="D84" s="226" t="e">
        <f aca="false">INDEX(DasaYears,(MOD(VLOOKUP(D83,DasaYears,3,0)+IF(VLOOKUP(B84,ChartInfo,11),-1,1)*NOT(ISBLANK(E84)),9)+1),1)</f>
        <v>#N/A</v>
      </c>
      <c r="E84" s="245"/>
      <c r="F84" s="226" t="e">
        <f aca="false">INDEX(DasaYears,(MOD(VLOOKUP(F83,DasaYears,3,0)+IF(VLOOKUP(D84,ChartInfo,11),-1,1)*ISBLANK(H84),9)+1),1)</f>
        <v>#N/A</v>
      </c>
      <c r="G84" s="249" t="e">
        <f aca="false">G83+DaysInYear*VLOOKUP(B83,DasaYears,2,0)*VLOOKUP(D83,DasaYears,2,0)/120*VLOOKUP(F83,DasaYears,2,0)/120</f>
        <v>#N/A</v>
      </c>
      <c r="H84" s="236"/>
      <c r="I84" s="236"/>
      <c r="J84" s="250"/>
      <c r="K84" s="244"/>
    </row>
    <row r="85" customFormat="false" ht="15" hidden="false" customHeight="false" outlineLevel="0" collapsed="false">
      <c r="B85" s="194" t="str">
        <f aca="false">INDEX(DasaYears,MOD($D$15+$B$63-1,9)+1,1)</f>
        <v>Jupiter</v>
      </c>
      <c r="C85" s="248"/>
      <c r="D85" s="226" t="e">
        <f aca="false">INDEX(DasaYears,(MOD(VLOOKUP(D84,DasaYears,3,0)+IF(VLOOKUP(B85,ChartInfo,11),-1,1)*NOT(ISBLANK(E85)),9)+1),1)</f>
        <v>#N/A</v>
      </c>
      <c r="E85" s="245"/>
      <c r="F85" s="226" t="e">
        <f aca="false">INDEX(DasaYears,(MOD(VLOOKUP(F84,DasaYears,3,0)+IF(VLOOKUP(D85,ChartInfo,11),-1,1)*ISBLANK(H85),9)+1),1)</f>
        <v>#N/A</v>
      </c>
      <c r="G85" s="249" t="e">
        <f aca="false">G84+DaysInYear*VLOOKUP(B84,DasaYears,2,0)*VLOOKUP(D84,DasaYears,2,0)/120*VLOOKUP(F84,DasaYears,2,0)/120</f>
        <v>#N/A</v>
      </c>
      <c r="H85" s="236"/>
      <c r="I85" s="236"/>
      <c r="J85" s="250"/>
      <c r="K85" s="244"/>
    </row>
    <row r="86" customFormat="false" ht="15" hidden="false" customHeight="false" outlineLevel="0" collapsed="false">
      <c r="B86" s="194" t="str">
        <f aca="false">INDEX(DasaYears,MOD($D$15+$B$63-1,9)+1,1)</f>
        <v>Jupiter</v>
      </c>
      <c r="C86" s="248"/>
      <c r="D86" s="226" t="e">
        <f aca="false">INDEX(DasaYears,(MOD(VLOOKUP(D85,DasaYears,3,0)+IF(VLOOKUP(B86,ChartInfo,11),-1,1)*NOT(ISBLANK(E86)),9)+1),1)</f>
        <v>#N/A</v>
      </c>
      <c r="E86" s="245"/>
      <c r="F86" s="226" t="e">
        <f aca="false">INDEX(DasaYears,(MOD(VLOOKUP(F85,DasaYears,3,0)+IF(VLOOKUP(D86,ChartInfo,11),-1,1)*ISBLANK(H86),9)+1),1)</f>
        <v>#N/A</v>
      </c>
      <c r="G86" s="249" t="e">
        <f aca="false">G85+DaysInYear*VLOOKUP(B85,DasaYears,2,0)*VLOOKUP(D85,DasaYears,2,0)/120*VLOOKUP(F85,DasaYears,2,0)/120</f>
        <v>#N/A</v>
      </c>
      <c r="H86" s="236"/>
      <c r="I86" s="236"/>
      <c r="J86" s="250"/>
      <c r="K86" s="244"/>
    </row>
    <row r="87" customFormat="false" ht="15" hidden="false" customHeight="false" outlineLevel="0" collapsed="false">
      <c r="B87" s="194" t="str">
        <f aca="false">INDEX(DasaYears,MOD($D$15+$B$63-1,9)+1,1)</f>
        <v>Jupiter</v>
      </c>
      <c r="C87" s="248"/>
      <c r="D87" s="226" t="e">
        <f aca="false">INDEX(DasaYears,(MOD(VLOOKUP(D86,DasaYears,3,0)+IF(VLOOKUP(B87,ChartInfo,11),-1,1)*NOT(ISBLANK(E87)),9)+1),1)</f>
        <v>#N/A</v>
      </c>
      <c r="E87" s="245"/>
      <c r="F87" s="226" t="e">
        <f aca="false">INDEX(DasaYears,(MOD(VLOOKUP(F86,DasaYears,3,0)+IF(VLOOKUP(D87,ChartInfo,11),-1,1)*ISBLANK(H87),9)+1),1)</f>
        <v>#N/A</v>
      </c>
      <c r="G87" s="249" t="e">
        <f aca="false">G86+DaysInYear*VLOOKUP(B86,DasaYears,2,0)*VLOOKUP(D86,DasaYears,2,0)/120*VLOOKUP(F86,DasaYears,2,0)/120</f>
        <v>#N/A</v>
      </c>
      <c r="H87" s="236"/>
      <c r="I87" s="236"/>
      <c r="J87" s="250"/>
      <c r="K87" s="244"/>
    </row>
    <row r="88" customFormat="false" ht="15" hidden="false" customHeight="false" outlineLevel="0" collapsed="false">
      <c r="B88" s="194" t="str">
        <f aca="false">INDEX(DasaYears,MOD($D$15+$B$63-1,9)+1,1)</f>
        <v>Jupiter</v>
      </c>
      <c r="C88" s="248"/>
      <c r="D88" s="226" t="e">
        <f aca="false">INDEX(DasaYears,(MOD(VLOOKUP(D87,DasaYears,3,0)+IF(VLOOKUP(B88,ChartInfo,11),-1,1)*NOT(ISBLANK(E88)),9)+1),1)</f>
        <v>#N/A</v>
      </c>
      <c r="E88" s="245"/>
      <c r="F88" s="226" t="e">
        <f aca="false">INDEX(DasaYears,(MOD(VLOOKUP(F87,DasaYears,3,0)+IF(VLOOKUP(D88,ChartInfo,11),-1,1)*ISBLANK(H88),9)+1),1)</f>
        <v>#N/A</v>
      </c>
      <c r="G88" s="249" t="e">
        <f aca="false">G87+DaysInYear*VLOOKUP(B87,DasaYears,2,0)*VLOOKUP(D87,DasaYears,2,0)/120*VLOOKUP(F87,DasaYears,2,0)/120</f>
        <v>#N/A</v>
      </c>
      <c r="H88" s="236"/>
      <c r="I88" s="236"/>
      <c r="J88" s="250"/>
      <c r="K88" s="244"/>
    </row>
    <row r="89" customFormat="false" ht="15" hidden="false" customHeight="false" outlineLevel="0" collapsed="false">
      <c r="B89" s="194" t="str">
        <f aca="false">INDEX(DasaYears,MOD($D$15+$B$63-1,9)+1,1)</f>
        <v>Jupiter</v>
      </c>
      <c r="C89" s="248"/>
      <c r="D89" s="226" t="e">
        <f aca="false">INDEX(DasaYears,(MOD(VLOOKUP(D88,DasaYears,3,0)+IF(VLOOKUP(B89,ChartInfo,11),-1,1)*NOT(ISBLANK(E89)),9)+1),1)</f>
        <v>#N/A</v>
      </c>
      <c r="E89" s="245"/>
      <c r="F89" s="226" t="e">
        <f aca="false">INDEX(DasaYears,(MOD(VLOOKUP(F88,DasaYears,3,0)+IF(VLOOKUP(D89,ChartInfo,11),-1,1)*ISBLANK(H89),9)+1),1)</f>
        <v>#N/A</v>
      </c>
      <c r="G89" s="249" t="e">
        <f aca="false">G88+DaysInYear*VLOOKUP(B88,DasaYears,2,0)*VLOOKUP(D88,DasaYears,2,0)/120*VLOOKUP(F88,DasaYears,2,0)/120</f>
        <v>#N/A</v>
      </c>
      <c r="H89" s="236"/>
      <c r="I89" s="236"/>
      <c r="J89" s="250"/>
      <c r="K89" s="244"/>
    </row>
    <row r="90" customFormat="false" ht="15" hidden="false" customHeight="false" outlineLevel="0" collapsed="false">
      <c r="B90" s="194" t="str">
        <f aca="false">INDEX(DasaYears,MOD($D$15+$B$63-1,9)+1,1)</f>
        <v>Jupiter</v>
      </c>
      <c r="C90" s="248"/>
      <c r="D90" s="226" t="e">
        <f aca="false">INDEX(DasaYears,(MOD(VLOOKUP(D89,DasaYears,3,0)+IF(VLOOKUP(B90,ChartInfo,11),-1,1)*NOT(ISBLANK(E90)),9)+1),1)</f>
        <v>#N/A</v>
      </c>
      <c r="E90" s="245"/>
      <c r="F90" s="226" t="e">
        <f aca="false">INDEX(DasaYears,(MOD(VLOOKUP(F89,DasaYears,3,0)+IF(VLOOKUP(D90,ChartInfo,11),-1,1)*ISBLANK(H90),9)+1),1)</f>
        <v>#N/A</v>
      </c>
      <c r="G90" s="249" t="e">
        <f aca="false">G89+DaysInYear*VLOOKUP(B89,DasaYears,2,0)*VLOOKUP(D89,DasaYears,2,0)/120*VLOOKUP(F89,DasaYears,2,0)/120</f>
        <v>#N/A</v>
      </c>
      <c r="H90" s="236"/>
      <c r="I90" s="236"/>
      <c r="J90" s="250"/>
      <c r="K90" s="244"/>
    </row>
    <row r="91" customFormat="false" ht="15" hidden="false" customHeight="false" outlineLevel="0" collapsed="false">
      <c r="B91" s="194" t="str">
        <f aca="false">INDEX(DasaYears,MOD($D$15+$B$63-1,9)+1,1)</f>
        <v>Jupiter</v>
      </c>
      <c r="C91" s="248"/>
      <c r="D91" s="226" t="e">
        <f aca="false">INDEX(DasaYears,(MOD(VLOOKUP(D90,DasaYears,3,0)+IF(VLOOKUP(B91,ChartInfo,11),-1,1)*NOT(ISBLANK(E91)),9)+1),1)</f>
        <v>#N/A</v>
      </c>
      <c r="E91" s="245"/>
      <c r="F91" s="226" t="e">
        <f aca="false">INDEX(DasaYears,(MOD(VLOOKUP(F90,DasaYears,3,0)+IF(VLOOKUP(D91,ChartInfo,11),-1,1)*ISBLANK(H91),9)+1),1)</f>
        <v>#N/A</v>
      </c>
      <c r="G91" s="249" t="e">
        <f aca="false">G90+DaysInYear*VLOOKUP(B90,DasaYears,2,0)*VLOOKUP(D90,DasaYears,2,0)/120*VLOOKUP(F90,DasaYears,2,0)/120</f>
        <v>#N/A</v>
      </c>
      <c r="H91" s="236"/>
      <c r="I91" s="236"/>
      <c r="J91" s="250"/>
      <c r="K91" s="244"/>
    </row>
    <row r="92" customFormat="false" ht="15" hidden="false" customHeight="false" outlineLevel="0" collapsed="false">
      <c r="B92" s="194" t="str">
        <f aca="false">INDEX(DasaYears,MOD($D$15+$B$63-1,9)+1,1)</f>
        <v>Jupiter</v>
      </c>
      <c r="C92" s="248"/>
      <c r="D92" s="226" t="e">
        <f aca="false">INDEX(DasaYears,(MOD(VLOOKUP(D91,DasaYears,3,0)+IF(VLOOKUP(B92,ChartInfo,11),-1,1)*NOT(ISBLANK(E92)),9)+1),1)</f>
        <v>#N/A</v>
      </c>
      <c r="E92" s="245" t="e">
        <f aca="false">E83+(VLOOKUP(B83,DasaYears,2,0)*VLOOKUP(D83,DasaYears,2,0)/VimTotal)*DaysInYear</f>
        <v>#N/A</v>
      </c>
      <c r="F92" s="226" t="e">
        <f aca="false">INDEX(DasaYears,(MOD(VLOOKUP(F91,DasaYears,3,0)+IF(VLOOKUP(D92,ChartInfo,11),-1,1)*ISBLANK(H92),9)+1),1)</f>
        <v>#N/A</v>
      </c>
      <c r="G92" s="249" t="e">
        <f aca="false">G91+DaysInYear*VLOOKUP(B91,DasaYears,2,0)*VLOOKUP(D91,DasaYears,2,0)/120*VLOOKUP(F91,DasaYears,2,0)/120</f>
        <v>#N/A</v>
      </c>
      <c r="H92" s="236"/>
      <c r="I92" s="236"/>
      <c r="J92" s="250"/>
      <c r="K92" s="244"/>
    </row>
    <row r="93" customFormat="false" ht="15" hidden="false" customHeight="false" outlineLevel="0" collapsed="false">
      <c r="B93" s="194" t="str">
        <f aca="false">INDEX(DasaYears,MOD($D$15+$B$63-1,9)+1,1)</f>
        <v>Jupiter</v>
      </c>
      <c r="C93" s="248"/>
      <c r="D93" s="226" t="e">
        <f aca="false">INDEX(DasaYears,(MOD(VLOOKUP(D92,DasaYears,3,0)+IF(VLOOKUP(B93,ChartInfo,11),-1,1)*NOT(ISBLANK(E93)),9)+1),1)</f>
        <v>#N/A</v>
      </c>
      <c r="E93" s="245"/>
      <c r="F93" s="226" t="e">
        <f aca="false">INDEX(DasaYears,(MOD(VLOOKUP(F92,DasaYears,3,0)+IF(VLOOKUP(D93,ChartInfo,11),-1,1)*ISBLANK(H93),9)+1),1)</f>
        <v>#N/A</v>
      </c>
      <c r="G93" s="249" t="e">
        <f aca="false">G92+DaysInYear*VLOOKUP(B92,DasaYears,2,0)*VLOOKUP(D92,DasaYears,2,0)/120*VLOOKUP(F92,DasaYears,2,0)/120</f>
        <v>#N/A</v>
      </c>
      <c r="H93" s="236"/>
      <c r="I93" s="236"/>
      <c r="J93" s="250"/>
      <c r="K93" s="244"/>
    </row>
    <row r="94" customFormat="false" ht="15" hidden="false" customHeight="false" outlineLevel="0" collapsed="false">
      <c r="B94" s="194" t="str">
        <f aca="false">INDEX(DasaYears,MOD($D$15+$B$63-1,9)+1,1)</f>
        <v>Jupiter</v>
      </c>
      <c r="C94" s="248"/>
      <c r="D94" s="226" t="e">
        <f aca="false">INDEX(DasaYears,(MOD(VLOOKUP(D93,DasaYears,3,0)+IF(VLOOKUP(B94,ChartInfo,11),-1,1)*NOT(ISBLANK(E94)),9)+1),1)</f>
        <v>#N/A</v>
      </c>
      <c r="E94" s="245"/>
      <c r="F94" s="226" t="e">
        <f aca="false">INDEX(DasaYears,(MOD(VLOOKUP(F93,DasaYears,3,0)+IF(VLOOKUP(D94,ChartInfo,11),-1,1)*ISBLANK(H94),9)+1),1)</f>
        <v>#N/A</v>
      </c>
      <c r="G94" s="249" t="e">
        <f aca="false">G93+DaysInYear*VLOOKUP(B93,DasaYears,2,0)*VLOOKUP(D93,DasaYears,2,0)/120*VLOOKUP(F93,DasaYears,2,0)/120</f>
        <v>#N/A</v>
      </c>
      <c r="H94" s="236"/>
      <c r="I94" s="236"/>
      <c r="J94" s="250"/>
      <c r="K94" s="244"/>
    </row>
    <row r="95" customFormat="false" ht="15" hidden="false" customHeight="false" outlineLevel="0" collapsed="false">
      <c r="B95" s="194" t="str">
        <f aca="false">INDEX(DasaYears,MOD($D$15+$B$63-1,9)+1,1)</f>
        <v>Jupiter</v>
      </c>
      <c r="C95" s="248"/>
      <c r="D95" s="226" t="e">
        <f aca="false">INDEX(DasaYears,(MOD(VLOOKUP(D94,DasaYears,3,0)+IF(VLOOKUP(B95,ChartInfo,11),-1,1)*NOT(ISBLANK(E95)),9)+1),1)</f>
        <v>#N/A</v>
      </c>
      <c r="E95" s="245"/>
      <c r="F95" s="226" t="e">
        <f aca="false">INDEX(DasaYears,(MOD(VLOOKUP(F94,DasaYears,3,0)+IF(VLOOKUP(D95,ChartInfo,11),-1,1)*ISBLANK(H95),9)+1),1)</f>
        <v>#N/A</v>
      </c>
      <c r="G95" s="249" t="e">
        <f aca="false">G94+DaysInYear*VLOOKUP(B94,DasaYears,2,0)*VLOOKUP(D94,DasaYears,2,0)/120*VLOOKUP(F94,DasaYears,2,0)/120</f>
        <v>#N/A</v>
      </c>
      <c r="H95" s="236"/>
      <c r="I95" s="236"/>
      <c r="J95" s="250"/>
      <c r="K95" s="244"/>
    </row>
    <row r="96" customFormat="false" ht="15" hidden="false" customHeight="false" outlineLevel="0" collapsed="false">
      <c r="B96" s="194" t="str">
        <f aca="false">INDEX(DasaYears,MOD($D$15+$B$63-1,9)+1,1)</f>
        <v>Jupiter</v>
      </c>
      <c r="C96" s="248"/>
      <c r="D96" s="226" t="e">
        <f aca="false">INDEX(DasaYears,(MOD(VLOOKUP(D95,DasaYears,3,0)+IF(VLOOKUP(B96,ChartInfo,11),-1,1)*NOT(ISBLANK(E96)),9)+1),1)</f>
        <v>#N/A</v>
      </c>
      <c r="E96" s="245"/>
      <c r="F96" s="226" t="e">
        <f aca="false">INDEX(DasaYears,(MOD(VLOOKUP(F95,DasaYears,3,0)+IF(VLOOKUP(D96,ChartInfo,11),-1,1)*ISBLANK(H96),9)+1),1)</f>
        <v>#N/A</v>
      </c>
      <c r="G96" s="249" t="e">
        <f aca="false">G95+DaysInYear*VLOOKUP(B95,DasaYears,2,0)*VLOOKUP(D95,DasaYears,2,0)/120*VLOOKUP(F95,DasaYears,2,0)/120</f>
        <v>#N/A</v>
      </c>
      <c r="H96" s="236"/>
      <c r="I96" s="236"/>
      <c r="J96" s="250"/>
      <c r="K96" s="244"/>
    </row>
    <row r="97" customFormat="false" ht="15" hidden="false" customHeight="false" outlineLevel="0" collapsed="false">
      <c r="B97" s="194" t="str">
        <f aca="false">INDEX(DasaYears,MOD($D$15+$B$63-1,9)+1,1)</f>
        <v>Jupiter</v>
      </c>
      <c r="C97" s="248"/>
      <c r="D97" s="226" t="e">
        <f aca="false">INDEX(DasaYears,(MOD(VLOOKUP(D96,DasaYears,3,0)+IF(VLOOKUP(B97,ChartInfo,11),-1,1)*NOT(ISBLANK(E97)),9)+1),1)</f>
        <v>#N/A</v>
      </c>
      <c r="E97" s="245"/>
      <c r="F97" s="226" t="e">
        <f aca="false">INDEX(DasaYears,(MOD(VLOOKUP(F96,DasaYears,3,0)+IF(VLOOKUP(D97,ChartInfo,11),-1,1)*ISBLANK(H97),9)+1),1)</f>
        <v>#N/A</v>
      </c>
      <c r="G97" s="249" t="e">
        <f aca="false">G96+DaysInYear*VLOOKUP(B96,DasaYears,2,0)*VLOOKUP(D96,DasaYears,2,0)/120*VLOOKUP(F96,DasaYears,2,0)/120</f>
        <v>#N/A</v>
      </c>
      <c r="H97" s="236"/>
      <c r="I97" s="236"/>
      <c r="J97" s="250"/>
      <c r="K97" s="244"/>
    </row>
    <row r="98" customFormat="false" ht="15" hidden="false" customHeight="false" outlineLevel="0" collapsed="false">
      <c r="B98" s="194" t="str">
        <f aca="false">INDEX(DasaYears,MOD($D$15+$B$63-1,9)+1,1)</f>
        <v>Jupiter</v>
      </c>
      <c r="C98" s="248"/>
      <c r="D98" s="226" t="e">
        <f aca="false">INDEX(DasaYears,(MOD(VLOOKUP(D97,DasaYears,3,0)+IF(VLOOKUP(B98,ChartInfo,11),-1,1)*NOT(ISBLANK(E98)),9)+1),1)</f>
        <v>#N/A</v>
      </c>
      <c r="E98" s="245"/>
      <c r="F98" s="226" t="e">
        <f aca="false">INDEX(DasaYears,(MOD(VLOOKUP(F97,DasaYears,3,0)+IF(VLOOKUP(D98,ChartInfo,11),-1,1)*ISBLANK(H98),9)+1),1)</f>
        <v>#N/A</v>
      </c>
      <c r="G98" s="249" t="e">
        <f aca="false">G97+DaysInYear*VLOOKUP(B97,DasaYears,2,0)*VLOOKUP(D97,DasaYears,2,0)/120*VLOOKUP(F97,DasaYears,2,0)/120</f>
        <v>#N/A</v>
      </c>
      <c r="H98" s="236"/>
      <c r="I98" s="236"/>
      <c r="J98" s="250"/>
      <c r="K98" s="244"/>
    </row>
    <row r="99" customFormat="false" ht="15" hidden="false" customHeight="false" outlineLevel="0" collapsed="false">
      <c r="A99" s="6" t="s">
        <v>394</v>
      </c>
      <c r="B99" s="194" t="str">
        <f aca="false">INDEX(DasaYears,MOD($D$15+$B$63-1,9)+1,1)</f>
        <v>Jupiter</v>
      </c>
      <c r="C99" s="248"/>
      <c r="D99" s="226" t="e">
        <f aca="false">INDEX(DasaYears,(MOD(VLOOKUP(D98,DasaYears,3,0)+IF(VLOOKUP(B99,ChartInfo,11),-1,1)*NOT(ISBLANK(E99)),9)+1),1)</f>
        <v>#N/A</v>
      </c>
      <c r="E99" s="245"/>
      <c r="F99" s="226" t="e">
        <f aca="false">INDEX(DasaYears,(MOD(VLOOKUP(F98,DasaYears,3,0)+IF(VLOOKUP(D99,ChartInfo,11),-1,1)*ISBLANK(H99),9)+1),1)</f>
        <v>#N/A</v>
      </c>
      <c r="G99" s="249" t="e">
        <f aca="false">G98+DaysInYear*VLOOKUP(B98,DasaYears,2,0)*VLOOKUP(D98,DasaYears,2,0)/120*VLOOKUP(F98,DasaYears,2,0)/120</f>
        <v>#N/A</v>
      </c>
      <c r="H99" s="236"/>
      <c r="I99" s="236"/>
      <c r="J99" s="250"/>
      <c r="K99" s="244"/>
    </row>
    <row r="100" customFormat="false" ht="15" hidden="false" customHeight="false" outlineLevel="0" collapsed="false">
      <c r="B100" s="194" t="str">
        <f aca="false">INDEX(DasaYears,MOD($D$15+$B$63-1,9)+1,1)</f>
        <v>Jupiter</v>
      </c>
      <c r="C100" s="248"/>
      <c r="D100" s="226" t="e">
        <f aca="false">INDEX(DasaYears,(MOD(VLOOKUP(D99,DasaYears,3,0)+IF(VLOOKUP(B100,ChartInfo,11),-1,1)*NOT(ISBLANK(E100)),9)+1),1)</f>
        <v>#N/A</v>
      </c>
      <c r="E100" s="245"/>
      <c r="F100" s="226" t="e">
        <f aca="false">INDEX(DasaYears,(MOD(VLOOKUP(F99,DasaYears,3,0)+IF(VLOOKUP(D100,ChartInfo,11),-1,1)*ISBLANK(H100),9)+1),1)</f>
        <v>#N/A</v>
      </c>
      <c r="G100" s="249" t="e">
        <f aca="false">G99+DaysInYear*VLOOKUP(B99,DasaYears,2,0)*VLOOKUP(D99,DasaYears,2,0)/120*VLOOKUP(F99,DasaYears,2,0)/120</f>
        <v>#N/A</v>
      </c>
      <c r="H100" s="236"/>
      <c r="I100" s="236"/>
      <c r="J100" s="250"/>
      <c r="K100" s="244"/>
    </row>
    <row r="101" customFormat="false" ht="15" hidden="false" customHeight="false" outlineLevel="0" collapsed="false">
      <c r="B101" s="194" t="str">
        <f aca="false">INDEX(DasaYears,MOD($D$15+$B$63-1,9)+1,1)</f>
        <v>Jupiter</v>
      </c>
      <c r="C101" s="248"/>
      <c r="D101" s="226" t="e">
        <f aca="false">INDEX(DasaYears,(MOD(VLOOKUP(D100,DasaYears,3,0)+IF(VLOOKUP(B101,ChartInfo,11),-1,1)*NOT(ISBLANK(E101)),9)+1),1)</f>
        <v>#N/A</v>
      </c>
      <c r="E101" s="245" t="e">
        <f aca="false">E92+(VLOOKUP(B92,DasaYears,2,0)*VLOOKUP(D92,DasaYears,2,0)/VimTotal)*DaysInYear</f>
        <v>#N/A</v>
      </c>
      <c r="F101" s="226" t="e">
        <f aca="false">INDEX(DasaYears,(MOD(VLOOKUP(F100,DasaYears,3,0)+IF(VLOOKUP(D101,ChartInfo,11),-1,1)*ISBLANK(H101),9)+1),1)</f>
        <v>#N/A</v>
      </c>
      <c r="G101" s="249" t="e">
        <f aca="false">G100+DaysInYear*VLOOKUP(B100,DasaYears,2,0)*VLOOKUP(D100,DasaYears,2,0)/120*VLOOKUP(F100,DasaYears,2,0)/120</f>
        <v>#N/A</v>
      </c>
      <c r="H101" s="236"/>
      <c r="I101" s="236"/>
      <c r="J101" s="250"/>
      <c r="K101" s="244"/>
    </row>
    <row r="102" customFormat="false" ht="15" hidden="false" customHeight="false" outlineLevel="0" collapsed="false">
      <c r="B102" s="194" t="str">
        <f aca="false">INDEX(DasaYears,MOD($D$15+$B$63-1,9)+1,1)</f>
        <v>Jupiter</v>
      </c>
      <c r="C102" s="248"/>
      <c r="D102" s="226" t="e">
        <f aca="false">INDEX(DasaYears,(MOD(VLOOKUP(D101,DasaYears,3,0)+IF(VLOOKUP(B102,ChartInfo,11),-1,1)*NOT(ISBLANK(E102)),9)+1),1)</f>
        <v>#N/A</v>
      </c>
      <c r="E102" s="245"/>
      <c r="F102" s="226" t="e">
        <f aca="false">INDEX(DasaYears,(MOD(VLOOKUP(F101,DasaYears,3,0)+IF(VLOOKUP(D102,ChartInfo,11),-1,1)*ISBLANK(H102),9)+1),1)</f>
        <v>#N/A</v>
      </c>
      <c r="G102" s="249" t="e">
        <f aca="false">G101+DaysInYear*VLOOKUP(B101,DasaYears,2,0)*VLOOKUP(D101,DasaYears,2,0)/120*VLOOKUP(F101,DasaYears,2,0)/120</f>
        <v>#N/A</v>
      </c>
      <c r="H102" s="236"/>
      <c r="I102" s="236"/>
      <c r="J102" s="250"/>
      <c r="K102" s="244"/>
    </row>
    <row r="103" customFormat="false" ht="15" hidden="false" customHeight="false" outlineLevel="0" collapsed="false">
      <c r="B103" s="194" t="str">
        <f aca="false">INDEX(DasaYears,MOD($D$15+$B$63-1,9)+1,1)</f>
        <v>Jupiter</v>
      </c>
      <c r="C103" s="248"/>
      <c r="D103" s="226" t="e">
        <f aca="false">INDEX(DasaYears,(MOD(VLOOKUP(D102,DasaYears,3,0)+IF(VLOOKUP(B103,ChartInfo,11),-1,1)*NOT(ISBLANK(E103)),9)+1),1)</f>
        <v>#N/A</v>
      </c>
      <c r="E103" s="245"/>
      <c r="F103" s="226" t="e">
        <f aca="false">INDEX(DasaYears,(MOD(VLOOKUP(F102,DasaYears,3,0)+IF(VLOOKUP(D103,ChartInfo,11),-1,1)*ISBLANK(H103),9)+1),1)</f>
        <v>#N/A</v>
      </c>
      <c r="G103" s="249" t="e">
        <f aca="false">G102+DaysInYear*VLOOKUP(B102,DasaYears,2,0)*VLOOKUP(D102,DasaYears,2,0)/120*VLOOKUP(F102,DasaYears,2,0)/120</f>
        <v>#N/A</v>
      </c>
      <c r="H103" s="236"/>
      <c r="I103" s="236"/>
      <c r="J103" s="250"/>
      <c r="K103" s="244"/>
    </row>
    <row r="104" customFormat="false" ht="15" hidden="false" customHeight="false" outlineLevel="0" collapsed="false">
      <c r="B104" s="194" t="str">
        <f aca="false">INDEX(DasaYears,MOD($D$15+$B$63-1,9)+1,1)</f>
        <v>Jupiter</v>
      </c>
      <c r="C104" s="248"/>
      <c r="D104" s="226" t="e">
        <f aca="false">INDEX(DasaYears,(MOD(VLOOKUP(D103,DasaYears,3,0)+IF(VLOOKUP(B104,ChartInfo,11),-1,1)*NOT(ISBLANK(E104)),9)+1),1)</f>
        <v>#N/A</v>
      </c>
      <c r="E104" s="245"/>
      <c r="F104" s="226" t="e">
        <f aca="false">INDEX(DasaYears,(MOD(VLOOKUP(F103,DasaYears,3,0)+IF(VLOOKUP(D104,ChartInfo,11),-1,1)*ISBLANK(H104),9)+1),1)</f>
        <v>#N/A</v>
      </c>
      <c r="G104" s="249" t="e">
        <f aca="false">G103+DaysInYear*VLOOKUP(B103,DasaYears,2,0)*VLOOKUP(D103,DasaYears,2,0)/120*VLOOKUP(F103,DasaYears,2,0)/120</f>
        <v>#N/A</v>
      </c>
      <c r="H104" s="236"/>
      <c r="I104" s="236"/>
      <c r="J104" s="250"/>
      <c r="K104" s="244"/>
    </row>
    <row r="105" customFormat="false" ht="15" hidden="false" customHeight="false" outlineLevel="0" collapsed="false">
      <c r="B105" s="194" t="str">
        <f aca="false">INDEX(DasaYears,MOD($D$15+$B$63-1,9)+1,1)</f>
        <v>Jupiter</v>
      </c>
      <c r="C105" s="248"/>
      <c r="D105" s="226" t="e">
        <f aca="false">INDEX(DasaYears,(MOD(VLOOKUP(D104,DasaYears,3,0)+IF(VLOOKUP(B105,ChartInfo,11),-1,1)*NOT(ISBLANK(E105)),9)+1),1)</f>
        <v>#N/A</v>
      </c>
      <c r="E105" s="245"/>
      <c r="F105" s="226" t="e">
        <f aca="false">INDEX(DasaYears,(MOD(VLOOKUP(F104,DasaYears,3,0)+IF(VLOOKUP(D105,ChartInfo,11),-1,1)*ISBLANK(H105),9)+1),1)</f>
        <v>#N/A</v>
      </c>
      <c r="G105" s="249" t="e">
        <f aca="false">G104+DaysInYear*VLOOKUP(B104,DasaYears,2,0)*VLOOKUP(D104,DasaYears,2,0)/120*VLOOKUP(F104,DasaYears,2,0)/120</f>
        <v>#N/A</v>
      </c>
      <c r="H105" s="236"/>
      <c r="I105" s="236"/>
      <c r="J105" s="250"/>
      <c r="K105" s="244"/>
    </row>
    <row r="106" customFormat="false" ht="15" hidden="false" customHeight="false" outlineLevel="0" collapsed="false">
      <c r="B106" s="194" t="str">
        <f aca="false">INDEX(DasaYears,MOD($D$15+$B$63-1,9)+1,1)</f>
        <v>Jupiter</v>
      </c>
      <c r="C106" s="248"/>
      <c r="D106" s="226" t="e">
        <f aca="false">INDEX(DasaYears,(MOD(VLOOKUP(D105,DasaYears,3,0)+IF(VLOOKUP(B106,ChartInfo,11),-1,1)*NOT(ISBLANK(E106)),9)+1),1)</f>
        <v>#N/A</v>
      </c>
      <c r="E106" s="245"/>
      <c r="F106" s="226" t="e">
        <f aca="false">INDEX(DasaYears,(MOD(VLOOKUP(F105,DasaYears,3,0)+IF(VLOOKUP(D106,ChartInfo,11),-1,1)*ISBLANK(H106),9)+1),1)</f>
        <v>#N/A</v>
      </c>
      <c r="G106" s="249" t="e">
        <f aca="false">G105+DaysInYear*VLOOKUP(B105,DasaYears,2,0)*VLOOKUP(D105,DasaYears,2,0)/120*VLOOKUP(F105,DasaYears,2,0)/120</f>
        <v>#N/A</v>
      </c>
      <c r="H106" s="236"/>
      <c r="I106" s="236"/>
      <c r="J106" s="250"/>
      <c r="K106" s="244"/>
    </row>
    <row r="107" customFormat="false" ht="15" hidden="false" customHeight="false" outlineLevel="0" collapsed="false">
      <c r="B107" s="194" t="str">
        <f aca="false">INDEX(DasaYears,MOD($D$15+$B$63-1,9)+1,1)</f>
        <v>Jupiter</v>
      </c>
      <c r="C107" s="248"/>
      <c r="D107" s="226" t="e">
        <f aca="false">INDEX(DasaYears,(MOD(VLOOKUP(D106,DasaYears,3,0)+IF(VLOOKUP(B107,ChartInfo,11),-1,1)*NOT(ISBLANK(E107)),9)+1),1)</f>
        <v>#N/A</v>
      </c>
      <c r="E107" s="245"/>
      <c r="F107" s="226" t="e">
        <f aca="false">INDEX(DasaYears,(MOD(VLOOKUP(F106,DasaYears,3,0)+IF(VLOOKUP(D107,ChartInfo,11),-1,1)*ISBLANK(H107),9)+1),1)</f>
        <v>#N/A</v>
      </c>
      <c r="G107" s="249" t="e">
        <f aca="false">G106+DaysInYear*VLOOKUP(B106,DasaYears,2,0)*VLOOKUP(D106,DasaYears,2,0)/120*VLOOKUP(F106,DasaYears,2,0)/120</f>
        <v>#N/A</v>
      </c>
      <c r="H107" s="236"/>
      <c r="I107" s="236"/>
      <c r="J107" s="250"/>
      <c r="K107" s="244"/>
    </row>
    <row r="108" customFormat="false" ht="15" hidden="false" customHeight="false" outlineLevel="0" collapsed="false">
      <c r="B108" s="194" t="str">
        <f aca="false">INDEX(DasaYears,MOD($D$15+$B$63-1,9)+1,1)</f>
        <v>Jupiter</v>
      </c>
      <c r="C108" s="248"/>
      <c r="D108" s="226" t="e">
        <f aca="false">INDEX(DasaYears,(MOD(VLOOKUP(D107,DasaYears,3,0)+IF(VLOOKUP(B108,ChartInfo,11),-1,1)*NOT(ISBLANK(E108)),9)+1),1)</f>
        <v>#N/A</v>
      </c>
      <c r="E108" s="245"/>
      <c r="F108" s="226" t="e">
        <f aca="false">INDEX(DasaYears,(MOD(VLOOKUP(F107,DasaYears,3,0)+IF(VLOOKUP(D108,ChartInfo,11),-1,1)*ISBLANK(H108),9)+1),1)</f>
        <v>#N/A</v>
      </c>
      <c r="G108" s="249" t="e">
        <f aca="false">G107+DaysInYear*VLOOKUP(B107,DasaYears,2,0)*VLOOKUP(D107,DasaYears,2,0)/120*VLOOKUP(F107,DasaYears,2,0)/120</f>
        <v>#N/A</v>
      </c>
      <c r="H108" s="236"/>
      <c r="I108" s="236"/>
      <c r="J108" s="250"/>
      <c r="K108" s="244"/>
    </row>
    <row r="109" customFormat="false" ht="15" hidden="false" customHeight="false" outlineLevel="0" collapsed="false">
      <c r="B109" s="194" t="str">
        <f aca="false">INDEX(DasaYears,MOD($D$15+$B$63-1,9)+1,1)</f>
        <v>Jupiter</v>
      </c>
      <c r="C109" s="248"/>
      <c r="D109" s="226" t="e">
        <f aca="false">INDEX(DasaYears,(MOD(VLOOKUP(D108,DasaYears,3,0)+IF(VLOOKUP(B109,ChartInfo,11),-1,1)*NOT(ISBLANK(E109)),9)+1),1)</f>
        <v>#N/A</v>
      </c>
      <c r="E109" s="245"/>
      <c r="F109" s="226" t="e">
        <f aca="false">INDEX(DasaYears,(MOD(VLOOKUP(F108,DasaYears,3,0)+IF(VLOOKUP(D109,ChartInfo,11),-1,1)*ISBLANK(H109),9)+1),1)</f>
        <v>#N/A</v>
      </c>
      <c r="G109" s="249" t="e">
        <f aca="false">G108+DaysInYear*VLOOKUP(B108,DasaYears,2,0)*VLOOKUP(D108,DasaYears,2,0)/120*VLOOKUP(F108,DasaYears,2,0)/120</f>
        <v>#N/A</v>
      </c>
      <c r="H109" s="236"/>
      <c r="I109" s="236"/>
      <c r="J109" s="250"/>
      <c r="K109" s="244"/>
    </row>
    <row r="110" customFormat="false" ht="15" hidden="false" customHeight="false" outlineLevel="0" collapsed="false">
      <c r="B110" s="194" t="str">
        <f aca="false">INDEX(DasaYears,MOD($D$15+$B$63-1,9)+1,1)</f>
        <v>Jupiter</v>
      </c>
      <c r="C110" s="248"/>
      <c r="D110" s="226" t="e">
        <f aca="false">INDEX(DasaYears,(MOD(VLOOKUP(D109,DasaYears,3,0)+IF(VLOOKUP(B110,ChartInfo,11),-1,1)*NOT(ISBLANK(E110)),9)+1),1)</f>
        <v>#N/A</v>
      </c>
      <c r="E110" s="245" t="e">
        <f aca="false">E101+(VLOOKUP(B101,DasaYears,2,0)*VLOOKUP(D101,DasaYears,2,0)/VimTotal)*DaysInYear</f>
        <v>#N/A</v>
      </c>
      <c r="F110" s="226" t="e">
        <f aca="false">INDEX(DasaYears,(MOD(VLOOKUP(F109,DasaYears,3,0)+IF(VLOOKUP(D110,ChartInfo,11),-1,1)*ISBLANK(H110),9)+1),1)</f>
        <v>#N/A</v>
      </c>
      <c r="G110" s="249" t="e">
        <f aca="false">G109+DaysInYear*VLOOKUP(B109,DasaYears,2,0)*VLOOKUP(D109,DasaYears,2,0)/120*VLOOKUP(F109,DasaYears,2,0)/120</f>
        <v>#N/A</v>
      </c>
      <c r="H110" s="236"/>
      <c r="I110" s="236"/>
      <c r="J110" s="250"/>
      <c r="K110" s="244"/>
    </row>
    <row r="111" customFormat="false" ht="15" hidden="false" customHeight="false" outlineLevel="0" collapsed="false">
      <c r="B111" s="194" t="str">
        <f aca="false">INDEX(DasaYears,MOD($D$15+$B$63-1,9)+1,1)</f>
        <v>Jupiter</v>
      </c>
      <c r="C111" s="248"/>
      <c r="D111" s="226" t="e">
        <f aca="false">INDEX(DasaYears,(MOD(VLOOKUP(D110,DasaYears,3,0)+IF(VLOOKUP(B111,ChartInfo,11),-1,1)*NOT(ISBLANK(E111)),9)+1),1)</f>
        <v>#N/A</v>
      </c>
      <c r="E111" s="245"/>
      <c r="F111" s="226" t="e">
        <f aca="false">INDEX(DasaYears,(MOD(VLOOKUP(F110,DasaYears,3,0)+IF(VLOOKUP(D111,ChartInfo,11),-1,1)*ISBLANK(H111),9)+1),1)</f>
        <v>#N/A</v>
      </c>
      <c r="G111" s="249" t="e">
        <f aca="false">G110+DaysInYear*VLOOKUP(B110,DasaYears,2,0)*VLOOKUP(D110,DasaYears,2,0)/120*VLOOKUP(F110,DasaYears,2,0)/120</f>
        <v>#N/A</v>
      </c>
      <c r="H111" s="236"/>
      <c r="I111" s="236"/>
      <c r="J111" s="250"/>
      <c r="K111" s="250"/>
    </row>
    <row r="112" customFormat="false" ht="15" hidden="false" customHeight="false" outlineLevel="0" collapsed="false">
      <c r="B112" s="194" t="str">
        <f aca="false">INDEX(DasaYears,MOD($D$15+$B$63-1,9)+1,1)</f>
        <v>Jupiter</v>
      </c>
      <c r="C112" s="248"/>
      <c r="D112" s="226" t="e">
        <f aca="false">INDEX(DasaYears,(MOD(VLOOKUP(D111,DasaYears,3,0)+IF(VLOOKUP(B112,ChartInfo,11),-1,1)*NOT(ISBLANK(E112)),9)+1),1)</f>
        <v>#N/A</v>
      </c>
      <c r="E112" s="245"/>
      <c r="F112" s="226" t="e">
        <f aca="false">INDEX(DasaYears,(MOD(VLOOKUP(F111,DasaYears,3,0)+IF(VLOOKUP(D112,ChartInfo,11),-1,1)*ISBLANK(H112),9)+1),1)</f>
        <v>#N/A</v>
      </c>
      <c r="G112" s="249" t="e">
        <f aca="false">G111+DaysInYear*VLOOKUP(B111,DasaYears,2,0)*VLOOKUP(D111,DasaYears,2,0)/120*VLOOKUP(F111,DasaYears,2,0)/120</f>
        <v>#N/A</v>
      </c>
      <c r="H112" s="236"/>
      <c r="I112" s="236"/>
      <c r="J112" s="250"/>
      <c r="K112" s="250"/>
    </row>
    <row r="113" customFormat="false" ht="15" hidden="false" customHeight="false" outlineLevel="0" collapsed="false">
      <c r="B113" s="194" t="str">
        <f aca="false">INDEX(DasaYears,MOD($D$15+$B$63-1,9)+1,1)</f>
        <v>Jupiter</v>
      </c>
      <c r="C113" s="248"/>
      <c r="D113" s="226" t="e">
        <f aca="false">INDEX(DasaYears,(MOD(VLOOKUP(D112,DasaYears,3,0)+IF(VLOOKUP(B113,ChartInfo,11),-1,1)*NOT(ISBLANK(E113)),9)+1),1)</f>
        <v>#N/A</v>
      </c>
      <c r="E113" s="245"/>
      <c r="F113" s="226" t="e">
        <f aca="false">INDEX(DasaYears,(MOD(VLOOKUP(F112,DasaYears,3,0)+IF(VLOOKUP(D113,ChartInfo,11),-1,1)*ISBLANK(H113),9)+1),1)</f>
        <v>#N/A</v>
      </c>
      <c r="G113" s="249" t="e">
        <f aca="false">G112+DaysInYear*VLOOKUP(B112,DasaYears,2,0)*VLOOKUP(D112,DasaYears,2,0)/120*VLOOKUP(F112,DasaYears,2,0)/120</f>
        <v>#N/A</v>
      </c>
      <c r="H113" s="236"/>
      <c r="I113" s="236"/>
      <c r="J113" s="250"/>
      <c r="K113" s="250"/>
    </row>
    <row r="114" customFormat="false" ht="15" hidden="false" customHeight="false" outlineLevel="0" collapsed="false">
      <c r="B114" s="194" t="str">
        <f aca="false">INDEX(DasaYears,MOD($D$15+$B$63-1,9)+1,1)</f>
        <v>Jupiter</v>
      </c>
      <c r="C114" s="248"/>
      <c r="D114" s="226" t="e">
        <f aca="false">INDEX(DasaYears,(MOD(VLOOKUP(D113,DasaYears,3,0)+IF(VLOOKUP(B114,ChartInfo,11),-1,1)*NOT(ISBLANK(E114)),9)+1),1)</f>
        <v>#N/A</v>
      </c>
      <c r="E114" s="245"/>
      <c r="F114" s="226" t="e">
        <f aca="false">INDEX(DasaYears,(MOD(VLOOKUP(F113,DasaYears,3,0)+IF(VLOOKUP(D114,ChartInfo,11),-1,1)*ISBLANK(H114),9)+1),1)</f>
        <v>#N/A</v>
      </c>
      <c r="G114" s="249" t="e">
        <f aca="false">G113+DaysInYear*VLOOKUP(B113,DasaYears,2,0)*VLOOKUP(D113,DasaYears,2,0)/120*VLOOKUP(F113,DasaYears,2,0)/120</f>
        <v>#N/A</v>
      </c>
      <c r="H114" s="236"/>
      <c r="I114" s="236"/>
      <c r="J114" s="250"/>
      <c r="K114" s="250"/>
    </row>
    <row r="115" customFormat="false" ht="15" hidden="false" customHeight="false" outlineLevel="0" collapsed="false">
      <c r="A115" s="39" t="s">
        <v>394</v>
      </c>
      <c r="B115" s="194" t="str">
        <f aca="false">INDEX(DasaYears,MOD($D$15+$B$63-1,9)+1,1)</f>
        <v>Jupiter</v>
      </c>
      <c r="C115" s="248"/>
      <c r="D115" s="226" t="e">
        <f aca="false">INDEX(DasaYears,(MOD(VLOOKUP(D114,DasaYears,3,0)+IF(VLOOKUP(B115,ChartInfo,11),-1,1)*NOT(ISBLANK(E115)),9)+1),1)</f>
        <v>#N/A</v>
      </c>
      <c r="E115" s="245"/>
      <c r="F115" s="226" t="e">
        <f aca="false">INDEX(DasaYears,(MOD(VLOOKUP(F114,DasaYears,3,0)+IF(VLOOKUP(D115,ChartInfo,11),-1,1)*ISBLANK(H115),9)+1),1)</f>
        <v>#N/A</v>
      </c>
      <c r="G115" s="249" t="e">
        <f aca="false">G114+DaysInYear*VLOOKUP(B114,DasaYears,2,0)*VLOOKUP(D114,DasaYears,2,0)/120*VLOOKUP(F114,DasaYears,2,0)/120</f>
        <v>#N/A</v>
      </c>
      <c r="H115" s="236"/>
      <c r="I115" s="236"/>
      <c r="J115" s="250"/>
      <c r="K115" s="250"/>
    </row>
    <row r="116" customFormat="false" ht="15" hidden="false" customHeight="false" outlineLevel="0" collapsed="false">
      <c r="B116" s="194" t="str">
        <f aca="false">INDEX(DasaYears,MOD($D$15+$B$63-1,9)+1,1)</f>
        <v>Jupiter</v>
      </c>
      <c r="C116" s="248"/>
      <c r="D116" s="226" t="e">
        <f aca="false">INDEX(DasaYears,(MOD(VLOOKUP(D115,DasaYears,3,0)+IF(VLOOKUP(B116,ChartInfo,11),-1,1)*NOT(ISBLANK(E116)),9)+1),1)</f>
        <v>#N/A</v>
      </c>
      <c r="E116" s="245"/>
      <c r="F116" s="226" t="e">
        <f aca="false">INDEX(DasaYears,(MOD(VLOOKUP(F115,DasaYears,3,0)+IF(VLOOKUP(D116,ChartInfo,11),-1,1)*ISBLANK(H116),9)+1),1)</f>
        <v>#N/A</v>
      </c>
      <c r="G116" s="249" t="e">
        <f aca="false">G115+DaysInYear*VLOOKUP(B115,DasaYears,2,0)*VLOOKUP(D115,DasaYears,2,0)/120*VLOOKUP(F115,DasaYears,2,0)/120</f>
        <v>#N/A</v>
      </c>
      <c r="H116" s="236"/>
      <c r="I116" s="236"/>
      <c r="J116" s="250"/>
      <c r="K116" s="250"/>
    </row>
    <row r="117" customFormat="false" ht="15" hidden="false" customHeight="false" outlineLevel="0" collapsed="false">
      <c r="B117" s="194" t="str">
        <f aca="false">INDEX(DasaYears,MOD($D$15+$B$63-1,9)+1,1)</f>
        <v>Jupiter</v>
      </c>
      <c r="C117" s="248"/>
      <c r="D117" s="226" t="e">
        <f aca="false">INDEX(DasaYears,(MOD(VLOOKUP(D116,DasaYears,3,0)+IF(VLOOKUP(B117,ChartInfo,11),-1,1)*NOT(ISBLANK(E117)),9)+1),1)</f>
        <v>#N/A</v>
      </c>
      <c r="E117" s="245"/>
      <c r="F117" s="226" t="e">
        <f aca="false">INDEX(DasaYears,(MOD(VLOOKUP(F116,DasaYears,3,0)+IF(VLOOKUP(D117,ChartInfo,11),-1,1)*ISBLANK(H117),9)+1),1)</f>
        <v>#N/A</v>
      </c>
      <c r="G117" s="249" t="e">
        <f aca="false">G116+DaysInYear*VLOOKUP(B116,DasaYears,2,0)*VLOOKUP(D116,DasaYears,2,0)/120*VLOOKUP(F116,DasaYears,2,0)/120</f>
        <v>#N/A</v>
      </c>
      <c r="H117" s="236"/>
      <c r="I117" s="236"/>
      <c r="J117" s="250"/>
      <c r="K117" s="250"/>
    </row>
    <row r="118" customFormat="false" ht="15" hidden="false" customHeight="false" outlineLevel="0" collapsed="false">
      <c r="B118" s="194" t="str">
        <f aca="false">INDEX(DasaYears,MOD($D$15+$B$63-1,9)+1,1)</f>
        <v>Jupiter</v>
      </c>
      <c r="C118" s="248"/>
      <c r="D118" s="226" t="e">
        <f aca="false">INDEX(DasaYears,(MOD(VLOOKUP(D117,DasaYears,3,0)+IF(VLOOKUP(B118,ChartInfo,11),-1,1)*NOT(ISBLANK(E118)),9)+1),1)</f>
        <v>#N/A</v>
      </c>
      <c r="E118" s="245"/>
      <c r="F118" s="226" t="e">
        <f aca="false">INDEX(DasaYears,(MOD(VLOOKUP(F117,DasaYears,3,0)+IF(VLOOKUP(D118,ChartInfo,11),-1,1)*ISBLANK(H118),9)+1),1)</f>
        <v>#N/A</v>
      </c>
      <c r="G118" s="249" t="e">
        <f aca="false">G117+DaysInYear*VLOOKUP(B117,DasaYears,2,0)*VLOOKUP(D117,DasaYears,2,0)/120*VLOOKUP(F117,DasaYears,2,0)/120</f>
        <v>#N/A</v>
      </c>
      <c r="H118" s="236"/>
      <c r="I118" s="236"/>
      <c r="J118" s="250"/>
      <c r="K118" s="250"/>
    </row>
    <row r="119" customFormat="false" ht="15" hidden="false" customHeight="false" outlineLevel="0" collapsed="false">
      <c r="B119" s="194" t="str">
        <f aca="false">INDEX(DasaYears,MOD($D$15+$B$63-1,9)+1,1)</f>
        <v>Jupiter</v>
      </c>
      <c r="C119" s="248"/>
      <c r="D119" s="226" t="e">
        <f aca="false">INDEX(DasaYears,(MOD(VLOOKUP(D118,DasaYears,3,0)+IF(VLOOKUP(B119,ChartInfo,11),-1,1)*NOT(ISBLANK(E119)),9)+1),1)</f>
        <v>#N/A</v>
      </c>
      <c r="E119" s="245" t="e">
        <f aca="false">E110+(VLOOKUP(B110,DasaYears,2,0)*VLOOKUP(D110,DasaYears,2,0)/VimTotal)*DaysInYear</f>
        <v>#N/A</v>
      </c>
      <c r="F119" s="226" t="e">
        <f aca="false">INDEX(DasaYears,(MOD(VLOOKUP(F118,DasaYears,3,0)+IF(VLOOKUP(D119,ChartInfo,11),-1,1)*ISBLANK(H119),9)+1),1)</f>
        <v>#N/A</v>
      </c>
      <c r="G119" s="249" t="e">
        <f aca="false">G118+DaysInYear*VLOOKUP(B118,DasaYears,2,0)*VLOOKUP(D118,DasaYears,2,0)/120*VLOOKUP(F118,DasaYears,2,0)/120</f>
        <v>#N/A</v>
      </c>
      <c r="H119" s="250"/>
      <c r="I119" s="244"/>
    </row>
    <row r="120" customFormat="false" ht="15" hidden="false" customHeight="false" outlineLevel="0" collapsed="false">
      <c r="B120" s="194" t="str">
        <f aca="false">INDEX(DasaYears,MOD($D$15+$B$63-1,9)+1,1)</f>
        <v>Jupiter</v>
      </c>
      <c r="C120" s="248"/>
      <c r="D120" s="226" t="e">
        <f aca="false">INDEX(DasaYears,(MOD(VLOOKUP(D119,DasaYears,3,0)+IF(VLOOKUP(B120,ChartInfo,11),-1,1)*NOT(ISBLANK(E120)),9)+1),1)</f>
        <v>#N/A</v>
      </c>
      <c r="E120" s="226"/>
      <c r="F120" s="226" t="e">
        <f aca="false">INDEX(DasaYears,(MOD(VLOOKUP(F119,DasaYears,3,0)+IF(VLOOKUP(D120,ChartInfo,11),-1,1)*ISBLANK(H120),9)+1),1)</f>
        <v>#N/A</v>
      </c>
      <c r="G120" s="249" t="e">
        <f aca="false">G119+DaysInYear*VLOOKUP(B119,DasaYears,2,0)*VLOOKUP(D119,DasaYears,2,0)/120*VLOOKUP(F119,DasaYears,2,0)/120</f>
        <v>#N/A</v>
      </c>
      <c r="H120" s="236"/>
      <c r="I120" s="236"/>
      <c r="J120" s="250"/>
    </row>
    <row r="121" customFormat="false" ht="15" hidden="false" customHeight="false" outlineLevel="0" collapsed="false">
      <c r="B121" s="194" t="str">
        <f aca="false">INDEX(DasaYears,MOD($D$15+$B$63-1,9)+1,1)</f>
        <v>Jupiter</v>
      </c>
      <c r="C121" s="248"/>
      <c r="D121" s="226" t="e">
        <f aca="false">INDEX(DasaYears,(MOD(VLOOKUP(D120,DasaYears,3,0)+IF(VLOOKUP(B121,ChartInfo,11),-1,1)*NOT(ISBLANK(E121)),9)+1),1)</f>
        <v>#N/A</v>
      </c>
      <c r="E121" s="226"/>
      <c r="F121" s="226" t="e">
        <f aca="false">INDEX(DasaYears,(MOD(VLOOKUP(F120,DasaYears,3,0)+IF(VLOOKUP(D121,ChartInfo,11),-1,1)*ISBLANK(H121),9)+1),1)</f>
        <v>#N/A</v>
      </c>
      <c r="G121" s="249" t="e">
        <f aca="false">G120+DaysInYear*VLOOKUP(B120,DasaYears,2,0)*VLOOKUP(D120,DasaYears,2,0)/120*VLOOKUP(F120,DasaYears,2,0)/120</f>
        <v>#N/A</v>
      </c>
      <c r="H121" s="236"/>
      <c r="I121" s="236"/>
      <c r="J121" s="250"/>
    </row>
    <row r="122" customFormat="false" ht="15" hidden="false" customHeight="false" outlineLevel="0" collapsed="false">
      <c r="B122" s="194" t="str">
        <f aca="false">INDEX(DasaYears,MOD($D$15+$B$63-1,9)+1,1)</f>
        <v>Jupiter</v>
      </c>
      <c r="C122" s="248"/>
      <c r="D122" s="226" t="e">
        <f aca="false">INDEX(DasaYears,(MOD(VLOOKUP(D121,DasaYears,3,0)+IF(VLOOKUP(B122,ChartInfo,11),-1,1)*NOT(ISBLANK(E122)),9)+1),1)</f>
        <v>#N/A</v>
      </c>
      <c r="E122" s="226"/>
      <c r="F122" s="226" t="e">
        <f aca="false">INDEX(DasaYears,(MOD(VLOOKUP(F121,DasaYears,3,0)+IF(VLOOKUP(D122,ChartInfo,11),-1,1)*ISBLANK(H122),9)+1),1)</f>
        <v>#N/A</v>
      </c>
      <c r="G122" s="249" t="e">
        <f aca="false">G121+DaysInYear*VLOOKUP(B121,DasaYears,2,0)*VLOOKUP(D121,DasaYears,2,0)/120*VLOOKUP(F121,DasaYears,2,0)/120</f>
        <v>#N/A</v>
      </c>
      <c r="H122" s="236"/>
      <c r="I122" s="236"/>
      <c r="J122" s="250"/>
    </row>
    <row r="123" customFormat="false" ht="15" hidden="false" customHeight="false" outlineLevel="0" collapsed="false">
      <c r="B123" s="194" t="str">
        <f aca="false">INDEX(DasaYears,MOD($D$15+$B$63-1,9)+1,1)</f>
        <v>Jupiter</v>
      </c>
      <c r="C123" s="248"/>
      <c r="D123" s="226" t="e">
        <f aca="false">INDEX(DasaYears,(MOD(VLOOKUP(D122,DasaYears,3,0)+IF(VLOOKUP(B123,ChartInfo,11),-1,1)*NOT(ISBLANK(E123)),9)+1),1)</f>
        <v>#N/A</v>
      </c>
      <c r="E123" s="226"/>
      <c r="F123" s="226" t="e">
        <f aca="false">INDEX(DasaYears,(MOD(VLOOKUP(F122,DasaYears,3,0)+IF(VLOOKUP(D123,ChartInfo,11),-1,1)*ISBLANK(H123),9)+1),1)</f>
        <v>#N/A</v>
      </c>
      <c r="G123" s="249" t="e">
        <f aca="false">G122+DaysInYear*VLOOKUP(B122,DasaYears,2,0)*VLOOKUP(D122,DasaYears,2,0)/120*VLOOKUP(F122,DasaYears,2,0)/120</f>
        <v>#N/A</v>
      </c>
      <c r="H123" s="236"/>
      <c r="I123" s="236"/>
      <c r="J123" s="250"/>
    </row>
    <row r="124" customFormat="false" ht="15" hidden="false" customHeight="false" outlineLevel="0" collapsed="false">
      <c r="B124" s="194" t="str">
        <f aca="false">INDEX(DasaYears,MOD($D$15+$B$63-1,9)+1,1)</f>
        <v>Jupiter</v>
      </c>
      <c r="C124" s="248"/>
      <c r="D124" s="226" t="e">
        <f aca="false">INDEX(DasaYears,(MOD(VLOOKUP(D123,DasaYears,3,0)+IF(VLOOKUP(B124,ChartInfo,11),-1,1)*NOT(ISBLANK(E124)),9)+1),1)</f>
        <v>#N/A</v>
      </c>
      <c r="E124" s="226"/>
      <c r="F124" s="226" t="e">
        <f aca="false">INDEX(DasaYears,(MOD(VLOOKUP(F123,DasaYears,3,0)+IF(VLOOKUP(D124,ChartInfo,11),-1,1)*ISBLANK(H124),9)+1),1)</f>
        <v>#N/A</v>
      </c>
      <c r="G124" s="249" t="e">
        <f aca="false">G123+DaysInYear*VLOOKUP(B123,DasaYears,2,0)*VLOOKUP(D123,DasaYears,2,0)/120*VLOOKUP(F123,DasaYears,2,0)/120</f>
        <v>#N/A</v>
      </c>
      <c r="H124" s="236"/>
      <c r="I124" s="236"/>
      <c r="J124" s="250"/>
    </row>
    <row r="125" customFormat="false" ht="15" hidden="false" customHeight="false" outlineLevel="0" collapsed="false">
      <c r="B125" s="194" t="str">
        <f aca="false">INDEX(DasaYears,MOD($D$15+$B$63-1,9)+1,1)</f>
        <v>Jupiter</v>
      </c>
      <c r="C125" s="248"/>
      <c r="D125" s="226" t="e">
        <f aca="false">INDEX(DasaYears,(MOD(VLOOKUP(D124,DasaYears,3,0)+IF(VLOOKUP(B125,ChartInfo,11),-1,1)*NOT(ISBLANK(E125)),9)+1),1)</f>
        <v>#N/A</v>
      </c>
      <c r="E125" s="226"/>
      <c r="F125" s="226" t="e">
        <f aca="false">INDEX(DasaYears,(MOD(VLOOKUP(F124,DasaYears,3,0)+IF(VLOOKUP(D125,ChartInfo,11),-1,1)*ISBLANK(H125),9)+1),1)</f>
        <v>#N/A</v>
      </c>
      <c r="G125" s="249" t="e">
        <f aca="false">G124+DaysInYear*VLOOKUP(B124,DasaYears,2,0)*VLOOKUP(D124,DasaYears,2,0)/120*VLOOKUP(F124,DasaYears,2,0)/120</f>
        <v>#N/A</v>
      </c>
      <c r="H125" s="236"/>
      <c r="I125" s="236"/>
      <c r="J125" s="250"/>
    </row>
    <row r="126" customFormat="false" ht="15" hidden="false" customHeight="false" outlineLevel="0" collapsed="false">
      <c r="B126" s="194" t="str">
        <f aca="false">INDEX(DasaYears,MOD($D$15+$B$63-1,9)+1,1)</f>
        <v>Jupiter</v>
      </c>
      <c r="C126" s="248"/>
      <c r="D126" s="226" t="e">
        <f aca="false">INDEX(DasaYears,(MOD(VLOOKUP(D125,DasaYears,3,0)+IF(VLOOKUP(B126,ChartInfo,11),-1,1)*NOT(ISBLANK(E126)),9)+1),1)</f>
        <v>#N/A</v>
      </c>
      <c r="E126" s="226"/>
      <c r="F126" s="226" t="e">
        <f aca="false">INDEX(DasaYears,(MOD(VLOOKUP(F125,DasaYears,3,0)+IF(VLOOKUP(D126,ChartInfo,11),-1,1)*ISBLANK(H126),9)+1),1)</f>
        <v>#N/A</v>
      </c>
      <c r="G126" s="249" t="e">
        <f aca="false">G125+DaysInYear*VLOOKUP(B125,DasaYears,2,0)*VLOOKUP(D125,DasaYears,2,0)/120*VLOOKUP(F125,DasaYears,2,0)/120</f>
        <v>#N/A</v>
      </c>
      <c r="H126" s="236"/>
      <c r="I126" s="236"/>
      <c r="J126" s="250"/>
    </row>
    <row r="127" customFormat="false" ht="15" hidden="false" customHeight="false" outlineLevel="0" collapsed="false">
      <c r="B127" s="194" t="str">
        <f aca="false">INDEX(DasaYears,MOD($D$15+$B$63-1,9)+1,1)</f>
        <v>Jupiter</v>
      </c>
      <c r="C127" s="248"/>
      <c r="D127" s="226" t="e">
        <f aca="false">INDEX(DasaYears,(MOD(VLOOKUP(D126,DasaYears,3,0)+IF(VLOOKUP(B127,ChartInfo,11),-1,1)*NOT(ISBLANK(E127)),9)+1),1)</f>
        <v>#N/A</v>
      </c>
      <c r="E127" s="226"/>
      <c r="F127" s="226" t="e">
        <f aca="false">INDEX(DasaYears,(MOD(VLOOKUP(F126,DasaYears,3,0)+IF(VLOOKUP(D127,ChartInfo,11),-1,1)*ISBLANK(H127),9)+1),1)</f>
        <v>#N/A</v>
      </c>
      <c r="G127" s="249" t="e">
        <f aca="false">G126+DaysInYear*VLOOKUP(B126,DasaYears,2,0)*VLOOKUP(D126,DasaYears,2,0)/120*VLOOKUP(F126,DasaYears,2,0)/120</f>
        <v>#N/A</v>
      </c>
      <c r="H127" s="236"/>
      <c r="I127" s="236"/>
      <c r="J127" s="250"/>
    </row>
    <row r="128" customFormat="false" ht="15" hidden="false" customHeight="false" outlineLevel="0" collapsed="false">
      <c r="B128" s="194" t="str">
        <f aca="false">INDEX(DasaYears,MOD($D$15+$B$63-1,9)+1,1)</f>
        <v>Jupiter</v>
      </c>
      <c r="C128" s="248"/>
      <c r="D128" s="226" t="e">
        <f aca="false">INDEX(DasaYears,(MOD(VLOOKUP(D127,DasaYears,3,0)+IF(VLOOKUP(B128,ChartInfo,11),-1,1)*NOT(ISBLANK(E128)),9)+1),1)</f>
        <v>#N/A</v>
      </c>
      <c r="E128" s="245" t="e">
        <f aca="false">E119+(VLOOKUP(B119,DasaYears,2,0)*VLOOKUP(D119,DasaYears,2,0)/VimTotal)*DaysInYear</f>
        <v>#N/A</v>
      </c>
      <c r="F128" s="226" t="e">
        <f aca="false">INDEX(DasaYears,(MOD(VLOOKUP(F127,DasaYears,3,0)+IF(VLOOKUP(D128,ChartInfo,11),-1,1)*ISBLANK(H128),9)+1),1)</f>
        <v>#N/A</v>
      </c>
      <c r="G128" s="249" t="e">
        <f aca="false">G127+DaysInYear*VLOOKUP(B127,DasaYears,2,0)*VLOOKUP(D127,DasaYears,2,0)/120*VLOOKUP(F127,DasaYears,2,0)/120</f>
        <v>#N/A</v>
      </c>
      <c r="H128" s="250"/>
      <c r="I128" s="250"/>
      <c r="K128" s="244"/>
    </row>
    <row r="129" customFormat="false" ht="15" hidden="false" customHeight="false" outlineLevel="0" collapsed="false">
      <c r="B129" s="194" t="str">
        <f aca="false">INDEX(DasaYears,MOD($D$15+$B$63-1,9)+1,1)</f>
        <v>Jupiter</v>
      </c>
      <c r="C129" s="248"/>
      <c r="D129" s="226" t="e">
        <f aca="false">INDEX(DasaYears,(MOD(VLOOKUP(D128,DasaYears,3,0)+IF(VLOOKUP(B129,ChartInfo,11),-1,1)*NOT(ISBLANK(E129)),9)+1),1)</f>
        <v>#N/A</v>
      </c>
      <c r="E129" s="226"/>
      <c r="F129" s="226" t="e">
        <f aca="false">INDEX(DasaYears,(MOD(VLOOKUP(F128,DasaYears,3,0)+IF(VLOOKUP(D129,ChartInfo,11),-1,1)*ISBLANK(H129),9)+1),1)</f>
        <v>#N/A</v>
      </c>
      <c r="G129" s="249" t="e">
        <f aca="false">G128+DaysInYear*VLOOKUP(B128,DasaYears,2,0)*VLOOKUP(D128,DasaYears,2,0)/120*VLOOKUP(F128,DasaYears,2,0)/120</f>
        <v>#N/A</v>
      </c>
      <c r="H129" s="236"/>
      <c r="I129" s="236"/>
      <c r="J129" s="250"/>
    </row>
    <row r="130" customFormat="false" ht="15" hidden="false" customHeight="false" outlineLevel="0" collapsed="false">
      <c r="B130" s="194" t="str">
        <f aca="false">INDEX(DasaYears,MOD($D$15+$B$63-1,9)+1,1)</f>
        <v>Jupiter</v>
      </c>
      <c r="C130" s="248"/>
      <c r="D130" s="226" t="e">
        <f aca="false">INDEX(DasaYears,(MOD(VLOOKUP(D129,DasaYears,3,0)+IF(VLOOKUP(B130,ChartInfo,11),-1,1)*NOT(ISBLANK(E130)),9)+1),1)</f>
        <v>#N/A</v>
      </c>
      <c r="E130" s="226"/>
      <c r="F130" s="226" t="e">
        <f aca="false">INDEX(DasaYears,(MOD(VLOOKUP(F129,DasaYears,3,0)+IF(VLOOKUP(D130,ChartInfo,11),-1,1)*ISBLANK(H130),9)+1),1)</f>
        <v>#N/A</v>
      </c>
      <c r="G130" s="249" t="e">
        <f aca="false">G129+DaysInYear*VLOOKUP(B129,DasaYears,2,0)*VLOOKUP(D129,DasaYears,2,0)/120*VLOOKUP(F129,DasaYears,2,0)/120</f>
        <v>#N/A</v>
      </c>
      <c r="H130" s="236"/>
      <c r="I130" s="236"/>
      <c r="J130" s="250"/>
    </row>
    <row r="131" customFormat="false" ht="15" hidden="false" customHeight="false" outlineLevel="0" collapsed="false">
      <c r="B131" s="194" t="str">
        <f aca="false">INDEX(DasaYears,MOD($D$15+$B$63-1,9)+1,1)</f>
        <v>Jupiter</v>
      </c>
      <c r="C131" s="248"/>
      <c r="D131" s="226" t="e">
        <f aca="false">INDEX(DasaYears,(MOD(VLOOKUP(D130,DasaYears,3,0)+IF(VLOOKUP(B131,ChartInfo,11),-1,1)*NOT(ISBLANK(E131)),9)+1),1)</f>
        <v>#N/A</v>
      </c>
      <c r="E131" s="226"/>
      <c r="F131" s="226" t="e">
        <f aca="false">INDEX(DasaYears,(MOD(VLOOKUP(F130,DasaYears,3,0)+IF(VLOOKUP(D131,ChartInfo,11),-1,1)*ISBLANK(H131),9)+1),1)</f>
        <v>#N/A</v>
      </c>
      <c r="G131" s="249" t="e">
        <f aca="false">G130+DaysInYear*VLOOKUP(B130,DasaYears,2,0)*VLOOKUP(D130,DasaYears,2,0)/120*VLOOKUP(F130,DasaYears,2,0)/120</f>
        <v>#N/A</v>
      </c>
      <c r="H131" s="236"/>
      <c r="I131" s="236"/>
      <c r="J131" s="250"/>
    </row>
    <row r="132" customFormat="false" ht="15" hidden="false" customHeight="false" outlineLevel="0" collapsed="false">
      <c r="B132" s="194" t="str">
        <f aca="false">INDEX(DasaYears,MOD($D$15+$B$63-1,9)+1,1)</f>
        <v>Jupiter</v>
      </c>
      <c r="C132" s="248"/>
      <c r="D132" s="226" t="e">
        <f aca="false">INDEX(DasaYears,(MOD(VLOOKUP(D131,DasaYears,3,0)+IF(VLOOKUP(B132,ChartInfo,11),-1,1)*NOT(ISBLANK(E132)),9)+1),1)</f>
        <v>#N/A</v>
      </c>
      <c r="E132" s="226"/>
      <c r="F132" s="226" t="e">
        <f aca="false">INDEX(DasaYears,(MOD(VLOOKUP(F131,DasaYears,3,0)+IF(VLOOKUP(D132,ChartInfo,11),-1,1)*ISBLANK(H132),9)+1),1)</f>
        <v>#N/A</v>
      </c>
      <c r="G132" s="249" t="e">
        <f aca="false">G131+DaysInYear*VLOOKUP(B131,DasaYears,2,0)*VLOOKUP(D131,DasaYears,2,0)/120*VLOOKUP(F131,DasaYears,2,0)/120</f>
        <v>#N/A</v>
      </c>
      <c r="H132" s="236"/>
      <c r="I132" s="236"/>
      <c r="J132" s="250"/>
    </row>
    <row r="133" customFormat="false" ht="15" hidden="false" customHeight="false" outlineLevel="0" collapsed="false">
      <c r="B133" s="194" t="str">
        <f aca="false">INDEX(DasaYears,MOD($D$15+$B$63-1,9)+1,1)</f>
        <v>Jupiter</v>
      </c>
      <c r="C133" s="248"/>
      <c r="D133" s="226" t="e">
        <f aca="false">INDEX(DasaYears,(MOD(VLOOKUP(D132,DasaYears,3,0)+IF(VLOOKUP(B133,ChartInfo,11),-1,1)*NOT(ISBLANK(E133)),9)+1),1)</f>
        <v>#N/A</v>
      </c>
      <c r="E133" s="226"/>
      <c r="F133" s="226" t="e">
        <f aca="false">INDEX(DasaYears,(MOD(VLOOKUP(F132,DasaYears,3,0)+IF(VLOOKUP(D133,ChartInfo,11),-1,1)*ISBLANK(H133),9)+1),1)</f>
        <v>#N/A</v>
      </c>
      <c r="G133" s="249" t="e">
        <f aca="false">G132+DaysInYear*VLOOKUP(B132,DasaYears,2,0)*VLOOKUP(D132,DasaYears,2,0)/120*VLOOKUP(F132,DasaYears,2,0)/120</f>
        <v>#N/A</v>
      </c>
      <c r="H133" s="236"/>
      <c r="I133" s="236"/>
      <c r="J133" s="250"/>
    </row>
    <row r="134" customFormat="false" ht="15" hidden="false" customHeight="false" outlineLevel="0" collapsed="false">
      <c r="B134" s="194" t="str">
        <f aca="false">INDEX(DasaYears,MOD($D$15+$B$63-1,9)+1,1)</f>
        <v>Jupiter</v>
      </c>
      <c r="C134" s="248"/>
      <c r="D134" s="226" t="e">
        <f aca="false">INDEX(DasaYears,(MOD(VLOOKUP(D133,DasaYears,3,0)+IF(VLOOKUP(B134,ChartInfo,11),-1,1)*NOT(ISBLANK(E134)),9)+1),1)</f>
        <v>#N/A</v>
      </c>
      <c r="E134" s="226"/>
      <c r="F134" s="226" t="e">
        <f aca="false">INDEX(DasaYears,(MOD(VLOOKUP(F133,DasaYears,3,0)+IF(VLOOKUP(D134,ChartInfo,11),-1,1)*ISBLANK(H134),9)+1),1)</f>
        <v>#N/A</v>
      </c>
      <c r="G134" s="249" t="e">
        <f aca="false">G133+DaysInYear*VLOOKUP(B133,DasaYears,2,0)*VLOOKUP(D133,DasaYears,2,0)/120*VLOOKUP(F133,DasaYears,2,0)/120</f>
        <v>#N/A</v>
      </c>
      <c r="H134" s="236"/>
      <c r="I134" s="236"/>
      <c r="J134" s="250"/>
    </row>
    <row r="135" customFormat="false" ht="15" hidden="false" customHeight="false" outlineLevel="0" collapsed="false">
      <c r="B135" s="194" t="str">
        <f aca="false">INDEX(DasaYears,MOD($D$15+$B$63-1,9)+1,1)</f>
        <v>Jupiter</v>
      </c>
      <c r="C135" s="248"/>
      <c r="D135" s="226" t="e">
        <f aca="false">INDEX(DasaYears,(MOD(VLOOKUP(D134,DasaYears,3,0)+IF(VLOOKUP(B135,ChartInfo,11),-1,1)*NOT(ISBLANK(E135)),9)+1),1)</f>
        <v>#N/A</v>
      </c>
      <c r="E135" s="226"/>
      <c r="F135" s="226" t="e">
        <f aca="false">INDEX(DasaYears,(MOD(VLOOKUP(F134,DasaYears,3,0)+IF(VLOOKUP(D135,ChartInfo,11),-1,1)*ISBLANK(H135),9)+1),1)</f>
        <v>#N/A</v>
      </c>
      <c r="G135" s="249" t="e">
        <f aca="false">G134+DaysInYear*VLOOKUP(B134,DasaYears,2,0)*VLOOKUP(D134,DasaYears,2,0)/120*VLOOKUP(F134,DasaYears,2,0)/120</f>
        <v>#N/A</v>
      </c>
      <c r="H135" s="236"/>
      <c r="I135" s="236"/>
      <c r="J135" s="250"/>
    </row>
    <row r="136" customFormat="false" ht="15" hidden="false" customHeight="false" outlineLevel="0" collapsed="false">
      <c r="B136" s="194" t="str">
        <f aca="false">INDEX(DasaYears,MOD($D$15+$B$63-1,9)+1,1)</f>
        <v>Jupiter</v>
      </c>
      <c r="C136" s="248"/>
      <c r="D136" s="226" t="e">
        <f aca="false">INDEX(DasaYears,(MOD(VLOOKUP(D135,DasaYears,3,0)+IF(VLOOKUP(B136,ChartInfo,11),-1,1)*NOT(ISBLANK(E136)),9)+1),1)</f>
        <v>#N/A</v>
      </c>
      <c r="E136" s="226"/>
      <c r="F136" s="226" t="e">
        <f aca="false">INDEX(DasaYears,(MOD(VLOOKUP(F135,DasaYears,3,0)+IF(VLOOKUP(D136,ChartInfo,11),-1,1)*ISBLANK(H136),9)+1),1)</f>
        <v>#N/A</v>
      </c>
      <c r="G136" s="249" t="e">
        <f aca="false">G135+DaysInYear*VLOOKUP(B135,DasaYears,2,0)*VLOOKUP(D135,DasaYears,2,0)/120*VLOOKUP(F135,DasaYears,2,0)/120</f>
        <v>#N/A</v>
      </c>
      <c r="H136" s="250"/>
      <c r="I136" s="244"/>
    </row>
    <row r="137" customFormat="false" ht="15" hidden="false" customHeight="false" outlineLevel="0" collapsed="false">
      <c r="B137" s="194" t="str">
        <f aca="false">INDEX(DasaYears,MOD($D$15+$B$63-1,9)+1,1)</f>
        <v>Jupiter</v>
      </c>
      <c r="C137" s="248"/>
      <c r="D137" s="226" t="e">
        <f aca="false">INDEX(DasaYears,(MOD(VLOOKUP(D136,DasaYears,3,0)+IF(VLOOKUP(B137,ChartInfo,11),-1,1)*NOT(ISBLANK(E137)),9)+1),1)</f>
        <v>#N/A</v>
      </c>
      <c r="E137" s="245" t="e">
        <f aca="false">E128+(VLOOKUP(B128,DasaYears,2,0)*VLOOKUP(D128,DasaYears,2,0)/VimTotal)*DaysInYear</f>
        <v>#N/A</v>
      </c>
      <c r="F137" s="226" t="e">
        <f aca="false">INDEX(DasaYears,(MOD(VLOOKUP(F136,DasaYears,3,0)+IF(VLOOKUP(D137,ChartInfo,11),-1,1)*ISBLANK(H137),9)+1),1)</f>
        <v>#N/A</v>
      </c>
      <c r="G137" s="249" t="e">
        <f aca="false">G136+DaysInYear*VLOOKUP(B136,DasaYears,2,0)*VLOOKUP(D136,DasaYears,2,0)/120*VLOOKUP(F136,DasaYears,2,0)/120</f>
        <v>#N/A</v>
      </c>
      <c r="H137" s="250"/>
      <c r="I137" s="250"/>
      <c r="K137" s="244"/>
    </row>
    <row r="138" customFormat="false" ht="15" hidden="false" customHeight="false" outlineLevel="0" collapsed="false">
      <c r="B138" s="194" t="str">
        <f aca="false">INDEX(DasaYears,MOD($D$15+$B$63-1,9)+1,1)</f>
        <v>Jupiter</v>
      </c>
      <c r="C138" s="248"/>
      <c r="D138" s="226" t="e">
        <f aca="false">INDEX(DasaYears,(MOD(VLOOKUP(D137,DasaYears,3,0)+IF(VLOOKUP(B138,ChartInfo,11),-1,1)*NOT(ISBLANK(E138)),9)+1),1)</f>
        <v>#N/A</v>
      </c>
      <c r="E138" s="226"/>
      <c r="F138" s="226" t="e">
        <f aca="false">INDEX(DasaYears,(MOD(VLOOKUP(F137,DasaYears,3,0)+IF(VLOOKUP(D138,ChartInfo,11),-1,1)*ISBLANK(H138),9)+1),1)</f>
        <v>#N/A</v>
      </c>
      <c r="G138" s="249" t="e">
        <f aca="false">G137+DaysInYear*VLOOKUP(B137,DasaYears,2,0)*VLOOKUP(D137,DasaYears,2,0)/120*VLOOKUP(F137,DasaYears,2,0)/120</f>
        <v>#N/A</v>
      </c>
      <c r="H138" s="236"/>
      <c r="I138" s="236"/>
      <c r="J138" s="250"/>
    </row>
    <row r="139" customFormat="false" ht="15" hidden="false" customHeight="false" outlineLevel="0" collapsed="false">
      <c r="B139" s="194" t="str">
        <f aca="false">INDEX(DasaYears,MOD($D$15+$B$63-1,9)+1,1)</f>
        <v>Jupiter</v>
      </c>
      <c r="C139" s="248"/>
      <c r="D139" s="226" t="e">
        <f aca="false">INDEX(DasaYears,(MOD(VLOOKUP(D138,DasaYears,3,0)+IF(VLOOKUP(B139,ChartInfo,11),-1,1)*NOT(ISBLANK(E139)),9)+1),1)</f>
        <v>#N/A</v>
      </c>
      <c r="E139" s="226"/>
      <c r="F139" s="226" t="e">
        <f aca="false">INDEX(DasaYears,(MOD(VLOOKUP(F138,DasaYears,3,0)+IF(VLOOKUP(D139,ChartInfo,11),-1,1)*ISBLANK(H139),9)+1),1)</f>
        <v>#N/A</v>
      </c>
      <c r="G139" s="249" t="e">
        <f aca="false">G138+DaysInYear*VLOOKUP(B138,DasaYears,2,0)*VLOOKUP(D138,DasaYears,2,0)/120*VLOOKUP(F138,DasaYears,2,0)/120</f>
        <v>#N/A</v>
      </c>
      <c r="H139" s="236"/>
      <c r="I139" s="236"/>
      <c r="J139" s="250"/>
    </row>
    <row r="140" customFormat="false" ht="15" hidden="false" customHeight="false" outlineLevel="0" collapsed="false">
      <c r="B140" s="194" t="str">
        <f aca="false">INDEX(DasaYears,MOD($D$15+$B$63-1,9)+1,1)</f>
        <v>Jupiter</v>
      </c>
      <c r="C140" s="248"/>
      <c r="D140" s="226" t="e">
        <f aca="false">INDEX(DasaYears,(MOD(VLOOKUP(D139,DasaYears,3,0)+IF(VLOOKUP(B140,ChartInfo,11),-1,1)*NOT(ISBLANK(E140)),9)+1),1)</f>
        <v>#N/A</v>
      </c>
      <c r="E140" s="226"/>
      <c r="F140" s="226" t="e">
        <f aca="false">INDEX(DasaYears,(MOD(VLOOKUP(F139,DasaYears,3,0)+IF(VLOOKUP(D140,ChartInfo,11),-1,1)*ISBLANK(H140),9)+1),1)</f>
        <v>#N/A</v>
      </c>
      <c r="G140" s="249" t="e">
        <f aca="false">G139+DaysInYear*VLOOKUP(B139,DasaYears,2,0)*VLOOKUP(D139,DasaYears,2,0)/120*VLOOKUP(F139,DasaYears,2,0)/120</f>
        <v>#N/A</v>
      </c>
      <c r="H140" s="236"/>
      <c r="I140" s="236"/>
      <c r="J140" s="250"/>
    </row>
    <row r="141" customFormat="false" ht="15" hidden="false" customHeight="false" outlineLevel="0" collapsed="false">
      <c r="B141" s="194" t="str">
        <f aca="false">INDEX(DasaYears,MOD($D$15+$B$63-1,9)+1,1)</f>
        <v>Jupiter</v>
      </c>
      <c r="C141" s="248"/>
      <c r="D141" s="226" t="e">
        <f aca="false">INDEX(DasaYears,(MOD(VLOOKUP(D140,DasaYears,3,0)+IF(VLOOKUP(B141,ChartInfo,11),-1,1)*NOT(ISBLANK(E141)),9)+1),1)</f>
        <v>#N/A</v>
      </c>
      <c r="E141" s="226"/>
      <c r="F141" s="226" t="e">
        <f aca="false">INDEX(DasaYears,(MOD(VLOOKUP(F140,DasaYears,3,0)+IF(VLOOKUP(D141,ChartInfo,11),-1,1)*ISBLANK(H141),9)+1),1)</f>
        <v>#N/A</v>
      </c>
      <c r="G141" s="249" t="e">
        <f aca="false">G140+DaysInYear*VLOOKUP(B140,DasaYears,2,0)*VLOOKUP(D140,DasaYears,2,0)/120*VLOOKUP(F140,DasaYears,2,0)/120</f>
        <v>#N/A</v>
      </c>
      <c r="H141" s="236"/>
      <c r="I141" s="236"/>
      <c r="J141" s="250"/>
    </row>
    <row r="142" customFormat="false" ht="15" hidden="false" customHeight="false" outlineLevel="0" collapsed="false">
      <c r="B142" s="194" t="str">
        <f aca="false">INDEX(DasaYears,MOD($D$15+$B$63-1,9)+1,1)</f>
        <v>Jupiter</v>
      </c>
      <c r="C142" s="248"/>
      <c r="D142" s="226" t="e">
        <f aca="false">INDEX(DasaYears,(MOD(VLOOKUP(D141,DasaYears,3,0)+IF(VLOOKUP(B142,ChartInfo,11),-1,1)*NOT(ISBLANK(E142)),9)+1),1)</f>
        <v>#N/A</v>
      </c>
      <c r="E142" s="226"/>
      <c r="F142" s="226" t="e">
        <f aca="false">INDEX(DasaYears,(MOD(VLOOKUP(F141,DasaYears,3,0)+IF(VLOOKUP(D142,ChartInfo,11),-1,1)*ISBLANK(H142),9)+1),1)</f>
        <v>#N/A</v>
      </c>
      <c r="G142" s="249" t="e">
        <f aca="false">G141+DaysInYear*VLOOKUP(B141,DasaYears,2,0)*VLOOKUP(D141,DasaYears,2,0)/120*VLOOKUP(F141,DasaYears,2,0)/120</f>
        <v>#N/A</v>
      </c>
      <c r="H142" s="236"/>
      <c r="I142" s="236"/>
      <c r="J142" s="250"/>
    </row>
    <row r="143" customFormat="false" ht="15" hidden="false" customHeight="false" outlineLevel="0" collapsed="false">
      <c r="B143" s="194" t="str">
        <f aca="false">INDEX(DasaYears,MOD($D$15+$B$63-1,9)+1,1)</f>
        <v>Jupiter</v>
      </c>
      <c r="C143" s="248"/>
      <c r="D143" s="226" t="e">
        <f aca="false">INDEX(DasaYears,(MOD(VLOOKUP(D142,DasaYears,3,0)+IF(VLOOKUP(B143,ChartInfo,11),-1,1)*NOT(ISBLANK(E143)),9)+1),1)</f>
        <v>#N/A</v>
      </c>
      <c r="E143" s="226"/>
      <c r="F143" s="226" t="e">
        <f aca="false">INDEX(DasaYears,(MOD(VLOOKUP(F142,DasaYears,3,0)+IF(VLOOKUP(D143,ChartInfo,11),-1,1)*ISBLANK(H143),9)+1),1)</f>
        <v>#N/A</v>
      </c>
      <c r="G143" s="249" t="e">
        <f aca="false">G142+DaysInYear*VLOOKUP(B142,DasaYears,2,0)*VLOOKUP(D142,DasaYears,2,0)/120*VLOOKUP(F142,DasaYears,2,0)/120</f>
        <v>#N/A</v>
      </c>
      <c r="H143" s="236"/>
      <c r="I143" s="236"/>
      <c r="J143" s="250"/>
    </row>
    <row r="144" customFormat="false" ht="15" hidden="false" customHeight="false" outlineLevel="0" collapsed="false">
      <c r="B144" s="194" t="str">
        <f aca="false">INDEX(DasaYears,MOD($D$15+$B$63-1,9)+1,1)</f>
        <v>Jupiter</v>
      </c>
      <c r="C144" s="248"/>
      <c r="D144" s="226" t="e">
        <f aca="false">INDEX(DasaYears,(MOD(VLOOKUP(D143,DasaYears,3,0)+IF(VLOOKUP(B144,ChartInfo,11),-1,1)*NOT(ISBLANK(E144)),9)+1),1)</f>
        <v>#N/A</v>
      </c>
      <c r="E144" s="226"/>
      <c r="F144" s="226" t="e">
        <f aca="false">INDEX(DasaYears,(MOD(VLOOKUP(F143,DasaYears,3,0)+IF(VLOOKUP(D144,ChartInfo,11),-1,1)*ISBLANK(H144),9)+1),1)</f>
        <v>#N/A</v>
      </c>
      <c r="G144" s="249" t="e">
        <f aca="false">G143+DaysInYear*VLOOKUP(B143,DasaYears,2,0)*VLOOKUP(D143,DasaYears,2,0)/120*VLOOKUP(F143,DasaYears,2,0)/120</f>
        <v>#N/A</v>
      </c>
      <c r="H144" s="236"/>
      <c r="I144" s="236"/>
      <c r="J144" s="250"/>
    </row>
    <row r="145" customFormat="false" ht="15" hidden="false" customHeight="false" outlineLevel="0" collapsed="false">
      <c r="B145" s="194" t="str">
        <f aca="false">INDEX(DasaYears,MOD($D$15+$B$63-1,9)+1,1)</f>
        <v>Jupiter</v>
      </c>
      <c r="C145" s="248"/>
      <c r="D145" s="226" t="e">
        <f aca="false">INDEX(DasaYears,(MOD(VLOOKUP(D144,DasaYears,3,0)+IF(VLOOKUP(B145,ChartInfo,11),-1,1)*NOT(ISBLANK(E145)),9)+1),1)</f>
        <v>#N/A</v>
      </c>
      <c r="E145" s="226"/>
      <c r="F145" s="226" t="e">
        <f aca="false">INDEX(DasaYears,(MOD(VLOOKUP(F144,DasaYears,3,0)+IF(VLOOKUP(D145,ChartInfo,11),-1,1)*ISBLANK(H145),9)+1),1)</f>
        <v>#N/A</v>
      </c>
      <c r="G145" s="249" t="e">
        <f aca="false">G144+DaysInYear*VLOOKUP(B144,DasaYears,2,0)*VLOOKUP(D144,DasaYears,2,0)/120*VLOOKUP(F144,DasaYears,2,0)/120</f>
        <v>#N/A</v>
      </c>
      <c r="H145" s="250"/>
      <c r="I145" s="244"/>
    </row>
    <row r="146" customFormat="false" ht="15" hidden="false" customHeight="false" outlineLevel="0" collapsed="false">
      <c r="B146" s="194"/>
      <c r="C146" s="252"/>
      <c r="D146" s="226"/>
      <c r="E146" s="226"/>
      <c r="F146" s="226"/>
      <c r="G146" s="253"/>
      <c r="H146" s="250"/>
      <c r="I146" s="244"/>
    </row>
    <row r="147" customFormat="false" ht="15" hidden="false" customHeight="false" outlineLevel="0" collapsed="false">
      <c r="B147" s="194"/>
      <c r="C147" s="226"/>
      <c r="D147" s="226"/>
      <c r="E147" s="226"/>
      <c r="F147" s="226"/>
      <c r="G147" s="253"/>
      <c r="H147" s="254" t="s">
        <v>432</v>
      </c>
      <c r="I147" s="255"/>
      <c r="J147" s="39" t="s">
        <v>433</v>
      </c>
      <c r="K147" s="39"/>
      <c r="L147" s="39" t="s">
        <v>434</v>
      </c>
    </row>
    <row r="148" customFormat="false" ht="15" hidden="false" customHeight="false" outlineLevel="0" collapsed="false">
      <c r="A148" s="6" t="s">
        <v>435</v>
      </c>
      <c r="B148" s="256" t="str">
        <f aca="false">VLOOKUP("&gt;",VimshottariDAP,2,0)</f>
        <v>Jupiter</v>
      </c>
      <c r="C148" s="195"/>
      <c r="D148" s="197" t="e">
        <f aca="false">VLOOKUP("&gt;",VimshottariDAP,4,0)</f>
        <v>#N/A</v>
      </c>
      <c r="E148" s="195"/>
      <c r="F148" s="197" t="e">
        <f aca="false">VLOOKUP("&gt;",VimshottariDAP,6,0)</f>
        <v>#N/A</v>
      </c>
      <c r="G148" s="255" t="e">
        <f aca="false">VLOOKUP("&gt;",VimshottariDAP,7,0)</f>
        <v>#N/A</v>
      </c>
      <c r="H148" s="247" t="e">
        <f aca="false">INDEX(DasaYears,MOD(VLOOKUP(F148,DasaYears,3,0)+IF(VLOOKUP(F148,ChartInfo,11),-1,0),9)+1,1)</f>
        <v>#N/A</v>
      </c>
      <c r="I148" s="257" t="e">
        <f aca="false">G148</f>
        <v>#N/A</v>
      </c>
      <c r="J148" s="247" t="e">
        <f aca="false">INDEX(DasaYears,MOD(VLOOKUP(H148,DasaYears,3,0)+IF(VLOOKUP(H148,ChartInfo,11),-1,0),9)+1,1)</f>
        <v>#N/A</v>
      </c>
      <c r="K148" s="257" t="e">
        <f aca="false">I148</f>
        <v>#N/A</v>
      </c>
      <c r="L148" s="247" t="e">
        <f aca="false">INDEX(DasaYears,MOD(VLOOKUP(J148,DasaYears,3,0)+IF(VLOOKUP(J148,ChartInfo,11),-1,0),9)+1,1)</f>
        <v>#N/A</v>
      </c>
      <c r="M148" s="257" t="e">
        <f aca="false">K148</f>
        <v>#N/A</v>
      </c>
    </row>
    <row r="149" customFormat="false" ht="15" hidden="false" customHeight="false" outlineLevel="0" collapsed="false">
      <c r="B149" s="258"/>
      <c r="C149" s="259"/>
      <c r="D149" s="226"/>
      <c r="E149" s="259"/>
      <c r="F149" s="226"/>
      <c r="G149" s="260"/>
      <c r="H149" s="226" t="e">
        <f aca="false">INDEX(DasaYears,(MOD(VLOOKUP(H148,DasaYears,3,0)+IF(VLOOKUP($F$148,ChartInfo,11),-1,1)*NOT(ISBLANK(I149)),9)+1),1)</f>
        <v>#N/A</v>
      </c>
      <c r="I149" s="257"/>
      <c r="J149" s="226" t="e">
        <f aca="false">INDEX(DasaYears,(MOD(VLOOKUP(J148,DasaYears,3,0)+IF(VLOOKUP(H148,ChartInfo,11),-1,1)*NOT(ISBLANK(K149)),9)+1),1)</f>
        <v>#N/A</v>
      </c>
      <c r="K149" s="257"/>
      <c r="L149" s="226" t="e">
        <f aca="false">INDEX(DasaYears,(MOD(VLOOKUP(L148,DasaYears,3,0)+IF(VLOOKUP(J148,ChartInfo,11),-1,1)*NOT(ISBLANK(M149)),9)+1),1)</f>
        <v>#N/A</v>
      </c>
      <c r="M149" s="253" t="e">
        <f aca="false">M148+DaysInYear*VLOOKUP($F$148,DasaYears,2,0)/120*VLOOKUP(H148,DasaYears,2,0)*VLOOKUP(J148,DasaYears,2,0)/120*VLOOKUP(L148,DasaYears,2,0)/120*VLOOKUP($D$148,DasaYears,2,0)/120*VLOOKUP($B$148,DasaYears,2,0)/120</f>
        <v>#N/A</v>
      </c>
    </row>
    <row r="150" customFormat="false" ht="15" hidden="false" customHeight="false" outlineLevel="0" collapsed="false">
      <c r="B150" s="258"/>
      <c r="C150" s="259"/>
      <c r="D150" s="226"/>
      <c r="E150" s="259"/>
      <c r="F150" s="226"/>
      <c r="G150" s="260"/>
      <c r="H150" s="226" t="e">
        <f aca="false">INDEX(DasaYears,(MOD(VLOOKUP(H149,DasaYears,3,0)+IF(VLOOKUP($F$148,ChartInfo,11),-1,1)*NOT(ISBLANK(I150)),9)+1),1)</f>
        <v>#N/A</v>
      </c>
      <c r="I150" s="257"/>
      <c r="J150" s="226" t="e">
        <f aca="false">INDEX(DasaYears,(MOD(VLOOKUP(J149,DasaYears,3,0)+IF(VLOOKUP(H149,ChartInfo,11),-1,1)*NOT(ISBLANK(K150)),9)+1),1)</f>
        <v>#N/A</v>
      </c>
      <c r="K150" s="257"/>
      <c r="L150" s="226" t="e">
        <f aca="false">INDEX(DasaYears,(MOD(VLOOKUP(L149,DasaYears,3,0)+IF(VLOOKUP(J149,ChartInfo,11),-1,1)*NOT(ISBLANK(M150)),9)+1),1)</f>
        <v>#N/A</v>
      </c>
      <c r="M150" s="253" t="e">
        <f aca="false">M149+DaysInYear*VLOOKUP($F$148,DasaYears,2,0)/120*VLOOKUP(H149,DasaYears,2,0)*VLOOKUP(J149,DasaYears,2,0)/120*VLOOKUP(L149,DasaYears,2,0)/120*VLOOKUP($D$148,DasaYears,2,0)/120*VLOOKUP($B$148,DasaYears,2,0)/120</f>
        <v>#N/A</v>
      </c>
    </row>
    <row r="151" customFormat="false" ht="15" hidden="false" customHeight="false" outlineLevel="0" collapsed="false">
      <c r="B151" s="258"/>
      <c r="C151" s="259"/>
      <c r="D151" s="226"/>
      <c r="E151" s="259"/>
      <c r="F151" s="226"/>
      <c r="G151" s="260"/>
      <c r="H151" s="226" t="e">
        <f aca="false">INDEX(DasaYears,(MOD(VLOOKUP(H150,DasaYears,3,0)+IF(VLOOKUP($F$148,ChartInfo,11),-1,1)*NOT(ISBLANK(I151)),9)+1),1)</f>
        <v>#N/A</v>
      </c>
      <c r="I151" s="257"/>
      <c r="J151" s="226" t="e">
        <f aca="false">INDEX(DasaYears,(MOD(VLOOKUP(J150,DasaYears,3,0)+IF(VLOOKUP(H150,ChartInfo,11),-1,1)*NOT(ISBLANK(K151)),9)+1),1)</f>
        <v>#N/A</v>
      </c>
      <c r="K151" s="257"/>
      <c r="L151" s="226" t="e">
        <f aca="false">INDEX(DasaYears,(MOD(VLOOKUP(L150,DasaYears,3,0)+IF(VLOOKUP(J150,ChartInfo,11),-1,1)*NOT(ISBLANK(M151)),9)+1),1)</f>
        <v>#N/A</v>
      </c>
      <c r="M151" s="253" t="e">
        <f aca="false">M150+DaysInYear*VLOOKUP($F$148,DasaYears,2,0)/120*VLOOKUP(H150,DasaYears,2,0)*VLOOKUP(J150,DasaYears,2,0)/120*VLOOKUP(L150,DasaYears,2,0)/120*VLOOKUP($D$148,DasaYears,2,0)/120*VLOOKUP($B$148,DasaYears,2,0)/120</f>
        <v>#N/A</v>
      </c>
    </row>
    <row r="152" customFormat="false" ht="15" hidden="false" customHeight="false" outlineLevel="0" collapsed="false">
      <c r="B152" s="258"/>
      <c r="C152" s="259"/>
      <c r="D152" s="226"/>
      <c r="E152" s="259"/>
      <c r="F152" s="226"/>
      <c r="G152" s="260"/>
      <c r="H152" s="226" t="e">
        <f aca="false">INDEX(DasaYears,(MOD(VLOOKUP(H151,DasaYears,3,0)+IF(VLOOKUP($F$148,ChartInfo,11),-1,1)*NOT(ISBLANK(I152)),9)+1),1)</f>
        <v>#N/A</v>
      </c>
      <c r="I152" s="257"/>
      <c r="J152" s="226" t="e">
        <f aca="false">INDEX(DasaYears,(MOD(VLOOKUP(J151,DasaYears,3,0)+IF(VLOOKUP(H151,ChartInfo,11),-1,1)*NOT(ISBLANK(K152)),9)+1),1)</f>
        <v>#N/A</v>
      </c>
      <c r="K152" s="257"/>
      <c r="L152" s="226" t="e">
        <f aca="false">INDEX(DasaYears,(MOD(VLOOKUP(L151,DasaYears,3,0)+IF(VLOOKUP(J151,ChartInfo,11),-1,1)*NOT(ISBLANK(M152)),9)+1),1)</f>
        <v>#N/A</v>
      </c>
      <c r="M152" s="253" t="e">
        <f aca="false">M151+DaysInYear*VLOOKUP($F$148,DasaYears,2,0)/120*VLOOKUP(H151,DasaYears,2,0)*VLOOKUP(J151,DasaYears,2,0)/120*VLOOKUP(L151,DasaYears,2,0)/120*VLOOKUP($D$148,DasaYears,2,0)/120*VLOOKUP($B$148,DasaYears,2,0)/120</f>
        <v>#N/A</v>
      </c>
    </row>
    <row r="153" customFormat="false" ht="15" hidden="false" customHeight="false" outlineLevel="0" collapsed="false">
      <c r="B153" s="258"/>
      <c r="C153" s="259"/>
      <c r="D153" s="226"/>
      <c r="E153" s="259"/>
      <c r="F153" s="226"/>
      <c r="G153" s="260"/>
      <c r="H153" s="226" t="e">
        <f aca="false">INDEX(DasaYears,(MOD(VLOOKUP(H152,DasaYears,3,0)+IF(VLOOKUP($F$148,ChartInfo,11),-1,1)*NOT(ISBLANK(I153)),9)+1),1)</f>
        <v>#N/A</v>
      </c>
      <c r="I153" s="257"/>
      <c r="J153" s="226" t="e">
        <f aca="false">INDEX(DasaYears,(MOD(VLOOKUP(J152,DasaYears,3,0)+IF(VLOOKUP(H152,ChartInfo,11),-1,1)*NOT(ISBLANK(K153)),9)+1),1)</f>
        <v>#N/A</v>
      </c>
      <c r="K153" s="257"/>
      <c r="L153" s="226" t="e">
        <f aca="false">INDEX(DasaYears,(MOD(VLOOKUP(L152,DasaYears,3,0)+IF(VLOOKUP(J152,ChartInfo,11),-1,1)*NOT(ISBLANK(M153)),9)+1),1)</f>
        <v>#N/A</v>
      </c>
      <c r="M153" s="253" t="e">
        <f aca="false">M152+DaysInYear*VLOOKUP($F$148,DasaYears,2,0)/120*VLOOKUP(H152,DasaYears,2,0)*VLOOKUP(J152,DasaYears,2,0)/120*VLOOKUP(L152,DasaYears,2,0)/120*VLOOKUP($D$148,DasaYears,2,0)/120*VLOOKUP($B$148,DasaYears,2,0)/120</f>
        <v>#N/A</v>
      </c>
    </row>
    <row r="154" customFormat="false" ht="15" hidden="false" customHeight="false" outlineLevel="0" collapsed="false">
      <c r="B154" s="258"/>
      <c r="C154" s="259"/>
      <c r="D154" s="226"/>
      <c r="E154" s="259"/>
      <c r="F154" s="226"/>
      <c r="G154" s="260"/>
      <c r="H154" s="226" t="e">
        <f aca="false">INDEX(DasaYears,(MOD(VLOOKUP(H153,DasaYears,3,0)+IF(VLOOKUP($F$148,ChartInfo,11),-1,1)*NOT(ISBLANK(I154)),9)+1),1)</f>
        <v>#N/A</v>
      </c>
      <c r="I154" s="257"/>
      <c r="J154" s="226" t="e">
        <f aca="false">INDEX(DasaYears,(MOD(VLOOKUP(J153,DasaYears,3,0)+IF(VLOOKUP(H153,ChartInfo,11),-1,1)*NOT(ISBLANK(K154)),9)+1),1)</f>
        <v>#N/A</v>
      </c>
      <c r="K154" s="257"/>
      <c r="L154" s="226" t="e">
        <f aca="false">INDEX(DasaYears,(MOD(VLOOKUP(L153,DasaYears,3,0)+IF(VLOOKUP(J153,ChartInfo,11),-1,1)*NOT(ISBLANK(M154)),9)+1),1)</f>
        <v>#N/A</v>
      </c>
      <c r="M154" s="253" t="e">
        <f aca="false">M153+DaysInYear*VLOOKUP($F$148,DasaYears,2,0)/120*VLOOKUP(H153,DasaYears,2,0)*VLOOKUP(J153,DasaYears,2,0)/120*VLOOKUP(L153,DasaYears,2,0)/120*VLOOKUP($D$148,DasaYears,2,0)/120*VLOOKUP($B$148,DasaYears,2,0)/120</f>
        <v>#N/A</v>
      </c>
    </row>
    <row r="155" customFormat="false" ht="15" hidden="false" customHeight="false" outlineLevel="0" collapsed="false">
      <c r="B155" s="258"/>
      <c r="C155" s="259"/>
      <c r="D155" s="226"/>
      <c r="E155" s="259"/>
      <c r="F155" s="226"/>
      <c r="G155" s="260"/>
      <c r="H155" s="226" t="e">
        <f aca="false">INDEX(DasaYears,(MOD(VLOOKUP(H154,DasaYears,3,0)+IF(VLOOKUP($F$148,ChartInfo,11),-1,1)*NOT(ISBLANK(I155)),9)+1),1)</f>
        <v>#N/A</v>
      </c>
      <c r="I155" s="257"/>
      <c r="J155" s="226" t="e">
        <f aca="false">INDEX(DasaYears,(MOD(VLOOKUP(J154,DasaYears,3,0)+IF(VLOOKUP(H154,ChartInfo,11),-1,1)*NOT(ISBLANK(K155)),9)+1),1)</f>
        <v>#N/A</v>
      </c>
      <c r="K155" s="257"/>
      <c r="L155" s="226" t="e">
        <f aca="false">INDEX(DasaYears,(MOD(VLOOKUP(L154,DasaYears,3,0)+IF(VLOOKUP(J154,ChartInfo,11),-1,1)*NOT(ISBLANK(M155)),9)+1),1)</f>
        <v>#N/A</v>
      </c>
      <c r="M155" s="253" t="e">
        <f aca="false">M154+DaysInYear*VLOOKUP($F$148,DasaYears,2,0)/120*VLOOKUP(H154,DasaYears,2,0)*VLOOKUP(J154,DasaYears,2,0)/120*VLOOKUP(L154,DasaYears,2,0)/120*VLOOKUP($D$148,DasaYears,2,0)/120*VLOOKUP($B$148,DasaYears,2,0)/120</f>
        <v>#N/A</v>
      </c>
    </row>
    <row r="156" customFormat="false" ht="15" hidden="false" customHeight="false" outlineLevel="0" collapsed="false">
      <c r="B156" s="258"/>
      <c r="C156" s="259"/>
      <c r="D156" s="226"/>
      <c r="E156" s="259"/>
      <c r="F156" s="226"/>
      <c r="G156" s="260"/>
      <c r="H156" s="226" t="e">
        <f aca="false">INDEX(DasaYears,(MOD(VLOOKUP(H155,DasaYears,3,0)+IF(VLOOKUP($F$148,ChartInfo,11),-1,1)*NOT(ISBLANK(I156)),9)+1),1)</f>
        <v>#N/A</v>
      </c>
      <c r="I156" s="257"/>
      <c r="J156" s="226" t="e">
        <f aca="false">INDEX(DasaYears,(MOD(VLOOKUP(J155,DasaYears,3,0)+IF(VLOOKUP(H155,ChartInfo,11),-1,1)*NOT(ISBLANK(K156)),9)+1),1)</f>
        <v>#N/A</v>
      </c>
      <c r="K156" s="257"/>
      <c r="L156" s="226" t="e">
        <f aca="false">INDEX(DasaYears,(MOD(VLOOKUP(L155,DasaYears,3,0)+IF(VLOOKUP(J155,ChartInfo,11),-1,1)*NOT(ISBLANK(M156)),9)+1),1)</f>
        <v>#N/A</v>
      </c>
      <c r="M156" s="253" t="e">
        <f aca="false">M155+DaysInYear*VLOOKUP($F$148,DasaYears,2,0)/120*VLOOKUP(H155,DasaYears,2,0)*VLOOKUP(J155,DasaYears,2,0)/120*VLOOKUP(L155,DasaYears,2,0)/120*VLOOKUP($D$148,DasaYears,2,0)/120*VLOOKUP($B$148,DasaYears,2,0)/120</f>
        <v>#N/A</v>
      </c>
    </row>
    <row r="157" customFormat="false" ht="15" hidden="false" customHeight="false" outlineLevel="0" collapsed="false">
      <c r="B157" s="258"/>
      <c r="C157" s="259"/>
      <c r="D157" s="226"/>
      <c r="E157" s="259"/>
      <c r="F157" s="226"/>
      <c r="G157" s="260"/>
      <c r="H157" s="226" t="e">
        <f aca="false">INDEX(DasaYears,(MOD(VLOOKUP(H156,DasaYears,3,0)+IF(VLOOKUP($F$148,ChartInfo,11),-1,1)*NOT(ISBLANK(I157)),9)+1),1)</f>
        <v>#N/A</v>
      </c>
      <c r="I157" s="257"/>
      <c r="J157" s="226" t="e">
        <f aca="false">INDEX(DasaYears,(MOD(VLOOKUP(J156,DasaYears,3,0)+IF(VLOOKUP(H156,ChartInfo,11),-1,1)*NOT(ISBLANK(K157)),9)+1),1)</f>
        <v>#N/A</v>
      </c>
      <c r="K157" s="253" t="e">
        <f aca="false">K148+DaysInYear*VLOOKUP($D$148,DasaYears,2,0)/120*VLOOKUP($F$148,DasaYears,2,0)*VLOOKUP(H148,DasaYears,2,0)/120*VLOOKUP(J148,DasaYears,2,0)/120*VLOOKUP($B$148,DasaYears,2,0)/120</f>
        <v>#N/A</v>
      </c>
      <c r="L157" s="226" t="e">
        <f aca="false">INDEX(DasaYears,(MOD(VLOOKUP(L156,DasaYears,3,0)+IF(VLOOKUP(J156,ChartInfo,11),-1,1)*NOT(ISBLANK(M157)),9)+1),1)</f>
        <v>#N/A</v>
      </c>
      <c r="M157" s="253" t="e">
        <f aca="false">M156+DaysInYear*VLOOKUP($F$148,DasaYears,2,0)/120*VLOOKUP(H156,DasaYears,2,0)*VLOOKUP(J156,DasaYears,2,0)/120*VLOOKUP(L156,DasaYears,2,0)/120*VLOOKUP($D$148,DasaYears,2,0)/120*VLOOKUP($B$148,DasaYears,2,0)/120</f>
        <v>#N/A</v>
      </c>
    </row>
    <row r="158" customFormat="false" ht="15" hidden="false" customHeight="false" outlineLevel="0" collapsed="false">
      <c r="B158" s="258"/>
      <c r="C158" s="259"/>
      <c r="D158" s="226"/>
      <c r="E158" s="259"/>
      <c r="F158" s="226"/>
      <c r="G158" s="260"/>
      <c r="H158" s="226" t="e">
        <f aca="false">INDEX(DasaYears,(MOD(VLOOKUP(H157,DasaYears,3,0)+IF(VLOOKUP($F$148,ChartInfo,11),-1,1)*NOT(ISBLANK(I158)),9)+1),1)</f>
        <v>#N/A</v>
      </c>
      <c r="I158" s="257"/>
      <c r="J158" s="226" t="e">
        <f aca="false">INDEX(DasaYears,(MOD(VLOOKUP(J157,DasaYears,3,0)+IF(VLOOKUP(H157,ChartInfo,11),-1,1)*NOT(ISBLANK(K158)),9)+1),1)</f>
        <v>#N/A</v>
      </c>
      <c r="K158" s="257"/>
      <c r="L158" s="226" t="e">
        <f aca="false">INDEX(DasaYears,(MOD(VLOOKUP(L157,DasaYears,3,0)+IF(VLOOKUP(J157,ChartInfo,11),-1,1)*NOT(ISBLANK(M158)),9)+1),1)</f>
        <v>#N/A</v>
      </c>
      <c r="M158" s="253" t="e">
        <f aca="false">M157+DaysInYear*VLOOKUP($F$148,DasaYears,2,0)/120*VLOOKUP(H157,DasaYears,2,0)*VLOOKUP(J157,DasaYears,2,0)/120*VLOOKUP(L157,DasaYears,2,0)/120*VLOOKUP($D$148,DasaYears,2,0)/120*VLOOKUP($B$148,DasaYears,2,0)/120</f>
        <v>#N/A</v>
      </c>
    </row>
    <row r="159" customFormat="false" ht="15" hidden="false" customHeight="false" outlineLevel="0" collapsed="false">
      <c r="B159" s="258"/>
      <c r="C159" s="259"/>
      <c r="D159" s="226"/>
      <c r="E159" s="259"/>
      <c r="F159" s="226"/>
      <c r="G159" s="260"/>
      <c r="H159" s="226" t="e">
        <f aca="false">INDEX(DasaYears,(MOD(VLOOKUP(H158,DasaYears,3,0)+IF(VLOOKUP($F$148,ChartInfo,11),-1,1)*NOT(ISBLANK(I159)),9)+1),1)</f>
        <v>#N/A</v>
      </c>
      <c r="I159" s="257"/>
      <c r="J159" s="226" t="e">
        <f aca="false">INDEX(DasaYears,(MOD(VLOOKUP(J158,DasaYears,3,0)+IF(VLOOKUP(H158,ChartInfo,11),-1,1)*NOT(ISBLANK(K159)),9)+1),1)</f>
        <v>#N/A</v>
      </c>
      <c r="K159" s="257"/>
      <c r="L159" s="226" t="e">
        <f aca="false">INDEX(DasaYears,(MOD(VLOOKUP(L158,DasaYears,3,0)+IF(VLOOKUP(J158,ChartInfo,11),-1,1)*NOT(ISBLANK(M159)),9)+1),1)</f>
        <v>#N/A</v>
      </c>
      <c r="M159" s="253" t="e">
        <f aca="false">M158+DaysInYear*VLOOKUP($F$148,DasaYears,2,0)/120*VLOOKUP(H158,DasaYears,2,0)*VLOOKUP(J158,DasaYears,2,0)/120*VLOOKUP(L158,DasaYears,2,0)/120*VLOOKUP($D$148,DasaYears,2,0)/120*VLOOKUP($B$148,DasaYears,2,0)/120</f>
        <v>#N/A</v>
      </c>
    </row>
    <row r="160" customFormat="false" ht="15" hidden="false" customHeight="false" outlineLevel="0" collapsed="false">
      <c r="B160" s="258"/>
      <c r="C160" s="259"/>
      <c r="D160" s="226"/>
      <c r="E160" s="259"/>
      <c r="F160" s="226"/>
      <c r="G160" s="260"/>
      <c r="H160" s="226" t="e">
        <f aca="false">INDEX(DasaYears,(MOD(VLOOKUP(H159,DasaYears,3,0)+IF(VLOOKUP($F$148,ChartInfo,11),-1,1)*NOT(ISBLANK(I160)),9)+1),1)</f>
        <v>#N/A</v>
      </c>
      <c r="I160" s="257"/>
      <c r="J160" s="226" t="e">
        <f aca="false">INDEX(DasaYears,(MOD(VLOOKUP(J159,DasaYears,3,0)+IF(VLOOKUP(H159,ChartInfo,11),-1,1)*NOT(ISBLANK(K160)),9)+1),1)</f>
        <v>#N/A</v>
      </c>
      <c r="K160" s="257"/>
      <c r="L160" s="226" t="e">
        <f aca="false">INDEX(DasaYears,(MOD(VLOOKUP(L159,DasaYears,3,0)+IF(VLOOKUP(J159,ChartInfo,11),-1,1)*NOT(ISBLANK(M160)),9)+1),1)</f>
        <v>#N/A</v>
      </c>
      <c r="M160" s="253" t="e">
        <f aca="false">M159+DaysInYear*VLOOKUP($F$148,DasaYears,2,0)/120*VLOOKUP(H159,DasaYears,2,0)*VLOOKUP(J159,DasaYears,2,0)/120*VLOOKUP(L159,DasaYears,2,0)/120*VLOOKUP($D$148,DasaYears,2,0)/120*VLOOKUP($B$148,DasaYears,2,0)/120</f>
        <v>#N/A</v>
      </c>
    </row>
    <row r="161" customFormat="false" ht="15" hidden="false" customHeight="false" outlineLevel="0" collapsed="false">
      <c r="B161" s="258"/>
      <c r="C161" s="259"/>
      <c r="D161" s="226"/>
      <c r="E161" s="259"/>
      <c r="F161" s="226"/>
      <c r="G161" s="260"/>
      <c r="H161" s="226" t="e">
        <f aca="false">INDEX(DasaYears,(MOD(VLOOKUP(H160,DasaYears,3,0)+IF(VLOOKUP($F$148,ChartInfo,11),-1,1)*NOT(ISBLANK(I161)),9)+1),1)</f>
        <v>#N/A</v>
      </c>
      <c r="I161" s="257"/>
      <c r="J161" s="226" t="e">
        <f aca="false">INDEX(DasaYears,(MOD(VLOOKUP(J160,DasaYears,3,0)+IF(VLOOKUP(H160,ChartInfo,11),-1,1)*NOT(ISBLANK(K161)),9)+1),1)</f>
        <v>#N/A</v>
      </c>
      <c r="K161" s="257"/>
      <c r="L161" s="226" t="e">
        <f aca="false">INDEX(DasaYears,(MOD(VLOOKUP(L160,DasaYears,3,0)+IF(VLOOKUP(J160,ChartInfo,11),-1,1)*NOT(ISBLANK(M161)),9)+1),1)</f>
        <v>#N/A</v>
      </c>
      <c r="M161" s="253" t="e">
        <f aca="false">M160+DaysInYear*VLOOKUP($F$148,DasaYears,2,0)/120*VLOOKUP(H160,DasaYears,2,0)*VLOOKUP(J160,DasaYears,2,0)/120*VLOOKUP(L160,DasaYears,2,0)/120*VLOOKUP($D$148,DasaYears,2,0)/120*VLOOKUP($B$148,DasaYears,2,0)/120</f>
        <v>#N/A</v>
      </c>
    </row>
    <row r="162" customFormat="false" ht="15" hidden="false" customHeight="false" outlineLevel="0" collapsed="false">
      <c r="B162" s="258"/>
      <c r="C162" s="259"/>
      <c r="D162" s="226"/>
      <c r="E162" s="259"/>
      <c r="F162" s="226"/>
      <c r="G162" s="260"/>
      <c r="H162" s="226" t="e">
        <f aca="false">INDEX(DasaYears,(MOD(VLOOKUP(H161,DasaYears,3,0)+IF(VLOOKUP($F$148,ChartInfo,11),-1,1)*NOT(ISBLANK(I162)),9)+1),1)</f>
        <v>#N/A</v>
      </c>
      <c r="I162" s="257"/>
      <c r="J162" s="226" t="e">
        <f aca="false">INDEX(DasaYears,(MOD(VLOOKUP(J161,DasaYears,3,0)+IF(VLOOKUP(H161,ChartInfo,11),-1,1)*NOT(ISBLANK(K162)),9)+1),1)</f>
        <v>#N/A</v>
      </c>
      <c r="K162" s="257"/>
      <c r="L162" s="226" t="e">
        <f aca="false">INDEX(DasaYears,(MOD(VLOOKUP(L161,DasaYears,3,0)+IF(VLOOKUP(J161,ChartInfo,11),-1,1)*NOT(ISBLANK(M162)),9)+1),1)</f>
        <v>#N/A</v>
      </c>
      <c r="M162" s="253" t="e">
        <f aca="false">M161+DaysInYear*VLOOKUP($F$148,DasaYears,2,0)/120*VLOOKUP(H161,DasaYears,2,0)*VLOOKUP(J161,DasaYears,2,0)/120*VLOOKUP(L161,DasaYears,2,0)/120*VLOOKUP($D$148,DasaYears,2,0)/120*VLOOKUP($B$148,DasaYears,2,0)/120</f>
        <v>#N/A</v>
      </c>
    </row>
    <row r="163" customFormat="false" ht="15" hidden="false" customHeight="false" outlineLevel="0" collapsed="false">
      <c r="B163" s="258"/>
      <c r="C163" s="259"/>
      <c r="D163" s="226"/>
      <c r="E163" s="259"/>
      <c r="F163" s="226"/>
      <c r="G163" s="260"/>
      <c r="H163" s="226" t="e">
        <f aca="false">INDEX(DasaYears,(MOD(VLOOKUP(H162,DasaYears,3,0)+IF(VLOOKUP($F$148,ChartInfo,11),-1,1)*NOT(ISBLANK(I163)),9)+1),1)</f>
        <v>#N/A</v>
      </c>
      <c r="I163" s="257"/>
      <c r="J163" s="226" t="e">
        <f aca="false">INDEX(DasaYears,(MOD(VLOOKUP(J162,DasaYears,3,0)+IF(VLOOKUP(H162,ChartInfo,11),-1,1)*NOT(ISBLANK(K163)),9)+1),1)</f>
        <v>#N/A</v>
      </c>
      <c r="K163" s="257"/>
      <c r="L163" s="226" t="e">
        <f aca="false">INDEX(DasaYears,(MOD(VLOOKUP(L162,DasaYears,3,0)+IF(VLOOKUP(J162,ChartInfo,11),-1,1)*NOT(ISBLANK(M163)),9)+1),1)</f>
        <v>#N/A</v>
      </c>
      <c r="M163" s="253" t="e">
        <f aca="false">M162+DaysInYear*VLOOKUP($F$148,DasaYears,2,0)/120*VLOOKUP(H162,DasaYears,2,0)*VLOOKUP(J162,DasaYears,2,0)/120*VLOOKUP(L162,DasaYears,2,0)/120*VLOOKUP($D$148,DasaYears,2,0)/120*VLOOKUP($B$148,DasaYears,2,0)/120</f>
        <v>#N/A</v>
      </c>
    </row>
    <row r="164" customFormat="false" ht="15" hidden="false" customHeight="false" outlineLevel="0" collapsed="false">
      <c r="B164" s="258"/>
      <c r="C164" s="259"/>
      <c r="D164" s="226"/>
      <c r="E164" s="259"/>
      <c r="F164" s="226"/>
      <c r="G164" s="260"/>
      <c r="H164" s="226" t="e">
        <f aca="false">INDEX(DasaYears,(MOD(VLOOKUP(H163,DasaYears,3,0)+IF(VLOOKUP($F$148,ChartInfo,11),-1,1)*NOT(ISBLANK(I164)),9)+1),1)</f>
        <v>#N/A</v>
      </c>
      <c r="I164" s="257"/>
      <c r="J164" s="226" t="e">
        <f aca="false">INDEX(DasaYears,(MOD(VLOOKUP(J163,DasaYears,3,0)+IF(VLOOKUP(H163,ChartInfo,11),-1,1)*NOT(ISBLANK(K164)),9)+1),1)</f>
        <v>#N/A</v>
      </c>
      <c r="K164" s="257"/>
      <c r="L164" s="226" t="e">
        <f aca="false">INDEX(DasaYears,(MOD(VLOOKUP(L163,DasaYears,3,0)+IF(VLOOKUP(J163,ChartInfo,11),-1,1)*NOT(ISBLANK(M164)),9)+1),1)</f>
        <v>#N/A</v>
      </c>
      <c r="M164" s="253" t="e">
        <f aca="false">M163+DaysInYear*VLOOKUP($F$148,DasaYears,2,0)/120*VLOOKUP(H163,DasaYears,2,0)*VLOOKUP(J163,DasaYears,2,0)/120*VLOOKUP(L163,DasaYears,2,0)/120*VLOOKUP($D$148,DasaYears,2,0)/120*VLOOKUP($B$148,DasaYears,2,0)/120</f>
        <v>#N/A</v>
      </c>
    </row>
    <row r="165" customFormat="false" ht="15" hidden="false" customHeight="false" outlineLevel="0" collapsed="false">
      <c r="B165" s="258"/>
      <c r="C165" s="259"/>
      <c r="D165" s="226"/>
      <c r="E165" s="259"/>
      <c r="F165" s="226"/>
      <c r="G165" s="260"/>
      <c r="H165" s="226" t="e">
        <f aca="false">INDEX(DasaYears,(MOD(VLOOKUP(H164,DasaYears,3,0)+IF(VLOOKUP($F$148,ChartInfo,11),-1,1)*NOT(ISBLANK(I165)),9)+1),1)</f>
        <v>#N/A</v>
      </c>
      <c r="I165" s="257"/>
      <c r="J165" s="226" t="e">
        <f aca="false">INDEX(DasaYears,(MOD(VLOOKUP(J164,DasaYears,3,0)+IF(VLOOKUP(H164,ChartInfo,11),-1,1)*NOT(ISBLANK(K165)),9)+1),1)</f>
        <v>#N/A</v>
      </c>
      <c r="K165" s="257"/>
      <c r="L165" s="226" t="e">
        <f aca="false">INDEX(DasaYears,(MOD(VLOOKUP(L164,DasaYears,3,0)+IF(VLOOKUP(J164,ChartInfo,11),-1,1)*NOT(ISBLANK(M165)),9)+1),1)</f>
        <v>#N/A</v>
      </c>
      <c r="M165" s="253" t="e">
        <f aca="false">M164+DaysInYear*VLOOKUP($F$148,DasaYears,2,0)/120*VLOOKUP(H164,DasaYears,2,0)*VLOOKUP(J164,DasaYears,2,0)/120*VLOOKUP(L164,DasaYears,2,0)/120*VLOOKUP($D$148,DasaYears,2,0)/120*VLOOKUP($B$148,DasaYears,2,0)/120</f>
        <v>#N/A</v>
      </c>
    </row>
    <row r="166" customFormat="false" ht="15" hidden="false" customHeight="false" outlineLevel="0" collapsed="false">
      <c r="B166" s="258"/>
      <c r="C166" s="259"/>
      <c r="D166" s="226"/>
      <c r="E166" s="259"/>
      <c r="F166" s="226"/>
      <c r="G166" s="260"/>
      <c r="H166" s="226" t="e">
        <f aca="false">INDEX(DasaYears,(MOD(VLOOKUP(H165,DasaYears,3,0)+IF(VLOOKUP($F$148,ChartInfo,11),-1,1)*NOT(ISBLANK(I166)),9)+1),1)</f>
        <v>#N/A</v>
      </c>
      <c r="I166" s="257"/>
      <c r="J166" s="226" t="e">
        <f aca="false">INDEX(DasaYears,(MOD(VLOOKUP(J165,DasaYears,3,0)+IF(VLOOKUP(H165,ChartInfo,11),-1,1)*NOT(ISBLANK(K166)),9)+1),1)</f>
        <v>#N/A</v>
      </c>
      <c r="K166" s="253" t="e">
        <f aca="false">K157+DaysInYear*VLOOKUP($D$148,DasaYears,2,0)/120*VLOOKUP($F$148,DasaYears,2,0)*VLOOKUP(H157,DasaYears,2,0)/120*VLOOKUP(J157,DasaYears,2,0)/120*VLOOKUP($B$148,DasaYears,2,0)/120</f>
        <v>#N/A</v>
      </c>
      <c r="L166" s="226" t="e">
        <f aca="false">INDEX(DasaYears,(MOD(VLOOKUP(L165,DasaYears,3,0)+IF(VLOOKUP(J165,ChartInfo,11),-1,1)*NOT(ISBLANK(M166)),9)+1),1)</f>
        <v>#N/A</v>
      </c>
      <c r="M166" s="253" t="e">
        <f aca="false">M165+DaysInYear*VLOOKUP($F$148,DasaYears,2,0)/120*VLOOKUP(H165,DasaYears,2,0)*VLOOKUP(J165,DasaYears,2,0)/120*VLOOKUP(L165,DasaYears,2,0)/120*VLOOKUP($D$148,DasaYears,2,0)/120*VLOOKUP($B$148,DasaYears,2,0)/120</f>
        <v>#N/A</v>
      </c>
    </row>
    <row r="167" customFormat="false" ht="15" hidden="false" customHeight="false" outlineLevel="0" collapsed="false">
      <c r="B167" s="258"/>
      <c r="C167" s="259"/>
      <c r="D167" s="226"/>
      <c r="E167" s="259"/>
      <c r="F167" s="226"/>
      <c r="G167" s="260"/>
      <c r="H167" s="226" t="e">
        <f aca="false">INDEX(DasaYears,(MOD(VLOOKUP(H166,DasaYears,3,0)+IF(VLOOKUP($F$148,ChartInfo,11),-1,1)*NOT(ISBLANK(I167)),9)+1),1)</f>
        <v>#N/A</v>
      </c>
      <c r="I167" s="257"/>
      <c r="J167" s="226" t="e">
        <f aca="false">INDEX(DasaYears,(MOD(VLOOKUP(J166,DasaYears,3,0)+IF(VLOOKUP(H166,ChartInfo,11),-1,1)*NOT(ISBLANK(K167)),9)+1),1)</f>
        <v>#N/A</v>
      </c>
      <c r="K167" s="257"/>
      <c r="L167" s="226" t="e">
        <f aca="false">INDEX(DasaYears,(MOD(VLOOKUP(L166,DasaYears,3,0)+IF(VLOOKUP(J166,ChartInfo,11),-1,1)*NOT(ISBLANK(M167)),9)+1),1)</f>
        <v>#N/A</v>
      </c>
      <c r="M167" s="253" t="e">
        <f aca="false">M166+DaysInYear*VLOOKUP($F$148,DasaYears,2,0)/120*VLOOKUP(H166,DasaYears,2,0)*VLOOKUP(J166,DasaYears,2,0)/120*VLOOKUP(L166,DasaYears,2,0)/120*VLOOKUP($D$148,DasaYears,2,0)/120*VLOOKUP($B$148,DasaYears,2,0)/120</f>
        <v>#N/A</v>
      </c>
    </row>
    <row r="168" customFormat="false" ht="15" hidden="false" customHeight="false" outlineLevel="0" collapsed="false">
      <c r="B168" s="258"/>
      <c r="C168" s="259"/>
      <c r="D168" s="226"/>
      <c r="E168" s="259"/>
      <c r="F168" s="226"/>
      <c r="G168" s="260"/>
      <c r="H168" s="226" t="e">
        <f aca="false">INDEX(DasaYears,(MOD(VLOOKUP(H167,DasaYears,3,0)+IF(VLOOKUP($F$148,ChartInfo,11),-1,1)*NOT(ISBLANK(I168)),9)+1),1)</f>
        <v>#N/A</v>
      </c>
      <c r="I168" s="257"/>
      <c r="J168" s="226" t="e">
        <f aca="false">INDEX(DasaYears,(MOD(VLOOKUP(J167,DasaYears,3,0)+IF(VLOOKUP(H167,ChartInfo,11),-1,1)*NOT(ISBLANK(K168)),9)+1),1)</f>
        <v>#N/A</v>
      </c>
      <c r="K168" s="257"/>
      <c r="L168" s="226" t="e">
        <f aca="false">INDEX(DasaYears,(MOD(VLOOKUP(L167,DasaYears,3,0)+IF(VLOOKUP(J167,ChartInfo,11),-1,1)*NOT(ISBLANK(M168)),9)+1),1)</f>
        <v>#N/A</v>
      </c>
      <c r="M168" s="253" t="e">
        <f aca="false">M167+DaysInYear*VLOOKUP($F$148,DasaYears,2,0)/120*VLOOKUP(H167,DasaYears,2,0)*VLOOKUP(J167,DasaYears,2,0)/120*VLOOKUP(L167,DasaYears,2,0)/120*VLOOKUP($D$148,DasaYears,2,0)/120*VLOOKUP($B$148,DasaYears,2,0)/120</f>
        <v>#N/A</v>
      </c>
    </row>
    <row r="169" customFormat="false" ht="15" hidden="false" customHeight="false" outlineLevel="0" collapsed="false">
      <c r="B169" s="258"/>
      <c r="C169" s="259"/>
      <c r="D169" s="226"/>
      <c r="E169" s="259"/>
      <c r="F169" s="226"/>
      <c r="G169" s="260"/>
      <c r="H169" s="226" t="e">
        <f aca="false">INDEX(DasaYears,(MOD(VLOOKUP(H168,DasaYears,3,0)+IF(VLOOKUP($F$148,ChartInfo,11),-1,1)*NOT(ISBLANK(I169)),9)+1),1)</f>
        <v>#N/A</v>
      </c>
      <c r="I169" s="257"/>
      <c r="J169" s="226" t="e">
        <f aca="false">INDEX(DasaYears,(MOD(VLOOKUP(J168,DasaYears,3,0)+IF(VLOOKUP(H168,ChartInfo,11),-1,1)*NOT(ISBLANK(K169)),9)+1),1)</f>
        <v>#N/A</v>
      </c>
      <c r="K169" s="257"/>
      <c r="L169" s="226" t="e">
        <f aca="false">INDEX(DasaYears,(MOD(VLOOKUP(L168,DasaYears,3,0)+IF(VLOOKUP(J168,ChartInfo,11),-1,1)*NOT(ISBLANK(M169)),9)+1),1)</f>
        <v>#N/A</v>
      </c>
      <c r="M169" s="253" t="e">
        <f aca="false">M168+DaysInYear*VLOOKUP($F$148,DasaYears,2,0)/120*VLOOKUP(H168,DasaYears,2,0)*VLOOKUP(J168,DasaYears,2,0)/120*VLOOKUP(L168,DasaYears,2,0)/120*VLOOKUP($D$148,DasaYears,2,0)/120*VLOOKUP($B$148,DasaYears,2,0)/120</f>
        <v>#N/A</v>
      </c>
    </row>
    <row r="170" customFormat="false" ht="15" hidden="false" customHeight="false" outlineLevel="0" collapsed="false">
      <c r="B170" s="258"/>
      <c r="C170" s="259"/>
      <c r="D170" s="226"/>
      <c r="E170" s="259"/>
      <c r="F170" s="226"/>
      <c r="G170" s="260"/>
      <c r="H170" s="226" t="e">
        <f aca="false">INDEX(DasaYears,(MOD(VLOOKUP(H169,DasaYears,3,0)+IF(VLOOKUP($F$148,ChartInfo,11),-1,1)*NOT(ISBLANK(I170)),9)+1),1)</f>
        <v>#N/A</v>
      </c>
      <c r="I170" s="257"/>
      <c r="J170" s="226" t="e">
        <f aca="false">INDEX(DasaYears,(MOD(VLOOKUP(J169,DasaYears,3,0)+IF(VLOOKUP(H169,ChartInfo,11),-1,1)*NOT(ISBLANK(K170)),9)+1),1)</f>
        <v>#N/A</v>
      </c>
      <c r="K170" s="257"/>
      <c r="L170" s="226" t="e">
        <f aca="false">INDEX(DasaYears,(MOD(VLOOKUP(L169,DasaYears,3,0)+IF(VLOOKUP(J169,ChartInfo,11),-1,1)*NOT(ISBLANK(M170)),9)+1),1)</f>
        <v>#N/A</v>
      </c>
      <c r="M170" s="253" t="e">
        <f aca="false">M169+DaysInYear*VLOOKUP($F$148,DasaYears,2,0)/120*VLOOKUP(H169,DasaYears,2,0)*VLOOKUP(J169,DasaYears,2,0)/120*VLOOKUP(L169,DasaYears,2,0)/120*VLOOKUP($D$148,DasaYears,2,0)/120*VLOOKUP($B$148,DasaYears,2,0)/120</f>
        <v>#N/A</v>
      </c>
    </row>
    <row r="171" customFormat="false" ht="15" hidden="false" customHeight="false" outlineLevel="0" collapsed="false">
      <c r="B171" s="258"/>
      <c r="C171" s="259"/>
      <c r="D171" s="226"/>
      <c r="E171" s="259"/>
      <c r="F171" s="226"/>
      <c r="G171" s="260"/>
      <c r="H171" s="226" t="e">
        <f aca="false">INDEX(DasaYears,(MOD(VLOOKUP(H170,DasaYears,3,0)+IF(VLOOKUP($F$148,ChartInfo,11),-1,1)*NOT(ISBLANK(I171)),9)+1),1)</f>
        <v>#N/A</v>
      </c>
      <c r="I171" s="257"/>
      <c r="J171" s="226" t="e">
        <f aca="false">INDEX(DasaYears,(MOD(VLOOKUP(J170,DasaYears,3,0)+IF(VLOOKUP(H170,ChartInfo,11),-1,1)*NOT(ISBLANK(K171)),9)+1),1)</f>
        <v>#N/A</v>
      </c>
      <c r="K171" s="257"/>
      <c r="L171" s="226" t="e">
        <f aca="false">INDEX(DasaYears,(MOD(VLOOKUP(L170,DasaYears,3,0)+IF(VLOOKUP(J170,ChartInfo,11),-1,1)*NOT(ISBLANK(M171)),9)+1),1)</f>
        <v>#N/A</v>
      </c>
      <c r="M171" s="253" t="e">
        <f aca="false">M170+DaysInYear*VLOOKUP($F$148,DasaYears,2,0)/120*VLOOKUP(H170,DasaYears,2,0)*VLOOKUP(J170,DasaYears,2,0)/120*VLOOKUP(L170,DasaYears,2,0)/120*VLOOKUP($D$148,DasaYears,2,0)/120*VLOOKUP($B$148,DasaYears,2,0)/120</f>
        <v>#N/A</v>
      </c>
    </row>
    <row r="172" customFormat="false" ht="15" hidden="false" customHeight="false" outlineLevel="0" collapsed="false">
      <c r="B172" s="258"/>
      <c r="C172" s="259"/>
      <c r="D172" s="226"/>
      <c r="E172" s="259"/>
      <c r="F172" s="226"/>
      <c r="G172" s="260"/>
      <c r="H172" s="226" t="e">
        <f aca="false">INDEX(DasaYears,(MOD(VLOOKUP(H171,DasaYears,3,0)+IF(VLOOKUP($F$148,ChartInfo,11),-1,1)*NOT(ISBLANK(I172)),9)+1),1)</f>
        <v>#N/A</v>
      </c>
      <c r="I172" s="257"/>
      <c r="J172" s="226" t="e">
        <f aca="false">INDEX(DasaYears,(MOD(VLOOKUP(J171,DasaYears,3,0)+IF(VLOOKUP(H171,ChartInfo,11),-1,1)*NOT(ISBLANK(K172)),9)+1),1)</f>
        <v>#N/A</v>
      </c>
      <c r="K172" s="257"/>
      <c r="L172" s="226" t="e">
        <f aca="false">INDEX(DasaYears,(MOD(VLOOKUP(L171,DasaYears,3,0)+IF(VLOOKUP(J171,ChartInfo,11),-1,1)*NOT(ISBLANK(M172)),9)+1),1)</f>
        <v>#N/A</v>
      </c>
      <c r="M172" s="253" t="e">
        <f aca="false">M171+DaysInYear*VLOOKUP($F$148,DasaYears,2,0)/120*VLOOKUP(H171,DasaYears,2,0)*VLOOKUP(J171,DasaYears,2,0)/120*VLOOKUP(L171,DasaYears,2,0)/120*VLOOKUP($D$148,DasaYears,2,0)/120*VLOOKUP($B$148,DasaYears,2,0)/120</f>
        <v>#N/A</v>
      </c>
    </row>
    <row r="173" customFormat="false" ht="15" hidden="false" customHeight="false" outlineLevel="0" collapsed="false">
      <c r="B173" s="258"/>
      <c r="C173" s="259"/>
      <c r="D173" s="226"/>
      <c r="E173" s="259"/>
      <c r="F173" s="226"/>
      <c r="G173" s="260"/>
      <c r="H173" s="226" t="e">
        <f aca="false">INDEX(DasaYears,(MOD(VLOOKUP(H172,DasaYears,3,0)+IF(VLOOKUP($F$148,ChartInfo,11),-1,1)*NOT(ISBLANK(I173)),9)+1),1)</f>
        <v>#N/A</v>
      </c>
      <c r="I173" s="257"/>
      <c r="J173" s="226" t="e">
        <f aca="false">INDEX(DasaYears,(MOD(VLOOKUP(J172,DasaYears,3,0)+IF(VLOOKUP(H172,ChartInfo,11),-1,1)*NOT(ISBLANK(K173)),9)+1),1)</f>
        <v>#N/A</v>
      </c>
      <c r="K173" s="257"/>
      <c r="L173" s="226" t="e">
        <f aca="false">INDEX(DasaYears,(MOD(VLOOKUP(L172,DasaYears,3,0)+IF(VLOOKUP(J172,ChartInfo,11),-1,1)*NOT(ISBLANK(M173)),9)+1),1)</f>
        <v>#N/A</v>
      </c>
      <c r="M173" s="253" t="e">
        <f aca="false">M172+DaysInYear*VLOOKUP($F$148,DasaYears,2,0)/120*VLOOKUP(H172,DasaYears,2,0)*VLOOKUP(J172,DasaYears,2,0)/120*VLOOKUP(L172,DasaYears,2,0)/120*VLOOKUP($D$148,DasaYears,2,0)/120*VLOOKUP($B$148,DasaYears,2,0)/120</f>
        <v>#N/A</v>
      </c>
    </row>
    <row r="174" customFormat="false" ht="15" hidden="false" customHeight="false" outlineLevel="0" collapsed="false">
      <c r="B174" s="258"/>
      <c r="C174" s="259"/>
      <c r="D174" s="226"/>
      <c r="E174" s="259"/>
      <c r="F174" s="226"/>
      <c r="G174" s="260"/>
      <c r="H174" s="226" t="e">
        <f aca="false">INDEX(DasaYears,(MOD(VLOOKUP(H173,DasaYears,3,0)+IF(VLOOKUP($F$148,ChartInfo,11),-1,1)*NOT(ISBLANK(I174)),9)+1),1)</f>
        <v>#N/A</v>
      </c>
      <c r="I174" s="257"/>
      <c r="J174" s="226" t="e">
        <f aca="false">INDEX(DasaYears,(MOD(VLOOKUP(J173,DasaYears,3,0)+IF(VLOOKUP(H173,ChartInfo,11),-1,1)*NOT(ISBLANK(K174)),9)+1),1)</f>
        <v>#N/A</v>
      </c>
      <c r="K174" s="257"/>
      <c r="L174" s="226" t="e">
        <f aca="false">INDEX(DasaYears,(MOD(VLOOKUP(L173,DasaYears,3,0)+IF(VLOOKUP(J173,ChartInfo,11),-1,1)*NOT(ISBLANK(M174)),9)+1),1)</f>
        <v>#N/A</v>
      </c>
      <c r="M174" s="253" t="e">
        <f aca="false">M173+DaysInYear*VLOOKUP($F$148,DasaYears,2,0)/120*VLOOKUP(H173,DasaYears,2,0)*VLOOKUP(J173,DasaYears,2,0)/120*VLOOKUP(L173,DasaYears,2,0)/120*VLOOKUP($D$148,DasaYears,2,0)/120*VLOOKUP($B$148,DasaYears,2,0)/120</f>
        <v>#N/A</v>
      </c>
    </row>
    <row r="175" customFormat="false" ht="15" hidden="false" customHeight="false" outlineLevel="0" collapsed="false">
      <c r="B175" s="258"/>
      <c r="C175" s="259"/>
      <c r="D175" s="226"/>
      <c r="E175" s="259"/>
      <c r="F175" s="226"/>
      <c r="G175" s="260"/>
      <c r="H175" s="226" t="e">
        <f aca="false">INDEX(DasaYears,(MOD(VLOOKUP(H174,DasaYears,3,0)+IF(VLOOKUP($F$148,ChartInfo,11),-1,1)*NOT(ISBLANK(I175)),9)+1),1)</f>
        <v>#N/A</v>
      </c>
      <c r="I175" s="257"/>
      <c r="J175" s="226" t="e">
        <f aca="false">INDEX(DasaYears,(MOD(VLOOKUP(J174,DasaYears,3,0)+IF(VLOOKUP(H174,ChartInfo,11),-1,1)*NOT(ISBLANK(K175)),9)+1),1)</f>
        <v>#N/A</v>
      </c>
      <c r="K175" s="253" t="e">
        <f aca="false">K166+DaysInYear*VLOOKUP($D$148,DasaYears,2,0)/120*VLOOKUP($F$148,DasaYears,2,0)*VLOOKUP(H166,DasaYears,2,0)/120*VLOOKUP(J166,DasaYears,2,0)/120*VLOOKUP($B$148,DasaYears,2,0)/120</f>
        <v>#N/A</v>
      </c>
      <c r="L175" s="226" t="e">
        <f aca="false">INDEX(DasaYears,(MOD(VLOOKUP(L174,DasaYears,3,0)+IF(VLOOKUP(J174,ChartInfo,11),-1,1)*NOT(ISBLANK(M175)),9)+1),1)</f>
        <v>#N/A</v>
      </c>
      <c r="M175" s="253" t="e">
        <f aca="false">M174+DaysInYear*VLOOKUP($F$148,DasaYears,2,0)/120*VLOOKUP(H174,DasaYears,2,0)*VLOOKUP(J174,DasaYears,2,0)/120*VLOOKUP(L174,DasaYears,2,0)/120*VLOOKUP($D$148,DasaYears,2,0)/120*VLOOKUP($B$148,DasaYears,2,0)/120</f>
        <v>#N/A</v>
      </c>
    </row>
    <row r="176" customFormat="false" ht="15" hidden="false" customHeight="false" outlineLevel="0" collapsed="false">
      <c r="B176" s="258"/>
      <c r="C176" s="259"/>
      <c r="D176" s="226"/>
      <c r="E176" s="259"/>
      <c r="F176" s="226"/>
      <c r="G176" s="260"/>
      <c r="H176" s="226" t="e">
        <f aca="false">INDEX(DasaYears,(MOD(VLOOKUP(H175,DasaYears,3,0)+IF(VLOOKUP($F$148,ChartInfo,11),-1,1)*NOT(ISBLANK(I176)),9)+1),1)</f>
        <v>#N/A</v>
      </c>
      <c r="I176" s="257"/>
      <c r="J176" s="226" t="e">
        <f aca="false">INDEX(DasaYears,(MOD(VLOOKUP(J175,DasaYears,3,0)+IF(VLOOKUP(H175,ChartInfo,11),-1,1)*NOT(ISBLANK(K176)),9)+1),1)</f>
        <v>#N/A</v>
      </c>
      <c r="K176" s="257"/>
      <c r="L176" s="226" t="e">
        <f aca="false">INDEX(DasaYears,(MOD(VLOOKUP(L175,DasaYears,3,0)+IF(VLOOKUP(J175,ChartInfo,11),-1,1)*NOT(ISBLANK(M176)),9)+1),1)</f>
        <v>#N/A</v>
      </c>
      <c r="M176" s="253" t="e">
        <f aca="false">M175+DaysInYear*VLOOKUP($F$148,DasaYears,2,0)/120*VLOOKUP(H175,DasaYears,2,0)*VLOOKUP(J175,DasaYears,2,0)/120*VLOOKUP(L175,DasaYears,2,0)/120*VLOOKUP($D$148,DasaYears,2,0)/120*VLOOKUP($B$148,DasaYears,2,0)/120</f>
        <v>#N/A</v>
      </c>
    </row>
    <row r="177" customFormat="false" ht="15" hidden="false" customHeight="false" outlineLevel="0" collapsed="false">
      <c r="B177" s="258"/>
      <c r="C177" s="259"/>
      <c r="D177" s="226"/>
      <c r="E177" s="259"/>
      <c r="F177" s="226"/>
      <c r="G177" s="260"/>
      <c r="H177" s="226" t="e">
        <f aca="false">INDEX(DasaYears,(MOD(VLOOKUP(H176,DasaYears,3,0)+IF(VLOOKUP($F$148,ChartInfo,11),-1,1)*NOT(ISBLANK(I177)),9)+1),1)</f>
        <v>#N/A</v>
      </c>
      <c r="I177" s="257"/>
      <c r="J177" s="226" t="e">
        <f aca="false">INDEX(DasaYears,(MOD(VLOOKUP(J176,DasaYears,3,0)+IF(VLOOKUP(H176,ChartInfo,11),-1,1)*NOT(ISBLANK(K177)),9)+1),1)</f>
        <v>#N/A</v>
      </c>
      <c r="K177" s="257"/>
      <c r="L177" s="226" t="e">
        <f aca="false">INDEX(DasaYears,(MOD(VLOOKUP(L176,DasaYears,3,0)+IF(VLOOKUP(J176,ChartInfo,11),-1,1)*NOT(ISBLANK(M177)),9)+1),1)</f>
        <v>#N/A</v>
      </c>
      <c r="M177" s="253" t="e">
        <f aca="false">M176+DaysInYear*VLOOKUP($F$148,DasaYears,2,0)/120*VLOOKUP(H176,DasaYears,2,0)*VLOOKUP(J176,DasaYears,2,0)/120*VLOOKUP(L176,DasaYears,2,0)/120*VLOOKUP($D$148,DasaYears,2,0)/120*VLOOKUP($B$148,DasaYears,2,0)/120</f>
        <v>#N/A</v>
      </c>
    </row>
    <row r="178" customFormat="false" ht="15" hidden="false" customHeight="false" outlineLevel="0" collapsed="false">
      <c r="B178" s="258"/>
      <c r="C178" s="259"/>
      <c r="D178" s="226"/>
      <c r="E178" s="259"/>
      <c r="F178" s="226"/>
      <c r="G178" s="260"/>
      <c r="H178" s="226" t="e">
        <f aca="false">INDEX(DasaYears,(MOD(VLOOKUP(H177,DasaYears,3,0)+IF(VLOOKUP($F$148,ChartInfo,11),-1,1)*NOT(ISBLANK(I178)),9)+1),1)</f>
        <v>#N/A</v>
      </c>
      <c r="I178" s="257"/>
      <c r="J178" s="226" t="e">
        <f aca="false">INDEX(DasaYears,(MOD(VLOOKUP(J177,DasaYears,3,0)+IF(VLOOKUP(H177,ChartInfo,11),-1,1)*NOT(ISBLANK(K178)),9)+1),1)</f>
        <v>#N/A</v>
      </c>
      <c r="K178" s="257"/>
      <c r="L178" s="226" t="e">
        <f aca="false">INDEX(DasaYears,(MOD(VLOOKUP(L177,DasaYears,3,0)+IF(VLOOKUP(J177,ChartInfo,11),-1,1)*NOT(ISBLANK(M178)),9)+1),1)</f>
        <v>#N/A</v>
      </c>
      <c r="M178" s="253" t="e">
        <f aca="false">M177+DaysInYear*VLOOKUP($F$148,DasaYears,2,0)/120*VLOOKUP(H177,DasaYears,2,0)*VLOOKUP(J177,DasaYears,2,0)/120*VLOOKUP(L177,DasaYears,2,0)/120*VLOOKUP($D$148,DasaYears,2,0)/120*VLOOKUP($B$148,DasaYears,2,0)/120</f>
        <v>#N/A</v>
      </c>
    </row>
    <row r="179" customFormat="false" ht="15" hidden="false" customHeight="false" outlineLevel="0" collapsed="false">
      <c r="B179" s="258"/>
      <c r="C179" s="259"/>
      <c r="D179" s="226"/>
      <c r="E179" s="259"/>
      <c r="F179" s="226"/>
      <c r="G179" s="260"/>
      <c r="H179" s="226" t="e">
        <f aca="false">INDEX(DasaYears,(MOD(VLOOKUP(H178,DasaYears,3,0)+IF(VLOOKUP($F$148,ChartInfo,11),-1,1)*NOT(ISBLANK(I179)),9)+1),1)</f>
        <v>#N/A</v>
      </c>
      <c r="I179" s="257"/>
      <c r="J179" s="226" t="e">
        <f aca="false">INDEX(DasaYears,(MOD(VLOOKUP(J178,DasaYears,3,0)+IF(VLOOKUP(H178,ChartInfo,11),-1,1)*NOT(ISBLANK(K179)),9)+1),1)</f>
        <v>#N/A</v>
      </c>
      <c r="K179" s="257"/>
      <c r="L179" s="226" t="e">
        <f aca="false">INDEX(DasaYears,(MOD(VLOOKUP(L178,DasaYears,3,0)+IF(VLOOKUP(J178,ChartInfo,11),-1,1)*NOT(ISBLANK(M179)),9)+1),1)</f>
        <v>#N/A</v>
      </c>
      <c r="M179" s="253" t="e">
        <f aca="false">M178+DaysInYear*VLOOKUP($F$148,DasaYears,2,0)/120*VLOOKUP(H178,DasaYears,2,0)*VLOOKUP(J178,DasaYears,2,0)/120*VLOOKUP(L178,DasaYears,2,0)/120*VLOOKUP($D$148,DasaYears,2,0)/120*VLOOKUP($B$148,DasaYears,2,0)/120</f>
        <v>#N/A</v>
      </c>
    </row>
    <row r="180" customFormat="false" ht="15" hidden="false" customHeight="false" outlineLevel="0" collapsed="false">
      <c r="B180" s="258"/>
      <c r="C180" s="259"/>
      <c r="D180" s="226"/>
      <c r="E180" s="259"/>
      <c r="F180" s="226"/>
      <c r="G180" s="260"/>
      <c r="H180" s="226" t="e">
        <f aca="false">INDEX(DasaYears,(MOD(VLOOKUP(H179,DasaYears,3,0)+IF(VLOOKUP($F$148,ChartInfo,11),-1,1)*NOT(ISBLANK(I180)),9)+1),1)</f>
        <v>#N/A</v>
      </c>
      <c r="I180" s="257"/>
      <c r="J180" s="226" t="e">
        <f aca="false">INDEX(DasaYears,(MOD(VLOOKUP(J179,DasaYears,3,0)+IF(VLOOKUP(H179,ChartInfo,11),-1,1)*NOT(ISBLANK(K180)),9)+1),1)</f>
        <v>#N/A</v>
      </c>
      <c r="K180" s="257"/>
      <c r="L180" s="226" t="e">
        <f aca="false">INDEX(DasaYears,(MOD(VLOOKUP(L179,DasaYears,3,0)+IF(VLOOKUP(J179,ChartInfo,11),-1,1)*NOT(ISBLANK(M180)),9)+1),1)</f>
        <v>#N/A</v>
      </c>
      <c r="M180" s="253" t="e">
        <f aca="false">M179+DaysInYear*VLOOKUP($F$148,DasaYears,2,0)/120*VLOOKUP(H179,DasaYears,2,0)*VLOOKUP(J179,DasaYears,2,0)/120*VLOOKUP(L179,DasaYears,2,0)/120*VLOOKUP($D$148,DasaYears,2,0)/120*VLOOKUP($B$148,DasaYears,2,0)/120</f>
        <v>#N/A</v>
      </c>
    </row>
    <row r="181" customFormat="false" ht="15" hidden="false" customHeight="false" outlineLevel="0" collapsed="false">
      <c r="B181" s="258"/>
      <c r="C181" s="259"/>
      <c r="D181" s="226"/>
      <c r="E181" s="259"/>
      <c r="F181" s="226"/>
      <c r="G181" s="260"/>
      <c r="H181" s="226" t="e">
        <f aca="false">INDEX(DasaYears,(MOD(VLOOKUP(H180,DasaYears,3,0)+IF(VLOOKUP($F$148,ChartInfo,11),-1,1)*NOT(ISBLANK(I181)),9)+1),1)</f>
        <v>#N/A</v>
      </c>
      <c r="I181" s="257"/>
      <c r="J181" s="226" t="e">
        <f aca="false">INDEX(DasaYears,(MOD(VLOOKUP(J180,DasaYears,3,0)+IF(VLOOKUP(H180,ChartInfo,11),-1,1)*NOT(ISBLANK(K181)),9)+1),1)</f>
        <v>#N/A</v>
      </c>
      <c r="K181" s="257"/>
      <c r="L181" s="226" t="e">
        <f aca="false">INDEX(DasaYears,(MOD(VLOOKUP(L180,DasaYears,3,0)+IF(VLOOKUP(J180,ChartInfo,11),-1,1)*NOT(ISBLANK(M181)),9)+1),1)</f>
        <v>#N/A</v>
      </c>
      <c r="M181" s="253" t="e">
        <f aca="false">M180+DaysInYear*VLOOKUP($F$148,DasaYears,2,0)/120*VLOOKUP(H180,DasaYears,2,0)*VLOOKUP(J180,DasaYears,2,0)/120*VLOOKUP(L180,DasaYears,2,0)/120*VLOOKUP($D$148,DasaYears,2,0)/120*VLOOKUP($B$148,DasaYears,2,0)/120</f>
        <v>#N/A</v>
      </c>
    </row>
    <row r="182" customFormat="false" ht="15" hidden="false" customHeight="false" outlineLevel="0" collapsed="false">
      <c r="B182" s="258"/>
      <c r="C182" s="259"/>
      <c r="D182" s="226"/>
      <c r="E182" s="259"/>
      <c r="F182" s="226"/>
      <c r="G182" s="260"/>
      <c r="H182" s="226" t="e">
        <f aca="false">INDEX(DasaYears,(MOD(VLOOKUP(H181,DasaYears,3,0)+IF(VLOOKUP($F$148,ChartInfo,11),-1,1)*NOT(ISBLANK(I182)),9)+1),1)</f>
        <v>#N/A</v>
      </c>
      <c r="I182" s="257"/>
      <c r="J182" s="226" t="e">
        <f aca="false">INDEX(DasaYears,(MOD(VLOOKUP(J181,DasaYears,3,0)+IF(VLOOKUP(H181,ChartInfo,11),-1,1)*NOT(ISBLANK(K182)),9)+1),1)</f>
        <v>#N/A</v>
      </c>
      <c r="K182" s="257"/>
      <c r="L182" s="226" t="e">
        <f aca="false">INDEX(DasaYears,(MOD(VLOOKUP(L181,DasaYears,3,0)+IF(VLOOKUP(J181,ChartInfo,11),-1,1)*NOT(ISBLANK(M182)),9)+1),1)</f>
        <v>#N/A</v>
      </c>
      <c r="M182" s="253" t="e">
        <f aca="false">M181+DaysInYear*VLOOKUP($F$148,DasaYears,2,0)/120*VLOOKUP(H181,DasaYears,2,0)*VLOOKUP(J181,DasaYears,2,0)/120*VLOOKUP(L181,DasaYears,2,0)/120*VLOOKUP($D$148,DasaYears,2,0)/120*VLOOKUP($B$148,DasaYears,2,0)/120</f>
        <v>#N/A</v>
      </c>
    </row>
    <row r="183" customFormat="false" ht="15" hidden="false" customHeight="false" outlineLevel="0" collapsed="false">
      <c r="B183" s="258"/>
      <c r="C183" s="259"/>
      <c r="D183" s="226"/>
      <c r="E183" s="259"/>
      <c r="F183" s="226"/>
      <c r="G183" s="260"/>
      <c r="H183" s="226" t="e">
        <f aca="false">INDEX(DasaYears,(MOD(VLOOKUP(H182,DasaYears,3,0)+IF(VLOOKUP($F$148,ChartInfo,11),-1,1)*NOT(ISBLANK(I183)),9)+1),1)</f>
        <v>#N/A</v>
      </c>
      <c r="I183" s="257"/>
      <c r="J183" s="226" t="e">
        <f aca="false">INDEX(DasaYears,(MOD(VLOOKUP(J182,DasaYears,3,0)+IF(VLOOKUP(H182,ChartInfo,11),-1,1)*NOT(ISBLANK(K183)),9)+1),1)</f>
        <v>#N/A</v>
      </c>
      <c r="K183" s="257"/>
      <c r="L183" s="226" t="e">
        <f aca="false">INDEX(DasaYears,(MOD(VLOOKUP(L182,DasaYears,3,0)+IF(VLOOKUP(J182,ChartInfo,11),-1,1)*NOT(ISBLANK(M183)),9)+1),1)</f>
        <v>#N/A</v>
      </c>
      <c r="M183" s="253" t="e">
        <f aca="false">M182+DaysInYear*VLOOKUP($F$148,DasaYears,2,0)/120*VLOOKUP(H182,DasaYears,2,0)*VLOOKUP(J182,DasaYears,2,0)/120*VLOOKUP(L182,DasaYears,2,0)/120*VLOOKUP($D$148,DasaYears,2,0)/120*VLOOKUP($B$148,DasaYears,2,0)/120</f>
        <v>#N/A</v>
      </c>
    </row>
    <row r="184" customFormat="false" ht="15" hidden="false" customHeight="false" outlineLevel="0" collapsed="false">
      <c r="B184" s="258"/>
      <c r="C184" s="259"/>
      <c r="D184" s="226"/>
      <c r="E184" s="259"/>
      <c r="F184" s="226"/>
      <c r="G184" s="260"/>
      <c r="H184" s="226" t="e">
        <f aca="false">INDEX(DasaYears,(MOD(VLOOKUP(H183,DasaYears,3,0)+IF(VLOOKUP($F$148,ChartInfo,11),-1,1)*NOT(ISBLANK(I184)),9)+1),1)</f>
        <v>#N/A</v>
      </c>
      <c r="I184" s="257"/>
      <c r="J184" s="226" t="e">
        <f aca="false">INDEX(DasaYears,(MOD(VLOOKUP(J183,DasaYears,3,0)+IF(VLOOKUP(H183,ChartInfo,11),-1,1)*NOT(ISBLANK(K184)),9)+1),1)</f>
        <v>#N/A</v>
      </c>
      <c r="K184" s="253" t="e">
        <f aca="false">K175+DaysInYear*VLOOKUP($D$148,DasaYears,2,0)/120*VLOOKUP($F$148,DasaYears,2,0)*VLOOKUP(H175,DasaYears,2,0)/120*VLOOKUP(J175,DasaYears,2,0)/120*VLOOKUP($B$148,DasaYears,2,0)/120</f>
        <v>#N/A</v>
      </c>
      <c r="L184" s="226" t="e">
        <f aca="false">INDEX(DasaYears,(MOD(VLOOKUP(L183,DasaYears,3,0)+IF(VLOOKUP(J183,ChartInfo,11),-1,1)*NOT(ISBLANK(M184)),9)+1),1)</f>
        <v>#N/A</v>
      </c>
      <c r="M184" s="253" t="e">
        <f aca="false">M183+DaysInYear*VLOOKUP($F$148,DasaYears,2,0)/120*VLOOKUP(H183,DasaYears,2,0)*VLOOKUP(J183,DasaYears,2,0)/120*VLOOKUP(L183,DasaYears,2,0)/120*VLOOKUP($D$148,DasaYears,2,0)/120*VLOOKUP($B$148,DasaYears,2,0)/120</f>
        <v>#N/A</v>
      </c>
    </row>
    <row r="185" customFormat="false" ht="15" hidden="false" customHeight="false" outlineLevel="0" collapsed="false">
      <c r="B185" s="258"/>
      <c r="C185" s="259"/>
      <c r="D185" s="226"/>
      <c r="E185" s="259"/>
      <c r="F185" s="226"/>
      <c r="G185" s="260"/>
      <c r="H185" s="226" t="e">
        <f aca="false">INDEX(DasaYears,(MOD(VLOOKUP(H184,DasaYears,3,0)+IF(VLOOKUP($F$148,ChartInfo,11),-1,1)*NOT(ISBLANK(I185)),9)+1),1)</f>
        <v>#N/A</v>
      </c>
      <c r="I185" s="257"/>
      <c r="J185" s="226" t="e">
        <f aca="false">INDEX(DasaYears,(MOD(VLOOKUP(J184,DasaYears,3,0)+IF(VLOOKUP(H184,ChartInfo,11),-1,1)*NOT(ISBLANK(K185)),9)+1),1)</f>
        <v>#N/A</v>
      </c>
      <c r="K185" s="257"/>
      <c r="L185" s="226" t="e">
        <f aca="false">INDEX(DasaYears,(MOD(VLOOKUP(L184,DasaYears,3,0)+IF(VLOOKUP(J184,ChartInfo,11),-1,1)*NOT(ISBLANK(M185)),9)+1),1)</f>
        <v>#N/A</v>
      </c>
      <c r="M185" s="253" t="e">
        <f aca="false">M184+DaysInYear*VLOOKUP($F$148,DasaYears,2,0)/120*VLOOKUP(H184,DasaYears,2,0)*VLOOKUP(J184,DasaYears,2,0)/120*VLOOKUP(L184,DasaYears,2,0)/120*VLOOKUP($D$148,DasaYears,2,0)/120*VLOOKUP($B$148,DasaYears,2,0)/120</f>
        <v>#N/A</v>
      </c>
    </row>
    <row r="186" customFormat="false" ht="15" hidden="false" customHeight="false" outlineLevel="0" collapsed="false">
      <c r="B186" s="258"/>
      <c r="C186" s="259"/>
      <c r="D186" s="226"/>
      <c r="E186" s="259"/>
      <c r="F186" s="226"/>
      <c r="G186" s="260"/>
      <c r="H186" s="226" t="e">
        <f aca="false">INDEX(DasaYears,(MOD(VLOOKUP(H185,DasaYears,3,0)+IF(VLOOKUP($F$148,ChartInfo,11),-1,1)*NOT(ISBLANK(I186)),9)+1),1)</f>
        <v>#N/A</v>
      </c>
      <c r="I186" s="257"/>
      <c r="J186" s="226" t="e">
        <f aca="false">INDEX(DasaYears,(MOD(VLOOKUP(J185,DasaYears,3,0)+IF(VLOOKUP(H185,ChartInfo,11),-1,1)*NOT(ISBLANK(K186)),9)+1),1)</f>
        <v>#N/A</v>
      </c>
      <c r="K186" s="257"/>
      <c r="L186" s="226" t="e">
        <f aca="false">INDEX(DasaYears,(MOD(VLOOKUP(L185,DasaYears,3,0)+IF(VLOOKUP(J185,ChartInfo,11),-1,1)*NOT(ISBLANK(M186)),9)+1),1)</f>
        <v>#N/A</v>
      </c>
      <c r="M186" s="253" t="e">
        <f aca="false">M185+DaysInYear*VLOOKUP($F$148,DasaYears,2,0)/120*VLOOKUP(H185,DasaYears,2,0)*VLOOKUP(J185,DasaYears,2,0)/120*VLOOKUP(L185,DasaYears,2,0)/120*VLOOKUP($D$148,DasaYears,2,0)/120*VLOOKUP($B$148,DasaYears,2,0)/120</f>
        <v>#N/A</v>
      </c>
    </row>
    <row r="187" customFormat="false" ht="15" hidden="false" customHeight="false" outlineLevel="0" collapsed="false">
      <c r="B187" s="258"/>
      <c r="C187" s="259"/>
      <c r="D187" s="226"/>
      <c r="E187" s="259"/>
      <c r="F187" s="226"/>
      <c r="G187" s="260"/>
      <c r="H187" s="226" t="e">
        <f aca="false">INDEX(DasaYears,(MOD(VLOOKUP(H186,DasaYears,3,0)+IF(VLOOKUP($F$148,ChartInfo,11),-1,1)*NOT(ISBLANK(I187)),9)+1),1)</f>
        <v>#N/A</v>
      </c>
      <c r="I187" s="257"/>
      <c r="J187" s="226" t="e">
        <f aca="false">INDEX(DasaYears,(MOD(VLOOKUP(J186,DasaYears,3,0)+IF(VLOOKUP(H186,ChartInfo,11),-1,1)*NOT(ISBLANK(K187)),9)+1),1)</f>
        <v>#N/A</v>
      </c>
      <c r="K187" s="257"/>
      <c r="L187" s="226" t="e">
        <f aca="false">INDEX(DasaYears,(MOD(VLOOKUP(L186,DasaYears,3,0)+IF(VLOOKUP(J186,ChartInfo,11),-1,1)*NOT(ISBLANK(M187)),9)+1),1)</f>
        <v>#N/A</v>
      </c>
      <c r="M187" s="253" t="e">
        <f aca="false">M186+DaysInYear*VLOOKUP($F$148,DasaYears,2,0)/120*VLOOKUP(H186,DasaYears,2,0)*VLOOKUP(J186,DasaYears,2,0)/120*VLOOKUP(L186,DasaYears,2,0)/120*VLOOKUP($D$148,DasaYears,2,0)/120*VLOOKUP($B$148,DasaYears,2,0)/120</f>
        <v>#N/A</v>
      </c>
    </row>
    <row r="188" customFormat="false" ht="15" hidden="false" customHeight="false" outlineLevel="0" collapsed="false">
      <c r="B188" s="258"/>
      <c r="C188" s="259"/>
      <c r="D188" s="226"/>
      <c r="E188" s="259"/>
      <c r="F188" s="226"/>
      <c r="G188" s="260"/>
      <c r="H188" s="226" t="e">
        <f aca="false">INDEX(DasaYears,(MOD(VLOOKUP(H187,DasaYears,3,0)+IF(VLOOKUP($F$148,ChartInfo,11),-1,1)*NOT(ISBLANK(I188)),9)+1),1)</f>
        <v>#N/A</v>
      </c>
      <c r="I188" s="257"/>
      <c r="J188" s="226" t="e">
        <f aca="false">INDEX(DasaYears,(MOD(VLOOKUP(J187,DasaYears,3,0)+IF(VLOOKUP(H187,ChartInfo,11),-1,1)*NOT(ISBLANK(K188)),9)+1),1)</f>
        <v>#N/A</v>
      </c>
      <c r="K188" s="257"/>
      <c r="L188" s="226" t="e">
        <f aca="false">INDEX(DasaYears,(MOD(VLOOKUP(L187,DasaYears,3,0)+IF(VLOOKUP(J187,ChartInfo,11),-1,1)*NOT(ISBLANK(M188)),9)+1),1)</f>
        <v>#N/A</v>
      </c>
      <c r="M188" s="253" t="e">
        <f aca="false">M187+DaysInYear*VLOOKUP($F$148,DasaYears,2,0)/120*VLOOKUP(H187,DasaYears,2,0)*VLOOKUP(J187,DasaYears,2,0)/120*VLOOKUP(L187,DasaYears,2,0)/120*VLOOKUP($D$148,DasaYears,2,0)/120*VLOOKUP($B$148,DasaYears,2,0)/120</f>
        <v>#N/A</v>
      </c>
    </row>
    <row r="189" customFormat="false" ht="15" hidden="false" customHeight="false" outlineLevel="0" collapsed="false">
      <c r="B189" s="258"/>
      <c r="C189" s="259"/>
      <c r="D189" s="226"/>
      <c r="E189" s="259"/>
      <c r="F189" s="226"/>
      <c r="G189" s="260"/>
      <c r="H189" s="226" t="e">
        <f aca="false">INDEX(DasaYears,(MOD(VLOOKUP(H188,DasaYears,3,0)+IF(VLOOKUP($F$148,ChartInfo,11),-1,1)*NOT(ISBLANK(I189)),9)+1),1)</f>
        <v>#N/A</v>
      </c>
      <c r="I189" s="257"/>
      <c r="J189" s="226" t="e">
        <f aca="false">INDEX(DasaYears,(MOD(VLOOKUP(J188,DasaYears,3,0)+IF(VLOOKUP(H188,ChartInfo,11),-1,1)*NOT(ISBLANK(K189)),9)+1),1)</f>
        <v>#N/A</v>
      </c>
      <c r="K189" s="257"/>
      <c r="L189" s="226" t="e">
        <f aca="false">INDEX(DasaYears,(MOD(VLOOKUP(L188,DasaYears,3,0)+IF(VLOOKUP(J188,ChartInfo,11),-1,1)*NOT(ISBLANK(M189)),9)+1),1)</f>
        <v>#N/A</v>
      </c>
      <c r="M189" s="253" t="e">
        <f aca="false">M188+DaysInYear*VLOOKUP($F$148,DasaYears,2,0)/120*VLOOKUP(H188,DasaYears,2,0)*VLOOKUP(J188,DasaYears,2,0)/120*VLOOKUP(L188,DasaYears,2,0)/120*VLOOKUP($D$148,DasaYears,2,0)/120*VLOOKUP($B$148,DasaYears,2,0)/120</f>
        <v>#N/A</v>
      </c>
    </row>
    <row r="190" customFormat="false" ht="15" hidden="false" customHeight="false" outlineLevel="0" collapsed="false">
      <c r="B190" s="258"/>
      <c r="C190" s="259"/>
      <c r="D190" s="226"/>
      <c r="E190" s="259"/>
      <c r="F190" s="226"/>
      <c r="G190" s="260"/>
      <c r="H190" s="226" t="e">
        <f aca="false">INDEX(DasaYears,(MOD(VLOOKUP(H189,DasaYears,3,0)+IF(VLOOKUP($F$148,ChartInfo,11),-1,1)*NOT(ISBLANK(I190)),9)+1),1)</f>
        <v>#N/A</v>
      </c>
      <c r="I190" s="257"/>
      <c r="J190" s="226" t="e">
        <f aca="false">INDEX(DasaYears,(MOD(VLOOKUP(J189,DasaYears,3,0)+IF(VLOOKUP(H189,ChartInfo,11),-1,1)*NOT(ISBLANK(K190)),9)+1),1)</f>
        <v>#N/A</v>
      </c>
      <c r="K190" s="257"/>
      <c r="L190" s="226" t="e">
        <f aca="false">INDEX(DasaYears,(MOD(VLOOKUP(L189,DasaYears,3,0)+IF(VLOOKUP(J189,ChartInfo,11),-1,1)*NOT(ISBLANK(M190)),9)+1),1)</f>
        <v>#N/A</v>
      </c>
      <c r="M190" s="253" t="e">
        <f aca="false">M189+DaysInYear*VLOOKUP($F$148,DasaYears,2,0)/120*VLOOKUP(H189,DasaYears,2,0)*VLOOKUP(J189,DasaYears,2,0)/120*VLOOKUP(L189,DasaYears,2,0)/120*VLOOKUP($D$148,DasaYears,2,0)/120*VLOOKUP($B$148,DasaYears,2,0)/120</f>
        <v>#N/A</v>
      </c>
    </row>
    <row r="191" customFormat="false" ht="15" hidden="false" customHeight="false" outlineLevel="0" collapsed="false">
      <c r="B191" s="258"/>
      <c r="C191" s="259"/>
      <c r="D191" s="226"/>
      <c r="E191" s="259"/>
      <c r="F191" s="226"/>
      <c r="G191" s="260"/>
      <c r="H191" s="226" t="e">
        <f aca="false">INDEX(DasaYears,(MOD(VLOOKUP(H190,DasaYears,3,0)+IF(VLOOKUP($F$148,ChartInfo,11),-1,1)*NOT(ISBLANK(I191)),9)+1),1)</f>
        <v>#N/A</v>
      </c>
      <c r="I191" s="257"/>
      <c r="J191" s="226" t="e">
        <f aca="false">INDEX(DasaYears,(MOD(VLOOKUP(J190,DasaYears,3,0)+IF(VLOOKUP(H190,ChartInfo,11),-1,1)*NOT(ISBLANK(K191)),9)+1),1)</f>
        <v>#N/A</v>
      </c>
      <c r="K191" s="257"/>
      <c r="L191" s="226" t="e">
        <f aca="false">INDEX(DasaYears,(MOD(VLOOKUP(L190,DasaYears,3,0)+IF(VLOOKUP(J190,ChartInfo,11),-1,1)*NOT(ISBLANK(M191)),9)+1),1)</f>
        <v>#N/A</v>
      </c>
      <c r="M191" s="253" t="e">
        <f aca="false">M190+DaysInYear*VLOOKUP($F$148,DasaYears,2,0)/120*VLOOKUP(H190,DasaYears,2,0)*VLOOKUP(J190,DasaYears,2,0)/120*VLOOKUP(L190,DasaYears,2,0)/120*VLOOKUP($D$148,DasaYears,2,0)/120*VLOOKUP($B$148,DasaYears,2,0)/120</f>
        <v>#N/A</v>
      </c>
    </row>
    <row r="192" customFormat="false" ht="15" hidden="false" customHeight="false" outlineLevel="0" collapsed="false">
      <c r="B192" s="258"/>
      <c r="C192" s="259"/>
      <c r="D192" s="226"/>
      <c r="E192" s="259"/>
      <c r="F192" s="226"/>
      <c r="G192" s="260"/>
      <c r="H192" s="226" t="e">
        <f aca="false">INDEX(DasaYears,(MOD(VLOOKUP(H191,DasaYears,3,0)+IF(VLOOKUP($F$148,ChartInfo,11),-1,1)*NOT(ISBLANK(I192)),9)+1),1)</f>
        <v>#N/A</v>
      </c>
      <c r="I192" s="257"/>
      <c r="J192" s="226" t="e">
        <f aca="false">INDEX(DasaYears,(MOD(VLOOKUP(J191,DasaYears,3,0)+IF(VLOOKUP(H191,ChartInfo,11),-1,1)*NOT(ISBLANK(K192)),9)+1),1)</f>
        <v>#N/A</v>
      </c>
      <c r="K192" s="257"/>
      <c r="L192" s="226" t="e">
        <f aca="false">INDEX(DasaYears,(MOD(VLOOKUP(L191,DasaYears,3,0)+IF(VLOOKUP(J191,ChartInfo,11),-1,1)*NOT(ISBLANK(M192)),9)+1),1)</f>
        <v>#N/A</v>
      </c>
      <c r="M192" s="253" t="e">
        <f aca="false">M191+DaysInYear*VLOOKUP($F$148,DasaYears,2,0)/120*VLOOKUP(H191,DasaYears,2,0)*VLOOKUP(J191,DasaYears,2,0)/120*VLOOKUP(L191,DasaYears,2,0)/120*VLOOKUP($D$148,DasaYears,2,0)/120*VLOOKUP($B$148,DasaYears,2,0)/120</f>
        <v>#N/A</v>
      </c>
    </row>
    <row r="193" customFormat="false" ht="15" hidden="false" customHeight="false" outlineLevel="0" collapsed="false">
      <c r="B193" s="258"/>
      <c r="C193" s="259"/>
      <c r="D193" s="226"/>
      <c r="E193" s="259"/>
      <c r="F193" s="226"/>
      <c r="G193" s="260"/>
      <c r="H193" s="226" t="e">
        <f aca="false">INDEX(DasaYears,(MOD(VLOOKUP(H192,DasaYears,3,0)+IF(VLOOKUP($F$148,ChartInfo,11),-1,1)*NOT(ISBLANK(I193)),9)+1),1)</f>
        <v>#N/A</v>
      </c>
      <c r="I193" s="257"/>
      <c r="J193" s="226" t="e">
        <f aca="false">INDEX(DasaYears,(MOD(VLOOKUP(J192,DasaYears,3,0)+IF(VLOOKUP(H192,ChartInfo,11),-1,1)*NOT(ISBLANK(K193)),9)+1),1)</f>
        <v>#N/A</v>
      </c>
      <c r="K193" s="253" t="e">
        <f aca="false">K184+DaysInYear*VLOOKUP($D$148,DasaYears,2,0)/120*VLOOKUP($F$148,DasaYears,2,0)*VLOOKUP(H184,DasaYears,2,0)/120*VLOOKUP(J184,DasaYears,2,0)/120*VLOOKUP($B$148,DasaYears,2,0)/120</f>
        <v>#N/A</v>
      </c>
      <c r="L193" s="226" t="e">
        <f aca="false">INDEX(DasaYears,(MOD(VLOOKUP(L192,DasaYears,3,0)+IF(VLOOKUP(J192,ChartInfo,11),-1,1)*NOT(ISBLANK(M193)),9)+1),1)</f>
        <v>#N/A</v>
      </c>
      <c r="M193" s="253" t="e">
        <f aca="false">M192+DaysInYear*VLOOKUP($F$148,DasaYears,2,0)/120*VLOOKUP(H192,DasaYears,2,0)*VLOOKUP(J192,DasaYears,2,0)/120*VLOOKUP(L192,DasaYears,2,0)/120*VLOOKUP($D$148,DasaYears,2,0)/120*VLOOKUP($B$148,DasaYears,2,0)/120</f>
        <v>#N/A</v>
      </c>
    </row>
    <row r="194" customFormat="false" ht="15" hidden="false" customHeight="false" outlineLevel="0" collapsed="false">
      <c r="B194" s="258"/>
      <c r="C194" s="259"/>
      <c r="D194" s="226"/>
      <c r="E194" s="259"/>
      <c r="F194" s="226"/>
      <c r="G194" s="260"/>
      <c r="H194" s="226" t="e">
        <f aca="false">INDEX(DasaYears,(MOD(VLOOKUP(H193,DasaYears,3,0)+IF(VLOOKUP($F$148,ChartInfo,11),-1,1)*NOT(ISBLANK(I194)),9)+1),1)</f>
        <v>#N/A</v>
      </c>
      <c r="I194" s="257"/>
      <c r="J194" s="226" t="e">
        <f aca="false">INDEX(DasaYears,(MOD(VLOOKUP(J193,DasaYears,3,0)+IF(VLOOKUP(H193,ChartInfo,11),-1,1)*NOT(ISBLANK(K194)),9)+1),1)</f>
        <v>#N/A</v>
      </c>
      <c r="K194" s="257"/>
      <c r="L194" s="226" t="e">
        <f aca="false">INDEX(DasaYears,(MOD(VLOOKUP(L193,DasaYears,3,0)+IF(VLOOKUP(J193,ChartInfo,11),-1,1)*NOT(ISBLANK(M194)),9)+1),1)</f>
        <v>#N/A</v>
      </c>
      <c r="M194" s="253" t="e">
        <f aca="false">M193+DaysInYear*VLOOKUP($F$148,DasaYears,2,0)/120*VLOOKUP(H193,DasaYears,2,0)*VLOOKUP(J193,DasaYears,2,0)/120*VLOOKUP(L193,DasaYears,2,0)/120*VLOOKUP($D$148,DasaYears,2,0)/120*VLOOKUP($B$148,DasaYears,2,0)/120</f>
        <v>#N/A</v>
      </c>
    </row>
    <row r="195" customFormat="false" ht="15" hidden="false" customHeight="false" outlineLevel="0" collapsed="false">
      <c r="B195" s="258"/>
      <c r="C195" s="259"/>
      <c r="D195" s="226"/>
      <c r="E195" s="259"/>
      <c r="F195" s="226"/>
      <c r="G195" s="260"/>
      <c r="H195" s="226" t="e">
        <f aca="false">INDEX(DasaYears,(MOD(VLOOKUP(H194,DasaYears,3,0)+IF(VLOOKUP($F$148,ChartInfo,11),-1,1)*NOT(ISBLANK(I195)),9)+1),1)</f>
        <v>#N/A</v>
      </c>
      <c r="I195" s="257"/>
      <c r="J195" s="226" t="e">
        <f aca="false">INDEX(DasaYears,(MOD(VLOOKUP(J194,DasaYears,3,0)+IF(VLOOKUP(H194,ChartInfo,11),-1,1)*NOT(ISBLANK(K195)),9)+1),1)</f>
        <v>#N/A</v>
      </c>
      <c r="K195" s="257"/>
      <c r="L195" s="226" t="e">
        <f aca="false">INDEX(DasaYears,(MOD(VLOOKUP(L194,DasaYears,3,0)+IF(VLOOKUP(J194,ChartInfo,11),-1,1)*NOT(ISBLANK(M195)),9)+1),1)</f>
        <v>#N/A</v>
      </c>
      <c r="M195" s="253" t="e">
        <f aca="false">M194+DaysInYear*VLOOKUP($F$148,DasaYears,2,0)/120*VLOOKUP(H194,DasaYears,2,0)*VLOOKUP(J194,DasaYears,2,0)/120*VLOOKUP(L194,DasaYears,2,0)/120*VLOOKUP($D$148,DasaYears,2,0)/120*VLOOKUP($B$148,DasaYears,2,0)/120</f>
        <v>#N/A</v>
      </c>
    </row>
    <row r="196" customFormat="false" ht="15" hidden="false" customHeight="false" outlineLevel="0" collapsed="false">
      <c r="B196" s="258"/>
      <c r="C196" s="259"/>
      <c r="D196" s="226"/>
      <c r="E196" s="259"/>
      <c r="F196" s="226"/>
      <c r="G196" s="260"/>
      <c r="H196" s="226" t="e">
        <f aca="false">INDEX(DasaYears,(MOD(VLOOKUP(H195,DasaYears,3,0)+IF(VLOOKUP($F$148,ChartInfo,11),-1,1)*NOT(ISBLANK(I196)),9)+1),1)</f>
        <v>#N/A</v>
      </c>
      <c r="I196" s="257"/>
      <c r="J196" s="226" t="e">
        <f aca="false">INDEX(DasaYears,(MOD(VLOOKUP(J195,DasaYears,3,0)+IF(VLOOKUP(H195,ChartInfo,11),-1,1)*NOT(ISBLANK(K196)),9)+1),1)</f>
        <v>#N/A</v>
      </c>
      <c r="K196" s="257"/>
      <c r="L196" s="226" t="e">
        <f aca="false">INDEX(DasaYears,(MOD(VLOOKUP(L195,DasaYears,3,0)+IF(VLOOKUP(J195,ChartInfo,11),-1,1)*NOT(ISBLANK(M196)),9)+1),1)</f>
        <v>#N/A</v>
      </c>
      <c r="M196" s="253" t="e">
        <f aca="false">M195+DaysInYear*VLOOKUP($F$148,DasaYears,2,0)/120*VLOOKUP(H195,DasaYears,2,0)*VLOOKUP(J195,DasaYears,2,0)/120*VLOOKUP(L195,DasaYears,2,0)/120*VLOOKUP($D$148,DasaYears,2,0)/120*VLOOKUP($B$148,DasaYears,2,0)/120</f>
        <v>#N/A</v>
      </c>
    </row>
    <row r="197" customFormat="false" ht="15" hidden="false" customHeight="false" outlineLevel="0" collapsed="false">
      <c r="B197" s="258"/>
      <c r="C197" s="259"/>
      <c r="D197" s="226"/>
      <c r="E197" s="259"/>
      <c r="F197" s="226"/>
      <c r="G197" s="260"/>
      <c r="H197" s="226" t="e">
        <f aca="false">INDEX(DasaYears,(MOD(VLOOKUP(H196,DasaYears,3,0)+IF(VLOOKUP($F$148,ChartInfo,11),-1,1)*NOT(ISBLANK(I197)),9)+1),1)</f>
        <v>#N/A</v>
      </c>
      <c r="I197" s="257"/>
      <c r="J197" s="226" t="e">
        <f aca="false">INDEX(DasaYears,(MOD(VLOOKUP(J196,DasaYears,3,0)+IF(VLOOKUP(H196,ChartInfo,11),-1,1)*NOT(ISBLANK(K197)),9)+1),1)</f>
        <v>#N/A</v>
      </c>
      <c r="K197" s="257"/>
      <c r="L197" s="226" t="e">
        <f aca="false">INDEX(DasaYears,(MOD(VLOOKUP(L196,DasaYears,3,0)+IF(VLOOKUP(J196,ChartInfo,11),-1,1)*NOT(ISBLANK(M197)),9)+1),1)</f>
        <v>#N/A</v>
      </c>
      <c r="M197" s="253" t="e">
        <f aca="false">M196+DaysInYear*VLOOKUP($F$148,DasaYears,2,0)/120*VLOOKUP(H196,DasaYears,2,0)*VLOOKUP(J196,DasaYears,2,0)/120*VLOOKUP(L196,DasaYears,2,0)/120*VLOOKUP($D$148,DasaYears,2,0)/120*VLOOKUP($B$148,DasaYears,2,0)/120</f>
        <v>#N/A</v>
      </c>
    </row>
    <row r="198" customFormat="false" ht="15" hidden="false" customHeight="false" outlineLevel="0" collapsed="false">
      <c r="B198" s="258"/>
      <c r="C198" s="259"/>
      <c r="D198" s="226"/>
      <c r="E198" s="259"/>
      <c r="F198" s="226"/>
      <c r="G198" s="260"/>
      <c r="H198" s="226" t="e">
        <f aca="false">INDEX(DasaYears,(MOD(VLOOKUP(H197,DasaYears,3,0)+IF(VLOOKUP($F$148,ChartInfo,11),-1,1)*NOT(ISBLANK(I198)),9)+1),1)</f>
        <v>#N/A</v>
      </c>
      <c r="I198" s="257"/>
      <c r="J198" s="226" t="e">
        <f aca="false">INDEX(DasaYears,(MOD(VLOOKUP(J197,DasaYears,3,0)+IF(VLOOKUP(H197,ChartInfo,11),-1,1)*NOT(ISBLANK(K198)),9)+1),1)</f>
        <v>#N/A</v>
      </c>
      <c r="K198" s="257"/>
      <c r="L198" s="226" t="e">
        <f aca="false">INDEX(DasaYears,(MOD(VLOOKUP(L197,DasaYears,3,0)+IF(VLOOKUP(J197,ChartInfo,11),-1,1)*NOT(ISBLANK(M198)),9)+1),1)</f>
        <v>#N/A</v>
      </c>
      <c r="M198" s="253" t="e">
        <f aca="false">M197+DaysInYear*VLOOKUP($F$148,DasaYears,2,0)/120*VLOOKUP(H197,DasaYears,2,0)*VLOOKUP(J197,DasaYears,2,0)/120*VLOOKUP(L197,DasaYears,2,0)/120*VLOOKUP($D$148,DasaYears,2,0)/120*VLOOKUP($B$148,DasaYears,2,0)/120</f>
        <v>#N/A</v>
      </c>
    </row>
    <row r="199" customFormat="false" ht="15" hidden="false" customHeight="false" outlineLevel="0" collapsed="false">
      <c r="B199" s="258"/>
      <c r="C199" s="259"/>
      <c r="D199" s="226"/>
      <c r="E199" s="259"/>
      <c r="F199" s="226"/>
      <c r="G199" s="260"/>
      <c r="H199" s="226" t="e">
        <f aca="false">INDEX(DasaYears,(MOD(VLOOKUP(H198,DasaYears,3,0)+IF(VLOOKUP($F$148,ChartInfo,11),-1,1)*NOT(ISBLANK(I199)),9)+1),1)</f>
        <v>#N/A</v>
      </c>
      <c r="I199" s="257"/>
      <c r="J199" s="226" t="e">
        <f aca="false">INDEX(DasaYears,(MOD(VLOOKUP(J198,DasaYears,3,0)+IF(VLOOKUP(H198,ChartInfo,11),-1,1)*NOT(ISBLANK(K199)),9)+1),1)</f>
        <v>#N/A</v>
      </c>
      <c r="K199" s="257"/>
      <c r="L199" s="226" t="e">
        <f aca="false">INDEX(DasaYears,(MOD(VLOOKUP(L198,DasaYears,3,0)+IF(VLOOKUP(J198,ChartInfo,11),-1,1)*NOT(ISBLANK(M199)),9)+1),1)</f>
        <v>#N/A</v>
      </c>
      <c r="M199" s="253" t="e">
        <f aca="false">M198+DaysInYear*VLOOKUP($F$148,DasaYears,2,0)/120*VLOOKUP(H198,DasaYears,2,0)*VLOOKUP(J198,DasaYears,2,0)/120*VLOOKUP(L198,DasaYears,2,0)/120*VLOOKUP($D$148,DasaYears,2,0)/120*VLOOKUP($B$148,DasaYears,2,0)/120</f>
        <v>#N/A</v>
      </c>
    </row>
    <row r="200" customFormat="false" ht="15" hidden="false" customHeight="false" outlineLevel="0" collapsed="false">
      <c r="B200" s="258"/>
      <c r="C200" s="259"/>
      <c r="D200" s="226"/>
      <c r="E200" s="259"/>
      <c r="F200" s="226"/>
      <c r="G200" s="260"/>
      <c r="H200" s="226" t="e">
        <f aca="false">INDEX(DasaYears,(MOD(VLOOKUP(H199,DasaYears,3,0)+IF(VLOOKUP($F$148,ChartInfo,11),-1,1)*NOT(ISBLANK(I200)),9)+1),1)</f>
        <v>#N/A</v>
      </c>
      <c r="I200" s="257"/>
      <c r="J200" s="226" t="e">
        <f aca="false">INDEX(DasaYears,(MOD(VLOOKUP(J199,DasaYears,3,0)+IF(VLOOKUP(H199,ChartInfo,11),-1,1)*NOT(ISBLANK(K200)),9)+1),1)</f>
        <v>#N/A</v>
      </c>
      <c r="K200" s="257"/>
      <c r="L200" s="226" t="e">
        <f aca="false">INDEX(DasaYears,(MOD(VLOOKUP(L199,DasaYears,3,0)+IF(VLOOKUP(J199,ChartInfo,11),-1,1)*NOT(ISBLANK(M200)),9)+1),1)</f>
        <v>#N/A</v>
      </c>
      <c r="M200" s="253" t="e">
        <f aca="false">M199+DaysInYear*VLOOKUP($F$148,DasaYears,2,0)/120*VLOOKUP(H199,DasaYears,2,0)*VLOOKUP(J199,DasaYears,2,0)/120*VLOOKUP(L199,DasaYears,2,0)/120*VLOOKUP($D$148,DasaYears,2,0)/120*VLOOKUP($B$148,DasaYears,2,0)/120</f>
        <v>#N/A</v>
      </c>
    </row>
    <row r="201" customFormat="false" ht="15" hidden="false" customHeight="false" outlineLevel="0" collapsed="false">
      <c r="B201" s="258"/>
      <c r="C201" s="259"/>
      <c r="D201" s="226"/>
      <c r="E201" s="259"/>
      <c r="F201" s="226"/>
      <c r="G201" s="260"/>
      <c r="H201" s="226" t="e">
        <f aca="false">INDEX(DasaYears,(MOD(VLOOKUP(H200,DasaYears,3,0)+IF(VLOOKUP($F$148,ChartInfo,11),-1,1)*NOT(ISBLANK(I201)),9)+1),1)</f>
        <v>#N/A</v>
      </c>
      <c r="I201" s="257"/>
      <c r="J201" s="226" t="e">
        <f aca="false">INDEX(DasaYears,(MOD(VLOOKUP(J200,DasaYears,3,0)+IF(VLOOKUP(H200,ChartInfo,11),-1,1)*NOT(ISBLANK(K201)),9)+1),1)</f>
        <v>#N/A</v>
      </c>
      <c r="K201" s="257"/>
      <c r="L201" s="226" t="e">
        <f aca="false">INDEX(DasaYears,(MOD(VLOOKUP(L200,DasaYears,3,0)+IF(VLOOKUP(J200,ChartInfo,11),-1,1)*NOT(ISBLANK(M201)),9)+1),1)</f>
        <v>#N/A</v>
      </c>
      <c r="M201" s="253" t="e">
        <f aca="false">M200+DaysInYear*VLOOKUP($F$148,DasaYears,2,0)/120*VLOOKUP(H200,DasaYears,2,0)*VLOOKUP(J200,DasaYears,2,0)/120*VLOOKUP(L200,DasaYears,2,0)/120*VLOOKUP($D$148,DasaYears,2,0)/120*VLOOKUP($B$148,DasaYears,2,0)/120</f>
        <v>#N/A</v>
      </c>
    </row>
    <row r="202" customFormat="false" ht="15" hidden="false" customHeight="false" outlineLevel="0" collapsed="false">
      <c r="B202" s="258"/>
      <c r="C202" s="259"/>
      <c r="D202" s="226"/>
      <c r="E202" s="259"/>
      <c r="F202" s="226"/>
      <c r="G202" s="260"/>
      <c r="H202" s="226" t="e">
        <f aca="false">INDEX(DasaYears,(MOD(VLOOKUP(H201,DasaYears,3,0)+IF(VLOOKUP($F$148,ChartInfo,11),-1,1)*NOT(ISBLANK(I202)),9)+1),1)</f>
        <v>#N/A</v>
      </c>
      <c r="I202" s="257"/>
      <c r="J202" s="226" t="e">
        <f aca="false">INDEX(DasaYears,(MOD(VLOOKUP(J201,DasaYears,3,0)+IF(VLOOKUP(H201,ChartInfo,11),-1,1)*NOT(ISBLANK(K202)),9)+1),1)</f>
        <v>#N/A</v>
      </c>
      <c r="K202" s="253" t="e">
        <f aca="false">K193+DaysInYear*VLOOKUP($D$148,DasaYears,2,0)/120*VLOOKUP($F$148,DasaYears,2,0)*VLOOKUP(H193,DasaYears,2,0)/120*VLOOKUP(J193,DasaYears,2,0)/120*VLOOKUP($B$148,DasaYears,2,0)/120</f>
        <v>#N/A</v>
      </c>
      <c r="L202" s="226" t="e">
        <f aca="false">INDEX(DasaYears,(MOD(VLOOKUP(L201,DasaYears,3,0)+IF(VLOOKUP(J201,ChartInfo,11),-1,1)*NOT(ISBLANK(M202)),9)+1),1)</f>
        <v>#N/A</v>
      </c>
      <c r="M202" s="253" t="e">
        <f aca="false">M201+DaysInYear*VLOOKUP($F$148,DasaYears,2,0)/120*VLOOKUP(H201,DasaYears,2,0)*VLOOKUP(J201,DasaYears,2,0)/120*VLOOKUP(L201,DasaYears,2,0)/120*VLOOKUP($D$148,DasaYears,2,0)/120*VLOOKUP($B$148,DasaYears,2,0)/120</f>
        <v>#N/A</v>
      </c>
    </row>
    <row r="203" customFormat="false" ht="15" hidden="false" customHeight="false" outlineLevel="0" collapsed="false">
      <c r="B203" s="258"/>
      <c r="C203" s="259"/>
      <c r="D203" s="226"/>
      <c r="E203" s="259"/>
      <c r="F203" s="226"/>
      <c r="G203" s="260"/>
      <c r="H203" s="226" t="e">
        <f aca="false">INDEX(DasaYears,(MOD(VLOOKUP(H202,DasaYears,3,0)+IF(VLOOKUP($F$148,ChartInfo,11),-1,1)*NOT(ISBLANK(I203)),9)+1),1)</f>
        <v>#N/A</v>
      </c>
      <c r="I203" s="257"/>
      <c r="J203" s="226" t="e">
        <f aca="false">INDEX(DasaYears,(MOD(VLOOKUP(J202,DasaYears,3,0)+IF(VLOOKUP(H202,ChartInfo,11),-1,1)*NOT(ISBLANK(K203)),9)+1),1)</f>
        <v>#N/A</v>
      </c>
      <c r="K203" s="257"/>
      <c r="L203" s="226" t="e">
        <f aca="false">INDEX(DasaYears,(MOD(VLOOKUP(L202,DasaYears,3,0)+IF(VLOOKUP(J202,ChartInfo,11),-1,1)*NOT(ISBLANK(M203)),9)+1),1)</f>
        <v>#N/A</v>
      </c>
      <c r="M203" s="253" t="e">
        <f aca="false">M202+DaysInYear*VLOOKUP($F$148,DasaYears,2,0)/120*VLOOKUP(H202,DasaYears,2,0)*VLOOKUP(J202,DasaYears,2,0)/120*VLOOKUP(L202,DasaYears,2,0)/120*VLOOKUP($D$148,DasaYears,2,0)/120*VLOOKUP($B$148,DasaYears,2,0)/120</f>
        <v>#N/A</v>
      </c>
    </row>
    <row r="204" customFormat="false" ht="15" hidden="false" customHeight="false" outlineLevel="0" collapsed="false">
      <c r="B204" s="258"/>
      <c r="C204" s="259"/>
      <c r="D204" s="226"/>
      <c r="E204" s="259"/>
      <c r="F204" s="226"/>
      <c r="G204" s="260"/>
      <c r="H204" s="226" t="e">
        <f aca="false">INDEX(DasaYears,(MOD(VLOOKUP(H203,DasaYears,3,0)+IF(VLOOKUP($F$148,ChartInfo,11),-1,1)*NOT(ISBLANK(I204)),9)+1),1)</f>
        <v>#N/A</v>
      </c>
      <c r="I204" s="257"/>
      <c r="J204" s="226" t="e">
        <f aca="false">INDEX(DasaYears,(MOD(VLOOKUP(J203,DasaYears,3,0)+IF(VLOOKUP(H203,ChartInfo,11),-1,1)*NOT(ISBLANK(K204)),9)+1),1)</f>
        <v>#N/A</v>
      </c>
      <c r="K204" s="257"/>
      <c r="L204" s="226" t="e">
        <f aca="false">INDEX(DasaYears,(MOD(VLOOKUP(L203,DasaYears,3,0)+IF(VLOOKUP(J203,ChartInfo,11),-1,1)*NOT(ISBLANK(M204)),9)+1),1)</f>
        <v>#N/A</v>
      </c>
      <c r="M204" s="253" t="e">
        <f aca="false">M203+DaysInYear*VLOOKUP($F$148,DasaYears,2,0)/120*VLOOKUP(H203,DasaYears,2,0)*VLOOKUP(J203,DasaYears,2,0)/120*VLOOKUP(L203,DasaYears,2,0)/120*VLOOKUP($D$148,DasaYears,2,0)/120*VLOOKUP($B$148,DasaYears,2,0)/120</f>
        <v>#N/A</v>
      </c>
    </row>
    <row r="205" customFormat="false" ht="15" hidden="false" customHeight="false" outlineLevel="0" collapsed="false">
      <c r="B205" s="258"/>
      <c r="C205" s="259"/>
      <c r="D205" s="226"/>
      <c r="E205" s="259"/>
      <c r="F205" s="226"/>
      <c r="G205" s="260"/>
      <c r="H205" s="226" t="e">
        <f aca="false">INDEX(DasaYears,(MOD(VLOOKUP(H204,DasaYears,3,0)+IF(VLOOKUP($F$148,ChartInfo,11),-1,1)*NOT(ISBLANK(I205)),9)+1),1)</f>
        <v>#N/A</v>
      </c>
      <c r="I205" s="257"/>
      <c r="J205" s="226" t="e">
        <f aca="false">INDEX(DasaYears,(MOD(VLOOKUP(J204,DasaYears,3,0)+IF(VLOOKUP(H204,ChartInfo,11),-1,1)*NOT(ISBLANK(K205)),9)+1),1)</f>
        <v>#N/A</v>
      </c>
      <c r="K205" s="257"/>
      <c r="L205" s="226" t="e">
        <f aca="false">INDEX(DasaYears,(MOD(VLOOKUP(L204,DasaYears,3,0)+IF(VLOOKUP(J204,ChartInfo,11),-1,1)*NOT(ISBLANK(M205)),9)+1),1)</f>
        <v>#N/A</v>
      </c>
      <c r="M205" s="253" t="e">
        <f aca="false">M204+DaysInYear*VLOOKUP($F$148,DasaYears,2,0)/120*VLOOKUP(H204,DasaYears,2,0)*VLOOKUP(J204,DasaYears,2,0)/120*VLOOKUP(L204,DasaYears,2,0)/120*VLOOKUP($D$148,DasaYears,2,0)/120*VLOOKUP($B$148,DasaYears,2,0)/120</f>
        <v>#N/A</v>
      </c>
    </row>
    <row r="206" customFormat="false" ht="15" hidden="false" customHeight="false" outlineLevel="0" collapsed="false">
      <c r="B206" s="258"/>
      <c r="C206" s="259"/>
      <c r="D206" s="226"/>
      <c r="E206" s="259"/>
      <c r="F206" s="226"/>
      <c r="G206" s="260"/>
      <c r="H206" s="226" t="e">
        <f aca="false">INDEX(DasaYears,(MOD(VLOOKUP(H205,DasaYears,3,0)+IF(VLOOKUP($F$148,ChartInfo,11),-1,1)*NOT(ISBLANK(I206)),9)+1),1)</f>
        <v>#N/A</v>
      </c>
      <c r="I206" s="257"/>
      <c r="J206" s="226" t="e">
        <f aca="false">INDEX(DasaYears,(MOD(VLOOKUP(J205,DasaYears,3,0)+IF(VLOOKUP(H205,ChartInfo,11),-1,1)*NOT(ISBLANK(K206)),9)+1),1)</f>
        <v>#N/A</v>
      </c>
      <c r="K206" s="257"/>
      <c r="L206" s="226" t="e">
        <f aca="false">INDEX(DasaYears,(MOD(VLOOKUP(L205,DasaYears,3,0)+IF(VLOOKUP(J205,ChartInfo,11),-1,1)*NOT(ISBLANK(M206)),9)+1),1)</f>
        <v>#N/A</v>
      </c>
      <c r="M206" s="253" t="e">
        <f aca="false">M205+DaysInYear*VLOOKUP($F$148,DasaYears,2,0)/120*VLOOKUP(H205,DasaYears,2,0)*VLOOKUP(J205,DasaYears,2,0)/120*VLOOKUP(L205,DasaYears,2,0)/120*VLOOKUP($D$148,DasaYears,2,0)/120*VLOOKUP($B$148,DasaYears,2,0)/120</f>
        <v>#N/A</v>
      </c>
    </row>
    <row r="207" customFormat="false" ht="15" hidden="false" customHeight="false" outlineLevel="0" collapsed="false">
      <c r="B207" s="258"/>
      <c r="C207" s="259"/>
      <c r="D207" s="226"/>
      <c r="E207" s="259"/>
      <c r="F207" s="226"/>
      <c r="G207" s="260"/>
      <c r="H207" s="226" t="e">
        <f aca="false">INDEX(DasaYears,(MOD(VLOOKUP(H206,DasaYears,3,0)+IF(VLOOKUP($F$148,ChartInfo,11),-1,1)*NOT(ISBLANK(I207)),9)+1),1)</f>
        <v>#N/A</v>
      </c>
      <c r="I207" s="257"/>
      <c r="J207" s="226" t="e">
        <f aca="false">INDEX(DasaYears,(MOD(VLOOKUP(J206,DasaYears,3,0)+IF(VLOOKUP(H206,ChartInfo,11),-1,1)*NOT(ISBLANK(K207)),9)+1),1)</f>
        <v>#N/A</v>
      </c>
      <c r="K207" s="257"/>
      <c r="L207" s="226" t="e">
        <f aca="false">INDEX(DasaYears,(MOD(VLOOKUP(L206,DasaYears,3,0)+IF(VLOOKUP(J206,ChartInfo,11),-1,1)*NOT(ISBLANK(M207)),9)+1),1)</f>
        <v>#N/A</v>
      </c>
      <c r="M207" s="253" t="e">
        <f aca="false">M206+DaysInYear*VLOOKUP($F$148,DasaYears,2,0)/120*VLOOKUP(H206,DasaYears,2,0)*VLOOKUP(J206,DasaYears,2,0)/120*VLOOKUP(L206,DasaYears,2,0)/120*VLOOKUP($D$148,DasaYears,2,0)/120*VLOOKUP($B$148,DasaYears,2,0)/120</f>
        <v>#N/A</v>
      </c>
    </row>
    <row r="208" customFormat="false" ht="15" hidden="false" customHeight="false" outlineLevel="0" collapsed="false">
      <c r="B208" s="258"/>
      <c r="C208" s="259"/>
      <c r="D208" s="226"/>
      <c r="E208" s="259"/>
      <c r="F208" s="226"/>
      <c r="G208" s="260"/>
      <c r="H208" s="226" t="e">
        <f aca="false">INDEX(DasaYears,(MOD(VLOOKUP(H207,DasaYears,3,0)+IF(VLOOKUP($F$148,ChartInfo,11),-1,1)*NOT(ISBLANK(I208)),9)+1),1)</f>
        <v>#N/A</v>
      </c>
      <c r="I208" s="257"/>
      <c r="J208" s="226" t="e">
        <f aca="false">INDEX(DasaYears,(MOD(VLOOKUP(J207,DasaYears,3,0)+IF(VLOOKUP(H207,ChartInfo,11),-1,1)*NOT(ISBLANK(K208)),9)+1),1)</f>
        <v>#N/A</v>
      </c>
      <c r="K208" s="257"/>
      <c r="L208" s="226" t="e">
        <f aca="false">INDEX(DasaYears,(MOD(VLOOKUP(L207,DasaYears,3,0)+IF(VLOOKUP(J207,ChartInfo,11),-1,1)*NOT(ISBLANK(M208)),9)+1),1)</f>
        <v>#N/A</v>
      </c>
      <c r="M208" s="253" t="e">
        <f aca="false">M207+DaysInYear*VLOOKUP($F$148,DasaYears,2,0)/120*VLOOKUP(H207,DasaYears,2,0)*VLOOKUP(J207,DasaYears,2,0)/120*VLOOKUP(L207,DasaYears,2,0)/120*VLOOKUP($D$148,DasaYears,2,0)/120*VLOOKUP($B$148,DasaYears,2,0)/120</f>
        <v>#N/A</v>
      </c>
    </row>
    <row r="209" customFormat="false" ht="15" hidden="false" customHeight="false" outlineLevel="0" collapsed="false">
      <c r="B209" s="258"/>
      <c r="C209" s="259"/>
      <c r="D209" s="226"/>
      <c r="E209" s="259"/>
      <c r="F209" s="226"/>
      <c r="G209" s="260"/>
      <c r="H209" s="226" t="e">
        <f aca="false">INDEX(DasaYears,(MOD(VLOOKUP(H208,DasaYears,3,0)+IF(VLOOKUP($F$148,ChartInfo,11),-1,1)*NOT(ISBLANK(I209)),9)+1),1)</f>
        <v>#N/A</v>
      </c>
      <c r="I209" s="257"/>
      <c r="J209" s="226" t="e">
        <f aca="false">INDEX(DasaYears,(MOD(VLOOKUP(J208,DasaYears,3,0)+IF(VLOOKUP(H208,ChartInfo,11),-1,1)*NOT(ISBLANK(K209)),9)+1),1)</f>
        <v>#N/A</v>
      </c>
      <c r="K209" s="257"/>
      <c r="L209" s="226" t="e">
        <f aca="false">INDEX(DasaYears,(MOD(VLOOKUP(L208,DasaYears,3,0)+IF(VLOOKUP(J208,ChartInfo,11),-1,1)*NOT(ISBLANK(M209)),9)+1),1)</f>
        <v>#N/A</v>
      </c>
      <c r="M209" s="253" t="e">
        <f aca="false">M208+DaysInYear*VLOOKUP($F$148,DasaYears,2,0)/120*VLOOKUP(H208,DasaYears,2,0)*VLOOKUP(J208,DasaYears,2,0)/120*VLOOKUP(L208,DasaYears,2,0)/120*VLOOKUP($D$148,DasaYears,2,0)/120*VLOOKUP($B$148,DasaYears,2,0)/120</f>
        <v>#N/A</v>
      </c>
    </row>
    <row r="210" customFormat="false" ht="15" hidden="false" customHeight="false" outlineLevel="0" collapsed="false">
      <c r="B210" s="258"/>
      <c r="C210" s="259"/>
      <c r="D210" s="226"/>
      <c r="E210" s="259"/>
      <c r="F210" s="226"/>
      <c r="G210" s="260"/>
      <c r="H210" s="226" t="e">
        <f aca="false">INDEX(DasaYears,(MOD(VLOOKUP(H209,DasaYears,3,0)+IF(VLOOKUP($F$148,ChartInfo,11),-1,1)*NOT(ISBLANK(I210)),9)+1),1)</f>
        <v>#N/A</v>
      </c>
      <c r="I210" s="257"/>
      <c r="J210" s="226" t="e">
        <f aca="false">INDEX(DasaYears,(MOD(VLOOKUP(J209,DasaYears,3,0)+IF(VLOOKUP(H209,ChartInfo,11),-1,1)*NOT(ISBLANK(K210)),9)+1),1)</f>
        <v>#N/A</v>
      </c>
      <c r="K210" s="257"/>
      <c r="L210" s="226" t="e">
        <f aca="false">INDEX(DasaYears,(MOD(VLOOKUP(L209,DasaYears,3,0)+IF(VLOOKUP(J209,ChartInfo,11),-1,1)*NOT(ISBLANK(M210)),9)+1),1)</f>
        <v>#N/A</v>
      </c>
      <c r="M210" s="253" t="e">
        <f aca="false">M209+DaysInYear*VLOOKUP($F$148,DasaYears,2,0)/120*VLOOKUP(H209,DasaYears,2,0)*VLOOKUP(J209,DasaYears,2,0)/120*VLOOKUP(L209,DasaYears,2,0)/120*VLOOKUP($D$148,DasaYears,2,0)/120*VLOOKUP($B$148,DasaYears,2,0)/120</f>
        <v>#N/A</v>
      </c>
    </row>
    <row r="211" customFormat="false" ht="15" hidden="false" customHeight="false" outlineLevel="0" collapsed="false">
      <c r="B211" s="258"/>
      <c r="C211" s="259"/>
      <c r="D211" s="226"/>
      <c r="E211" s="259"/>
      <c r="F211" s="226"/>
      <c r="G211" s="260"/>
      <c r="H211" s="226" t="e">
        <f aca="false">INDEX(DasaYears,(MOD(VLOOKUP(H210,DasaYears,3,0)+IF(VLOOKUP($F$148,ChartInfo,11),-1,1)*NOT(ISBLANK(I211)),9)+1),1)</f>
        <v>#N/A</v>
      </c>
      <c r="I211" s="257"/>
      <c r="J211" s="226" t="e">
        <f aca="false">INDEX(DasaYears,(MOD(VLOOKUP(J210,DasaYears,3,0)+IF(VLOOKUP(H210,ChartInfo,11),-1,1)*NOT(ISBLANK(K211)),9)+1),1)</f>
        <v>#N/A</v>
      </c>
      <c r="K211" s="253" t="e">
        <f aca="false">K202+DaysInYear*VLOOKUP($D$148,DasaYears,2,0)/120*VLOOKUP($F$148,DasaYears,2,0)*VLOOKUP(H202,DasaYears,2,0)/120*VLOOKUP(J202,DasaYears,2,0)/120*VLOOKUP($B$148,DasaYears,2,0)/120</f>
        <v>#N/A</v>
      </c>
      <c r="L211" s="226" t="e">
        <f aca="false">INDEX(DasaYears,(MOD(VLOOKUP(L210,DasaYears,3,0)+IF(VLOOKUP(J210,ChartInfo,11),-1,1)*NOT(ISBLANK(M211)),9)+1),1)</f>
        <v>#N/A</v>
      </c>
      <c r="M211" s="253" t="e">
        <f aca="false">M210+DaysInYear*VLOOKUP($F$148,DasaYears,2,0)/120*VLOOKUP(H210,DasaYears,2,0)*VLOOKUP(J210,DasaYears,2,0)/120*VLOOKUP(L210,DasaYears,2,0)/120*VLOOKUP($D$148,DasaYears,2,0)/120*VLOOKUP($B$148,DasaYears,2,0)/120</f>
        <v>#N/A</v>
      </c>
    </row>
    <row r="212" customFormat="false" ht="15" hidden="false" customHeight="false" outlineLevel="0" collapsed="false">
      <c r="B212" s="258"/>
      <c r="C212" s="259"/>
      <c r="D212" s="226"/>
      <c r="E212" s="259"/>
      <c r="F212" s="226"/>
      <c r="G212" s="260"/>
      <c r="H212" s="226" t="e">
        <f aca="false">INDEX(DasaYears,(MOD(VLOOKUP(H211,DasaYears,3,0)+IF(VLOOKUP($F$148,ChartInfo,11),-1,1)*NOT(ISBLANK(I212)),9)+1),1)</f>
        <v>#N/A</v>
      </c>
      <c r="I212" s="257"/>
      <c r="J212" s="226" t="e">
        <f aca="false">INDEX(DasaYears,(MOD(VLOOKUP(J211,DasaYears,3,0)+IF(VLOOKUP(H211,ChartInfo,11),-1,1)*NOT(ISBLANK(K212)),9)+1),1)</f>
        <v>#N/A</v>
      </c>
      <c r="K212" s="257"/>
      <c r="L212" s="226" t="e">
        <f aca="false">INDEX(DasaYears,(MOD(VLOOKUP(L211,DasaYears,3,0)+IF(VLOOKUP(J211,ChartInfo,11),-1,1)*NOT(ISBLANK(M212)),9)+1),1)</f>
        <v>#N/A</v>
      </c>
      <c r="M212" s="253" t="e">
        <f aca="false">M211+DaysInYear*VLOOKUP($F$148,DasaYears,2,0)/120*VLOOKUP(H211,DasaYears,2,0)*VLOOKUP(J211,DasaYears,2,0)/120*VLOOKUP(L211,DasaYears,2,0)/120*VLOOKUP($D$148,DasaYears,2,0)/120*VLOOKUP($B$148,DasaYears,2,0)/120</f>
        <v>#N/A</v>
      </c>
    </row>
    <row r="213" customFormat="false" ht="15" hidden="false" customHeight="false" outlineLevel="0" collapsed="false">
      <c r="B213" s="258"/>
      <c r="C213" s="259"/>
      <c r="D213" s="226"/>
      <c r="E213" s="259"/>
      <c r="F213" s="226"/>
      <c r="G213" s="260"/>
      <c r="H213" s="226" t="e">
        <f aca="false">INDEX(DasaYears,(MOD(VLOOKUP(H212,DasaYears,3,0)+IF(VLOOKUP($F$148,ChartInfo,11),-1,1)*NOT(ISBLANK(I213)),9)+1),1)</f>
        <v>#N/A</v>
      </c>
      <c r="I213" s="257"/>
      <c r="J213" s="226" t="e">
        <f aca="false">INDEX(DasaYears,(MOD(VLOOKUP(J212,DasaYears,3,0)+IF(VLOOKUP(H212,ChartInfo,11),-1,1)*NOT(ISBLANK(K213)),9)+1),1)</f>
        <v>#N/A</v>
      </c>
      <c r="K213" s="257"/>
      <c r="L213" s="226" t="e">
        <f aca="false">INDEX(DasaYears,(MOD(VLOOKUP(L212,DasaYears,3,0)+IF(VLOOKUP(J212,ChartInfo,11),-1,1)*NOT(ISBLANK(M213)),9)+1),1)</f>
        <v>#N/A</v>
      </c>
      <c r="M213" s="253" t="e">
        <f aca="false">M212+DaysInYear*VLOOKUP($F$148,DasaYears,2,0)/120*VLOOKUP(H212,DasaYears,2,0)*VLOOKUP(J212,DasaYears,2,0)/120*VLOOKUP(L212,DasaYears,2,0)/120*VLOOKUP($D$148,DasaYears,2,0)/120*VLOOKUP($B$148,DasaYears,2,0)/120</f>
        <v>#N/A</v>
      </c>
    </row>
    <row r="214" customFormat="false" ht="15" hidden="false" customHeight="false" outlineLevel="0" collapsed="false">
      <c r="B214" s="258"/>
      <c r="C214" s="259"/>
      <c r="D214" s="226"/>
      <c r="E214" s="259"/>
      <c r="F214" s="226"/>
      <c r="G214" s="260"/>
      <c r="H214" s="226" t="e">
        <f aca="false">INDEX(DasaYears,(MOD(VLOOKUP(H213,DasaYears,3,0)+IF(VLOOKUP($F$148,ChartInfo,11),-1,1)*NOT(ISBLANK(I214)),9)+1),1)</f>
        <v>#N/A</v>
      </c>
      <c r="I214" s="257"/>
      <c r="J214" s="226" t="e">
        <f aca="false">INDEX(DasaYears,(MOD(VLOOKUP(J213,DasaYears,3,0)+IF(VLOOKUP(H213,ChartInfo,11),-1,1)*NOT(ISBLANK(K214)),9)+1),1)</f>
        <v>#N/A</v>
      </c>
      <c r="K214" s="257"/>
      <c r="L214" s="226" t="e">
        <f aca="false">INDEX(DasaYears,(MOD(VLOOKUP(L213,DasaYears,3,0)+IF(VLOOKUP(J213,ChartInfo,11),-1,1)*NOT(ISBLANK(M214)),9)+1),1)</f>
        <v>#N/A</v>
      </c>
      <c r="M214" s="253" t="e">
        <f aca="false">M213+DaysInYear*VLOOKUP($F$148,DasaYears,2,0)/120*VLOOKUP(H213,DasaYears,2,0)*VLOOKUP(J213,DasaYears,2,0)/120*VLOOKUP(L213,DasaYears,2,0)/120*VLOOKUP($D$148,DasaYears,2,0)/120*VLOOKUP($B$148,DasaYears,2,0)/120</f>
        <v>#N/A</v>
      </c>
    </row>
    <row r="215" customFormat="false" ht="15" hidden="false" customHeight="false" outlineLevel="0" collapsed="false">
      <c r="B215" s="258"/>
      <c r="C215" s="259"/>
      <c r="D215" s="226"/>
      <c r="E215" s="259"/>
      <c r="F215" s="226"/>
      <c r="G215" s="260"/>
      <c r="H215" s="226" t="e">
        <f aca="false">INDEX(DasaYears,(MOD(VLOOKUP(H214,DasaYears,3,0)+IF(VLOOKUP($F$148,ChartInfo,11),-1,1)*NOT(ISBLANK(I215)),9)+1),1)</f>
        <v>#N/A</v>
      </c>
      <c r="I215" s="257"/>
      <c r="J215" s="226" t="e">
        <f aca="false">INDEX(DasaYears,(MOD(VLOOKUP(J214,DasaYears,3,0)+IF(VLOOKUP(H214,ChartInfo,11),-1,1)*NOT(ISBLANK(K215)),9)+1),1)</f>
        <v>#N/A</v>
      </c>
      <c r="K215" s="257"/>
      <c r="L215" s="226" t="e">
        <f aca="false">INDEX(DasaYears,(MOD(VLOOKUP(L214,DasaYears,3,0)+IF(VLOOKUP(J214,ChartInfo,11),-1,1)*NOT(ISBLANK(M215)),9)+1),1)</f>
        <v>#N/A</v>
      </c>
      <c r="M215" s="253" t="e">
        <f aca="false">M214+DaysInYear*VLOOKUP($F$148,DasaYears,2,0)/120*VLOOKUP(H214,DasaYears,2,0)*VLOOKUP(J214,DasaYears,2,0)/120*VLOOKUP(L214,DasaYears,2,0)/120*VLOOKUP($D$148,DasaYears,2,0)/120*VLOOKUP($B$148,DasaYears,2,0)/120</f>
        <v>#N/A</v>
      </c>
    </row>
    <row r="216" customFormat="false" ht="15" hidden="false" customHeight="false" outlineLevel="0" collapsed="false">
      <c r="B216" s="258"/>
      <c r="C216" s="259"/>
      <c r="D216" s="226"/>
      <c r="E216" s="259"/>
      <c r="F216" s="226"/>
      <c r="G216" s="260"/>
      <c r="H216" s="226" t="e">
        <f aca="false">INDEX(DasaYears,(MOD(VLOOKUP(H215,DasaYears,3,0)+IF(VLOOKUP($F$148,ChartInfo,11),-1,1)*NOT(ISBLANK(I216)),9)+1),1)</f>
        <v>#N/A</v>
      </c>
      <c r="I216" s="257"/>
      <c r="J216" s="226" t="e">
        <f aca="false">INDEX(DasaYears,(MOD(VLOOKUP(J215,DasaYears,3,0)+IF(VLOOKUP(H215,ChartInfo,11),-1,1)*NOT(ISBLANK(K216)),9)+1),1)</f>
        <v>#N/A</v>
      </c>
      <c r="K216" s="257"/>
      <c r="L216" s="226" t="e">
        <f aca="false">INDEX(DasaYears,(MOD(VLOOKUP(L215,DasaYears,3,0)+IF(VLOOKUP(J215,ChartInfo,11),-1,1)*NOT(ISBLANK(M216)),9)+1),1)</f>
        <v>#N/A</v>
      </c>
      <c r="M216" s="253" t="e">
        <f aca="false">M215+DaysInYear*VLOOKUP($F$148,DasaYears,2,0)/120*VLOOKUP(H215,DasaYears,2,0)*VLOOKUP(J215,DasaYears,2,0)/120*VLOOKUP(L215,DasaYears,2,0)/120*VLOOKUP($D$148,DasaYears,2,0)/120*VLOOKUP($B$148,DasaYears,2,0)/120</f>
        <v>#N/A</v>
      </c>
    </row>
    <row r="217" customFormat="false" ht="15" hidden="false" customHeight="false" outlineLevel="0" collapsed="false">
      <c r="B217" s="258"/>
      <c r="C217" s="259"/>
      <c r="D217" s="226"/>
      <c r="E217" s="259"/>
      <c r="F217" s="226"/>
      <c r="G217" s="260"/>
      <c r="H217" s="226" t="e">
        <f aca="false">INDEX(DasaYears,(MOD(VLOOKUP(H216,DasaYears,3,0)+IF(VLOOKUP($F$148,ChartInfo,11),-1,1)*NOT(ISBLANK(I217)),9)+1),1)</f>
        <v>#N/A</v>
      </c>
      <c r="I217" s="257"/>
      <c r="J217" s="226" t="e">
        <f aca="false">INDEX(DasaYears,(MOD(VLOOKUP(J216,DasaYears,3,0)+IF(VLOOKUP(H216,ChartInfo,11),-1,1)*NOT(ISBLANK(K217)),9)+1),1)</f>
        <v>#N/A</v>
      </c>
      <c r="K217" s="257"/>
      <c r="L217" s="226" t="e">
        <f aca="false">INDEX(DasaYears,(MOD(VLOOKUP(L216,DasaYears,3,0)+IF(VLOOKUP(J216,ChartInfo,11),-1,1)*NOT(ISBLANK(M217)),9)+1),1)</f>
        <v>#N/A</v>
      </c>
      <c r="M217" s="253" t="e">
        <f aca="false">M216+DaysInYear*VLOOKUP($F$148,DasaYears,2,0)/120*VLOOKUP(H216,DasaYears,2,0)*VLOOKUP(J216,DasaYears,2,0)/120*VLOOKUP(L216,DasaYears,2,0)/120*VLOOKUP($D$148,DasaYears,2,0)/120*VLOOKUP($B$148,DasaYears,2,0)/120</f>
        <v>#N/A</v>
      </c>
    </row>
    <row r="218" customFormat="false" ht="15" hidden="false" customHeight="false" outlineLevel="0" collapsed="false">
      <c r="B218" s="258"/>
      <c r="C218" s="259"/>
      <c r="D218" s="226"/>
      <c r="E218" s="259"/>
      <c r="F218" s="226"/>
      <c r="G218" s="260"/>
      <c r="H218" s="226" t="e">
        <f aca="false">INDEX(DasaYears,(MOD(VLOOKUP(H217,DasaYears,3,0)+IF(VLOOKUP($F$148,ChartInfo,11),-1,1)*NOT(ISBLANK(I218)),9)+1),1)</f>
        <v>#N/A</v>
      </c>
      <c r="I218" s="257"/>
      <c r="J218" s="226" t="e">
        <f aca="false">INDEX(DasaYears,(MOD(VLOOKUP(J217,DasaYears,3,0)+IF(VLOOKUP(H217,ChartInfo,11),-1,1)*NOT(ISBLANK(K218)),9)+1),1)</f>
        <v>#N/A</v>
      </c>
      <c r="K218" s="257"/>
      <c r="L218" s="226" t="e">
        <f aca="false">INDEX(DasaYears,(MOD(VLOOKUP(L217,DasaYears,3,0)+IF(VLOOKUP(J217,ChartInfo,11),-1,1)*NOT(ISBLANK(M218)),9)+1),1)</f>
        <v>#N/A</v>
      </c>
      <c r="M218" s="253" t="e">
        <f aca="false">M217+DaysInYear*VLOOKUP($F$148,DasaYears,2,0)/120*VLOOKUP(H217,DasaYears,2,0)*VLOOKUP(J217,DasaYears,2,0)/120*VLOOKUP(L217,DasaYears,2,0)/120*VLOOKUP($D$148,DasaYears,2,0)/120*VLOOKUP($B$148,DasaYears,2,0)/120</f>
        <v>#N/A</v>
      </c>
    </row>
    <row r="219" customFormat="false" ht="15" hidden="false" customHeight="false" outlineLevel="0" collapsed="false">
      <c r="B219" s="258"/>
      <c r="C219" s="259"/>
      <c r="D219" s="226"/>
      <c r="E219" s="259"/>
      <c r="F219" s="226"/>
      <c r="G219" s="260"/>
      <c r="H219" s="226" t="e">
        <f aca="false">INDEX(DasaYears,(MOD(VLOOKUP(H218,DasaYears,3,0)+IF(VLOOKUP($F$148,ChartInfo,11),-1,1)*NOT(ISBLANK(I219)),9)+1),1)</f>
        <v>#N/A</v>
      </c>
      <c r="I219" s="257"/>
      <c r="J219" s="226" t="e">
        <f aca="false">INDEX(DasaYears,(MOD(VLOOKUP(J218,DasaYears,3,0)+IF(VLOOKUP(H218,ChartInfo,11),-1,1)*NOT(ISBLANK(K219)),9)+1),1)</f>
        <v>#N/A</v>
      </c>
      <c r="K219" s="257"/>
      <c r="L219" s="226" t="e">
        <f aca="false">INDEX(DasaYears,(MOD(VLOOKUP(L218,DasaYears,3,0)+IF(VLOOKUP(J218,ChartInfo,11),-1,1)*NOT(ISBLANK(M219)),9)+1),1)</f>
        <v>#N/A</v>
      </c>
      <c r="M219" s="253" t="e">
        <f aca="false">M218+DaysInYear*VLOOKUP($F$148,DasaYears,2,0)/120*VLOOKUP(H218,DasaYears,2,0)*VLOOKUP(J218,DasaYears,2,0)/120*VLOOKUP(L218,DasaYears,2,0)/120*VLOOKUP($D$148,DasaYears,2,0)/120*VLOOKUP($B$148,DasaYears,2,0)/120</f>
        <v>#N/A</v>
      </c>
    </row>
    <row r="220" customFormat="false" ht="15" hidden="false" customHeight="false" outlineLevel="0" collapsed="false">
      <c r="B220" s="258"/>
      <c r="C220" s="259"/>
      <c r="D220" s="226"/>
      <c r="E220" s="259"/>
      <c r="F220" s="226"/>
      <c r="G220" s="260"/>
      <c r="H220" s="226" t="e">
        <f aca="false">INDEX(DasaYears,(MOD(VLOOKUP(H219,DasaYears,3,0)+IF(VLOOKUP($F$148,ChartInfo,11),-1,1)*NOT(ISBLANK(I220)),9)+1),1)</f>
        <v>#N/A</v>
      </c>
      <c r="I220" s="257"/>
      <c r="J220" s="226" t="e">
        <f aca="false">INDEX(DasaYears,(MOD(VLOOKUP(J219,DasaYears,3,0)+IF(VLOOKUP(H219,ChartInfo,11),-1,1)*NOT(ISBLANK(K220)),9)+1),1)</f>
        <v>#N/A</v>
      </c>
      <c r="K220" s="253" t="e">
        <f aca="false">K211+DaysInYear*VLOOKUP($D$148,DasaYears,2,0)/120*VLOOKUP($F$148,DasaYears,2,0)*VLOOKUP(H211,DasaYears,2,0)/120*VLOOKUP(J211,DasaYears,2,0)/120*VLOOKUP($B$148,DasaYears,2,0)/120</f>
        <v>#N/A</v>
      </c>
      <c r="L220" s="226" t="e">
        <f aca="false">INDEX(DasaYears,(MOD(VLOOKUP(L219,DasaYears,3,0)+IF(VLOOKUP(J219,ChartInfo,11),-1,1)*NOT(ISBLANK(M220)),9)+1),1)</f>
        <v>#N/A</v>
      </c>
      <c r="M220" s="253" t="e">
        <f aca="false">M219+DaysInYear*VLOOKUP($F$148,DasaYears,2,0)/120*VLOOKUP(H219,DasaYears,2,0)*VLOOKUP(J219,DasaYears,2,0)/120*VLOOKUP(L219,DasaYears,2,0)/120*VLOOKUP($D$148,DasaYears,2,0)/120*VLOOKUP($B$148,DasaYears,2,0)/120</f>
        <v>#N/A</v>
      </c>
    </row>
    <row r="221" customFormat="false" ht="15" hidden="false" customHeight="false" outlineLevel="0" collapsed="false">
      <c r="B221" s="258"/>
      <c r="C221" s="259"/>
      <c r="D221" s="226"/>
      <c r="E221" s="259"/>
      <c r="F221" s="226"/>
      <c r="G221" s="260"/>
      <c r="H221" s="226" t="e">
        <f aca="false">INDEX(DasaYears,(MOD(VLOOKUP(H220,DasaYears,3,0)+IF(VLOOKUP($F$148,ChartInfo,11),-1,1)*NOT(ISBLANK(I221)),9)+1),1)</f>
        <v>#N/A</v>
      </c>
      <c r="I221" s="257"/>
      <c r="J221" s="226" t="e">
        <f aca="false">INDEX(DasaYears,(MOD(VLOOKUP(J220,DasaYears,3,0)+IF(VLOOKUP(H220,ChartInfo,11),-1,1)*NOT(ISBLANK(K221)),9)+1),1)</f>
        <v>#N/A</v>
      </c>
      <c r="K221" s="257"/>
      <c r="L221" s="226" t="e">
        <f aca="false">INDEX(DasaYears,(MOD(VLOOKUP(L220,DasaYears,3,0)+IF(VLOOKUP(J220,ChartInfo,11),-1,1)*NOT(ISBLANK(M221)),9)+1),1)</f>
        <v>#N/A</v>
      </c>
      <c r="M221" s="253" t="e">
        <f aca="false">M220+DaysInYear*VLOOKUP($F$148,DasaYears,2,0)/120*VLOOKUP(H220,DasaYears,2,0)*VLOOKUP(J220,DasaYears,2,0)/120*VLOOKUP(L220,DasaYears,2,0)/120*VLOOKUP($D$148,DasaYears,2,0)/120*VLOOKUP($B$148,DasaYears,2,0)/120</f>
        <v>#N/A</v>
      </c>
    </row>
    <row r="222" customFormat="false" ht="15" hidden="false" customHeight="false" outlineLevel="0" collapsed="false">
      <c r="B222" s="258"/>
      <c r="C222" s="259"/>
      <c r="D222" s="226"/>
      <c r="E222" s="259"/>
      <c r="F222" s="226"/>
      <c r="G222" s="260"/>
      <c r="H222" s="226" t="e">
        <f aca="false">INDEX(DasaYears,(MOD(VLOOKUP(H221,DasaYears,3,0)+IF(VLOOKUP($F$148,ChartInfo,11),-1,1)*NOT(ISBLANK(I222)),9)+1),1)</f>
        <v>#N/A</v>
      </c>
      <c r="I222" s="257"/>
      <c r="J222" s="226" t="e">
        <f aca="false">INDEX(DasaYears,(MOD(VLOOKUP(J221,DasaYears,3,0)+IF(VLOOKUP(H221,ChartInfo,11),-1,1)*NOT(ISBLANK(K222)),9)+1),1)</f>
        <v>#N/A</v>
      </c>
      <c r="K222" s="257"/>
      <c r="L222" s="226" t="e">
        <f aca="false">INDEX(DasaYears,(MOD(VLOOKUP(L221,DasaYears,3,0)+IF(VLOOKUP(J221,ChartInfo,11),-1,1)*NOT(ISBLANK(M222)),9)+1),1)</f>
        <v>#N/A</v>
      </c>
      <c r="M222" s="253" t="e">
        <f aca="false">M221+DaysInYear*VLOOKUP($F$148,DasaYears,2,0)/120*VLOOKUP(H221,DasaYears,2,0)*VLOOKUP(J221,DasaYears,2,0)/120*VLOOKUP(L221,DasaYears,2,0)/120*VLOOKUP($D$148,DasaYears,2,0)/120*VLOOKUP($B$148,DasaYears,2,0)/120</f>
        <v>#N/A</v>
      </c>
    </row>
    <row r="223" customFormat="false" ht="15" hidden="false" customHeight="false" outlineLevel="0" collapsed="false">
      <c r="B223" s="258"/>
      <c r="C223" s="259"/>
      <c r="D223" s="226"/>
      <c r="E223" s="259"/>
      <c r="F223" s="226"/>
      <c r="G223" s="260"/>
      <c r="H223" s="226" t="e">
        <f aca="false">INDEX(DasaYears,(MOD(VLOOKUP(H222,DasaYears,3,0)+IF(VLOOKUP($F$148,ChartInfo,11),-1,1)*NOT(ISBLANK(I223)),9)+1),1)</f>
        <v>#N/A</v>
      </c>
      <c r="I223" s="257"/>
      <c r="J223" s="226" t="e">
        <f aca="false">INDEX(DasaYears,(MOD(VLOOKUP(J222,DasaYears,3,0)+IF(VLOOKUP(H222,ChartInfo,11),-1,1)*NOT(ISBLANK(K223)),9)+1),1)</f>
        <v>#N/A</v>
      </c>
      <c r="K223" s="257"/>
      <c r="L223" s="226" t="e">
        <f aca="false">INDEX(DasaYears,(MOD(VLOOKUP(L222,DasaYears,3,0)+IF(VLOOKUP(J222,ChartInfo,11),-1,1)*NOT(ISBLANK(M223)),9)+1),1)</f>
        <v>#N/A</v>
      </c>
      <c r="M223" s="253" t="e">
        <f aca="false">M222+DaysInYear*VLOOKUP($F$148,DasaYears,2,0)/120*VLOOKUP(H222,DasaYears,2,0)*VLOOKUP(J222,DasaYears,2,0)/120*VLOOKUP(L222,DasaYears,2,0)/120*VLOOKUP($D$148,DasaYears,2,0)/120*VLOOKUP($B$148,DasaYears,2,0)/120</f>
        <v>#N/A</v>
      </c>
    </row>
    <row r="224" customFormat="false" ht="15" hidden="false" customHeight="false" outlineLevel="0" collapsed="false">
      <c r="B224" s="258"/>
      <c r="C224" s="259"/>
      <c r="D224" s="226"/>
      <c r="E224" s="259"/>
      <c r="F224" s="226"/>
      <c r="G224" s="260"/>
      <c r="H224" s="226" t="e">
        <f aca="false">INDEX(DasaYears,(MOD(VLOOKUP(H223,DasaYears,3,0)+IF(VLOOKUP($F$148,ChartInfo,11),-1,1)*NOT(ISBLANK(I224)),9)+1),1)</f>
        <v>#N/A</v>
      </c>
      <c r="I224" s="257"/>
      <c r="J224" s="226" t="e">
        <f aca="false">INDEX(DasaYears,(MOD(VLOOKUP(J223,DasaYears,3,0)+IF(VLOOKUP(H223,ChartInfo,11),-1,1)*NOT(ISBLANK(K224)),9)+1),1)</f>
        <v>#N/A</v>
      </c>
      <c r="K224" s="257"/>
      <c r="L224" s="226" t="e">
        <f aca="false">INDEX(DasaYears,(MOD(VLOOKUP(L223,DasaYears,3,0)+IF(VLOOKUP(J223,ChartInfo,11),-1,1)*NOT(ISBLANK(M224)),9)+1),1)</f>
        <v>#N/A</v>
      </c>
      <c r="M224" s="253" t="e">
        <f aca="false">M223+DaysInYear*VLOOKUP($F$148,DasaYears,2,0)/120*VLOOKUP(H223,DasaYears,2,0)*VLOOKUP(J223,DasaYears,2,0)/120*VLOOKUP(L223,DasaYears,2,0)/120*VLOOKUP($D$148,DasaYears,2,0)/120*VLOOKUP($B$148,DasaYears,2,0)/120</f>
        <v>#N/A</v>
      </c>
    </row>
    <row r="225" customFormat="false" ht="15" hidden="false" customHeight="false" outlineLevel="0" collapsed="false">
      <c r="B225" s="258"/>
      <c r="C225" s="259"/>
      <c r="D225" s="226"/>
      <c r="E225" s="259"/>
      <c r="F225" s="226"/>
      <c r="G225" s="260"/>
      <c r="H225" s="226" t="e">
        <f aca="false">INDEX(DasaYears,(MOD(VLOOKUP(H224,DasaYears,3,0)+IF(VLOOKUP($F$148,ChartInfo,11),-1,1)*NOT(ISBLANK(I225)),9)+1),1)</f>
        <v>#N/A</v>
      </c>
      <c r="I225" s="257"/>
      <c r="J225" s="226" t="e">
        <f aca="false">INDEX(DasaYears,(MOD(VLOOKUP(J224,DasaYears,3,0)+IF(VLOOKUP(H224,ChartInfo,11),-1,1)*NOT(ISBLANK(K225)),9)+1),1)</f>
        <v>#N/A</v>
      </c>
      <c r="K225" s="257"/>
      <c r="L225" s="226" t="e">
        <f aca="false">INDEX(DasaYears,(MOD(VLOOKUP(L224,DasaYears,3,0)+IF(VLOOKUP(J224,ChartInfo,11),-1,1)*NOT(ISBLANK(M225)),9)+1),1)</f>
        <v>#N/A</v>
      </c>
      <c r="M225" s="253" t="e">
        <f aca="false">M224+DaysInYear*VLOOKUP($F$148,DasaYears,2,0)/120*VLOOKUP(H224,DasaYears,2,0)*VLOOKUP(J224,DasaYears,2,0)/120*VLOOKUP(L224,DasaYears,2,0)/120*VLOOKUP($D$148,DasaYears,2,0)/120*VLOOKUP($B$148,DasaYears,2,0)/120</f>
        <v>#N/A</v>
      </c>
    </row>
    <row r="226" customFormat="false" ht="15" hidden="false" customHeight="false" outlineLevel="0" collapsed="false">
      <c r="B226" s="258"/>
      <c r="C226" s="259"/>
      <c r="D226" s="226"/>
      <c r="E226" s="259"/>
      <c r="F226" s="226"/>
      <c r="G226" s="260"/>
      <c r="H226" s="226" t="e">
        <f aca="false">INDEX(DasaYears,(MOD(VLOOKUP(H225,DasaYears,3,0)+IF(VLOOKUP($F$148,ChartInfo,11),-1,1)*NOT(ISBLANK(I226)),9)+1),1)</f>
        <v>#N/A</v>
      </c>
      <c r="I226" s="257"/>
      <c r="J226" s="226" t="e">
        <f aca="false">INDEX(DasaYears,(MOD(VLOOKUP(J225,DasaYears,3,0)+IF(VLOOKUP(H225,ChartInfo,11),-1,1)*NOT(ISBLANK(K226)),9)+1),1)</f>
        <v>#N/A</v>
      </c>
      <c r="K226" s="257"/>
      <c r="L226" s="226" t="e">
        <f aca="false">INDEX(DasaYears,(MOD(VLOOKUP(L225,DasaYears,3,0)+IF(VLOOKUP(J225,ChartInfo,11),-1,1)*NOT(ISBLANK(M226)),9)+1),1)</f>
        <v>#N/A</v>
      </c>
      <c r="M226" s="253" t="e">
        <f aca="false">M225+DaysInYear*VLOOKUP($F$148,DasaYears,2,0)/120*VLOOKUP(H225,DasaYears,2,0)*VLOOKUP(J225,DasaYears,2,0)/120*VLOOKUP(L225,DasaYears,2,0)/120*VLOOKUP($D$148,DasaYears,2,0)/120*VLOOKUP($B$148,DasaYears,2,0)/120</f>
        <v>#N/A</v>
      </c>
    </row>
    <row r="227" customFormat="false" ht="15" hidden="false" customHeight="false" outlineLevel="0" collapsed="false">
      <c r="B227" s="258"/>
      <c r="C227" s="259"/>
      <c r="D227" s="226"/>
      <c r="E227" s="259"/>
      <c r="F227" s="226"/>
      <c r="G227" s="260"/>
      <c r="H227" s="226" t="e">
        <f aca="false">INDEX(DasaYears,(MOD(VLOOKUP(H226,DasaYears,3,0)+IF(VLOOKUP($F$148,ChartInfo,11),-1,1)*NOT(ISBLANK(I227)),9)+1),1)</f>
        <v>#N/A</v>
      </c>
      <c r="I227" s="257"/>
      <c r="J227" s="226" t="e">
        <f aca="false">INDEX(DasaYears,(MOD(VLOOKUP(J226,DasaYears,3,0)+IF(VLOOKUP(H226,ChartInfo,11),-1,1)*NOT(ISBLANK(K227)),9)+1),1)</f>
        <v>#N/A</v>
      </c>
      <c r="K227" s="257"/>
      <c r="L227" s="226" t="e">
        <f aca="false">INDEX(DasaYears,(MOD(VLOOKUP(L226,DasaYears,3,0)+IF(VLOOKUP(J226,ChartInfo,11),-1,1)*NOT(ISBLANK(M227)),9)+1),1)</f>
        <v>#N/A</v>
      </c>
      <c r="M227" s="253" t="e">
        <f aca="false">M226+DaysInYear*VLOOKUP($F$148,DasaYears,2,0)/120*VLOOKUP(H226,DasaYears,2,0)*VLOOKUP(J226,DasaYears,2,0)/120*VLOOKUP(L226,DasaYears,2,0)/120*VLOOKUP($D$148,DasaYears,2,0)/120*VLOOKUP($B$148,DasaYears,2,0)/120</f>
        <v>#N/A</v>
      </c>
    </row>
    <row r="228" customFormat="false" ht="15" hidden="false" customHeight="false" outlineLevel="0" collapsed="false">
      <c r="B228" s="258"/>
      <c r="C228" s="259"/>
      <c r="D228" s="226"/>
      <c r="E228" s="259"/>
      <c r="F228" s="226"/>
      <c r="G228" s="260"/>
      <c r="H228" s="226" t="e">
        <f aca="false">INDEX(DasaYears,(MOD(VLOOKUP(H227,DasaYears,3,0)+IF(VLOOKUP($F$148,ChartInfo,11),-1,1)*NOT(ISBLANK(I228)),9)+1),1)</f>
        <v>#N/A</v>
      </c>
      <c r="I228" s="257"/>
      <c r="J228" s="226" t="e">
        <f aca="false">INDEX(DasaYears,(MOD(VLOOKUP(J227,DasaYears,3,0)+IF(VLOOKUP(H227,ChartInfo,11),-1,1)*NOT(ISBLANK(K228)),9)+1),1)</f>
        <v>#N/A</v>
      </c>
      <c r="K228" s="257"/>
      <c r="L228" s="226" t="e">
        <f aca="false">INDEX(DasaYears,(MOD(VLOOKUP(L227,DasaYears,3,0)+IF(VLOOKUP(J227,ChartInfo,11),-1,1)*NOT(ISBLANK(M228)),9)+1),1)</f>
        <v>#N/A</v>
      </c>
      <c r="M228" s="253" t="e">
        <f aca="false">M227+DaysInYear*VLOOKUP($F$148,DasaYears,2,0)/120*VLOOKUP(H227,DasaYears,2,0)*VLOOKUP(J227,DasaYears,2,0)/120*VLOOKUP(L227,DasaYears,2,0)/120*VLOOKUP($D$148,DasaYears,2,0)/120*VLOOKUP($B$148,DasaYears,2,0)/120</f>
        <v>#N/A</v>
      </c>
    </row>
    <row r="229" customFormat="false" ht="15" hidden="false" customHeight="false" outlineLevel="0" collapsed="false">
      <c r="M229" s="253" t="e">
        <f aca="false">M228+DaysInYear*VLOOKUP($F$148,DasaYears,2,0)/120*VLOOKUP(H228,DasaYears,2,0)*VLOOKUP(J228,DasaYears,2,0)/120*VLOOKUP(L228,DasaYears,2,0)/120*VLOOKUP($D$148,DasaYears,2,0)/120*VLOOKUP($B$148,DasaYears,2,0)/120</f>
        <v>#N/A</v>
      </c>
    </row>
    <row r="231" customFormat="false" ht="15" hidden="false" customHeight="false" outlineLevel="0" collapsed="false">
      <c r="E231" s="261" t="s">
        <v>436</v>
      </c>
      <c r="F231" s="261"/>
      <c r="G231" s="262" t="n">
        <v>1</v>
      </c>
      <c r="H231" s="263" t="s">
        <v>437</v>
      </c>
      <c r="I231" s="39"/>
      <c r="J231" s="39"/>
    </row>
    <row r="233" s="264" customFormat="true" ht="15" hidden="false" customHeight="false" outlineLevel="0" collapsed="false">
      <c r="A233" s="182" t="s">
        <v>438</v>
      </c>
      <c r="B233" s="183"/>
      <c r="C233" s="183"/>
      <c r="D233" s="183"/>
      <c r="E233" s="184"/>
      <c r="G233" s="182" t="s">
        <v>439</v>
      </c>
      <c r="H233" s="182"/>
      <c r="I233" s="182"/>
      <c r="J233" s="182"/>
      <c r="K233" s="184"/>
      <c r="M233" s="182" t="s">
        <v>440</v>
      </c>
      <c r="N233" s="183"/>
      <c r="O233" s="183"/>
      <c r="P233" s="183"/>
      <c r="Q233" s="184"/>
      <c r="S233" s="182" t="s">
        <v>441</v>
      </c>
      <c r="T233" s="183"/>
      <c r="U233" s="183"/>
      <c r="V233" s="183"/>
      <c r="W233" s="184"/>
      <c r="Y233" s="182" t="s">
        <v>442</v>
      </c>
      <c r="Z233" s="183"/>
      <c r="AA233" s="183"/>
      <c r="AB233" s="183"/>
      <c r="AC233" s="184"/>
    </row>
    <row r="234" customFormat="false" ht="15" hidden="false" customHeight="false" outlineLevel="0" collapsed="false">
      <c r="A234" s="185" t="str">
        <f aca="false">Basics!A9</f>
        <v>Moon</v>
      </c>
      <c r="B234" s="6" t="s">
        <v>374</v>
      </c>
      <c r="E234" s="186"/>
      <c r="G234" s="185" t="str">
        <f aca="false">Basics!A34</f>
        <v>Utpanna(5th) Star</v>
      </c>
      <c r="H234" s="6" t="s">
        <v>374</v>
      </c>
      <c r="K234" s="186"/>
      <c r="M234" s="185" t="str">
        <f aca="false">Basics!A35</f>
        <v>Kshema(4th) Star</v>
      </c>
      <c r="N234" s="6" t="s">
        <v>374</v>
      </c>
      <c r="Q234" s="186"/>
      <c r="S234" s="185" t="e">
        <f aca="false">#N/A</f>
        <v>#N/A</v>
      </c>
      <c r="T234" s="6" t="s">
        <v>374</v>
      </c>
      <c r="W234" s="186"/>
      <c r="Y234" s="185" t="str">
        <f aca="false">Basics!A7</f>
        <v>Lagna</v>
      </c>
      <c r="Z234" s="6" t="s">
        <v>374</v>
      </c>
      <c r="AC234" s="186"/>
    </row>
    <row r="235" customFormat="false" ht="15" hidden="false" customHeight="false" outlineLevel="0" collapsed="false">
      <c r="A235" s="187" t="s">
        <v>375</v>
      </c>
      <c r="B235" s="188" t="n">
        <f aca="false">VLOOKUP(A234,ChartInfo,7,0)</f>
        <v>53.0159444444444</v>
      </c>
      <c r="C235" s="188"/>
      <c r="D235" s="188"/>
      <c r="E235" s="186"/>
      <c r="G235" s="187" t="s">
        <v>375</v>
      </c>
      <c r="H235" s="188" t="n">
        <f aca="false">VLOOKUP(G234,ChartInfo,7,0)</f>
        <v>106.349277777778</v>
      </c>
      <c r="I235" s="188"/>
      <c r="J235" s="188"/>
      <c r="K235" s="186"/>
      <c r="M235" s="187" t="s">
        <v>375</v>
      </c>
      <c r="N235" s="188" t="n">
        <f aca="false">VLOOKUP(M234,ChartInfo,7,0)</f>
        <v>93.0159444444443</v>
      </c>
      <c r="O235" s="188"/>
      <c r="P235" s="188"/>
      <c r="Q235" s="186"/>
      <c r="S235" s="187" t="s">
        <v>375</v>
      </c>
      <c r="T235" s="188" t="e">
        <f aca="false">VLOOKUP(S234,ChartInfo,7,0)</f>
        <v>#N/A</v>
      </c>
      <c r="U235" s="188"/>
      <c r="V235" s="188"/>
      <c r="W235" s="186"/>
      <c r="Y235" s="187" t="s">
        <v>375</v>
      </c>
      <c r="Z235" s="188" t="n">
        <f aca="false">VLOOKUP(Y234,ChartInfo,7,0)</f>
        <v>136.711516666667</v>
      </c>
      <c r="AA235" s="188"/>
      <c r="AB235" s="188"/>
      <c r="AC235" s="186"/>
    </row>
    <row r="236" customFormat="false" ht="15" hidden="false" customHeight="false" outlineLevel="0" collapsed="false">
      <c r="A236" s="189" t="s">
        <v>376</v>
      </c>
      <c r="B236" s="6" t="str">
        <f aca="false">INDEX(DasaYears,D236+1,1)</f>
        <v>Moon</v>
      </c>
      <c r="D236" s="6" t="n">
        <f aca="false">MOD(FLOOR(B235/StarDeg,1),9)</f>
        <v>3</v>
      </c>
      <c r="E236" s="186" t="n">
        <f aca="false">INDEX(DasaYears,MOD(FLOOR(B235/StarDeg,1),9)+1,2)</f>
        <v>10</v>
      </c>
      <c r="G236" s="189" t="s">
        <v>376</v>
      </c>
      <c r="H236" s="6" t="str">
        <f aca="false">INDEX(DasaYears,J236+1,1)</f>
        <v>Saturn</v>
      </c>
      <c r="J236" s="6" t="n">
        <f aca="false">MOD(FLOOR(H235/StarDeg,1),9)</f>
        <v>7</v>
      </c>
      <c r="K236" s="186" t="n">
        <f aca="false">INDEX(DasaYears,MOD(FLOOR(H235/StarDeg,1),9)+1,2)</f>
        <v>19</v>
      </c>
      <c r="M236" s="189" t="s">
        <v>376</v>
      </c>
      <c r="N236" s="6" t="str">
        <f aca="false">INDEX(DasaYears,P236+1,1)</f>
        <v>Jupiter</v>
      </c>
      <c r="P236" s="6" t="n">
        <f aca="false">MOD(FLOOR(N235/StarDeg,1),9)</f>
        <v>6</v>
      </c>
      <c r="Q236" s="186" t="n">
        <f aca="false">INDEX(DasaYears,MOD(FLOOR(N235/StarDeg,1),9)+1,2)</f>
        <v>16</v>
      </c>
      <c r="S236" s="189" t="s">
        <v>376</v>
      </c>
      <c r="T236" s="6" t="e">
        <f aca="false">INDEX(DasaYears,V236+1,1)</f>
        <v>#N/A</v>
      </c>
      <c r="V236" s="6" t="e">
        <f aca="false">MOD(FLOOR(T235/StarDeg,1),9)</f>
        <v>#N/A</v>
      </c>
      <c r="W236" s="186" t="e">
        <f aca="false">INDEX(DasaYears,MOD(FLOOR(T235/StarDeg,1),9)+1,2)</f>
        <v>#N/A</v>
      </c>
      <c r="Y236" s="189" t="s">
        <v>376</v>
      </c>
      <c r="Z236" s="6" t="str">
        <f aca="false">INDEX(DasaYears,AB236+1,1)</f>
        <v>Venus</v>
      </c>
      <c r="AB236" s="6" t="n">
        <f aca="false">MOD(FLOOR(Z235/StarDeg,1),9)</f>
        <v>1</v>
      </c>
      <c r="AC236" s="186" t="n">
        <f aca="false">INDEX(DasaYears,MOD(FLOOR(Z235/StarDeg,1),9)+1,2)</f>
        <v>20</v>
      </c>
    </row>
    <row r="237" customFormat="false" ht="15" hidden="false" customHeight="false" outlineLevel="0" collapsed="false">
      <c r="A237" s="189" t="s">
        <v>377</v>
      </c>
      <c r="B237" s="186" t="n">
        <f aca="false">((StarDeg-MOD(B235,StarDeg))/StarDeg)*E236</f>
        <v>0.238041666666569</v>
      </c>
      <c r="C237" s="186"/>
      <c r="D237" s="186"/>
      <c r="E237" s="186"/>
      <c r="G237" s="189" t="s">
        <v>377</v>
      </c>
      <c r="H237" s="186" t="n">
        <f aca="false">((StarDeg-MOD(H235,StarDeg))/StarDeg)*K236</f>
        <v>0.452279166666481</v>
      </c>
      <c r="I237" s="186"/>
      <c r="J237" s="186"/>
      <c r="K237" s="186"/>
      <c r="M237" s="189" t="s">
        <v>377</v>
      </c>
      <c r="N237" s="186" t="n">
        <f aca="false">((StarDeg-MOD(N235,StarDeg))/StarDeg)*Q236</f>
        <v>0.38086666666651</v>
      </c>
      <c r="O237" s="186"/>
      <c r="P237" s="186"/>
      <c r="Q237" s="186"/>
      <c r="S237" s="189" t="s">
        <v>377</v>
      </c>
      <c r="T237" s="186" t="e">
        <f aca="false">((StarDeg-MOD(T235,StarDeg))/StarDeg)*W236</f>
        <v>#N/A</v>
      </c>
      <c r="U237" s="186"/>
      <c r="V237" s="186"/>
      <c r="W237" s="186"/>
      <c r="Y237" s="189" t="s">
        <v>377</v>
      </c>
      <c r="Z237" s="186" t="n">
        <f aca="false">((StarDeg-MOD(Z235,StarDeg))/StarDeg)*AC236</f>
        <v>14.9327249999995</v>
      </c>
      <c r="AA237" s="186"/>
      <c r="AB237" s="186"/>
      <c r="AC237" s="186"/>
    </row>
    <row r="238" customFormat="false" ht="15" hidden="false" customHeight="false" outlineLevel="0" collapsed="false">
      <c r="A238" s="189" t="s">
        <v>378</v>
      </c>
      <c r="E238" s="186" t="n">
        <f aca="false">((MOD(B235,StarDeg))/StarDeg)*E236</f>
        <v>9.76195833333343</v>
      </c>
      <c r="G238" s="189" t="s">
        <v>378</v>
      </c>
      <c r="K238" s="186" t="n">
        <f aca="false">((MOD(H235,StarDeg))/StarDeg)*K236</f>
        <v>18.5477208333335</v>
      </c>
      <c r="M238" s="189" t="s">
        <v>378</v>
      </c>
      <c r="Q238" s="186" t="n">
        <f aca="false">((MOD(N235,StarDeg))/StarDeg)*Q236</f>
        <v>15.6191333333335</v>
      </c>
      <c r="S238" s="189" t="s">
        <v>378</v>
      </c>
      <c r="W238" s="186" t="e">
        <f aca="false">((MOD(T235,StarDeg))/StarDeg)*W236</f>
        <v>#N/A</v>
      </c>
      <c r="Y238" s="189" t="s">
        <v>378</v>
      </c>
      <c r="AC238" s="186" t="n">
        <f aca="false">((MOD(Z235,StarDeg))/StarDeg)*AC236</f>
        <v>5.06727500000049</v>
      </c>
    </row>
    <row r="239" customFormat="false" ht="15" hidden="false" customHeight="false" outlineLevel="0" collapsed="false">
      <c r="A239" s="189" t="str">
        <f aca="false">INDEX(DasaYears,MOD(D236,9)+1,1)</f>
        <v>Moon</v>
      </c>
      <c r="B239" s="191" t="n">
        <f aca="false">DoB</f>
        <v>26133.3841435185</v>
      </c>
      <c r="C239" s="191"/>
      <c r="D239" s="191"/>
      <c r="E239" s="191"/>
      <c r="F239" s="265"/>
      <c r="G239" s="189" t="str">
        <f aca="false">INDEX(DasaYears,MOD(J236,9)+1,1)</f>
        <v>Saturn</v>
      </c>
      <c r="H239" s="191" t="n">
        <f aca="false">DoB</f>
        <v>26133.3841435185</v>
      </c>
      <c r="I239" s="191"/>
      <c r="J239" s="191"/>
      <c r="K239" s="191"/>
      <c r="M239" s="189" t="str">
        <f aca="false">INDEX(DasaYears,MOD(P236,9)+1,1)</f>
        <v>Jupiter</v>
      </c>
      <c r="N239" s="191" t="n">
        <f aca="false">DoB</f>
        <v>26133.3841435185</v>
      </c>
      <c r="O239" s="191"/>
      <c r="P239" s="191"/>
      <c r="Q239" s="191"/>
      <c r="S239" s="189" t="e">
        <f aca="false">INDEX(DasaYears,MOD(V236,9)+1,1)</f>
        <v>#N/A</v>
      </c>
      <c r="T239" s="191" t="n">
        <f aca="false">DoB</f>
        <v>26133.3841435185</v>
      </c>
      <c r="U239" s="191"/>
      <c r="V239" s="191"/>
      <c r="W239" s="191"/>
      <c r="Y239" s="189" t="str">
        <f aca="false">INDEX(DasaYears,MOD(AB236,9)+1,1)</f>
        <v>Venus</v>
      </c>
      <c r="Z239" s="191" t="n">
        <f aca="false">DoB</f>
        <v>26133.3841435185</v>
      </c>
      <c r="AA239" s="191"/>
      <c r="AB239" s="191"/>
      <c r="AC239" s="191"/>
    </row>
    <row r="240" customFormat="false" ht="15" hidden="false" customHeight="false" outlineLevel="0" collapsed="false">
      <c r="A240" s="189"/>
      <c r="E240" s="186"/>
      <c r="G240" s="189"/>
      <c r="K240" s="186"/>
      <c r="M240" s="189"/>
      <c r="Q240" s="186"/>
      <c r="S240" s="189"/>
      <c r="W240" s="186"/>
      <c r="Y240" s="189"/>
      <c r="AC240" s="186"/>
    </row>
    <row r="241" customFormat="false" ht="15" hidden="false" customHeight="false" outlineLevel="0" collapsed="false">
      <c r="A241" s="189"/>
      <c r="E241" s="186"/>
      <c r="G241" s="189"/>
      <c r="K241" s="186"/>
      <c r="M241" s="189"/>
      <c r="Q241" s="186"/>
      <c r="S241" s="189"/>
      <c r="W241" s="186"/>
      <c r="Y241" s="189"/>
      <c r="AC241" s="186"/>
    </row>
    <row r="242" s="269" customFormat="true" ht="15" hidden="false" customHeight="false" outlineLevel="0" collapsed="false">
      <c r="A242" s="213" t="str">
        <f aca="false">INDEX(DasaYears,MOD(D236,9)+1,1)</f>
        <v>Moon</v>
      </c>
      <c r="B242" s="266" t="str">
        <f aca="false">INDEX(DasaYears,MOD(D236,9)+1,1)</f>
        <v>Moon</v>
      </c>
      <c r="C242" s="266"/>
      <c r="D242" s="266"/>
      <c r="E242" s="267" t="n">
        <f aca="false">E243-(VLOOKUP(A242,DasaYears,2,0)*VLOOKUP(B242,DasaYears,2,0)/VimTotal)*DaysInYear</f>
        <v>22567.7812953188</v>
      </c>
      <c r="F242" s="268"/>
      <c r="G242" s="213" t="str">
        <f aca="false">INDEX(DasaYears,MOD(J236,9)+1,1)</f>
        <v>Saturn</v>
      </c>
      <c r="H242" s="266" t="str">
        <f aca="false">INDEX(DasaYears,MOD(J236,9)+1,1)</f>
        <v>Saturn</v>
      </c>
      <c r="I242" s="266"/>
      <c r="J242" s="266"/>
      <c r="K242" s="267" t="n">
        <f aca="false">K243-(VLOOKUP(G242,DasaYears,2,0)*VLOOKUP(H242,DasaYears,2,0)/VimTotal)*DaysInYear</f>
        <v>19358.738731939</v>
      </c>
      <c r="M242" s="213" t="str">
        <f aca="false">INDEX(DasaYears,MOD(P236,9)+1,1)</f>
        <v>Jupiter</v>
      </c>
      <c r="N242" s="266" t="str">
        <f aca="false">INDEX(DasaYears,MOD(P236,9)+1,1)</f>
        <v>Jupiter</v>
      </c>
      <c r="O242" s="266"/>
      <c r="P242" s="266"/>
      <c r="Q242" s="267" t="n">
        <f aca="false">Q243-(VLOOKUP(M242,DasaYears,2,0)*VLOOKUP(N242,DasaYears,2,0)/VimTotal)*DaysInYear</f>
        <v>20428.4195863989</v>
      </c>
      <c r="S242" s="213" t="e">
        <f aca="false">INDEX(DasaYears,MOD(V236,9)+1,1)</f>
        <v>#N/A</v>
      </c>
      <c r="T242" s="266" t="e">
        <f aca="false">INDEX(DasaYears,MOD(V236,9)+1,1)</f>
        <v>#N/A</v>
      </c>
      <c r="U242" s="266"/>
      <c r="V242" s="266"/>
      <c r="W242" s="267" t="e">
        <f aca="false">W243-(VLOOKUP(S242,DasaYears,2,0)*VLOOKUP(T242,DasaYears,2,0)/VimTotal)*DaysInYear</f>
        <v>#N/A</v>
      </c>
      <c r="Y242" s="213" t="str">
        <f aca="false">INDEX(DasaYears,MOD(AB236,9)+1,1)</f>
        <v>Venus</v>
      </c>
      <c r="Z242" s="266" t="str">
        <f aca="false">INDEX(DasaYears,MOD(AB236,9)+1,1)</f>
        <v>Venus</v>
      </c>
      <c r="AA242" s="266"/>
      <c r="AB242" s="266"/>
      <c r="AC242" s="267" t="n">
        <f aca="false">AC243-(VLOOKUP(Y242,DasaYears,2,0)*VLOOKUP(Z242,DasaYears,2,0)/VimTotal)*DaysInYear</f>
        <v>24282.5372585325</v>
      </c>
    </row>
    <row r="243" s="269" customFormat="true" ht="15" hidden="false" customHeight="false" outlineLevel="0" collapsed="false">
      <c r="A243" s="213" t="str">
        <f aca="false">A242</f>
        <v>Moon</v>
      </c>
      <c r="B243" s="266" t="str">
        <f aca="false">INDEX(DasaYears,MOD(D236-8,9)+1,1)</f>
        <v>Mars</v>
      </c>
      <c r="C243" s="266"/>
      <c r="D243" s="266"/>
      <c r="E243" s="267" t="n">
        <f aca="false">E244-(VLOOKUP(A243,DasaYears,2,0)*VLOOKUP(B243,DasaYears,2,0)/VimTotal)*DaysInYear</f>
        <v>22872.1603558897</v>
      </c>
      <c r="F243" s="268"/>
      <c r="G243" s="213" t="str">
        <f aca="false">G242</f>
        <v>Saturn</v>
      </c>
      <c r="H243" s="266" t="str">
        <f aca="false">INDEX(DasaYears,MOD(J236-8,9)+1,1)</f>
        <v>Mercury</v>
      </c>
      <c r="I243" s="266"/>
      <c r="J243" s="266"/>
      <c r="K243" s="267" t="n">
        <f aca="false">K244-(VLOOKUP(G243,DasaYears,2,0)*VLOOKUP(H243,DasaYears,2,0)/VimTotal)*DaysInYear</f>
        <v>20457.5471406002</v>
      </c>
      <c r="M243" s="213" t="str">
        <f aca="false">M242</f>
        <v>Jupiter</v>
      </c>
      <c r="N243" s="266" t="str">
        <f aca="false">INDEX(DasaYears,MOD(P236-8,9)+1,1)</f>
        <v>Saturn</v>
      </c>
      <c r="O243" s="266"/>
      <c r="P243" s="266"/>
      <c r="Q243" s="267" t="n">
        <f aca="false">Q244-(VLOOKUP(M243,DasaYears,2,0)*VLOOKUP(N243,DasaYears,2,0)/VimTotal)*DaysInYear</f>
        <v>21207.6299814606</v>
      </c>
      <c r="S243" s="213" t="e">
        <f aca="false">S242</f>
        <v>#N/A</v>
      </c>
      <c r="T243" s="266" t="e">
        <f aca="false">INDEX(DasaYears,MOD(V236-8,9)+1,1)</f>
        <v>#N/A</v>
      </c>
      <c r="U243" s="266"/>
      <c r="V243" s="266"/>
      <c r="W243" s="267" t="e">
        <f aca="false">W244-(VLOOKUP(S243,DasaYears,2,0)*VLOOKUP(T243,DasaYears,2,0)/VimTotal)*DaysInYear</f>
        <v>#N/A</v>
      </c>
      <c r="Y243" s="213" t="str">
        <f aca="false">Y242</f>
        <v>Venus</v>
      </c>
      <c r="Z243" s="266" t="str">
        <f aca="false">INDEX(DasaYears,MOD(AB236-8,9)+1,1)</f>
        <v>Sun</v>
      </c>
      <c r="AA243" s="266"/>
      <c r="AB243" s="266"/>
      <c r="AC243" s="267" t="n">
        <f aca="false">AC244-(VLOOKUP(Y243,DasaYears,2,0)*VLOOKUP(Z243,DasaYears,2,0)/VimTotal)*DaysInYear</f>
        <v>25500.0535008165</v>
      </c>
    </row>
    <row r="244" s="269" customFormat="true" ht="15" hidden="false" customHeight="false" outlineLevel="0" collapsed="false">
      <c r="A244" s="213" t="str">
        <f aca="false">A243</f>
        <v>Moon</v>
      </c>
      <c r="B244" s="266" t="str">
        <f aca="false">INDEX(DasaYears,MOD(D236-7,9)+1,1)</f>
        <v>Rahu</v>
      </c>
      <c r="C244" s="266"/>
      <c r="D244" s="266"/>
      <c r="E244" s="267" t="n">
        <f aca="false">E245-(VLOOKUP(A244,DasaYears,2,0)*VLOOKUP(B244,DasaYears,2,0)/VimTotal)*DaysInYear</f>
        <v>23085.2256982894</v>
      </c>
      <c r="F244" s="268"/>
      <c r="G244" s="213" t="str">
        <f aca="false">G243</f>
        <v>Saturn</v>
      </c>
      <c r="H244" s="266" t="str">
        <f aca="false">INDEX(DasaYears,MOD(J236-7,9)+1,1)</f>
        <v>Ketu</v>
      </c>
      <c r="I244" s="266"/>
      <c r="J244" s="266"/>
      <c r="K244" s="267" t="n">
        <f aca="false">K245-(VLOOKUP(G244,DasaYears,2,0)*VLOOKUP(H244,DasaYears,2,0)/VimTotal)*DaysInYear</f>
        <v>21440.6915062445</v>
      </c>
      <c r="M244" s="213" t="str">
        <f aca="false">M243</f>
        <v>Jupiter</v>
      </c>
      <c r="N244" s="266" t="str">
        <f aca="false">INDEX(DasaYears,MOD(P236-7,9)+1,1)</f>
        <v>Mercury</v>
      </c>
      <c r="O244" s="266"/>
      <c r="P244" s="266"/>
      <c r="Q244" s="267" t="n">
        <f aca="false">Q245-(VLOOKUP(M244,DasaYears,2,0)*VLOOKUP(N244,DasaYears,2,0)/VimTotal)*DaysInYear</f>
        <v>22132.9423255964</v>
      </c>
      <c r="S244" s="213" t="e">
        <f aca="false">S243</f>
        <v>#N/A</v>
      </c>
      <c r="T244" s="266" t="e">
        <f aca="false">INDEX(DasaYears,MOD(V236-7,9)+1,1)</f>
        <v>#N/A</v>
      </c>
      <c r="U244" s="266"/>
      <c r="V244" s="266"/>
      <c r="W244" s="267" t="e">
        <f aca="false">W245-(VLOOKUP(S244,DasaYears,2,0)*VLOOKUP(T244,DasaYears,2,0)/VimTotal)*DaysInYear</f>
        <v>#N/A</v>
      </c>
      <c r="Y244" s="213" t="str">
        <f aca="false">Y243</f>
        <v>Venus</v>
      </c>
      <c r="Z244" s="266" t="str">
        <f aca="false">INDEX(DasaYears,MOD(AB236-7,9)+1,1)</f>
        <v>Moon</v>
      </c>
      <c r="AA244" s="266"/>
      <c r="AB244" s="266"/>
      <c r="AC244" s="267" t="n">
        <f aca="false">AC245-(VLOOKUP(Y244,DasaYears,2,0)*VLOOKUP(Z244,DasaYears,2,0)/VimTotal)*DaysInYear</f>
        <v>25865.3083735016</v>
      </c>
    </row>
    <row r="245" s="269" customFormat="true" ht="15" hidden="false" customHeight="false" outlineLevel="0" collapsed="false">
      <c r="A245" s="213" t="str">
        <f aca="false">A244</f>
        <v>Moon</v>
      </c>
      <c r="B245" s="266" t="str">
        <f aca="false">INDEX(DasaYears,MOD(D236-6,9)+1,1)</f>
        <v>Jupiter</v>
      </c>
      <c r="C245" s="266"/>
      <c r="D245" s="266"/>
      <c r="E245" s="267" t="n">
        <f aca="false">E246-(VLOOKUP(A245,DasaYears,2,0)*VLOOKUP(B245,DasaYears,2,0)/VimTotal)*DaysInYear</f>
        <v>23633.1080073172</v>
      </c>
      <c r="F245" s="268"/>
      <c r="G245" s="213" t="str">
        <f aca="false">G244</f>
        <v>Saturn</v>
      </c>
      <c r="H245" s="266" t="str">
        <f aca="false">INDEX(DasaYears,MOD(J236-6,9)+1,1)</f>
        <v>Venus</v>
      </c>
      <c r="I245" s="266"/>
      <c r="J245" s="266"/>
      <c r="K245" s="267" t="n">
        <f aca="false">K246-(VLOOKUP(G245,DasaYears,2,0)*VLOOKUP(H245,DasaYears,2,0)/VimTotal)*DaysInYear</f>
        <v>21845.5156568039</v>
      </c>
      <c r="M245" s="213" t="str">
        <f aca="false">M244</f>
        <v>Jupiter</v>
      </c>
      <c r="N245" s="266" t="str">
        <f aca="false">INDEX(DasaYears,MOD(P236-6,9)+1,1)</f>
        <v>Ketu</v>
      </c>
      <c r="O245" s="266"/>
      <c r="P245" s="266"/>
      <c r="Q245" s="267" t="n">
        <f aca="false">Q246-(VLOOKUP(M245,DasaYears,2,0)*VLOOKUP(N245,DasaYears,2,0)/VimTotal)*DaysInYear</f>
        <v>22960.8533703495</v>
      </c>
      <c r="S245" s="213" t="e">
        <f aca="false">S244</f>
        <v>#N/A</v>
      </c>
      <c r="T245" s="266" t="e">
        <f aca="false">INDEX(DasaYears,MOD(V236-6,9)+1,1)</f>
        <v>#N/A</v>
      </c>
      <c r="U245" s="266"/>
      <c r="V245" s="266"/>
      <c r="W245" s="267" t="e">
        <f aca="false">W246-(VLOOKUP(S245,DasaYears,2,0)*VLOOKUP(T245,DasaYears,2,0)/VimTotal)*DaysInYear</f>
        <v>#N/A</v>
      </c>
      <c r="Y245" s="213" t="str">
        <f aca="false">Y244</f>
        <v>Venus</v>
      </c>
      <c r="Z245" s="266" t="str">
        <f aca="false">INDEX(DasaYears,MOD(AB236-6,9)+1,1)</f>
        <v>Mars</v>
      </c>
      <c r="AA245" s="266"/>
      <c r="AB245" s="266"/>
      <c r="AC245" s="267" t="n">
        <f aca="false">AC246-(VLOOKUP(Y245,DasaYears,2,0)*VLOOKUP(Z245,DasaYears,2,0)/VimTotal)*DaysInYear</f>
        <v>26474.0664946436</v>
      </c>
    </row>
    <row r="246" s="269" customFormat="true" ht="15" hidden="false" customHeight="false" outlineLevel="0" collapsed="false">
      <c r="A246" s="213" t="str">
        <f aca="false">A245</f>
        <v>Moon</v>
      </c>
      <c r="B246" s="266" t="str">
        <f aca="false">INDEX(DasaYears,MOD(D236-5,9)+1,1)</f>
        <v>Saturn</v>
      </c>
      <c r="C246" s="266"/>
      <c r="D246" s="266"/>
      <c r="E246" s="267" t="n">
        <f aca="false">E247-(VLOOKUP(A246,DasaYears,2,0)*VLOOKUP(B246,DasaYears,2,0)/VimTotal)*DaysInYear</f>
        <v>24120.1145042308</v>
      </c>
      <c r="F246" s="268"/>
      <c r="G246" s="213" t="str">
        <f aca="false">G245</f>
        <v>Saturn</v>
      </c>
      <c r="H246" s="266" t="str">
        <f aca="false">INDEX(DasaYears,MOD(J236-5,9)+1,1)</f>
        <v>Sun</v>
      </c>
      <c r="I246" s="266"/>
      <c r="J246" s="266"/>
      <c r="K246" s="267" t="n">
        <f aca="false">K247-(VLOOKUP(G246,DasaYears,2,0)*VLOOKUP(H246,DasaYears,2,0)/VimTotal)*DaysInYear</f>
        <v>23002.1560869737</v>
      </c>
      <c r="M246" s="213" t="str">
        <f aca="false">M245</f>
        <v>Jupiter</v>
      </c>
      <c r="N246" s="266" t="str">
        <f aca="false">INDEX(DasaYears,MOD(P236-5,9)+1,1)</f>
        <v>Venus</v>
      </c>
      <c r="O246" s="266"/>
      <c r="P246" s="266"/>
      <c r="Q246" s="267" t="n">
        <f aca="false">Q247-(VLOOKUP(M246,DasaYears,2,0)*VLOOKUP(N246,DasaYears,2,0)/VimTotal)*DaysInYear</f>
        <v>23301.757918189</v>
      </c>
      <c r="S246" s="213" t="e">
        <f aca="false">S245</f>
        <v>#N/A</v>
      </c>
      <c r="T246" s="266" t="e">
        <f aca="false">INDEX(DasaYears,MOD(V236-5,9)+1,1)</f>
        <v>#N/A</v>
      </c>
      <c r="U246" s="266"/>
      <c r="V246" s="266"/>
      <c r="W246" s="267" t="e">
        <f aca="false">W247-(VLOOKUP(S246,DasaYears,2,0)*VLOOKUP(T246,DasaYears,2,0)/VimTotal)*DaysInYear</f>
        <v>#N/A</v>
      </c>
      <c r="Y246" s="213" t="str">
        <f aca="false">Y245</f>
        <v>Venus</v>
      </c>
      <c r="Z246" s="266" t="str">
        <f aca="false">INDEX(DasaYears,MOD(AB236-5,9)+1,1)</f>
        <v>Rahu</v>
      </c>
      <c r="AA246" s="266"/>
      <c r="AB246" s="266"/>
      <c r="AC246" s="267" t="n">
        <f aca="false">AC247-(VLOOKUP(Y246,DasaYears,2,0)*VLOOKUP(Z246,DasaYears,2,0)/VimTotal)*DaysInYear</f>
        <v>26900.197179443</v>
      </c>
    </row>
    <row r="247" s="269" customFormat="true" ht="15" hidden="false" customHeight="false" outlineLevel="0" collapsed="false">
      <c r="A247" s="213" t="str">
        <f aca="false">A246</f>
        <v>Moon</v>
      </c>
      <c r="B247" s="266" t="str">
        <f aca="false">INDEX(DasaYears,MOD(D236-4,9)+1,1)</f>
        <v>Mercury</v>
      </c>
      <c r="C247" s="266"/>
      <c r="D247" s="266"/>
      <c r="E247" s="267" t="n">
        <f aca="false">E248-(VLOOKUP(A247,DasaYears,2,0)*VLOOKUP(B247,DasaYears,2,0)/VimTotal)*DaysInYear</f>
        <v>24698.4347193156</v>
      </c>
      <c r="F247" s="268"/>
      <c r="G247" s="213" t="str">
        <f aca="false">G246</f>
        <v>Saturn</v>
      </c>
      <c r="H247" s="266" t="str">
        <f aca="false">INDEX(DasaYears,MOD(J236-4,9)+1,1)</f>
        <v>Moon</v>
      </c>
      <c r="I247" s="266"/>
      <c r="J247" s="266"/>
      <c r="K247" s="267" t="n">
        <f aca="false">K248-(VLOOKUP(G247,DasaYears,2,0)*VLOOKUP(H247,DasaYears,2,0)/VimTotal)*DaysInYear</f>
        <v>23349.1482160246</v>
      </c>
      <c r="M247" s="213" t="str">
        <f aca="false">M246</f>
        <v>Jupiter</v>
      </c>
      <c r="N247" s="266" t="str">
        <f aca="false">INDEX(DasaYears,MOD(P236-4,9)+1,1)</f>
        <v>Sun</v>
      </c>
      <c r="O247" s="266"/>
      <c r="P247" s="266"/>
      <c r="Q247" s="267" t="n">
        <f aca="false">Q248-(VLOOKUP(M247,DasaYears,2,0)*VLOOKUP(N247,DasaYears,2,0)/VimTotal)*DaysInYear</f>
        <v>24275.7709120161</v>
      </c>
      <c r="S247" s="213" t="e">
        <f aca="false">S246</f>
        <v>#N/A</v>
      </c>
      <c r="T247" s="266" t="e">
        <f aca="false">INDEX(DasaYears,MOD(V236-4,9)+1,1)</f>
        <v>#N/A</v>
      </c>
      <c r="U247" s="266"/>
      <c r="V247" s="266"/>
      <c r="W247" s="267" t="e">
        <f aca="false">W248-(VLOOKUP(S247,DasaYears,2,0)*VLOOKUP(T247,DasaYears,2,0)/VimTotal)*DaysInYear</f>
        <v>#N/A</v>
      </c>
      <c r="Y247" s="213" t="str">
        <f aca="false">Y246</f>
        <v>Venus</v>
      </c>
      <c r="Z247" s="266" t="str">
        <f aca="false">INDEX(DasaYears,MOD(AB236-4,9)+1,1)</f>
        <v>Jupiter</v>
      </c>
      <c r="AA247" s="266"/>
      <c r="AB247" s="266"/>
      <c r="AC247" s="267" t="n">
        <f aca="false">AC248-(VLOOKUP(Y247,DasaYears,2,0)*VLOOKUP(Z247,DasaYears,2,0)/VimTotal)*DaysInYear</f>
        <v>27995.9617974985</v>
      </c>
    </row>
    <row r="248" s="269" customFormat="true" ht="15" hidden="false" customHeight="false" outlineLevel="0" collapsed="false">
      <c r="A248" s="213" t="str">
        <f aca="false">A247</f>
        <v>Moon</v>
      </c>
      <c r="B248" s="266" t="str">
        <f aca="false">INDEX(DasaYears,MOD(D236-3,9)+1,1)</f>
        <v>Ketu</v>
      </c>
      <c r="C248" s="266"/>
      <c r="D248" s="266"/>
      <c r="E248" s="267" t="n">
        <f aca="false">E249-(VLOOKUP(A248,DasaYears,2,0)*VLOOKUP(B248,DasaYears,2,0)/VimTotal)*DaysInYear</f>
        <v>25215.8791222863</v>
      </c>
      <c r="F248" s="268"/>
      <c r="G248" s="213" t="str">
        <f aca="false">G247</f>
        <v>Saturn</v>
      </c>
      <c r="H248" s="266" t="str">
        <f aca="false">INDEX(DasaYears,MOD(J236-3,9)+1,1)</f>
        <v>Mars</v>
      </c>
      <c r="I248" s="266"/>
      <c r="J248" s="266"/>
      <c r="K248" s="267" t="n">
        <f aca="false">K249-(VLOOKUP(G248,DasaYears,2,0)*VLOOKUP(H248,DasaYears,2,0)/VimTotal)*DaysInYear</f>
        <v>23927.4684311095</v>
      </c>
      <c r="M248" s="213" t="str">
        <f aca="false">M247</f>
        <v>Jupiter</v>
      </c>
      <c r="N248" s="266" t="str">
        <f aca="false">INDEX(DasaYears,MOD(P236-3,9)+1,1)</f>
        <v>Moon</v>
      </c>
      <c r="O248" s="266"/>
      <c r="P248" s="266"/>
      <c r="Q248" s="267" t="n">
        <f aca="false">Q249-(VLOOKUP(M248,DasaYears,2,0)*VLOOKUP(N248,DasaYears,2,0)/VimTotal)*DaysInYear</f>
        <v>24567.9748101643</v>
      </c>
      <c r="S248" s="213" t="e">
        <f aca="false">S247</f>
        <v>#N/A</v>
      </c>
      <c r="T248" s="266" t="e">
        <f aca="false">INDEX(DasaYears,MOD(V236-3,9)+1,1)</f>
        <v>#N/A</v>
      </c>
      <c r="U248" s="266"/>
      <c r="V248" s="266"/>
      <c r="W248" s="267" t="e">
        <f aca="false">W249-(VLOOKUP(S248,DasaYears,2,0)*VLOOKUP(T248,DasaYears,2,0)/VimTotal)*DaysInYear</f>
        <v>#N/A</v>
      </c>
      <c r="Y248" s="213" t="str">
        <f aca="false">Y247</f>
        <v>Venus</v>
      </c>
      <c r="Z248" s="266" t="str">
        <f aca="false">INDEX(DasaYears,MOD(AB236-3,9)+1,1)</f>
        <v>Saturn</v>
      </c>
      <c r="AA248" s="266"/>
      <c r="AB248" s="266"/>
      <c r="AC248" s="267" t="n">
        <f aca="false">AC249-(VLOOKUP(Y248,DasaYears,2,0)*VLOOKUP(Z248,DasaYears,2,0)/VimTotal)*DaysInYear</f>
        <v>28969.9747913257</v>
      </c>
    </row>
    <row r="249" s="269" customFormat="true" ht="15" hidden="false" customHeight="false" outlineLevel="0" collapsed="false">
      <c r="A249" s="213" t="str">
        <f aca="false">A248</f>
        <v>Moon</v>
      </c>
      <c r="B249" s="266" t="str">
        <f aca="false">INDEX(DasaYears,MOD(D236-2,9)+1,1)</f>
        <v>Venus</v>
      </c>
      <c r="C249" s="266"/>
      <c r="D249" s="266"/>
      <c r="E249" s="267" t="n">
        <f aca="false">E250-(VLOOKUP(A249,DasaYears,2,0)*VLOOKUP(B249,DasaYears,2,0)/VimTotal)*DaysInYear</f>
        <v>25428.944464686</v>
      </c>
      <c r="F249" s="268"/>
      <c r="G249" s="213" t="str">
        <f aca="false">G248</f>
        <v>Saturn</v>
      </c>
      <c r="H249" s="266" t="str">
        <f aca="false">INDEX(DasaYears,MOD(J236-2,9)+1,1)</f>
        <v>Rahu</v>
      </c>
      <c r="I249" s="266"/>
      <c r="J249" s="266"/>
      <c r="K249" s="267" t="n">
        <f aca="false">K250-(VLOOKUP(G249,DasaYears,2,0)*VLOOKUP(H249,DasaYears,2,0)/VimTotal)*DaysInYear</f>
        <v>24332.2925816689</v>
      </c>
      <c r="M249" s="213" t="str">
        <f aca="false">M248</f>
        <v>Jupiter</v>
      </c>
      <c r="N249" s="266" t="str">
        <f aca="false">INDEX(DasaYears,MOD(P236-2,9)+1,1)</f>
        <v>Mars</v>
      </c>
      <c r="O249" s="266"/>
      <c r="P249" s="266"/>
      <c r="Q249" s="267" t="n">
        <f aca="false">Q250-(VLOOKUP(M249,DasaYears,2,0)*VLOOKUP(N249,DasaYears,2,0)/VimTotal)*DaysInYear</f>
        <v>25054.9813070779</v>
      </c>
      <c r="S249" s="213" t="e">
        <f aca="false">S248</f>
        <v>#N/A</v>
      </c>
      <c r="T249" s="266" t="e">
        <f aca="false">INDEX(DasaYears,MOD(V236-2,9)+1,1)</f>
        <v>#N/A</v>
      </c>
      <c r="U249" s="266"/>
      <c r="V249" s="266"/>
      <c r="W249" s="267" t="e">
        <f aca="false">W250-(VLOOKUP(S249,DasaYears,2,0)*VLOOKUP(T249,DasaYears,2,0)/VimTotal)*DaysInYear</f>
        <v>#N/A</v>
      </c>
      <c r="Y249" s="213" t="str">
        <f aca="false">Y248</f>
        <v>Venus</v>
      </c>
      <c r="Z249" s="266" t="str">
        <f aca="false">INDEX(DasaYears,MOD(AB236-2,9)+1,1)</f>
        <v>Mercury</v>
      </c>
      <c r="AA249" s="266"/>
      <c r="AB249" s="266"/>
      <c r="AC249" s="267" t="n">
        <f aca="false">AC250-(VLOOKUP(Y249,DasaYears,2,0)*VLOOKUP(Z249,DasaYears,2,0)/VimTotal)*DaysInYear</f>
        <v>30126.6152214954</v>
      </c>
    </row>
    <row r="250" s="269" customFormat="true" ht="15" hidden="false" customHeight="false" outlineLevel="0" collapsed="false">
      <c r="A250" s="213" t="str">
        <f aca="false">A249</f>
        <v>Moon</v>
      </c>
      <c r="B250" s="269" t="str">
        <f aca="false">INDEX(DasaYears,MOD(D236-1,9)+1,1)</f>
        <v>Sun</v>
      </c>
      <c r="C250" s="266"/>
      <c r="D250" s="266"/>
      <c r="E250" s="267" t="n">
        <f aca="false">E251-(VLOOKUP(A250,DasaYears,2,0)*VLOOKUP(B250,DasaYears,2,0)/VimTotal)*DaysInYear</f>
        <v>26037.702585828</v>
      </c>
      <c r="F250" s="268"/>
      <c r="G250" s="213" t="str">
        <f aca="false">G249</f>
        <v>Saturn</v>
      </c>
      <c r="H250" s="269" t="str">
        <f aca="false">INDEX(DasaYears,MOD(J236-1,9)+1,1)</f>
        <v>Jupiter</v>
      </c>
      <c r="I250" s="266"/>
      <c r="J250" s="266"/>
      <c r="K250" s="267" t="n">
        <f aca="false">K251-(VLOOKUP(G250,DasaYears,2,0)*VLOOKUP(H250,DasaYears,2,0)/VimTotal)*DaysInYear</f>
        <v>25373.2689688216</v>
      </c>
      <c r="M250" s="213" t="str">
        <f aca="false">M249</f>
        <v>Jupiter</v>
      </c>
      <c r="N250" s="269" t="str">
        <f aca="false">INDEX(DasaYears,MOD(P236-1,9)+1,1)</f>
        <v>Rahu</v>
      </c>
      <c r="O250" s="266"/>
      <c r="P250" s="266"/>
      <c r="Q250" s="267" t="n">
        <f aca="false">Q251-(VLOOKUP(M250,DasaYears,2,0)*VLOOKUP(N250,DasaYears,2,0)/VimTotal)*DaysInYear</f>
        <v>25395.8858549174</v>
      </c>
      <c r="S250" s="213" t="e">
        <f aca="false">S249</f>
        <v>#N/A</v>
      </c>
      <c r="T250" s="269" t="e">
        <f aca="false">INDEX(DasaYears,MOD(V236-1,9)+1,1)</f>
        <v>#N/A</v>
      </c>
      <c r="U250" s="266"/>
      <c r="V250" s="266"/>
      <c r="W250" s="267" t="e">
        <f aca="false">W251-(VLOOKUP(S250,DasaYears,2,0)*VLOOKUP(T250,DasaYears,2,0)/VimTotal)*DaysInYear</f>
        <v>#N/A</v>
      </c>
      <c r="Y250" s="213" t="str">
        <f aca="false">Y249</f>
        <v>Venus</v>
      </c>
      <c r="Z250" s="269" t="str">
        <f aca="false">INDEX(DasaYears,MOD(AB236-1,9)+1,1)</f>
        <v>Ketu</v>
      </c>
      <c r="AA250" s="266"/>
      <c r="AB250" s="266"/>
      <c r="AC250" s="267" t="n">
        <f aca="false">AC251-(VLOOKUP(Y250,DasaYears,2,0)*VLOOKUP(Z250,DasaYears,2,0)/VimTotal)*DaysInYear</f>
        <v>31161.5040274368</v>
      </c>
    </row>
    <row r="251" s="227" customFormat="true" ht="15" hidden="false" customHeight="false" outlineLevel="0" collapsed="false">
      <c r="A251" s="194" t="str">
        <f aca="false">INDEX(DasaYears,MOD(D236+1,9)+1,1)</f>
        <v>Mars</v>
      </c>
      <c r="C251" s="250"/>
      <c r="D251" s="250"/>
      <c r="E251" s="244" t="n">
        <f aca="false">B239+(B237*DaysInYear)</f>
        <v>26220.3300221706</v>
      </c>
      <c r="F251" s="246"/>
      <c r="G251" s="194" t="str">
        <f aca="false">INDEX(DasaYears,MOD(J236+1,9)+1,1)</f>
        <v>Mercury</v>
      </c>
      <c r="I251" s="250"/>
      <c r="J251" s="250"/>
      <c r="K251" s="244" t="n">
        <f aca="false">H239+(H237*DaysInYear)</f>
        <v>26298.5813129574</v>
      </c>
      <c r="M251" s="194" t="str">
        <f aca="false">INDEX(DasaYears,MOD(P236+1,9)+1,1)</f>
        <v>Saturn</v>
      </c>
      <c r="O251" s="250"/>
      <c r="P251" s="250"/>
      <c r="Q251" s="244" t="n">
        <f aca="false">N239+(N237*DaysInYear)</f>
        <v>26272.4975493618</v>
      </c>
      <c r="S251" s="194" t="e">
        <f aca="false">INDEX(DasaYears,MOD(V236+1,9)+1,1)</f>
        <v>#N/A</v>
      </c>
      <c r="U251" s="250"/>
      <c r="V251" s="250"/>
      <c r="W251" s="244" t="e">
        <f aca="false">T239+(T237*DaysInYear)</f>
        <v>#N/A</v>
      </c>
      <c r="Y251" s="194" t="str">
        <f aca="false">INDEX(DasaYears,MOD(AB236+1,9)+1,1)</f>
        <v>Sun</v>
      </c>
      <c r="AA251" s="250"/>
      <c r="AB251" s="250"/>
      <c r="AC251" s="244" t="n">
        <f aca="false">Z239+(Z237*DaysInYear)</f>
        <v>31587.6347122362</v>
      </c>
    </row>
    <row r="252" s="227" customFormat="true" ht="15" hidden="false" customHeight="false" outlineLevel="0" collapsed="false">
      <c r="A252" s="194" t="str">
        <f aca="false">A251</f>
        <v>Mars</v>
      </c>
      <c r="B252" s="250" t="str">
        <f aca="false">INDEX(DasaYears,MOD(D236-7,9)+1,1)</f>
        <v>Rahu</v>
      </c>
      <c r="C252" s="250"/>
      <c r="D252" s="250"/>
      <c r="E252" s="244" t="n">
        <f aca="false">E253-(VLOOKUP(A252,DasaYears,2,0)*VLOOKUP(B252,DasaYears,2,0)/VimTotal)*DaysInYear</f>
        <v>26369.4757618504</v>
      </c>
      <c r="F252" s="246"/>
      <c r="G252" s="194" t="str">
        <f aca="false">G251</f>
        <v>Mercury</v>
      </c>
      <c r="H252" s="250" t="str">
        <f aca="false">INDEX(DasaYears,MOD(J236-7,9)+1,1)</f>
        <v>Ketu</v>
      </c>
      <c r="I252" s="250"/>
      <c r="J252" s="250"/>
      <c r="K252" s="244" t="n">
        <f aca="false">K253-(VLOOKUP(G252,DasaYears,2,0)*VLOOKUP(H252,DasaYears,2,0)/VimTotal)*DaysInYear</f>
        <v>27178.2367980076</v>
      </c>
      <c r="M252" s="194" t="str">
        <f aca="false">M251</f>
        <v>Saturn</v>
      </c>
      <c r="N252" s="250" t="str">
        <f aca="false">INDEX(DasaYears,MOD(P236-7,9)+1,1)</f>
        <v>Mercury</v>
      </c>
      <c r="O252" s="250"/>
      <c r="P252" s="250"/>
      <c r="Q252" s="244" t="n">
        <f aca="false">Q253-(VLOOKUP(M252,DasaYears,2,0)*VLOOKUP(N252,DasaYears,2,0)/VimTotal)*DaysInYear</f>
        <v>27371.3059580231</v>
      </c>
      <c r="S252" s="194" t="e">
        <f aca="false">S251</f>
        <v>#N/A</v>
      </c>
      <c r="T252" s="250" t="e">
        <f aca="false">INDEX(DasaYears,MOD(V236-7,9)+1,1)</f>
        <v>#N/A</v>
      </c>
      <c r="U252" s="250"/>
      <c r="V252" s="250"/>
      <c r="W252" s="244" t="e">
        <f aca="false">W253-(VLOOKUP(S252,DasaYears,2,0)*VLOOKUP(T252,DasaYears,2,0)/VimTotal)*DaysInYear</f>
        <v>#N/A</v>
      </c>
      <c r="Y252" s="194" t="str">
        <f aca="false">Y251</f>
        <v>Sun</v>
      </c>
      <c r="Z252" s="250" t="str">
        <f aca="false">INDEX(DasaYears,MOD(AB236-7,9)+1,1)</f>
        <v>Moon</v>
      </c>
      <c r="AA252" s="250"/>
      <c r="AB252" s="250"/>
      <c r="AC252" s="244" t="n">
        <f aca="false">AC253-(VLOOKUP(Y252,DasaYears,2,0)*VLOOKUP(Z252,DasaYears,2,0)/VimTotal)*DaysInYear</f>
        <v>31697.2111740417</v>
      </c>
    </row>
    <row r="253" s="227" customFormat="true" ht="15" hidden="false" customHeight="false" outlineLevel="0" collapsed="false">
      <c r="A253" s="194" t="str">
        <f aca="false">A252</f>
        <v>Mars</v>
      </c>
      <c r="B253" s="250" t="str">
        <f aca="false">INDEX(DasaYears,MOD(D236-6,9)+1,1)</f>
        <v>Jupiter</v>
      </c>
      <c r="C253" s="250"/>
      <c r="D253" s="250"/>
      <c r="E253" s="244" t="n">
        <f aca="false">E254-(VLOOKUP(A253,DasaYears,2,0)*VLOOKUP(B253,DasaYears,2,0)/VimTotal)*DaysInYear</f>
        <v>26752.9933781698</v>
      </c>
      <c r="F253" s="246"/>
      <c r="G253" s="194" t="str">
        <f aca="false">G252</f>
        <v>Mercury</v>
      </c>
      <c r="H253" s="250" t="str">
        <f aca="false">INDEX(DasaYears,MOD(J236-6,9)+1,1)</f>
        <v>Venus</v>
      </c>
      <c r="I253" s="250"/>
      <c r="J253" s="250"/>
      <c r="K253" s="244" t="n">
        <f aca="false">K254-(VLOOKUP(G253,DasaYears,2,0)*VLOOKUP(H253,DasaYears,2,0)/VimTotal)*DaysInYear</f>
        <v>27540.447880087</v>
      </c>
      <c r="M253" s="194" t="str">
        <f aca="false">M252</f>
        <v>Saturn</v>
      </c>
      <c r="N253" s="250" t="str">
        <f aca="false">INDEX(DasaYears,MOD(P236-6,9)+1,1)</f>
        <v>Ketu</v>
      </c>
      <c r="O253" s="250"/>
      <c r="P253" s="250"/>
      <c r="Q253" s="244" t="n">
        <f aca="false">Q254-(VLOOKUP(M253,DasaYears,2,0)*VLOOKUP(N253,DasaYears,2,0)/VimTotal)*DaysInYear</f>
        <v>28354.4503236673</v>
      </c>
      <c r="S253" s="194" t="e">
        <f aca="false">S252</f>
        <v>#N/A</v>
      </c>
      <c r="T253" s="250" t="e">
        <f aca="false">INDEX(DasaYears,MOD(V236-6,9)+1,1)</f>
        <v>#N/A</v>
      </c>
      <c r="U253" s="250"/>
      <c r="V253" s="250"/>
      <c r="W253" s="244" t="e">
        <f aca="false">W254-(VLOOKUP(S253,DasaYears,2,0)*VLOOKUP(T253,DasaYears,2,0)/VimTotal)*DaysInYear</f>
        <v>#N/A</v>
      </c>
      <c r="Y253" s="194" t="str">
        <f aca="false">Y252</f>
        <v>Sun</v>
      </c>
      <c r="Z253" s="250" t="str">
        <f aca="false">INDEX(DasaYears,MOD(AB236-6,9)+1,1)</f>
        <v>Mars</v>
      </c>
      <c r="AA253" s="250"/>
      <c r="AB253" s="250"/>
      <c r="AC253" s="244" t="n">
        <f aca="false">AC254-(VLOOKUP(Y253,DasaYears,2,0)*VLOOKUP(Z253,DasaYears,2,0)/VimTotal)*DaysInYear</f>
        <v>31879.8386103843</v>
      </c>
    </row>
    <row r="254" s="227" customFormat="true" ht="15" hidden="false" customHeight="false" outlineLevel="0" collapsed="false">
      <c r="A254" s="194" t="str">
        <f aca="false">A253</f>
        <v>Mars</v>
      </c>
      <c r="B254" s="250" t="str">
        <f aca="false">INDEX(DasaYears,MOD(D236-5,9)+1,1)</f>
        <v>Saturn</v>
      </c>
      <c r="C254" s="250"/>
      <c r="D254" s="250"/>
      <c r="E254" s="244" t="n">
        <f aca="false">E255-(VLOOKUP(A254,DasaYears,2,0)*VLOOKUP(B254,DasaYears,2,0)/VimTotal)*DaysInYear</f>
        <v>27093.8979260093</v>
      </c>
      <c r="F254" s="246"/>
      <c r="G254" s="194" t="str">
        <f aca="false">G253</f>
        <v>Mercury</v>
      </c>
      <c r="H254" s="250" t="str">
        <f aca="false">INDEX(DasaYears,MOD(J236-5,9)+1,1)</f>
        <v>Sun</v>
      </c>
      <c r="I254" s="250"/>
      <c r="J254" s="250"/>
      <c r="K254" s="244" t="n">
        <f aca="false">K255-(VLOOKUP(G254,DasaYears,2,0)*VLOOKUP(H254,DasaYears,2,0)/VimTotal)*DaysInYear</f>
        <v>28575.3366860284</v>
      </c>
      <c r="M254" s="194" t="str">
        <f aca="false">M253</f>
        <v>Saturn</v>
      </c>
      <c r="N254" s="250" t="str">
        <f aca="false">INDEX(DasaYears,MOD(P236-5,9)+1,1)</f>
        <v>Venus</v>
      </c>
      <c r="O254" s="250"/>
      <c r="P254" s="250"/>
      <c r="Q254" s="244" t="n">
        <f aca="false">Q255-(VLOOKUP(M254,DasaYears,2,0)*VLOOKUP(N254,DasaYears,2,0)/VimTotal)*DaysInYear</f>
        <v>28759.2744742268</v>
      </c>
      <c r="S254" s="194" t="e">
        <f aca="false">S253</f>
        <v>#N/A</v>
      </c>
      <c r="T254" s="250" t="e">
        <f aca="false">INDEX(DasaYears,MOD(V236-5,9)+1,1)</f>
        <v>#N/A</v>
      </c>
      <c r="U254" s="250"/>
      <c r="V254" s="250"/>
      <c r="W254" s="244" t="e">
        <f aca="false">W255-(VLOOKUP(S254,DasaYears,2,0)*VLOOKUP(T254,DasaYears,2,0)/VimTotal)*DaysInYear</f>
        <v>#N/A</v>
      </c>
      <c r="Y254" s="194" t="str">
        <f aca="false">Y253</f>
        <v>Sun</v>
      </c>
      <c r="Z254" s="250" t="str">
        <f aca="false">INDEX(DasaYears,MOD(AB236-5,9)+1,1)</f>
        <v>Rahu</v>
      </c>
      <c r="AA254" s="250"/>
      <c r="AB254" s="250"/>
      <c r="AC254" s="244" t="n">
        <f aca="false">AC255-(VLOOKUP(Y254,DasaYears,2,0)*VLOOKUP(Z254,DasaYears,2,0)/VimTotal)*DaysInYear</f>
        <v>32007.6778158241</v>
      </c>
    </row>
    <row r="255" s="227" customFormat="true" ht="15" hidden="false" customHeight="false" outlineLevel="0" collapsed="false">
      <c r="A255" s="194" t="str">
        <f aca="false">A254</f>
        <v>Mars</v>
      </c>
      <c r="B255" s="250" t="str">
        <f aca="false">INDEX(DasaYears,MOD(D236-4,9)+1,1)</f>
        <v>Mercury</v>
      </c>
      <c r="C255" s="250"/>
      <c r="D255" s="250"/>
      <c r="E255" s="244" t="n">
        <f aca="false">E256-(VLOOKUP(A255,DasaYears,2,0)*VLOOKUP(B255,DasaYears,2,0)/VimTotal)*DaysInYear</f>
        <v>27498.7220765687</v>
      </c>
      <c r="F255" s="246"/>
      <c r="G255" s="194" t="str">
        <f aca="false">G254</f>
        <v>Mercury</v>
      </c>
      <c r="H255" s="250" t="str">
        <f aca="false">INDEX(DasaYears,MOD(J236-4,9)+1,1)</f>
        <v>Moon</v>
      </c>
      <c r="I255" s="250"/>
      <c r="J255" s="250"/>
      <c r="K255" s="244" t="n">
        <f aca="false">K256-(VLOOKUP(G255,DasaYears,2,0)*VLOOKUP(H255,DasaYears,2,0)/VimTotal)*DaysInYear</f>
        <v>28885.8033278108</v>
      </c>
      <c r="M255" s="194" t="str">
        <f aca="false">M254</f>
        <v>Saturn</v>
      </c>
      <c r="N255" s="250" t="str">
        <f aca="false">INDEX(DasaYears,MOD(P236-4,9)+1,1)</f>
        <v>Sun</v>
      </c>
      <c r="O255" s="250"/>
      <c r="P255" s="250"/>
      <c r="Q255" s="244" t="n">
        <f aca="false">Q256-(VLOOKUP(M255,DasaYears,2,0)*VLOOKUP(N255,DasaYears,2,0)/VimTotal)*DaysInYear</f>
        <v>29915.9149043965</v>
      </c>
      <c r="S255" s="194" t="e">
        <f aca="false">S254</f>
        <v>#N/A</v>
      </c>
      <c r="T255" s="250" t="e">
        <f aca="false">INDEX(DasaYears,MOD(V236-4,9)+1,1)</f>
        <v>#N/A</v>
      </c>
      <c r="U255" s="250"/>
      <c r="V255" s="250"/>
      <c r="W255" s="244" t="e">
        <f aca="false">W256-(VLOOKUP(S255,DasaYears,2,0)*VLOOKUP(T255,DasaYears,2,0)/VimTotal)*DaysInYear</f>
        <v>#N/A</v>
      </c>
      <c r="Y255" s="194" t="str">
        <f aca="false">Y254</f>
        <v>Sun</v>
      </c>
      <c r="Z255" s="250" t="str">
        <f aca="false">INDEX(DasaYears,MOD(AB236-4,9)+1,1)</f>
        <v>Jupiter</v>
      </c>
      <c r="AA255" s="250"/>
      <c r="AB255" s="250"/>
      <c r="AC255" s="244" t="n">
        <f aca="false">AC256-(VLOOKUP(Y255,DasaYears,2,0)*VLOOKUP(Z255,DasaYears,2,0)/VimTotal)*DaysInYear</f>
        <v>32336.4072012408</v>
      </c>
    </row>
    <row r="256" s="227" customFormat="true" ht="15" hidden="false" customHeight="false" outlineLevel="0" collapsed="false">
      <c r="A256" s="194" t="str">
        <f aca="false">A255</f>
        <v>Mars</v>
      </c>
      <c r="B256" s="250" t="str">
        <f aca="false">INDEX(DasaYears,MOD(D236-3,9)+1,1)</f>
        <v>Ketu</v>
      </c>
      <c r="C256" s="250"/>
      <c r="D256" s="250"/>
      <c r="E256" s="244" t="n">
        <f aca="false">E257-(VLOOKUP(A256,DasaYears,2,0)*VLOOKUP(B256,DasaYears,2,0)/VimTotal)*DaysInYear</f>
        <v>27860.9331586482</v>
      </c>
      <c r="F256" s="246"/>
      <c r="G256" s="194" t="str">
        <f aca="false">G255</f>
        <v>Mercury</v>
      </c>
      <c r="H256" s="250" t="str">
        <f aca="false">INDEX(DasaYears,MOD(J236-3,9)+1,1)</f>
        <v>Mars</v>
      </c>
      <c r="I256" s="250"/>
      <c r="J256" s="250"/>
      <c r="K256" s="244" t="n">
        <f aca="false">K257-(VLOOKUP(G256,DasaYears,2,0)*VLOOKUP(H256,DasaYears,2,0)/VimTotal)*DaysInYear</f>
        <v>29403.2477307815</v>
      </c>
      <c r="M256" s="194" t="str">
        <f aca="false">M255</f>
        <v>Saturn</v>
      </c>
      <c r="N256" s="250" t="str">
        <f aca="false">INDEX(DasaYears,MOD(P236-3,9)+1,1)</f>
        <v>Moon</v>
      </c>
      <c r="O256" s="250"/>
      <c r="P256" s="250"/>
      <c r="Q256" s="244" t="n">
        <f aca="false">Q257-(VLOOKUP(M256,DasaYears,2,0)*VLOOKUP(N256,DasaYears,2,0)/VimTotal)*DaysInYear</f>
        <v>30262.9070334474</v>
      </c>
      <c r="S256" s="194" t="e">
        <f aca="false">S255</f>
        <v>#N/A</v>
      </c>
      <c r="T256" s="250" t="e">
        <f aca="false">INDEX(DasaYears,MOD(V236-3,9)+1,1)</f>
        <v>#N/A</v>
      </c>
      <c r="U256" s="250"/>
      <c r="V256" s="250"/>
      <c r="W256" s="244" t="e">
        <f aca="false">W257-(VLOOKUP(S256,DasaYears,2,0)*VLOOKUP(T256,DasaYears,2,0)/VimTotal)*DaysInYear</f>
        <v>#N/A</v>
      </c>
      <c r="Y256" s="194" t="str">
        <f aca="false">Y255</f>
        <v>Sun</v>
      </c>
      <c r="Z256" s="250" t="str">
        <f aca="false">INDEX(DasaYears,MOD(AB236-3,9)+1,1)</f>
        <v>Saturn</v>
      </c>
      <c r="AA256" s="250"/>
      <c r="AB256" s="250"/>
      <c r="AC256" s="244" t="n">
        <f aca="false">AC257-(VLOOKUP(Y256,DasaYears,2,0)*VLOOKUP(Z256,DasaYears,2,0)/VimTotal)*DaysInYear</f>
        <v>32628.6110993889</v>
      </c>
    </row>
    <row r="257" s="227" customFormat="true" ht="15" hidden="false" customHeight="false" outlineLevel="0" collapsed="false">
      <c r="A257" s="194" t="str">
        <f aca="false">A256</f>
        <v>Mars</v>
      </c>
      <c r="B257" s="250" t="str">
        <f aca="false">INDEX(DasaYears,MOD(D236-2,9)+1,1)</f>
        <v>Venus</v>
      </c>
      <c r="C257" s="250"/>
      <c r="D257" s="250"/>
      <c r="E257" s="244" t="n">
        <f aca="false">E258-(VLOOKUP(A257,DasaYears,2,0)*VLOOKUP(B257,DasaYears,2,0)/VimTotal)*DaysInYear</f>
        <v>28010.078898328</v>
      </c>
      <c r="F257" s="246"/>
      <c r="G257" s="194" t="str">
        <f aca="false">G256</f>
        <v>Mercury</v>
      </c>
      <c r="H257" s="250" t="str">
        <f aca="false">INDEX(DasaYears,MOD(J236-2,9)+1,1)</f>
        <v>Rahu</v>
      </c>
      <c r="I257" s="250"/>
      <c r="J257" s="250"/>
      <c r="K257" s="244" t="n">
        <f aca="false">K258-(VLOOKUP(G257,DasaYears,2,0)*VLOOKUP(H257,DasaYears,2,0)/VimTotal)*DaysInYear</f>
        <v>29765.4588128609</v>
      </c>
      <c r="M257" s="194" t="str">
        <f aca="false">M256</f>
        <v>Saturn</v>
      </c>
      <c r="N257" s="250" t="str">
        <f aca="false">INDEX(DasaYears,MOD(P236-2,9)+1,1)</f>
        <v>Mars</v>
      </c>
      <c r="O257" s="250"/>
      <c r="P257" s="250"/>
      <c r="Q257" s="244" t="n">
        <f aca="false">Q258-(VLOOKUP(M257,DasaYears,2,0)*VLOOKUP(N257,DasaYears,2,0)/VimTotal)*DaysInYear</f>
        <v>30841.2272485323</v>
      </c>
      <c r="S257" s="194" t="e">
        <f aca="false">S256</f>
        <v>#N/A</v>
      </c>
      <c r="T257" s="250" t="e">
        <f aca="false">INDEX(DasaYears,MOD(V236-2,9)+1,1)</f>
        <v>#N/A</v>
      </c>
      <c r="U257" s="250"/>
      <c r="V257" s="250"/>
      <c r="W257" s="244" t="e">
        <f aca="false">W258-(VLOOKUP(S257,DasaYears,2,0)*VLOOKUP(T257,DasaYears,2,0)/VimTotal)*DaysInYear</f>
        <v>#N/A</v>
      </c>
      <c r="Y257" s="194" t="str">
        <f aca="false">Y256</f>
        <v>Sun</v>
      </c>
      <c r="Z257" s="250" t="str">
        <f aca="false">INDEX(DasaYears,MOD(AB236-2,9)+1,1)</f>
        <v>Mercury</v>
      </c>
      <c r="AA257" s="250"/>
      <c r="AB257" s="250"/>
      <c r="AC257" s="244" t="n">
        <f aca="false">AC258-(VLOOKUP(Y257,DasaYears,2,0)*VLOOKUP(Z257,DasaYears,2,0)/VimTotal)*DaysInYear</f>
        <v>32975.6032284398</v>
      </c>
    </row>
    <row r="258" s="227" customFormat="true" ht="15" hidden="false" customHeight="false" outlineLevel="0" collapsed="false">
      <c r="A258" s="194" t="str">
        <f aca="false">A257</f>
        <v>Mars</v>
      </c>
      <c r="B258" s="227" t="str">
        <f aca="false">INDEX(DasaYears,MOD(D236-1,9)+1,1)</f>
        <v>Sun</v>
      </c>
      <c r="C258" s="250"/>
      <c r="D258" s="250"/>
      <c r="E258" s="244" t="n">
        <f aca="false">E259-(VLOOKUP(A258,DasaYears,2,0)*VLOOKUP(B258,DasaYears,2,0)/VimTotal)*DaysInYear</f>
        <v>28436.2095831273</v>
      </c>
      <c r="F258" s="246"/>
      <c r="G258" s="194" t="str">
        <f aca="false">G257</f>
        <v>Mercury</v>
      </c>
      <c r="H258" s="227" t="str">
        <f aca="false">INDEX(DasaYears,MOD(J236-1,9)+1,1)</f>
        <v>Jupiter</v>
      </c>
      <c r="I258" s="250"/>
      <c r="J258" s="250"/>
      <c r="K258" s="244" t="n">
        <f aca="false">K259-(VLOOKUP(G258,DasaYears,2,0)*VLOOKUP(H258,DasaYears,2,0)/VimTotal)*DaysInYear</f>
        <v>30696.8587382082</v>
      </c>
      <c r="M258" s="194" t="str">
        <f aca="false">M257</f>
        <v>Saturn</v>
      </c>
      <c r="N258" s="227" t="str">
        <f aca="false">INDEX(DasaYears,MOD(P236-1,9)+1,1)</f>
        <v>Rahu</v>
      </c>
      <c r="O258" s="250"/>
      <c r="P258" s="250"/>
      <c r="Q258" s="244" t="n">
        <f aca="false">Q259-(VLOOKUP(M258,DasaYears,2,0)*VLOOKUP(N258,DasaYears,2,0)/VimTotal)*DaysInYear</f>
        <v>31246.0513990917</v>
      </c>
      <c r="S258" s="194" t="e">
        <f aca="false">S257</f>
        <v>#N/A</v>
      </c>
      <c r="T258" s="227" t="e">
        <f aca="false">INDEX(DasaYears,MOD(V236-1,9)+1,1)</f>
        <v>#N/A</v>
      </c>
      <c r="U258" s="250"/>
      <c r="V258" s="250"/>
      <c r="W258" s="244" t="e">
        <f aca="false">W259-(VLOOKUP(S258,DasaYears,2,0)*VLOOKUP(T258,DasaYears,2,0)/VimTotal)*DaysInYear</f>
        <v>#N/A</v>
      </c>
      <c r="Y258" s="194" t="str">
        <f aca="false">Y257</f>
        <v>Sun</v>
      </c>
      <c r="Z258" s="227" t="str">
        <f aca="false">INDEX(DasaYears,MOD(AB236-1,9)+1,1)</f>
        <v>Ketu</v>
      </c>
      <c r="AA258" s="250"/>
      <c r="AB258" s="250"/>
      <c r="AC258" s="244" t="n">
        <f aca="false">AC259-(VLOOKUP(Y258,DasaYears,2,0)*VLOOKUP(Z258,DasaYears,2,0)/VimTotal)*DaysInYear</f>
        <v>33286.0698702223</v>
      </c>
    </row>
    <row r="259" s="227" customFormat="true" ht="15" hidden="false" customHeight="false" outlineLevel="0" collapsed="false">
      <c r="A259" s="194" t="str">
        <f aca="false">A258</f>
        <v>Mars</v>
      </c>
      <c r="B259" s="250" t="str">
        <f aca="false">INDEX(DasaYears,MOD(D236,9)+1,1)</f>
        <v>Moon</v>
      </c>
      <c r="C259" s="250"/>
      <c r="D259" s="250"/>
      <c r="E259" s="244" t="n">
        <f aca="false">E260-(VLOOKUP(A259,DasaYears,2,0)*VLOOKUP(B259,DasaYears,2,0)/VimTotal)*DaysInYear</f>
        <v>28564.0487885672</v>
      </c>
      <c r="F259" s="246"/>
      <c r="G259" s="194" t="str">
        <f aca="false">G258</f>
        <v>Mercury</v>
      </c>
      <c r="H259" s="250" t="str">
        <f aca="false">INDEX(DasaYears,MOD(J236,9)+1,1)</f>
        <v>Saturn</v>
      </c>
      <c r="I259" s="250"/>
      <c r="J259" s="250"/>
      <c r="K259" s="244" t="n">
        <f aca="false">K260-(VLOOKUP(G259,DasaYears,2,0)*VLOOKUP(H259,DasaYears,2,0)/VimTotal)*DaysInYear</f>
        <v>31524.7697829612</v>
      </c>
      <c r="M259" s="194" t="str">
        <f aca="false">M258</f>
        <v>Saturn</v>
      </c>
      <c r="N259" s="250" t="str">
        <f aca="false">INDEX(DasaYears,MOD(P236,9)+1,1)</f>
        <v>Jupiter</v>
      </c>
      <c r="O259" s="250"/>
      <c r="P259" s="250"/>
      <c r="Q259" s="244" t="n">
        <f aca="false">Q260-(VLOOKUP(M259,DasaYears,2,0)*VLOOKUP(N259,DasaYears,2,0)/VimTotal)*DaysInYear</f>
        <v>32287.0277862445</v>
      </c>
      <c r="S259" s="194" t="e">
        <f aca="false">S258</f>
        <v>#N/A</v>
      </c>
      <c r="T259" s="250" t="e">
        <f aca="false">INDEX(DasaYears,MOD(V236,9)+1,1)</f>
        <v>#N/A</v>
      </c>
      <c r="U259" s="250"/>
      <c r="V259" s="250"/>
      <c r="W259" s="244" t="e">
        <f aca="false">W260-(VLOOKUP(S259,DasaYears,2,0)*VLOOKUP(T259,DasaYears,2,0)/VimTotal)*DaysInYear</f>
        <v>#N/A</v>
      </c>
      <c r="Y259" s="194" t="str">
        <f aca="false">Y258</f>
        <v>Sun</v>
      </c>
      <c r="Z259" s="250" t="str">
        <f aca="false">INDEX(DasaYears,MOD(AB236,9)+1,1)</f>
        <v>Venus</v>
      </c>
      <c r="AA259" s="250"/>
      <c r="AB259" s="250"/>
      <c r="AC259" s="244" t="n">
        <f aca="false">AC260-(VLOOKUP(Y259,DasaYears,2,0)*VLOOKUP(Z259,DasaYears,2,0)/VimTotal)*DaysInYear</f>
        <v>33413.9090756621</v>
      </c>
    </row>
    <row r="260" s="269" customFormat="true" ht="15" hidden="false" customHeight="false" outlineLevel="0" collapsed="false">
      <c r="A260" s="213" t="str">
        <f aca="false">INDEX(DasaYears,MOD(D236+2,9)+1,1)</f>
        <v>Rahu</v>
      </c>
      <c r="C260" s="266"/>
      <c r="D260" s="266"/>
      <c r="E260" s="267" t="n">
        <f aca="false">E251+DaysInYear*VLOOKUP(A251,DasaYears,2,0)</f>
        <v>28777.1141309668</v>
      </c>
      <c r="F260" s="268"/>
      <c r="G260" s="213" t="str">
        <f aca="false">INDEX(DasaYears,MOD(J236+2,9)+1,1)</f>
        <v>Ketu</v>
      </c>
      <c r="I260" s="266"/>
      <c r="J260" s="266"/>
      <c r="K260" s="267" t="n">
        <f aca="false">K251+DaysInYear*VLOOKUP(G251,DasaYears,2,0)</f>
        <v>32507.9141486055</v>
      </c>
      <c r="M260" s="213" t="str">
        <f aca="false">INDEX(DasaYears,MOD(P236+2,9)+1,1)</f>
        <v>Mercury</v>
      </c>
      <c r="O260" s="266"/>
      <c r="P260" s="266"/>
      <c r="Q260" s="267" t="n">
        <f aca="false">Q251+DaysInYear*VLOOKUP(M251,DasaYears,2,0)</f>
        <v>33212.3401303803</v>
      </c>
      <c r="S260" s="213" t="e">
        <f aca="false">INDEX(DasaYears,MOD(V236+2,9)+1,1)</f>
        <v>#N/A</v>
      </c>
      <c r="U260" s="266"/>
      <c r="V260" s="266"/>
      <c r="W260" s="267" t="e">
        <f aca="false">W251+DaysInYear*VLOOKUP(S251,DasaYears,2,0)</f>
        <v>#N/A</v>
      </c>
      <c r="Y260" s="213" t="str">
        <f aca="false">INDEX(DasaYears,MOD(AB236+2,9)+1,1)</f>
        <v>Moon</v>
      </c>
      <c r="AA260" s="266"/>
      <c r="AB260" s="266"/>
      <c r="AC260" s="267" t="n">
        <f aca="false">AC251+DaysInYear*VLOOKUP(Y251,DasaYears,2,0)</f>
        <v>33779.1639483472</v>
      </c>
    </row>
    <row r="261" s="269" customFormat="true" ht="15" hidden="false" customHeight="false" outlineLevel="0" collapsed="false">
      <c r="A261" s="213" t="str">
        <f aca="false">A260</f>
        <v>Rahu</v>
      </c>
      <c r="B261" s="266" t="str">
        <f aca="false">INDEX(DasaYears,MOD(D236-6,9)+1,1)</f>
        <v>Jupiter</v>
      </c>
      <c r="C261" s="266"/>
      <c r="D261" s="266"/>
      <c r="E261" s="267" t="n">
        <f aca="false">E262-(VLOOKUP(A261,DasaYears,2,0)*VLOOKUP(B261,DasaYears,2,0)/VimTotal)*DaysInYear</f>
        <v>29763.3022872168</v>
      </c>
      <c r="F261" s="268"/>
      <c r="G261" s="213" t="str">
        <f aca="false">G260</f>
        <v>Ketu</v>
      </c>
      <c r="H261" s="266" t="str">
        <f aca="false">INDEX(DasaYears,MOD(J236-6,9)+1,1)</f>
        <v>Venus</v>
      </c>
      <c r="I261" s="266"/>
      <c r="J261" s="266"/>
      <c r="K261" s="267" t="n">
        <f aca="false">K262-(VLOOKUP(G261,DasaYears,2,0)*VLOOKUP(H261,DasaYears,2,0)/VimTotal)*DaysInYear</f>
        <v>32657.0598882853</v>
      </c>
      <c r="M261" s="213" t="str">
        <f aca="false">M260</f>
        <v>Mercury</v>
      </c>
      <c r="N261" s="266" t="str">
        <f aca="false">INDEX(DasaYears,MOD(P236-6,9)+1,1)</f>
        <v>Ketu</v>
      </c>
      <c r="O261" s="266"/>
      <c r="P261" s="266"/>
      <c r="Q261" s="267" t="n">
        <f aca="false">Q262-(VLOOKUP(M261,DasaYears,2,0)*VLOOKUP(N261,DasaYears,2,0)/VimTotal)*DaysInYear</f>
        <v>34091.9956154304</v>
      </c>
      <c r="S261" s="213" t="e">
        <f aca="false">S260</f>
        <v>#N/A</v>
      </c>
      <c r="T261" s="266" t="e">
        <f aca="false">INDEX(DasaYears,MOD(V236-6,9)+1,1)</f>
        <v>#N/A</v>
      </c>
      <c r="U261" s="266"/>
      <c r="V261" s="266"/>
      <c r="W261" s="267" t="e">
        <f aca="false">W262-(VLOOKUP(S261,DasaYears,2,0)*VLOOKUP(T261,DasaYears,2,0)/VimTotal)*DaysInYear</f>
        <v>#N/A</v>
      </c>
      <c r="Y261" s="213" t="str">
        <f aca="false">Y260</f>
        <v>Moon</v>
      </c>
      <c r="Z261" s="266" t="str">
        <f aca="false">INDEX(DasaYears,MOD(AB236-6,9)+1,1)</f>
        <v>Mars</v>
      </c>
      <c r="AA261" s="266"/>
      <c r="AB261" s="266"/>
      <c r="AC261" s="267" t="n">
        <f aca="false">AC262-(VLOOKUP(Y261,DasaYears,2,0)*VLOOKUP(Z261,DasaYears,2,0)/VimTotal)*DaysInYear</f>
        <v>34083.5430089182</v>
      </c>
    </row>
    <row r="262" s="269" customFormat="true" ht="15" hidden="false" customHeight="false" outlineLevel="0" collapsed="false">
      <c r="A262" s="213" t="str">
        <f aca="false">A261</f>
        <v>Rahu</v>
      </c>
      <c r="B262" s="266" t="str">
        <f aca="false">INDEX(DasaYears,MOD(D236-5,9)+1,1)</f>
        <v>Saturn</v>
      </c>
      <c r="C262" s="266"/>
      <c r="D262" s="266"/>
      <c r="E262" s="267" t="n">
        <f aca="false">E263-(VLOOKUP(A262,DasaYears,2,0)*VLOOKUP(B262,DasaYears,2,0)/VimTotal)*DaysInYear</f>
        <v>30639.9139816613</v>
      </c>
      <c r="F262" s="268"/>
      <c r="G262" s="213" t="str">
        <f aca="false">G261</f>
        <v>Ketu</v>
      </c>
      <c r="H262" s="266" t="str">
        <f aca="false">INDEX(DasaYears,MOD(J236-5,9)+1,1)</f>
        <v>Sun</v>
      </c>
      <c r="I262" s="266"/>
      <c r="J262" s="266"/>
      <c r="K262" s="267" t="n">
        <f aca="false">K263-(VLOOKUP(G262,DasaYears,2,0)*VLOOKUP(H262,DasaYears,2,0)/VimTotal)*DaysInYear</f>
        <v>33083.1905730847</v>
      </c>
      <c r="M262" s="213" t="str">
        <f aca="false">M261</f>
        <v>Mercury</v>
      </c>
      <c r="N262" s="266" t="str">
        <f aca="false">INDEX(DasaYears,MOD(P236-5,9)+1,1)</f>
        <v>Venus</v>
      </c>
      <c r="O262" s="266"/>
      <c r="P262" s="266"/>
      <c r="Q262" s="267" t="n">
        <f aca="false">Q263-(VLOOKUP(M262,DasaYears,2,0)*VLOOKUP(N262,DasaYears,2,0)/VimTotal)*DaysInYear</f>
        <v>34454.2066975099</v>
      </c>
      <c r="S262" s="213" t="e">
        <f aca="false">S261</f>
        <v>#N/A</v>
      </c>
      <c r="T262" s="266" t="e">
        <f aca="false">INDEX(DasaYears,MOD(V236-5,9)+1,1)</f>
        <v>#N/A</v>
      </c>
      <c r="U262" s="266"/>
      <c r="V262" s="266"/>
      <c r="W262" s="267" t="e">
        <f aca="false">W263-(VLOOKUP(S262,DasaYears,2,0)*VLOOKUP(T262,DasaYears,2,0)/VimTotal)*DaysInYear</f>
        <v>#N/A</v>
      </c>
      <c r="Y262" s="213" t="str">
        <f aca="false">Y261</f>
        <v>Moon</v>
      </c>
      <c r="Z262" s="266" t="str">
        <f aca="false">INDEX(DasaYears,MOD(AB236-5,9)+1,1)</f>
        <v>Rahu</v>
      </c>
      <c r="AA262" s="266"/>
      <c r="AB262" s="266"/>
      <c r="AC262" s="267" t="n">
        <f aca="false">AC263-(VLOOKUP(Y262,DasaYears,2,0)*VLOOKUP(Z262,DasaYears,2,0)/VimTotal)*DaysInYear</f>
        <v>34296.6083513179</v>
      </c>
    </row>
    <row r="263" s="269" customFormat="true" ht="15" hidden="false" customHeight="false" outlineLevel="0" collapsed="false">
      <c r="A263" s="213" t="str">
        <f aca="false">A262</f>
        <v>Rahu</v>
      </c>
      <c r="B263" s="266" t="str">
        <f aca="false">INDEX(DasaYears,MOD(D236-4,9)+1,1)</f>
        <v>Mercury</v>
      </c>
      <c r="C263" s="266"/>
      <c r="D263" s="266"/>
      <c r="E263" s="267" t="n">
        <f aca="false">E264-(VLOOKUP(A263,DasaYears,2,0)*VLOOKUP(B263,DasaYears,2,0)/VimTotal)*DaysInYear</f>
        <v>31680.890368814</v>
      </c>
      <c r="F263" s="268"/>
      <c r="G263" s="213" t="str">
        <f aca="false">G262</f>
        <v>Ketu</v>
      </c>
      <c r="H263" s="266" t="str">
        <f aca="false">INDEX(DasaYears,MOD(J236-4,9)+1,1)</f>
        <v>Moon</v>
      </c>
      <c r="I263" s="266"/>
      <c r="J263" s="266"/>
      <c r="K263" s="267" t="n">
        <f aca="false">K264-(VLOOKUP(G263,DasaYears,2,0)*VLOOKUP(H263,DasaYears,2,0)/VimTotal)*DaysInYear</f>
        <v>33211.0297785245</v>
      </c>
      <c r="M263" s="213" t="str">
        <f aca="false">M262</f>
        <v>Mercury</v>
      </c>
      <c r="N263" s="266" t="str">
        <f aca="false">INDEX(DasaYears,MOD(P236-4,9)+1,1)</f>
        <v>Sun</v>
      </c>
      <c r="O263" s="266"/>
      <c r="P263" s="266"/>
      <c r="Q263" s="267" t="n">
        <f aca="false">Q264-(VLOOKUP(M263,DasaYears,2,0)*VLOOKUP(N263,DasaYears,2,0)/VimTotal)*DaysInYear</f>
        <v>35489.0955034512</v>
      </c>
      <c r="S263" s="213" t="e">
        <f aca="false">S262</f>
        <v>#N/A</v>
      </c>
      <c r="T263" s="266" t="e">
        <f aca="false">INDEX(DasaYears,MOD(V236-4,9)+1,1)</f>
        <v>#N/A</v>
      </c>
      <c r="U263" s="266"/>
      <c r="V263" s="266"/>
      <c r="W263" s="267" t="e">
        <f aca="false">W264-(VLOOKUP(S263,DasaYears,2,0)*VLOOKUP(T263,DasaYears,2,0)/VimTotal)*DaysInYear</f>
        <v>#N/A</v>
      </c>
      <c r="Y263" s="213" t="str">
        <f aca="false">Y262</f>
        <v>Moon</v>
      </c>
      <c r="Z263" s="266" t="str">
        <f aca="false">INDEX(DasaYears,MOD(AB236-4,9)+1,1)</f>
        <v>Jupiter</v>
      </c>
      <c r="AA263" s="266"/>
      <c r="AB263" s="266"/>
      <c r="AC263" s="267" t="n">
        <f aca="false">AC264-(VLOOKUP(Y263,DasaYears,2,0)*VLOOKUP(Z263,DasaYears,2,0)/VimTotal)*DaysInYear</f>
        <v>34844.4906603457</v>
      </c>
    </row>
    <row r="264" s="269" customFormat="true" ht="15" hidden="false" customHeight="false" outlineLevel="0" collapsed="false">
      <c r="A264" s="213" t="str">
        <f aca="false">A263</f>
        <v>Rahu</v>
      </c>
      <c r="B264" s="266" t="str">
        <f aca="false">INDEX(DasaYears,MOD(D236-3,9)+1,1)</f>
        <v>Ketu</v>
      </c>
      <c r="C264" s="266"/>
      <c r="D264" s="266"/>
      <c r="E264" s="267" t="n">
        <f aca="false">E265-(VLOOKUP(A264,DasaYears,2,0)*VLOOKUP(B264,DasaYears,2,0)/VimTotal)*DaysInYear</f>
        <v>32612.2902941613</v>
      </c>
      <c r="F264" s="268"/>
      <c r="G264" s="213" t="str">
        <f aca="false">G263</f>
        <v>Ketu</v>
      </c>
      <c r="H264" s="266" t="str">
        <f aca="false">INDEX(DasaYears,MOD(J236-3,9)+1,1)</f>
        <v>Mars</v>
      </c>
      <c r="I264" s="266"/>
      <c r="J264" s="266"/>
      <c r="K264" s="267" t="n">
        <f aca="false">K265-(VLOOKUP(G264,DasaYears,2,0)*VLOOKUP(H264,DasaYears,2,0)/VimTotal)*DaysInYear</f>
        <v>33424.0951209242</v>
      </c>
      <c r="M264" s="213" t="str">
        <f aca="false">M263</f>
        <v>Mercury</v>
      </c>
      <c r="N264" s="266" t="str">
        <f aca="false">INDEX(DasaYears,MOD(P236-3,9)+1,1)</f>
        <v>Moon</v>
      </c>
      <c r="O264" s="266"/>
      <c r="P264" s="266"/>
      <c r="Q264" s="267" t="n">
        <f aca="false">Q265-(VLOOKUP(M264,DasaYears,2,0)*VLOOKUP(N264,DasaYears,2,0)/VimTotal)*DaysInYear</f>
        <v>35799.5621452336</v>
      </c>
      <c r="S264" s="213" t="e">
        <f aca="false">S263</f>
        <v>#N/A</v>
      </c>
      <c r="T264" s="266" t="e">
        <f aca="false">INDEX(DasaYears,MOD(V236-3,9)+1,1)</f>
        <v>#N/A</v>
      </c>
      <c r="U264" s="266"/>
      <c r="V264" s="266"/>
      <c r="W264" s="267" t="e">
        <f aca="false">W265-(VLOOKUP(S264,DasaYears,2,0)*VLOOKUP(T264,DasaYears,2,0)/VimTotal)*DaysInYear</f>
        <v>#N/A</v>
      </c>
      <c r="Y264" s="213" t="str">
        <f aca="false">Y263</f>
        <v>Moon</v>
      </c>
      <c r="Z264" s="266" t="str">
        <f aca="false">INDEX(DasaYears,MOD(AB236-3,9)+1,1)</f>
        <v>Saturn</v>
      </c>
      <c r="AA264" s="266"/>
      <c r="AB264" s="266"/>
      <c r="AC264" s="267" t="n">
        <f aca="false">AC265-(VLOOKUP(Y264,DasaYears,2,0)*VLOOKUP(Z264,DasaYears,2,0)/VimTotal)*DaysInYear</f>
        <v>35331.4971572593</v>
      </c>
    </row>
    <row r="265" s="269" customFormat="true" ht="15" hidden="false" customHeight="false" outlineLevel="0" collapsed="false">
      <c r="A265" s="213" t="str">
        <f aca="false">A264</f>
        <v>Rahu</v>
      </c>
      <c r="B265" s="266" t="str">
        <f aca="false">INDEX(DasaYears,MOD(D236-2,9)+1,1)</f>
        <v>Venus</v>
      </c>
      <c r="C265" s="266"/>
      <c r="D265" s="266"/>
      <c r="E265" s="267" t="n">
        <f aca="false">E266-(VLOOKUP(A265,DasaYears,2,0)*VLOOKUP(B265,DasaYears,2,0)/VimTotal)*DaysInYear</f>
        <v>32995.8079104807</v>
      </c>
      <c r="F265" s="268"/>
      <c r="G265" s="213" t="str">
        <f aca="false">G264</f>
        <v>Ketu</v>
      </c>
      <c r="H265" s="266" t="str">
        <f aca="false">INDEX(DasaYears,MOD(J236-2,9)+1,1)</f>
        <v>Rahu</v>
      </c>
      <c r="I265" s="266"/>
      <c r="J265" s="266"/>
      <c r="K265" s="267" t="n">
        <f aca="false">K266-(VLOOKUP(G265,DasaYears,2,0)*VLOOKUP(H265,DasaYears,2,0)/VimTotal)*DaysInYear</f>
        <v>33573.240860604</v>
      </c>
      <c r="M265" s="213" t="str">
        <f aca="false">M264</f>
        <v>Mercury</v>
      </c>
      <c r="N265" s="266" t="str">
        <f aca="false">INDEX(DasaYears,MOD(P236-2,9)+1,1)</f>
        <v>Mars</v>
      </c>
      <c r="O265" s="266"/>
      <c r="P265" s="266"/>
      <c r="Q265" s="267" t="n">
        <f aca="false">Q266-(VLOOKUP(M265,DasaYears,2,0)*VLOOKUP(N265,DasaYears,2,0)/VimTotal)*DaysInYear</f>
        <v>36317.0065482043</v>
      </c>
      <c r="S265" s="213" t="e">
        <f aca="false">S264</f>
        <v>#N/A</v>
      </c>
      <c r="T265" s="266" t="e">
        <f aca="false">INDEX(DasaYears,MOD(V236-2,9)+1,1)</f>
        <v>#N/A</v>
      </c>
      <c r="U265" s="266"/>
      <c r="V265" s="266"/>
      <c r="W265" s="267" t="e">
        <f aca="false">W266-(VLOOKUP(S265,DasaYears,2,0)*VLOOKUP(T265,DasaYears,2,0)/VimTotal)*DaysInYear</f>
        <v>#N/A</v>
      </c>
      <c r="Y265" s="213" t="str">
        <f aca="false">Y264</f>
        <v>Moon</v>
      </c>
      <c r="Z265" s="266" t="str">
        <f aca="false">INDEX(DasaYears,MOD(AB236-2,9)+1,1)</f>
        <v>Mercury</v>
      </c>
      <c r="AA265" s="266"/>
      <c r="AB265" s="266"/>
      <c r="AC265" s="267" t="n">
        <f aca="false">AC266-(VLOOKUP(Y265,DasaYears,2,0)*VLOOKUP(Z265,DasaYears,2,0)/VimTotal)*DaysInYear</f>
        <v>35909.8173723441</v>
      </c>
    </row>
    <row r="266" s="269" customFormat="true" ht="15" hidden="false" customHeight="false" outlineLevel="0" collapsed="false">
      <c r="A266" s="213" t="str">
        <f aca="false">A265</f>
        <v>Rahu</v>
      </c>
      <c r="B266" s="269" t="str">
        <f aca="false">INDEX(DasaYears,MOD(D236-1,9)+1,1)</f>
        <v>Sun</v>
      </c>
      <c r="C266" s="266"/>
      <c r="D266" s="266"/>
      <c r="E266" s="267" t="n">
        <f aca="false">E267-(VLOOKUP(A266,DasaYears,2,0)*VLOOKUP(B266,DasaYears,2,0)/VimTotal)*DaysInYear</f>
        <v>34091.5725285362</v>
      </c>
      <c r="F266" s="268"/>
      <c r="G266" s="213" t="str">
        <f aca="false">G265</f>
        <v>Ketu</v>
      </c>
      <c r="H266" s="269" t="str">
        <f aca="false">INDEX(DasaYears,MOD(J236-1,9)+1,1)</f>
        <v>Jupiter</v>
      </c>
      <c r="I266" s="266"/>
      <c r="J266" s="266"/>
      <c r="K266" s="267" t="n">
        <f aca="false">K267-(VLOOKUP(G266,DasaYears,2,0)*VLOOKUP(H266,DasaYears,2,0)/VimTotal)*DaysInYear</f>
        <v>33956.7584769234</v>
      </c>
      <c r="M266" s="213" t="str">
        <f aca="false">M265</f>
        <v>Mercury</v>
      </c>
      <c r="N266" s="269" t="str">
        <f aca="false">INDEX(DasaYears,MOD(P236-1,9)+1,1)</f>
        <v>Rahu</v>
      </c>
      <c r="O266" s="266"/>
      <c r="P266" s="266"/>
      <c r="Q266" s="267" t="n">
        <f aca="false">Q267-(VLOOKUP(M266,DasaYears,2,0)*VLOOKUP(N266,DasaYears,2,0)/VimTotal)*DaysInYear</f>
        <v>36679.2176302838</v>
      </c>
      <c r="S266" s="213" t="e">
        <f aca="false">S265</f>
        <v>#N/A</v>
      </c>
      <c r="T266" s="269" t="e">
        <f aca="false">INDEX(DasaYears,MOD(V236-1,9)+1,1)</f>
        <v>#N/A</v>
      </c>
      <c r="U266" s="266"/>
      <c r="V266" s="266"/>
      <c r="W266" s="267" t="e">
        <f aca="false">W267-(VLOOKUP(S266,DasaYears,2,0)*VLOOKUP(T266,DasaYears,2,0)/VimTotal)*DaysInYear</f>
        <v>#N/A</v>
      </c>
      <c r="Y266" s="213" t="str">
        <f aca="false">Y265</f>
        <v>Moon</v>
      </c>
      <c r="Z266" s="269" t="str">
        <f aca="false">INDEX(DasaYears,MOD(AB236-1,9)+1,1)</f>
        <v>Ketu</v>
      </c>
      <c r="AA266" s="266"/>
      <c r="AB266" s="266"/>
      <c r="AC266" s="267" t="n">
        <f aca="false">AC267-(VLOOKUP(Y266,DasaYears,2,0)*VLOOKUP(Z266,DasaYears,2,0)/VimTotal)*DaysInYear</f>
        <v>36427.2617753148</v>
      </c>
    </row>
    <row r="267" s="269" customFormat="true" ht="15" hidden="false" customHeight="false" outlineLevel="0" collapsed="false">
      <c r="A267" s="213" t="str">
        <f aca="false">A266</f>
        <v>Rahu</v>
      </c>
      <c r="B267" s="266" t="str">
        <f aca="false">INDEX(DasaYears,MOD(D236,9)+1,1)</f>
        <v>Moon</v>
      </c>
      <c r="C267" s="266"/>
      <c r="D267" s="266"/>
      <c r="E267" s="267" t="n">
        <f aca="false">E268-(VLOOKUP(A267,DasaYears,2,0)*VLOOKUP(B267,DasaYears,2,0)/VimTotal)*DaysInYear</f>
        <v>34420.3019139529</v>
      </c>
      <c r="F267" s="268"/>
      <c r="G267" s="213" t="str">
        <f aca="false">G266</f>
        <v>Ketu</v>
      </c>
      <c r="H267" s="266" t="str">
        <f aca="false">INDEX(DasaYears,MOD(J236,9)+1,1)</f>
        <v>Saturn</v>
      </c>
      <c r="I267" s="266"/>
      <c r="J267" s="266"/>
      <c r="K267" s="267" t="n">
        <f aca="false">K268-(VLOOKUP(G267,DasaYears,2,0)*VLOOKUP(H267,DasaYears,2,0)/VimTotal)*DaysInYear</f>
        <v>34297.6630247629</v>
      </c>
      <c r="M267" s="213" t="str">
        <f aca="false">M266</f>
        <v>Mercury</v>
      </c>
      <c r="N267" s="266" t="str">
        <f aca="false">INDEX(DasaYears,MOD(P236,9)+1,1)</f>
        <v>Jupiter</v>
      </c>
      <c r="O267" s="266"/>
      <c r="P267" s="266"/>
      <c r="Q267" s="267" t="n">
        <f aca="false">Q268-(VLOOKUP(M267,DasaYears,2,0)*VLOOKUP(N267,DasaYears,2,0)/VimTotal)*DaysInYear</f>
        <v>37610.617555631</v>
      </c>
      <c r="S267" s="213" t="e">
        <f aca="false">S266</f>
        <v>#N/A</v>
      </c>
      <c r="T267" s="266" t="e">
        <f aca="false">INDEX(DasaYears,MOD(V236,9)+1,1)</f>
        <v>#N/A</v>
      </c>
      <c r="U267" s="266"/>
      <c r="V267" s="266"/>
      <c r="W267" s="267" t="e">
        <f aca="false">W268-(VLOOKUP(S267,DasaYears,2,0)*VLOOKUP(T267,DasaYears,2,0)/VimTotal)*DaysInYear</f>
        <v>#N/A</v>
      </c>
      <c r="Y267" s="213" t="str">
        <f aca="false">Y266</f>
        <v>Moon</v>
      </c>
      <c r="Z267" s="266" t="str">
        <f aca="false">INDEX(DasaYears,MOD(AB236,9)+1,1)</f>
        <v>Venus</v>
      </c>
      <c r="AA267" s="266"/>
      <c r="AB267" s="266"/>
      <c r="AC267" s="267" t="n">
        <f aca="false">AC268-(VLOOKUP(Y267,DasaYears,2,0)*VLOOKUP(Z267,DasaYears,2,0)/VimTotal)*DaysInYear</f>
        <v>36640.3271177145</v>
      </c>
    </row>
    <row r="268" s="269" customFormat="true" ht="15" hidden="false" customHeight="false" outlineLevel="0" collapsed="false">
      <c r="A268" s="213" t="str">
        <f aca="false">A267</f>
        <v>Rahu</v>
      </c>
      <c r="B268" s="266" t="str">
        <f aca="false">INDEX(DasaYears,MOD(D236-8,9)+1,1)</f>
        <v>Mars</v>
      </c>
      <c r="C268" s="266"/>
      <c r="D268" s="266"/>
      <c r="E268" s="267" t="n">
        <f aca="false">E269-(VLOOKUP(A268,DasaYears,2,0)*VLOOKUP(B268,DasaYears,2,0)/VimTotal)*DaysInYear</f>
        <v>34968.1842229807</v>
      </c>
      <c r="F268" s="268"/>
      <c r="G268" s="213" t="str">
        <f aca="false">G267</f>
        <v>Ketu</v>
      </c>
      <c r="H268" s="266" t="str">
        <f aca="false">INDEX(DasaYears,MOD(J236-8,9)+1,1)</f>
        <v>Mercury</v>
      </c>
      <c r="I268" s="266"/>
      <c r="J268" s="266"/>
      <c r="K268" s="267" t="n">
        <f aca="false">K269-(VLOOKUP(G268,DasaYears,2,0)*VLOOKUP(H268,DasaYears,2,0)/VimTotal)*DaysInYear</f>
        <v>34702.4871753223</v>
      </c>
      <c r="M268" s="213" t="str">
        <f aca="false">M267</f>
        <v>Mercury</v>
      </c>
      <c r="N268" s="266" t="str">
        <f aca="false">INDEX(DasaYears,MOD(P236-8,9)+1,1)</f>
        <v>Saturn</v>
      </c>
      <c r="O268" s="266"/>
      <c r="P268" s="266"/>
      <c r="Q268" s="267" t="n">
        <f aca="false">Q269-(VLOOKUP(M268,DasaYears,2,0)*VLOOKUP(N268,DasaYears,2,0)/VimTotal)*DaysInYear</f>
        <v>38438.5286003841</v>
      </c>
      <c r="S268" s="213" t="e">
        <f aca="false">S267</f>
        <v>#N/A</v>
      </c>
      <c r="T268" s="266" t="e">
        <f aca="false">INDEX(DasaYears,MOD(V236-8,9)+1,1)</f>
        <v>#N/A</v>
      </c>
      <c r="U268" s="266"/>
      <c r="V268" s="266"/>
      <c r="W268" s="267" t="e">
        <f aca="false">W269-(VLOOKUP(S268,DasaYears,2,0)*VLOOKUP(T268,DasaYears,2,0)/VimTotal)*DaysInYear</f>
        <v>#N/A</v>
      </c>
      <c r="Y268" s="213" t="str">
        <f aca="false">Y267</f>
        <v>Moon</v>
      </c>
      <c r="Z268" s="266" t="str">
        <f aca="false">INDEX(DasaYears,MOD(AB236-8,9)+1,1)</f>
        <v>Sun</v>
      </c>
      <c r="AA268" s="266"/>
      <c r="AB268" s="266"/>
      <c r="AC268" s="267" t="n">
        <f aca="false">AC269-(VLOOKUP(Y268,DasaYears,2,0)*VLOOKUP(Z268,DasaYears,2,0)/VimTotal)*DaysInYear</f>
        <v>37249.0852388565</v>
      </c>
    </row>
    <row r="269" s="227" customFormat="true" ht="15" hidden="false" customHeight="false" outlineLevel="0" collapsed="false">
      <c r="A269" s="194" t="str">
        <f aca="false">INDEX(DasaYears,MOD(D236+3,9)+1,1)</f>
        <v>Jupiter</v>
      </c>
      <c r="C269" s="250"/>
      <c r="D269" s="250"/>
      <c r="E269" s="244" t="n">
        <f aca="false">E260+DaysInYear*VLOOKUP(A260,DasaYears,2,0)</f>
        <v>35351.7018393001</v>
      </c>
      <c r="F269" s="246"/>
      <c r="G269" s="194" t="str">
        <f aca="false">INDEX(DasaYears,MOD(J236+3,9)+1,1)</f>
        <v>Venus</v>
      </c>
      <c r="I269" s="250"/>
      <c r="J269" s="250"/>
      <c r="K269" s="244" t="n">
        <f aca="false">K260+DaysInYear*VLOOKUP(G260,DasaYears,2,0)</f>
        <v>35064.6982574018</v>
      </c>
      <c r="M269" s="194" t="str">
        <f aca="false">INDEX(DasaYears,MOD(P236+3,9)+1,1)</f>
        <v>Ketu</v>
      </c>
      <c r="O269" s="250"/>
      <c r="P269" s="250"/>
      <c r="Q269" s="244" t="n">
        <f aca="false">Q260+DaysInYear*VLOOKUP(M260,DasaYears,2,0)</f>
        <v>39421.6729660284</v>
      </c>
      <c r="S269" s="194" t="e">
        <f aca="false">INDEX(DasaYears,MOD(V236+3,9)+1,1)</f>
        <v>#N/A</v>
      </c>
      <c r="U269" s="250"/>
      <c r="V269" s="250"/>
      <c r="W269" s="244" t="e">
        <f aca="false">W260+DaysInYear*VLOOKUP(S260,DasaYears,2,0)</f>
        <v>#N/A</v>
      </c>
      <c r="Y269" s="194" t="str">
        <f aca="false">INDEX(DasaYears,MOD(AB236+3,9)+1,1)</f>
        <v>Mars</v>
      </c>
      <c r="AA269" s="250"/>
      <c r="AB269" s="250"/>
      <c r="AC269" s="244" t="n">
        <f aca="false">AC260+DaysInYear*VLOOKUP(Y260,DasaYears,2,0)</f>
        <v>37431.7126751991</v>
      </c>
    </row>
    <row r="270" s="227" customFormat="true" ht="15" hidden="false" customHeight="false" outlineLevel="0" collapsed="false">
      <c r="A270" s="194" t="str">
        <f aca="false">A269</f>
        <v>Jupiter</v>
      </c>
      <c r="B270" s="250" t="str">
        <f aca="false">INDEX(DasaYears,MOD(D236-5,9)+1,1)</f>
        <v>Saturn</v>
      </c>
      <c r="C270" s="250"/>
      <c r="D270" s="250"/>
      <c r="E270" s="244" t="n">
        <f aca="false">E271-(VLOOKUP(A270,DasaYears,2,0)*VLOOKUP(B270,DasaYears,2,0)/VimTotal)*DaysInYear</f>
        <v>36130.9122343618</v>
      </c>
      <c r="F270" s="246"/>
      <c r="G270" s="194" t="str">
        <f aca="false">G269</f>
        <v>Venus</v>
      </c>
      <c r="H270" s="250" t="str">
        <f aca="false">INDEX(DasaYears,MOD(J236-5,9)+1,1)</f>
        <v>Sun</v>
      </c>
      <c r="I270" s="250"/>
      <c r="J270" s="250"/>
      <c r="K270" s="244" t="n">
        <f aca="false">K271-(VLOOKUP(G270,DasaYears,2,0)*VLOOKUP(H270,DasaYears,2,0)/VimTotal)*DaysInYear</f>
        <v>36282.2144996857</v>
      </c>
      <c r="M270" s="194" t="str">
        <f aca="false">M269</f>
        <v>Ketu</v>
      </c>
      <c r="N270" s="250" t="str">
        <f aca="false">INDEX(DasaYears,MOD(P236-5,9)+1,1)</f>
        <v>Venus</v>
      </c>
      <c r="O270" s="250"/>
      <c r="P270" s="250"/>
      <c r="Q270" s="244" t="n">
        <f aca="false">Q271-(VLOOKUP(M270,DasaYears,2,0)*VLOOKUP(N270,DasaYears,2,0)/VimTotal)*DaysInYear</f>
        <v>39570.8187057081</v>
      </c>
      <c r="S270" s="194" t="e">
        <f aca="false">S269</f>
        <v>#N/A</v>
      </c>
      <c r="T270" s="250" t="e">
        <f aca="false">INDEX(DasaYears,MOD(V236-5,9)+1,1)</f>
        <v>#N/A</v>
      </c>
      <c r="U270" s="250"/>
      <c r="V270" s="250"/>
      <c r="W270" s="244" t="e">
        <f aca="false">W271-(VLOOKUP(S270,DasaYears,2,0)*VLOOKUP(T270,DasaYears,2,0)/VimTotal)*DaysInYear</f>
        <v>#N/A</v>
      </c>
      <c r="Y270" s="194" t="str">
        <f aca="false">Y269</f>
        <v>Mars</v>
      </c>
      <c r="Z270" s="250" t="str">
        <f aca="false">INDEX(DasaYears,MOD(AB236-5,9)+1,1)</f>
        <v>Rahu</v>
      </c>
      <c r="AA270" s="250"/>
      <c r="AB270" s="250"/>
      <c r="AC270" s="244" t="n">
        <f aca="false">AC271-(VLOOKUP(Y270,DasaYears,2,0)*VLOOKUP(Z270,DasaYears,2,0)/VimTotal)*DaysInYear</f>
        <v>37580.8584148788</v>
      </c>
    </row>
    <row r="271" s="227" customFormat="true" ht="15" hidden="false" customHeight="false" outlineLevel="0" collapsed="false">
      <c r="A271" s="194" t="str">
        <f aca="false">A270</f>
        <v>Jupiter</v>
      </c>
      <c r="B271" s="250" t="str">
        <f aca="false">INDEX(DasaYears,MOD(D236-4,9)+1,1)</f>
        <v>Mercury</v>
      </c>
      <c r="C271" s="250"/>
      <c r="D271" s="250"/>
      <c r="E271" s="244" t="n">
        <f aca="false">E272-(VLOOKUP(A271,DasaYears,2,0)*VLOOKUP(B271,DasaYears,2,0)/VimTotal)*DaysInYear</f>
        <v>37056.2245784976</v>
      </c>
      <c r="F271" s="246"/>
      <c r="G271" s="194" t="str">
        <f aca="false">G270</f>
        <v>Venus</v>
      </c>
      <c r="H271" s="250" t="str">
        <f aca="false">INDEX(DasaYears,MOD(J236-4,9)+1,1)</f>
        <v>Moon</v>
      </c>
      <c r="I271" s="250"/>
      <c r="J271" s="250"/>
      <c r="K271" s="244" t="n">
        <f aca="false">K272-(VLOOKUP(G271,DasaYears,2,0)*VLOOKUP(H271,DasaYears,2,0)/VimTotal)*DaysInYear</f>
        <v>36647.4693723709</v>
      </c>
      <c r="M271" s="194" t="str">
        <f aca="false">M270</f>
        <v>Ketu</v>
      </c>
      <c r="N271" s="250" t="str">
        <f aca="false">INDEX(DasaYears,MOD(P236-4,9)+1,1)</f>
        <v>Sun</v>
      </c>
      <c r="O271" s="250"/>
      <c r="P271" s="250"/>
      <c r="Q271" s="244" t="n">
        <f aca="false">Q272-(VLOOKUP(M271,DasaYears,2,0)*VLOOKUP(N271,DasaYears,2,0)/VimTotal)*DaysInYear</f>
        <v>39996.9493905075</v>
      </c>
      <c r="S271" s="194" t="e">
        <f aca="false">S270</f>
        <v>#N/A</v>
      </c>
      <c r="T271" s="250" t="e">
        <f aca="false">INDEX(DasaYears,MOD(V236-4,9)+1,1)</f>
        <v>#N/A</v>
      </c>
      <c r="U271" s="250"/>
      <c r="V271" s="250"/>
      <c r="W271" s="244" t="e">
        <f aca="false">W272-(VLOOKUP(S271,DasaYears,2,0)*VLOOKUP(T271,DasaYears,2,0)/VimTotal)*DaysInYear</f>
        <v>#N/A</v>
      </c>
      <c r="Y271" s="194" t="str">
        <f aca="false">Y270</f>
        <v>Mars</v>
      </c>
      <c r="Z271" s="250" t="str">
        <f aca="false">INDEX(DasaYears,MOD(AB236-4,9)+1,1)</f>
        <v>Jupiter</v>
      </c>
      <c r="AA271" s="250"/>
      <c r="AB271" s="250"/>
      <c r="AC271" s="244" t="n">
        <f aca="false">AC272-(VLOOKUP(Y271,DasaYears,2,0)*VLOOKUP(Z271,DasaYears,2,0)/VimTotal)*DaysInYear</f>
        <v>37964.3760311983</v>
      </c>
    </row>
    <row r="272" s="227" customFormat="true" ht="15" hidden="false" customHeight="false" outlineLevel="0" collapsed="false">
      <c r="A272" s="194" t="str">
        <f aca="false">A271</f>
        <v>Jupiter</v>
      </c>
      <c r="B272" s="250" t="str">
        <f aca="false">INDEX(DasaYears,MOD(D236-3,9)+1,1)</f>
        <v>Ketu</v>
      </c>
      <c r="C272" s="250"/>
      <c r="D272" s="250"/>
      <c r="E272" s="244" t="n">
        <f aca="false">E273-(VLOOKUP(A272,DasaYears,2,0)*VLOOKUP(B272,DasaYears,2,0)/VimTotal)*DaysInYear</f>
        <v>37884.1356232507</v>
      </c>
      <c r="F272" s="246"/>
      <c r="G272" s="194" t="str">
        <f aca="false">G271</f>
        <v>Venus</v>
      </c>
      <c r="H272" s="250" t="str">
        <f aca="false">INDEX(DasaYears,MOD(J236-3,9)+1,1)</f>
        <v>Mars</v>
      </c>
      <c r="I272" s="250"/>
      <c r="J272" s="250"/>
      <c r="K272" s="244" t="n">
        <f aca="false">K273-(VLOOKUP(G272,DasaYears,2,0)*VLOOKUP(H272,DasaYears,2,0)/VimTotal)*DaysInYear</f>
        <v>37256.2274935129</v>
      </c>
      <c r="M272" s="194" t="str">
        <f aca="false">M271</f>
        <v>Ketu</v>
      </c>
      <c r="N272" s="250" t="str">
        <f aca="false">INDEX(DasaYears,MOD(P236-3,9)+1,1)</f>
        <v>Moon</v>
      </c>
      <c r="O272" s="250"/>
      <c r="P272" s="250"/>
      <c r="Q272" s="244" t="n">
        <f aca="false">Q273-(VLOOKUP(M272,DasaYears,2,0)*VLOOKUP(N272,DasaYears,2,0)/VimTotal)*DaysInYear</f>
        <v>40124.7885959473</v>
      </c>
      <c r="S272" s="194" t="e">
        <f aca="false">S271</f>
        <v>#N/A</v>
      </c>
      <c r="T272" s="250" t="e">
        <f aca="false">INDEX(DasaYears,MOD(V236-3,9)+1,1)</f>
        <v>#N/A</v>
      </c>
      <c r="U272" s="250"/>
      <c r="V272" s="250"/>
      <c r="W272" s="244" t="e">
        <f aca="false">W273-(VLOOKUP(S272,DasaYears,2,0)*VLOOKUP(T272,DasaYears,2,0)/VimTotal)*DaysInYear</f>
        <v>#N/A</v>
      </c>
      <c r="Y272" s="194" t="str">
        <f aca="false">Y271</f>
        <v>Mars</v>
      </c>
      <c r="Z272" s="250" t="str">
        <f aca="false">INDEX(DasaYears,MOD(AB236-3,9)+1,1)</f>
        <v>Saturn</v>
      </c>
      <c r="AA272" s="250"/>
      <c r="AB272" s="250"/>
      <c r="AC272" s="244" t="n">
        <f aca="false">AC273-(VLOOKUP(Y272,DasaYears,2,0)*VLOOKUP(Z272,DasaYears,2,0)/VimTotal)*DaysInYear</f>
        <v>38305.2805790378</v>
      </c>
    </row>
    <row r="273" s="227" customFormat="true" ht="15" hidden="false" customHeight="false" outlineLevel="0" collapsed="false">
      <c r="A273" s="194" t="str">
        <f aca="false">A272</f>
        <v>Jupiter</v>
      </c>
      <c r="B273" s="250" t="str">
        <f aca="false">INDEX(DasaYears,MOD(D236-2,9)+1,1)</f>
        <v>Venus</v>
      </c>
      <c r="C273" s="250"/>
      <c r="D273" s="250"/>
      <c r="E273" s="244" t="n">
        <f aca="false">E274-(VLOOKUP(A273,DasaYears,2,0)*VLOOKUP(B273,DasaYears,2,0)/VimTotal)*DaysInYear</f>
        <v>38225.0401710902</v>
      </c>
      <c r="F273" s="246"/>
      <c r="G273" s="194" t="str">
        <f aca="false">G272</f>
        <v>Venus</v>
      </c>
      <c r="H273" s="250" t="str">
        <f aca="false">INDEX(DasaYears,MOD(J236-2,9)+1,1)</f>
        <v>Rahu</v>
      </c>
      <c r="I273" s="250"/>
      <c r="J273" s="250"/>
      <c r="K273" s="244" t="n">
        <f aca="false">K274-(VLOOKUP(G273,DasaYears,2,0)*VLOOKUP(H273,DasaYears,2,0)/VimTotal)*DaysInYear</f>
        <v>37682.3581783123</v>
      </c>
      <c r="M273" s="194" t="str">
        <f aca="false">M272</f>
        <v>Ketu</v>
      </c>
      <c r="N273" s="250" t="str">
        <f aca="false">INDEX(DasaYears,MOD(P236-2,9)+1,1)</f>
        <v>Mars</v>
      </c>
      <c r="O273" s="250"/>
      <c r="P273" s="250"/>
      <c r="Q273" s="244" t="n">
        <f aca="false">Q274-(VLOOKUP(M273,DasaYears,2,0)*VLOOKUP(N273,DasaYears,2,0)/VimTotal)*DaysInYear</f>
        <v>40337.853938347</v>
      </c>
      <c r="S273" s="194" t="e">
        <f aca="false">S272</f>
        <v>#N/A</v>
      </c>
      <c r="T273" s="250" t="e">
        <f aca="false">INDEX(DasaYears,MOD(V236-2,9)+1,1)</f>
        <v>#N/A</v>
      </c>
      <c r="U273" s="250"/>
      <c r="V273" s="250"/>
      <c r="W273" s="244" t="e">
        <f aca="false">W274-(VLOOKUP(S273,DasaYears,2,0)*VLOOKUP(T273,DasaYears,2,0)/VimTotal)*DaysInYear</f>
        <v>#N/A</v>
      </c>
      <c r="Y273" s="194" t="str">
        <f aca="false">Y272</f>
        <v>Mars</v>
      </c>
      <c r="Z273" s="250" t="str">
        <f aca="false">INDEX(DasaYears,MOD(AB236-2,9)+1,1)</f>
        <v>Mercury</v>
      </c>
      <c r="AA273" s="250"/>
      <c r="AB273" s="250"/>
      <c r="AC273" s="244" t="n">
        <f aca="false">AC274-(VLOOKUP(Y273,DasaYears,2,0)*VLOOKUP(Z273,DasaYears,2,0)/VimTotal)*DaysInYear</f>
        <v>38710.1047295972</v>
      </c>
    </row>
    <row r="274" s="227" customFormat="true" ht="15" hidden="false" customHeight="false" outlineLevel="0" collapsed="false">
      <c r="A274" s="194" t="str">
        <f aca="false">A273</f>
        <v>Jupiter</v>
      </c>
      <c r="B274" s="227" t="str">
        <f aca="false">INDEX(DasaYears,MOD(D236-1,9)+1,1)</f>
        <v>Sun</v>
      </c>
      <c r="C274" s="250"/>
      <c r="D274" s="250"/>
      <c r="E274" s="244" t="n">
        <f aca="false">E275-(VLOOKUP(A274,DasaYears,2,0)*VLOOKUP(B274,DasaYears,2,0)/VimTotal)*DaysInYear</f>
        <v>39199.0531649174</v>
      </c>
      <c r="F274" s="246"/>
      <c r="G274" s="194" t="str">
        <f aca="false">G273</f>
        <v>Venus</v>
      </c>
      <c r="H274" s="227" t="str">
        <f aca="false">INDEX(DasaYears,MOD(J236-1,9)+1,1)</f>
        <v>Jupiter</v>
      </c>
      <c r="I274" s="250"/>
      <c r="J274" s="250"/>
      <c r="K274" s="244" t="n">
        <f aca="false">K275-(VLOOKUP(G274,DasaYears,2,0)*VLOOKUP(H274,DasaYears,2,0)/VimTotal)*DaysInYear</f>
        <v>38778.1227963678</v>
      </c>
      <c r="M274" s="194" t="str">
        <f aca="false">M273</f>
        <v>Ketu</v>
      </c>
      <c r="N274" s="227" t="str">
        <f aca="false">INDEX(DasaYears,MOD(P236-1,9)+1,1)</f>
        <v>Rahu</v>
      </c>
      <c r="O274" s="250"/>
      <c r="P274" s="250"/>
      <c r="Q274" s="244" t="n">
        <f aca="false">Q275-(VLOOKUP(M274,DasaYears,2,0)*VLOOKUP(N274,DasaYears,2,0)/VimTotal)*DaysInYear</f>
        <v>40486.9996780268</v>
      </c>
      <c r="S274" s="194" t="e">
        <f aca="false">S273</f>
        <v>#N/A</v>
      </c>
      <c r="T274" s="227" t="e">
        <f aca="false">INDEX(DasaYears,MOD(V236-1,9)+1,1)</f>
        <v>#N/A</v>
      </c>
      <c r="U274" s="250"/>
      <c r="V274" s="250"/>
      <c r="W274" s="244" t="e">
        <f aca="false">W275-(VLOOKUP(S274,DasaYears,2,0)*VLOOKUP(T274,DasaYears,2,0)/VimTotal)*DaysInYear</f>
        <v>#N/A</v>
      </c>
      <c r="Y274" s="194" t="str">
        <f aca="false">Y273</f>
        <v>Mars</v>
      </c>
      <c r="Z274" s="227" t="str">
        <f aca="false">INDEX(DasaYears,MOD(AB236-1,9)+1,1)</f>
        <v>Ketu</v>
      </c>
      <c r="AA274" s="250"/>
      <c r="AB274" s="250"/>
      <c r="AC274" s="244" t="n">
        <f aca="false">AC275-(VLOOKUP(Y274,DasaYears,2,0)*VLOOKUP(Z274,DasaYears,2,0)/VimTotal)*DaysInYear</f>
        <v>39072.3158116767</v>
      </c>
    </row>
    <row r="275" s="227" customFormat="true" ht="15" hidden="false" customHeight="false" outlineLevel="0" collapsed="false">
      <c r="A275" s="194" t="str">
        <f aca="false">A274</f>
        <v>Jupiter</v>
      </c>
      <c r="B275" s="250" t="str">
        <f aca="false">INDEX(DasaYears,MOD(D236,9)+1,1)</f>
        <v>Moon</v>
      </c>
      <c r="C275" s="250"/>
      <c r="D275" s="250"/>
      <c r="E275" s="244" t="n">
        <f aca="false">E276-(VLOOKUP(A275,DasaYears,2,0)*VLOOKUP(B275,DasaYears,2,0)/VimTotal)*DaysInYear</f>
        <v>39491.2570630655</v>
      </c>
      <c r="F275" s="246"/>
      <c r="G275" s="194" t="str">
        <f aca="false">G274</f>
        <v>Venus</v>
      </c>
      <c r="H275" s="250" t="str">
        <f aca="false">INDEX(DasaYears,MOD(J236,9)+1,1)</f>
        <v>Saturn</v>
      </c>
      <c r="I275" s="250"/>
      <c r="J275" s="250"/>
      <c r="K275" s="244" t="n">
        <f aca="false">K276-(VLOOKUP(G275,DasaYears,2,0)*VLOOKUP(H275,DasaYears,2,0)/VimTotal)*DaysInYear</f>
        <v>39752.135790195</v>
      </c>
      <c r="M275" s="194" t="str">
        <f aca="false">M274</f>
        <v>Ketu</v>
      </c>
      <c r="N275" s="250" t="str">
        <f aca="false">INDEX(DasaYears,MOD(P236,9)+1,1)</f>
        <v>Jupiter</v>
      </c>
      <c r="O275" s="250"/>
      <c r="P275" s="250"/>
      <c r="Q275" s="244" t="n">
        <f aca="false">Q276-(VLOOKUP(M275,DasaYears,2,0)*VLOOKUP(N275,DasaYears,2,0)/VimTotal)*DaysInYear</f>
        <v>40870.5172943462</v>
      </c>
      <c r="S275" s="194" t="e">
        <f aca="false">S274</f>
        <v>#N/A</v>
      </c>
      <c r="T275" s="250" t="e">
        <f aca="false">INDEX(DasaYears,MOD(V236,9)+1,1)</f>
        <v>#N/A</v>
      </c>
      <c r="U275" s="250"/>
      <c r="V275" s="250"/>
      <c r="W275" s="244" t="e">
        <f aca="false">W276-(VLOOKUP(S275,DasaYears,2,0)*VLOOKUP(T275,DasaYears,2,0)/VimTotal)*DaysInYear</f>
        <v>#N/A</v>
      </c>
      <c r="Y275" s="194" t="str">
        <f aca="false">Y274</f>
        <v>Mars</v>
      </c>
      <c r="Z275" s="250" t="str">
        <f aca="false">INDEX(DasaYears,MOD(AB236,9)+1,1)</f>
        <v>Venus</v>
      </c>
      <c r="AA275" s="250"/>
      <c r="AB275" s="250"/>
      <c r="AC275" s="244" t="n">
        <f aca="false">AC276-(VLOOKUP(Y275,DasaYears,2,0)*VLOOKUP(Z275,DasaYears,2,0)/VimTotal)*DaysInYear</f>
        <v>39221.4615513565</v>
      </c>
    </row>
    <row r="276" s="227" customFormat="true" ht="15" hidden="false" customHeight="false" outlineLevel="0" collapsed="false">
      <c r="A276" s="194" t="str">
        <f aca="false">A275</f>
        <v>Jupiter</v>
      </c>
      <c r="B276" s="250" t="str">
        <f aca="false">INDEX(DasaYears,MOD(D236-8,9)+1,1)</f>
        <v>Mars</v>
      </c>
      <c r="C276" s="250"/>
      <c r="D276" s="250"/>
      <c r="E276" s="244" t="n">
        <f aca="false">E277-(VLOOKUP(A276,DasaYears,2,0)*VLOOKUP(B276,DasaYears,2,0)/VimTotal)*DaysInYear</f>
        <v>39978.2635599791</v>
      </c>
      <c r="F276" s="246"/>
      <c r="G276" s="194" t="str">
        <f aca="false">G275</f>
        <v>Venus</v>
      </c>
      <c r="H276" s="250" t="str">
        <f aca="false">INDEX(DasaYears,MOD(J236-8,9)+1,1)</f>
        <v>Mercury</v>
      </c>
      <c r="I276" s="250"/>
      <c r="J276" s="250"/>
      <c r="K276" s="244" t="n">
        <f aca="false">K277-(VLOOKUP(G276,DasaYears,2,0)*VLOOKUP(H276,DasaYears,2,0)/VimTotal)*DaysInYear</f>
        <v>40908.7762203647</v>
      </c>
      <c r="M276" s="194" t="str">
        <f aca="false">M275</f>
        <v>Ketu</v>
      </c>
      <c r="N276" s="250" t="str">
        <f aca="false">INDEX(DasaYears,MOD(P236-8,9)+1,1)</f>
        <v>Saturn</v>
      </c>
      <c r="O276" s="250"/>
      <c r="P276" s="250"/>
      <c r="Q276" s="244" t="n">
        <f aca="false">Q277-(VLOOKUP(M276,DasaYears,2,0)*VLOOKUP(N276,DasaYears,2,0)/VimTotal)*DaysInYear</f>
        <v>41211.4218421857</v>
      </c>
      <c r="S276" s="194" t="e">
        <f aca="false">S275</f>
        <v>#N/A</v>
      </c>
      <c r="T276" s="250" t="e">
        <f aca="false">INDEX(DasaYears,MOD(V236-8,9)+1,1)</f>
        <v>#N/A</v>
      </c>
      <c r="U276" s="250"/>
      <c r="V276" s="250"/>
      <c r="W276" s="244" t="e">
        <f aca="false">W277-(VLOOKUP(S276,DasaYears,2,0)*VLOOKUP(T276,DasaYears,2,0)/VimTotal)*DaysInYear</f>
        <v>#N/A</v>
      </c>
      <c r="Y276" s="194" t="str">
        <f aca="false">Y275</f>
        <v>Mars</v>
      </c>
      <c r="Z276" s="250" t="str">
        <f aca="false">INDEX(DasaYears,MOD(AB236-8,9)+1,1)</f>
        <v>Sun</v>
      </c>
      <c r="AA276" s="250"/>
      <c r="AB276" s="250"/>
      <c r="AC276" s="244" t="n">
        <f aca="false">AC277-(VLOOKUP(Y276,DasaYears,2,0)*VLOOKUP(Z276,DasaYears,2,0)/VimTotal)*DaysInYear</f>
        <v>39647.5922361558</v>
      </c>
    </row>
    <row r="277" s="227" customFormat="true" ht="15" hidden="false" customHeight="false" outlineLevel="0" collapsed="false">
      <c r="A277" s="194" t="str">
        <f aca="false">A276</f>
        <v>Jupiter</v>
      </c>
      <c r="B277" s="250" t="str">
        <f aca="false">INDEX(DasaYears,MOD(D236-7,9)+1,1)</f>
        <v>Rahu</v>
      </c>
      <c r="C277" s="250"/>
      <c r="D277" s="250"/>
      <c r="E277" s="244" t="n">
        <f aca="false">E278-(VLOOKUP(A277,DasaYears,2,0)*VLOOKUP(B277,DasaYears,2,0)/VimTotal)*DaysInYear</f>
        <v>40319.1681078186</v>
      </c>
      <c r="F277" s="246"/>
      <c r="G277" s="194" t="str">
        <f aca="false">G276</f>
        <v>Venus</v>
      </c>
      <c r="H277" s="250" t="str">
        <f aca="false">INDEX(DasaYears,MOD(J236-7,9)+1,1)</f>
        <v>Ketu</v>
      </c>
      <c r="I277" s="250"/>
      <c r="J277" s="250"/>
      <c r="K277" s="244" t="n">
        <f aca="false">K278-(VLOOKUP(G277,DasaYears,2,0)*VLOOKUP(H277,DasaYears,2,0)/VimTotal)*DaysInYear</f>
        <v>41943.6650263061</v>
      </c>
      <c r="M277" s="194" t="str">
        <f aca="false">M276</f>
        <v>Ketu</v>
      </c>
      <c r="N277" s="250" t="str">
        <f aca="false">INDEX(DasaYears,MOD(P236-7,9)+1,1)</f>
        <v>Mercury</v>
      </c>
      <c r="O277" s="250"/>
      <c r="P277" s="250"/>
      <c r="Q277" s="244" t="n">
        <f aca="false">Q278-(VLOOKUP(M277,DasaYears,2,0)*VLOOKUP(N277,DasaYears,2,0)/VimTotal)*DaysInYear</f>
        <v>41616.2459927452</v>
      </c>
      <c r="S277" s="194" t="e">
        <f aca="false">S276</f>
        <v>#N/A</v>
      </c>
      <c r="T277" s="250" t="e">
        <f aca="false">INDEX(DasaYears,MOD(V236-7,9)+1,1)</f>
        <v>#N/A</v>
      </c>
      <c r="U277" s="250"/>
      <c r="V277" s="250"/>
      <c r="W277" s="244" t="e">
        <f aca="false">W278-(VLOOKUP(S277,DasaYears,2,0)*VLOOKUP(T277,DasaYears,2,0)/VimTotal)*DaysInYear</f>
        <v>#N/A</v>
      </c>
      <c r="Y277" s="194" t="str">
        <f aca="false">Y276</f>
        <v>Mars</v>
      </c>
      <c r="Z277" s="250" t="str">
        <f aca="false">INDEX(DasaYears,MOD(AB236-7,9)+1,1)</f>
        <v>Moon</v>
      </c>
      <c r="AA277" s="250"/>
      <c r="AB277" s="250"/>
      <c r="AC277" s="244" t="n">
        <f aca="false">AC278-(VLOOKUP(Y277,DasaYears,2,0)*VLOOKUP(Z277,DasaYears,2,0)/VimTotal)*DaysInYear</f>
        <v>39775.4314415957</v>
      </c>
    </row>
    <row r="278" s="269" customFormat="true" ht="15" hidden="false" customHeight="false" outlineLevel="0" collapsed="false">
      <c r="A278" s="213" t="str">
        <f aca="false">INDEX(DasaYears,MOD(D236+4,9)+1,1)</f>
        <v>Saturn</v>
      </c>
      <c r="C278" s="266"/>
      <c r="D278" s="266"/>
      <c r="E278" s="267" t="n">
        <f aca="false">E269+DaysInYear*VLOOKUP(A269,DasaYears,2,0)</f>
        <v>41195.779802263</v>
      </c>
      <c r="F278" s="268"/>
      <c r="G278" s="213" t="str">
        <f aca="false">INDEX(DasaYears,MOD(J236+4,9)+1,1)</f>
        <v>Sun</v>
      </c>
      <c r="I278" s="266"/>
      <c r="J278" s="266"/>
      <c r="K278" s="267" t="n">
        <f aca="false">K269+DaysInYear*VLOOKUP(G269,DasaYears,2,0)</f>
        <v>42369.7957111054</v>
      </c>
      <c r="M278" s="213" t="str">
        <f aca="false">INDEX(DasaYears,MOD(P236+4,9)+1,1)</f>
        <v>Venus</v>
      </c>
      <c r="O278" s="266"/>
      <c r="P278" s="266"/>
      <c r="Q278" s="267" t="n">
        <f aca="false">Q269+DaysInYear*VLOOKUP(M269,DasaYears,2,0)</f>
        <v>41978.4570748246</v>
      </c>
      <c r="S278" s="213" t="e">
        <f aca="false">INDEX(DasaYears,MOD(V236+4,9)+1,1)</f>
        <v>#N/A</v>
      </c>
      <c r="U278" s="266"/>
      <c r="V278" s="266"/>
      <c r="W278" s="267" t="e">
        <f aca="false">W269+DaysInYear*VLOOKUP(S269,DasaYears,2,0)</f>
        <v>#N/A</v>
      </c>
      <c r="Y278" s="213" t="str">
        <f aca="false">INDEX(DasaYears,MOD(AB236+4,9)+1,1)</f>
        <v>Rahu</v>
      </c>
      <c r="AA278" s="266"/>
      <c r="AB278" s="266"/>
      <c r="AC278" s="267" t="n">
        <f aca="false">AC269+DaysInYear*VLOOKUP(Y269,DasaYears,2,0)</f>
        <v>39988.4967839953</v>
      </c>
    </row>
    <row r="279" s="269" customFormat="true" ht="15" hidden="false" customHeight="false" outlineLevel="0" collapsed="false">
      <c r="A279" s="213" t="str">
        <f aca="false">A278</f>
        <v>Saturn</v>
      </c>
      <c r="B279" s="266" t="str">
        <f aca="false">INDEX(DasaYears,MOD(D236-4,9)+1,1)</f>
        <v>Mercury</v>
      </c>
      <c r="C279" s="266"/>
      <c r="D279" s="266"/>
      <c r="E279" s="267" t="n">
        <f aca="false">E280-(VLOOKUP(A279,DasaYears,2,0)*VLOOKUP(B279,DasaYears,2,0)/VimTotal)*DaysInYear</f>
        <v>42294.5882109243</v>
      </c>
      <c r="F279" s="268"/>
      <c r="G279" s="213" t="str">
        <f aca="false">G278</f>
        <v>Sun</v>
      </c>
      <c r="H279" s="266" t="str">
        <f aca="false">INDEX(DasaYears,MOD(J236-4,9)+1,1)</f>
        <v>Moon</v>
      </c>
      <c r="I279" s="266"/>
      <c r="J279" s="266"/>
      <c r="K279" s="267" t="n">
        <f aca="false">K280-(VLOOKUP(G279,DasaYears,2,0)*VLOOKUP(H279,DasaYears,2,0)/VimTotal)*DaysInYear</f>
        <v>42479.372172911</v>
      </c>
      <c r="M279" s="213" t="str">
        <f aca="false">M278</f>
        <v>Venus</v>
      </c>
      <c r="N279" s="266" t="str">
        <f aca="false">INDEX(DasaYears,MOD(P236-4,9)+1,1)</f>
        <v>Sun</v>
      </c>
      <c r="O279" s="266"/>
      <c r="P279" s="266"/>
      <c r="Q279" s="267" t="n">
        <f aca="false">Q280-(VLOOKUP(M279,DasaYears,2,0)*VLOOKUP(N279,DasaYears,2,0)/VimTotal)*DaysInYear</f>
        <v>43195.9733171086</v>
      </c>
      <c r="S279" s="213" t="e">
        <f aca="false">S278</f>
        <v>#N/A</v>
      </c>
      <c r="T279" s="266" t="e">
        <f aca="false">INDEX(DasaYears,MOD(V236-4,9)+1,1)</f>
        <v>#N/A</v>
      </c>
      <c r="U279" s="266"/>
      <c r="V279" s="266"/>
      <c r="W279" s="267" t="e">
        <f aca="false">W280-(VLOOKUP(S279,DasaYears,2,0)*VLOOKUP(T279,DasaYears,2,0)/VimTotal)*DaysInYear</f>
        <v>#N/A</v>
      </c>
      <c r="Y279" s="213" t="str">
        <f aca="false">Y278</f>
        <v>Rahu</v>
      </c>
      <c r="Z279" s="266" t="str">
        <f aca="false">INDEX(DasaYears,MOD(AB236-4,9)+1,1)</f>
        <v>Jupiter</v>
      </c>
      <c r="AA279" s="266"/>
      <c r="AB279" s="266"/>
      <c r="AC279" s="267" t="n">
        <f aca="false">AC280-(VLOOKUP(Y279,DasaYears,2,0)*VLOOKUP(Z279,DasaYears,2,0)/VimTotal)*DaysInYear</f>
        <v>40974.6849402453</v>
      </c>
    </row>
    <row r="280" s="269" customFormat="true" ht="15" hidden="false" customHeight="false" outlineLevel="0" collapsed="false">
      <c r="A280" s="213" t="str">
        <f aca="false">A279</f>
        <v>Saturn</v>
      </c>
      <c r="B280" s="266" t="str">
        <f aca="false">INDEX(DasaYears,MOD(D236-3,9)+1,1)</f>
        <v>Ketu</v>
      </c>
      <c r="C280" s="266"/>
      <c r="D280" s="266"/>
      <c r="E280" s="267" t="n">
        <f aca="false">E281-(VLOOKUP(A280,DasaYears,2,0)*VLOOKUP(B280,DasaYears,2,0)/VimTotal)*DaysInYear</f>
        <v>43277.7325765686</v>
      </c>
      <c r="F280" s="268"/>
      <c r="G280" s="213" t="str">
        <f aca="false">G279</f>
        <v>Sun</v>
      </c>
      <c r="H280" s="266" t="str">
        <f aca="false">INDEX(DasaYears,MOD(J236-3,9)+1,1)</f>
        <v>Mars</v>
      </c>
      <c r="I280" s="266"/>
      <c r="J280" s="266"/>
      <c r="K280" s="267" t="n">
        <f aca="false">K281-(VLOOKUP(G280,DasaYears,2,0)*VLOOKUP(H280,DasaYears,2,0)/VimTotal)*DaysInYear</f>
        <v>42661.9996092536</v>
      </c>
      <c r="M280" s="213" t="str">
        <f aca="false">M279</f>
        <v>Venus</v>
      </c>
      <c r="N280" s="266" t="str">
        <f aca="false">INDEX(DasaYears,MOD(P236-3,9)+1,1)</f>
        <v>Moon</v>
      </c>
      <c r="O280" s="266"/>
      <c r="P280" s="266"/>
      <c r="Q280" s="267" t="n">
        <f aca="false">Q281-(VLOOKUP(M280,DasaYears,2,0)*VLOOKUP(N280,DasaYears,2,0)/VimTotal)*DaysInYear</f>
        <v>43561.2281897938</v>
      </c>
      <c r="S280" s="213" t="e">
        <f aca="false">S279</f>
        <v>#N/A</v>
      </c>
      <c r="T280" s="266" t="e">
        <f aca="false">INDEX(DasaYears,MOD(V236-3,9)+1,1)</f>
        <v>#N/A</v>
      </c>
      <c r="U280" s="266"/>
      <c r="V280" s="266"/>
      <c r="W280" s="267" t="e">
        <f aca="false">W281-(VLOOKUP(S280,DasaYears,2,0)*VLOOKUP(T280,DasaYears,2,0)/VimTotal)*DaysInYear</f>
        <v>#N/A</v>
      </c>
      <c r="Y280" s="213" t="str">
        <f aca="false">Y279</f>
        <v>Rahu</v>
      </c>
      <c r="Z280" s="266" t="str">
        <f aca="false">INDEX(DasaYears,MOD(AB236-3,9)+1,1)</f>
        <v>Saturn</v>
      </c>
      <c r="AA280" s="266"/>
      <c r="AB280" s="266"/>
      <c r="AC280" s="267" t="n">
        <f aca="false">AC281-(VLOOKUP(Y280,DasaYears,2,0)*VLOOKUP(Z280,DasaYears,2,0)/VimTotal)*DaysInYear</f>
        <v>41851.2966346898</v>
      </c>
    </row>
    <row r="281" s="269" customFormat="true" ht="15" hidden="false" customHeight="false" outlineLevel="0" collapsed="false">
      <c r="A281" s="213" t="str">
        <f aca="false">A280</f>
        <v>Saturn</v>
      </c>
      <c r="B281" s="266" t="str">
        <f aca="false">INDEX(DasaYears,MOD(D236-2,9)+1,1)</f>
        <v>Venus</v>
      </c>
      <c r="C281" s="266"/>
      <c r="D281" s="266"/>
      <c r="E281" s="267" t="n">
        <f aca="false">E282-(VLOOKUP(A281,DasaYears,2,0)*VLOOKUP(B281,DasaYears,2,0)/VimTotal)*DaysInYear</f>
        <v>43682.556727128</v>
      </c>
      <c r="F281" s="268"/>
      <c r="G281" s="213" t="str">
        <f aca="false">G280</f>
        <v>Sun</v>
      </c>
      <c r="H281" s="266" t="str">
        <f aca="false">INDEX(DasaYears,MOD(J236-2,9)+1,1)</f>
        <v>Rahu</v>
      </c>
      <c r="I281" s="266"/>
      <c r="J281" s="266"/>
      <c r="K281" s="267" t="n">
        <f aca="false">K282-(VLOOKUP(G281,DasaYears,2,0)*VLOOKUP(H281,DasaYears,2,0)/VimTotal)*DaysInYear</f>
        <v>42789.8388146934</v>
      </c>
      <c r="M281" s="213" t="str">
        <f aca="false">M280</f>
        <v>Venus</v>
      </c>
      <c r="N281" s="266" t="str">
        <f aca="false">INDEX(DasaYears,MOD(P236-2,9)+1,1)</f>
        <v>Mars</v>
      </c>
      <c r="O281" s="266"/>
      <c r="P281" s="266"/>
      <c r="Q281" s="267" t="n">
        <f aca="false">Q282-(VLOOKUP(M281,DasaYears,2,0)*VLOOKUP(N281,DasaYears,2,0)/VimTotal)*DaysInYear</f>
        <v>44169.9863109357</v>
      </c>
      <c r="S281" s="213" t="e">
        <f aca="false">S280</f>
        <v>#N/A</v>
      </c>
      <c r="T281" s="266" t="e">
        <f aca="false">INDEX(DasaYears,MOD(V236-2,9)+1,1)</f>
        <v>#N/A</v>
      </c>
      <c r="U281" s="266"/>
      <c r="V281" s="266"/>
      <c r="W281" s="267" t="e">
        <f aca="false">W282-(VLOOKUP(S281,DasaYears,2,0)*VLOOKUP(T281,DasaYears,2,0)/VimTotal)*DaysInYear</f>
        <v>#N/A</v>
      </c>
      <c r="Y281" s="213" t="str">
        <f aca="false">Y280</f>
        <v>Rahu</v>
      </c>
      <c r="Z281" s="266" t="str">
        <f aca="false">INDEX(DasaYears,MOD(AB236-2,9)+1,1)</f>
        <v>Mercury</v>
      </c>
      <c r="AA281" s="266"/>
      <c r="AB281" s="266"/>
      <c r="AC281" s="267" t="n">
        <f aca="false">AC282-(VLOOKUP(Y281,DasaYears,2,0)*VLOOKUP(Z281,DasaYears,2,0)/VimTotal)*DaysInYear</f>
        <v>42892.2730218425</v>
      </c>
    </row>
    <row r="282" s="269" customFormat="true" ht="15" hidden="false" customHeight="false" outlineLevel="0" collapsed="false">
      <c r="A282" s="213" t="str">
        <f aca="false">A281</f>
        <v>Saturn</v>
      </c>
      <c r="B282" s="269" t="str">
        <f aca="false">INDEX(DasaYears,MOD(D236-1,9)+1,1)</f>
        <v>Sun</v>
      </c>
      <c r="C282" s="266"/>
      <c r="D282" s="266"/>
      <c r="E282" s="267" t="n">
        <f aca="false">E283-(VLOOKUP(A282,DasaYears,2,0)*VLOOKUP(B282,DasaYears,2,0)/VimTotal)*DaysInYear</f>
        <v>44839.1971572977</v>
      </c>
      <c r="F282" s="268"/>
      <c r="G282" s="213" t="str">
        <f aca="false">G281</f>
        <v>Sun</v>
      </c>
      <c r="H282" s="269" t="str">
        <f aca="false">INDEX(DasaYears,MOD(J236-1,9)+1,1)</f>
        <v>Jupiter</v>
      </c>
      <c r="I282" s="266"/>
      <c r="J282" s="266"/>
      <c r="K282" s="267" t="n">
        <f aca="false">K283-(VLOOKUP(G282,DasaYears,2,0)*VLOOKUP(H282,DasaYears,2,0)/VimTotal)*DaysInYear</f>
        <v>43118.5682001101</v>
      </c>
      <c r="M282" s="213" t="str">
        <f aca="false">M281</f>
        <v>Venus</v>
      </c>
      <c r="N282" s="269" t="str">
        <f aca="false">INDEX(DasaYears,MOD(P236-1,9)+1,1)</f>
        <v>Rahu</v>
      </c>
      <c r="O282" s="266"/>
      <c r="P282" s="266"/>
      <c r="Q282" s="267" t="n">
        <f aca="false">Q283-(VLOOKUP(M282,DasaYears,2,0)*VLOOKUP(N282,DasaYears,2,0)/VimTotal)*DaysInYear</f>
        <v>44596.1169957351</v>
      </c>
      <c r="S282" s="213" t="e">
        <f aca="false">S281</f>
        <v>#N/A</v>
      </c>
      <c r="T282" s="269" t="e">
        <f aca="false">INDEX(DasaYears,MOD(V236-1,9)+1,1)</f>
        <v>#N/A</v>
      </c>
      <c r="U282" s="266"/>
      <c r="V282" s="266"/>
      <c r="W282" s="267" t="e">
        <f aca="false">W283-(VLOOKUP(S282,DasaYears,2,0)*VLOOKUP(T282,DasaYears,2,0)/VimTotal)*DaysInYear</f>
        <v>#N/A</v>
      </c>
      <c r="Y282" s="213" t="str">
        <f aca="false">Y281</f>
        <v>Rahu</v>
      </c>
      <c r="Z282" s="269" t="str">
        <f aca="false">INDEX(DasaYears,MOD(AB236-1,9)+1,1)</f>
        <v>Ketu</v>
      </c>
      <c r="AA282" s="266"/>
      <c r="AB282" s="266"/>
      <c r="AC282" s="267" t="n">
        <f aca="false">AC283-(VLOOKUP(Y282,DasaYears,2,0)*VLOOKUP(Z282,DasaYears,2,0)/VimTotal)*DaysInYear</f>
        <v>43823.6729471898</v>
      </c>
    </row>
    <row r="283" s="269" customFormat="true" ht="15" hidden="false" customHeight="false" outlineLevel="0" collapsed="false">
      <c r="A283" s="213" t="str">
        <f aca="false">A282</f>
        <v>Saturn</v>
      </c>
      <c r="B283" s="266" t="str">
        <f aca="false">INDEX(DasaYears,MOD(D236,9)+1,1)</f>
        <v>Moon</v>
      </c>
      <c r="C283" s="266"/>
      <c r="D283" s="266"/>
      <c r="E283" s="267" t="n">
        <f aca="false">E284-(VLOOKUP(A283,DasaYears,2,0)*VLOOKUP(B283,DasaYears,2,0)/VimTotal)*DaysInYear</f>
        <v>45186.1892863486</v>
      </c>
      <c r="F283" s="268"/>
      <c r="G283" s="213" t="str">
        <f aca="false">G282</f>
        <v>Sun</v>
      </c>
      <c r="H283" s="266" t="str">
        <f aca="false">INDEX(DasaYears,MOD(J236,9)+1,1)</f>
        <v>Saturn</v>
      </c>
      <c r="I283" s="266"/>
      <c r="J283" s="266"/>
      <c r="K283" s="267" t="n">
        <f aca="false">K284-(VLOOKUP(G283,DasaYears,2,0)*VLOOKUP(H283,DasaYears,2,0)/VimTotal)*DaysInYear</f>
        <v>43410.7720982582</v>
      </c>
      <c r="M283" s="213" t="str">
        <f aca="false">M282</f>
        <v>Venus</v>
      </c>
      <c r="N283" s="266" t="str">
        <f aca="false">INDEX(DasaYears,MOD(P236,9)+1,1)</f>
        <v>Jupiter</v>
      </c>
      <c r="O283" s="266"/>
      <c r="P283" s="266"/>
      <c r="Q283" s="267" t="n">
        <f aca="false">Q284-(VLOOKUP(M283,DasaYears,2,0)*VLOOKUP(N283,DasaYears,2,0)/VimTotal)*DaysInYear</f>
        <v>45691.8816137907</v>
      </c>
      <c r="S283" s="213" t="e">
        <f aca="false">S282</f>
        <v>#N/A</v>
      </c>
      <c r="T283" s="266" t="e">
        <f aca="false">INDEX(DasaYears,MOD(V236,9)+1,1)</f>
        <v>#N/A</v>
      </c>
      <c r="U283" s="266"/>
      <c r="V283" s="266"/>
      <c r="W283" s="267" t="e">
        <f aca="false">W284-(VLOOKUP(S283,DasaYears,2,0)*VLOOKUP(T283,DasaYears,2,0)/VimTotal)*DaysInYear</f>
        <v>#N/A</v>
      </c>
      <c r="Y283" s="213" t="str">
        <f aca="false">Y282</f>
        <v>Rahu</v>
      </c>
      <c r="Z283" s="266" t="str">
        <f aca="false">INDEX(DasaYears,MOD(AB236,9)+1,1)</f>
        <v>Venus</v>
      </c>
      <c r="AA283" s="266"/>
      <c r="AB283" s="266"/>
      <c r="AC283" s="267" t="n">
        <f aca="false">AC284-(VLOOKUP(Y283,DasaYears,2,0)*VLOOKUP(Z283,DasaYears,2,0)/VimTotal)*DaysInYear</f>
        <v>44207.1905635092</v>
      </c>
    </row>
    <row r="284" s="269" customFormat="true" ht="15" hidden="false" customHeight="false" outlineLevel="0" collapsed="false">
      <c r="A284" s="213" t="str">
        <f aca="false">A283</f>
        <v>Saturn</v>
      </c>
      <c r="B284" s="266" t="str">
        <f aca="false">INDEX(DasaYears,MOD(D236-8,9)+1,1)</f>
        <v>Mars</v>
      </c>
      <c r="C284" s="266"/>
      <c r="D284" s="266"/>
      <c r="E284" s="267" t="n">
        <f aca="false">E285-(VLOOKUP(A284,DasaYears,2,0)*VLOOKUP(B284,DasaYears,2,0)/VimTotal)*DaysInYear</f>
        <v>45764.5095014335</v>
      </c>
      <c r="F284" s="268"/>
      <c r="G284" s="213" t="str">
        <f aca="false">G283</f>
        <v>Sun</v>
      </c>
      <c r="H284" s="266" t="str">
        <f aca="false">INDEX(DasaYears,MOD(J236-8,9)+1,1)</f>
        <v>Mercury</v>
      </c>
      <c r="I284" s="266"/>
      <c r="J284" s="266"/>
      <c r="K284" s="267" t="n">
        <f aca="false">K285-(VLOOKUP(G284,DasaYears,2,0)*VLOOKUP(H284,DasaYears,2,0)/VimTotal)*DaysInYear</f>
        <v>43757.7642273091</v>
      </c>
      <c r="M284" s="213" t="str">
        <f aca="false">M283</f>
        <v>Venus</v>
      </c>
      <c r="N284" s="266" t="str">
        <f aca="false">INDEX(DasaYears,MOD(P236-8,9)+1,1)</f>
        <v>Saturn</v>
      </c>
      <c r="O284" s="266"/>
      <c r="P284" s="266"/>
      <c r="Q284" s="267" t="n">
        <f aca="false">Q285-(VLOOKUP(M284,DasaYears,2,0)*VLOOKUP(N284,DasaYears,2,0)/VimTotal)*DaysInYear</f>
        <v>46665.8946076178</v>
      </c>
      <c r="S284" s="213" t="e">
        <f aca="false">S283</f>
        <v>#N/A</v>
      </c>
      <c r="T284" s="266" t="e">
        <f aca="false">INDEX(DasaYears,MOD(V236-8,9)+1,1)</f>
        <v>#N/A</v>
      </c>
      <c r="U284" s="266"/>
      <c r="V284" s="266"/>
      <c r="W284" s="267" t="e">
        <f aca="false">W285-(VLOOKUP(S284,DasaYears,2,0)*VLOOKUP(T284,DasaYears,2,0)/VimTotal)*DaysInYear</f>
        <v>#N/A</v>
      </c>
      <c r="Y284" s="213" t="str">
        <f aca="false">Y283</f>
        <v>Rahu</v>
      </c>
      <c r="Z284" s="266" t="str">
        <f aca="false">INDEX(DasaYears,MOD(AB236-8,9)+1,1)</f>
        <v>Sun</v>
      </c>
      <c r="AA284" s="266"/>
      <c r="AB284" s="266"/>
      <c r="AC284" s="267" t="n">
        <f aca="false">AC285-(VLOOKUP(Y284,DasaYears,2,0)*VLOOKUP(Z284,DasaYears,2,0)/VimTotal)*DaysInYear</f>
        <v>45302.9551815647</v>
      </c>
    </row>
    <row r="285" s="269" customFormat="true" ht="15" hidden="false" customHeight="false" outlineLevel="0" collapsed="false">
      <c r="A285" s="213" t="str">
        <f aca="false">A284</f>
        <v>Saturn</v>
      </c>
      <c r="B285" s="266" t="str">
        <f aca="false">INDEX(DasaYears,MOD(D236-7,9)+1,1)</f>
        <v>Rahu</v>
      </c>
      <c r="C285" s="266"/>
      <c r="D285" s="266"/>
      <c r="E285" s="267" t="n">
        <f aca="false">E286-(VLOOKUP(A285,DasaYears,2,0)*VLOOKUP(B285,DasaYears,2,0)/VimTotal)*DaysInYear</f>
        <v>46169.3336519929</v>
      </c>
      <c r="F285" s="268"/>
      <c r="G285" s="213" t="str">
        <f aca="false">G284</f>
        <v>Sun</v>
      </c>
      <c r="H285" s="266" t="str">
        <f aca="false">INDEX(DasaYears,MOD(J236-7,9)+1,1)</f>
        <v>Ketu</v>
      </c>
      <c r="I285" s="266"/>
      <c r="J285" s="266"/>
      <c r="K285" s="267" t="n">
        <f aca="false">K286-(VLOOKUP(G285,DasaYears,2,0)*VLOOKUP(H285,DasaYears,2,0)/VimTotal)*DaysInYear</f>
        <v>44068.2308690915</v>
      </c>
      <c r="M285" s="213" t="str">
        <f aca="false">M284</f>
        <v>Venus</v>
      </c>
      <c r="N285" s="266" t="str">
        <f aca="false">INDEX(DasaYears,MOD(P236-7,9)+1,1)</f>
        <v>Mercury</v>
      </c>
      <c r="O285" s="266"/>
      <c r="P285" s="266"/>
      <c r="Q285" s="267" t="n">
        <f aca="false">Q286-(VLOOKUP(M285,DasaYears,2,0)*VLOOKUP(N285,DasaYears,2,0)/VimTotal)*DaysInYear</f>
        <v>47822.5350377875</v>
      </c>
      <c r="S285" s="213" t="e">
        <f aca="false">S284</f>
        <v>#N/A</v>
      </c>
      <c r="T285" s="266" t="e">
        <f aca="false">INDEX(DasaYears,MOD(V236-7,9)+1,1)</f>
        <v>#N/A</v>
      </c>
      <c r="U285" s="266"/>
      <c r="V285" s="266"/>
      <c r="W285" s="267" t="e">
        <f aca="false">W286-(VLOOKUP(S285,DasaYears,2,0)*VLOOKUP(T285,DasaYears,2,0)/VimTotal)*DaysInYear</f>
        <v>#N/A</v>
      </c>
      <c r="Y285" s="213" t="str">
        <f aca="false">Y284</f>
        <v>Rahu</v>
      </c>
      <c r="Z285" s="266" t="str">
        <f aca="false">INDEX(DasaYears,MOD(AB236-7,9)+1,1)</f>
        <v>Moon</v>
      </c>
      <c r="AA285" s="266"/>
      <c r="AB285" s="266"/>
      <c r="AC285" s="267" t="n">
        <f aca="false">AC286-(VLOOKUP(Y285,DasaYears,2,0)*VLOOKUP(Z285,DasaYears,2,0)/VimTotal)*DaysInYear</f>
        <v>45631.6845669814</v>
      </c>
    </row>
    <row r="286" s="269" customFormat="true" ht="15" hidden="false" customHeight="false" outlineLevel="0" collapsed="false">
      <c r="A286" s="213" t="str">
        <f aca="false">A285</f>
        <v>Saturn</v>
      </c>
      <c r="B286" s="266" t="str">
        <f aca="false">INDEX(DasaYears,MOD(D236-6,9)+1,1)</f>
        <v>Jupiter</v>
      </c>
      <c r="C286" s="266"/>
      <c r="D286" s="266"/>
      <c r="E286" s="267" t="n">
        <f aca="false">E287-(VLOOKUP(A286,DasaYears,2,0)*VLOOKUP(B286,DasaYears,2,0)/VimTotal)*DaysInYear</f>
        <v>47210.3100391457</v>
      </c>
      <c r="F286" s="268"/>
      <c r="G286" s="213" t="str">
        <f aca="false">G285</f>
        <v>Sun</v>
      </c>
      <c r="H286" s="266" t="str">
        <f aca="false">INDEX(DasaYears,MOD(J236-6,9)+1,1)</f>
        <v>Venus</v>
      </c>
      <c r="I286" s="266"/>
      <c r="J286" s="266"/>
      <c r="K286" s="267" t="n">
        <f aca="false">K287-(VLOOKUP(G286,DasaYears,2,0)*VLOOKUP(H286,DasaYears,2,0)/VimTotal)*DaysInYear</f>
        <v>44196.0700745313</v>
      </c>
      <c r="M286" s="213" t="str">
        <f aca="false">M285</f>
        <v>Venus</v>
      </c>
      <c r="N286" s="266" t="str">
        <f aca="false">INDEX(DasaYears,MOD(P236-6,9)+1,1)</f>
        <v>Ketu</v>
      </c>
      <c r="O286" s="266"/>
      <c r="P286" s="266"/>
      <c r="Q286" s="267" t="n">
        <f aca="false">Q287-(VLOOKUP(M286,DasaYears,2,0)*VLOOKUP(N286,DasaYears,2,0)/VimTotal)*DaysInYear</f>
        <v>48857.4238437289</v>
      </c>
      <c r="S286" s="213" t="e">
        <f aca="false">S285</f>
        <v>#N/A</v>
      </c>
      <c r="T286" s="266" t="e">
        <f aca="false">INDEX(DasaYears,MOD(V236-6,9)+1,1)</f>
        <v>#N/A</v>
      </c>
      <c r="U286" s="266"/>
      <c r="V286" s="266"/>
      <c r="W286" s="267" t="e">
        <f aca="false">W287-(VLOOKUP(S286,DasaYears,2,0)*VLOOKUP(T286,DasaYears,2,0)/VimTotal)*DaysInYear</f>
        <v>#N/A</v>
      </c>
      <c r="Y286" s="213" t="str">
        <f aca="false">Y285</f>
        <v>Rahu</v>
      </c>
      <c r="Z286" s="266" t="str">
        <f aca="false">INDEX(DasaYears,MOD(AB236-6,9)+1,1)</f>
        <v>Mars</v>
      </c>
      <c r="AA286" s="266"/>
      <c r="AB286" s="266"/>
      <c r="AC286" s="267" t="n">
        <f aca="false">AC287-(VLOOKUP(Y286,DasaYears,2,0)*VLOOKUP(Z286,DasaYears,2,0)/VimTotal)*DaysInYear</f>
        <v>46179.5668760092</v>
      </c>
    </row>
    <row r="287" s="227" customFormat="true" ht="15" hidden="false" customHeight="false" outlineLevel="0" collapsed="false">
      <c r="A287" s="194" t="str">
        <f aca="false">INDEX(DasaYears,MOD(D236+5,9)+1,1)</f>
        <v>Mercury</v>
      </c>
      <c r="C287" s="250"/>
      <c r="D287" s="250"/>
      <c r="E287" s="244" t="n">
        <f aca="false">E278+DaysInYear*VLOOKUP(A278,DasaYears,2,0)</f>
        <v>48135.6223832815</v>
      </c>
      <c r="F287" s="246"/>
      <c r="G287" s="194" t="str">
        <f aca="false">INDEX(DasaYears,MOD(J236+5,9)+1,1)</f>
        <v>Moon</v>
      </c>
      <c r="I287" s="250"/>
      <c r="J287" s="250"/>
      <c r="K287" s="244" t="n">
        <f aca="false">K278+DaysInYear*VLOOKUP(G278,DasaYears,2,0)</f>
        <v>44561.3249472165</v>
      </c>
      <c r="M287" s="194" t="str">
        <f aca="false">INDEX(DasaYears,MOD(P236+5,9)+1,1)</f>
        <v>Sun</v>
      </c>
      <c r="O287" s="250"/>
      <c r="P287" s="250"/>
      <c r="Q287" s="244" t="n">
        <f aca="false">Q278+DaysInYear*VLOOKUP(M278,DasaYears,2,0)</f>
        <v>49283.5545285283</v>
      </c>
      <c r="S287" s="194" t="e">
        <f aca="false">INDEX(DasaYears,MOD(V236+5,9)+1,1)</f>
        <v>#N/A</v>
      </c>
      <c r="U287" s="250"/>
      <c r="V287" s="250"/>
      <c r="W287" s="244" t="e">
        <f aca="false">W278+DaysInYear*VLOOKUP(S278,DasaYears,2,0)</f>
        <v>#N/A</v>
      </c>
      <c r="Y287" s="194" t="str">
        <f aca="false">INDEX(DasaYears,MOD(AB236+5,9)+1,1)</f>
        <v>Jupiter</v>
      </c>
      <c r="AA287" s="250"/>
      <c r="AB287" s="250"/>
      <c r="AC287" s="244" t="n">
        <f aca="false">AC278+DaysInYear*VLOOKUP(Y278,DasaYears,2,0)</f>
        <v>46563.0844923286</v>
      </c>
    </row>
    <row r="288" s="227" customFormat="true" ht="15" hidden="false" customHeight="false" outlineLevel="0" collapsed="false">
      <c r="A288" s="194" t="str">
        <f aca="false">A287</f>
        <v>Mercury</v>
      </c>
      <c r="B288" s="250" t="str">
        <f aca="false">INDEX(DasaYears,MOD(D236-3,9)+1,1)</f>
        <v>Ketu</v>
      </c>
      <c r="C288" s="250"/>
      <c r="D288" s="250"/>
      <c r="E288" s="244" t="n">
        <f aca="false">E289-(VLOOKUP(A288,DasaYears,2,0)*VLOOKUP(B288,DasaYears,2,0)/VimTotal)*DaysInYear</f>
        <v>49015.2778683316</v>
      </c>
      <c r="F288" s="246"/>
      <c r="G288" s="194" t="str">
        <f aca="false">G287</f>
        <v>Moon</v>
      </c>
      <c r="H288" s="250" t="str">
        <f aca="false">INDEX(DasaYears,MOD(J236-3,9)+1,1)</f>
        <v>Mars</v>
      </c>
      <c r="I288" s="250"/>
      <c r="J288" s="250"/>
      <c r="K288" s="244" t="n">
        <f aca="false">K289-(VLOOKUP(G288,DasaYears,2,0)*VLOOKUP(H288,DasaYears,2,0)/VimTotal)*DaysInYear</f>
        <v>44865.7040077875</v>
      </c>
      <c r="M288" s="194" t="str">
        <f aca="false">M287</f>
        <v>Sun</v>
      </c>
      <c r="N288" s="250" t="str">
        <f aca="false">INDEX(DasaYears,MOD(P236-3,9)+1,1)</f>
        <v>Moon</v>
      </c>
      <c r="O288" s="250"/>
      <c r="P288" s="250"/>
      <c r="Q288" s="244" t="n">
        <f aca="false">Q289-(VLOOKUP(M288,DasaYears,2,0)*VLOOKUP(N288,DasaYears,2,0)/VimTotal)*DaysInYear</f>
        <v>49393.1309903338</v>
      </c>
      <c r="S288" s="194" t="e">
        <f aca="false">S287</f>
        <v>#N/A</v>
      </c>
      <c r="T288" s="250" t="e">
        <f aca="false">INDEX(DasaYears,MOD(V236-3,9)+1,1)</f>
        <v>#N/A</v>
      </c>
      <c r="U288" s="250"/>
      <c r="V288" s="250"/>
      <c r="W288" s="244" t="e">
        <f aca="false">W289-(VLOOKUP(S288,DasaYears,2,0)*VLOOKUP(T288,DasaYears,2,0)/VimTotal)*DaysInYear</f>
        <v>#N/A</v>
      </c>
      <c r="Y288" s="194" t="str">
        <f aca="false">Y287</f>
        <v>Jupiter</v>
      </c>
      <c r="Z288" s="250" t="str">
        <f aca="false">INDEX(DasaYears,MOD(AB236-3,9)+1,1)</f>
        <v>Saturn</v>
      </c>
      <c r="AA288" s="250"/>
      <c r="AB288" s="250"/>
      <c r="AC288" s="244" t="n">
        <f aca="false">AC289-(VLOOKUP(Y288,DasaYears,2,0)*VLOOKUP(Z288,DasaYears,2,0)/VimTotal)*DaysInYear</f>
        <v>47342.2948873903</v>
      </c>
    </row>
    <row r="289" s="227" customFormat="true" ht="15" hidden="false" customHeight="false" outlineLevel="0" collapsed="false">
      <c r="A289" s="194" t="str">
        <f aca="false">A288</f>
        <v>Mercury</v>
      </c>
      <c r="B289" s="250" t="str">
        <f aca="false">INDEX(DasaYears,MOD(D236-2,9)+1,1)</f>
        <v>Venus</v>
      </c>
      <c r="C289" s="250"/>
      <c r="D289" s="250"/>
      <c r="E289" s="244" t="n">
        <f aca="false">E290-(VLOOKUP(A289,DasaYears,2,0)*VLOOKUP(B289,DasaYears,2,0)/VimTotal)*DaysInYear</f>
        <v>49377.4889504111</v>
      </c>
      <c r="F289" s="246"/>
      <c r="G289" s="194" t="str">
        <f aca="false">G288</f>
        <v>Moon</v>
      </c>
      <c r="H289" s="250" t="str">
        <f aca="false">INDEX(DasaYears,MOD(J236-2,9)+1,1)</f>
        <v>Rahu</v>
      </c>
      <c r="I289" s="250"/>
      <c r="J289" s="250"/>
      <c r="K289" s="244" t="n">
        <f aca="false">K290-(VLOOKUP(G289,DasaYears,2,0)*VLOOKUP(H289,DasaYears,2,0)/VimTotal)*DaysInYear</f>
        <v>45078.7693501872</v>
      </c>
      <c r="M289" s="194" t="str">
        <f aca="false">M288</f>
        <v>Sun</v>
      </c>
      <c r="N289" s="250" t="str">
        <f aca="false">INDEX(DasaYears,MOD(P236-2,9)+1,1)</f>
        <v>Mars</v>
      </c>
      <c r="O289" s="250"/>
      <c r="P289" s="250"/>
      <c r="Q289" s="244" t="n">
        <f aca="false">Q290-(VLOOKUP(M289,DasaYears,2,0)*VLOOKUP(N289,DasaYears,2,0)/VimTotal)*DaysInYear</f>
        <v>49575.7584266764</v>
      </c>
      <c r="S289" s="194" t="e">
        <f aca="false">S288</f>
        <v>#N/A</v>
      </c>
      <c r="T289" s="250" t="e">
        <f aca="false">INDEX(DasaYears,MOD(V236-2,9)+1,1)</f>
        <v>#N/A</v>
      </c>
      <c r="U289" s="250"/>
      <c r="V289" s="250"/>
      <c r="W289" s="244" t="e">
        <f aca="false">W290-(VLOOKUP(S289,DasaYears,2,0)*VLOOKUP(T289,DasaYears,2,0)/VimTotal)*DaysInYear</f>
        <v>#N/A</v>
      </c>
      <c r="Y289" s="194" t="str">
        <f aca="false">Y288</f>
        <v>Jupiter</v>
      </c>
      <c r="Z289" s="250" t="str">
        <f aca="false">INDEX(DasaYears,MOD(AB236-2,9)+1,1)</f>
        <v>Mercury</v>
      </c>
      <c r="AA289" s="250"/>
      <c r="AB289" s="250"/>
      <c r="AC289" s="244" t="n">
        <f aca="false">AC290-(VLOOKUP(Y289,DasaYears,2,0)*VLOOKUP(Z289,DasaYears,2,0)/VimTotal)*DaysInYear</f>
        <v>48267.6072315261</v>
      </c>
    </row>
    <row r="290" s="227" customFormat="true" ht="15" hidden="false" customHeight="false" outlineLevel="0" collapsed="false">
      <c r="A290" s="194" t="str">
        <f aca="false">A289</f>
        <v>Mercury</v>
      </c>
      <c r="B290" s="227" t="str">
        <f aca="false">INDEX(DasaYears,MOD(D236-1,9)+1,1)</f>
        <v>Sun</v>
      </c>
      <c r="C290" s="250"/>
      <c r="D290" s="250"/>
      <c r="E290" s="244" t="n">
        <f aca="false">E291-(VLOOKUP(A290,DasaYears,2,0)*VLOOKUP(B290,DasaYears,2,0)/VimTotal)*DaysInYear</f>
        <v>50412.3777563525</v>
      </c>
      <c r="F290" s="246"/>
      <c r="G290" s="194" t="str">
        <f aca="false">G289</f>
        <v>Moon</v>
      </c>
      <c r="H290" s="227" t="str">
        <f aca="false">INDEX(DasaYears,MOD(J236-1,9)+1,1)</f>
        <v>Jupiter</v>
      </c>
      <c r="I290" s="250"/>
      <c r="J290" s="250"/>
      <c r="K290" s="244" t="n">
        <f aca="false">K291-(VLOOKUP(G290,DasaYears,2,0)*VLOOKUP(H290,DasaYears,2,0)/VimTotal)*DaysInYear</f>
        <v>45626.651659215</v>
      </c>
      <c r="M290" s="194" t="str">
        <f aca="false">M289</f>
        <v>Sun</v>
      </c>
      <c r="N290" s="227" t="str">
        <f aca="false">INDEX(DasaYears,MOD(P236-1,9)+1,1)</f>
        <v>Rahu</v>
      </c>
      <c r="O290" s="250"/>
      <c r="P290" s="250"/>
      <c r="Q290" s="244" t="n">
        <f aca="false">Q291-(VLOOKUP(M290,DasaYears,2,0)*VLOOKUP(N290,DasaYears,2,0)/VimTotal)*DaysInYear</f>
        <v>49703.5976321162</v>
      </c>
      <c r="S290" s="194" t="e">
        <f aca="false">S289</f>
        <v>#N/A</v>
      </c>
      <c r="T290" s="227" t="e">
        <f aca="false">INDEX(DasaYears,MOD(V236-1,9)+1,1)</f>
        <v>#N/A</v>
      </c>
      <c r="U290" s="250"/>
      <c r="V290" s="250"/>
      <c r="W290" s="244" t="e">
        <f aca="false">W291-(VLOOKUP(S290,DasaYears,2,0)*VLOOKUP(T290,DasaYears,2,0)/VimTotal)*DaysInYear</f>
        <v>#N/A</v>
      </c>
      <c r="Y290" s="194" t="str">
        <f aca="false">Y289</f>
        <v>Jupiter</v>
      </c>
      <c r="Z290" s="227" t="str">
        <f aca="false">INDEX(DasaYears,MOD(AB236-1,9)+1,1)</f>
        <v>Ketu</v>
      </c>
      <c r="AA290" s="250"/>
      <c r="AB290" s="250"/>
      <c r="AC290" s="244" t="n">
        <f aca="false">AC291-(VLOOKUP(Y290,DasaYears,2,0)*VLOOKUP(Z290,DasaYears,2,0)/VimTotal)*DaysInYear</f>
        <v>49095.5182762792</v>
      </c>
    </row>
    <row r="291" s="227" customFormat="true" ht="15" hidden="false" customHeight="false" outlineLevel="0" collapsed="false">
      <c r="A291" s="194" t="str">
        <f aca="false">A290</f>
        <v>Mercury</v>
      </c>
      <c r="B291" s="250" t="str">
        <f aca="false">INDEX(DasaYears,MOD(D236,9)+1,1)</f>
        <v>Moon</v>
      </c>
      <c r="C291" s="250"/>
      <c r="D291" s="250"/>
      <c r="E291" s="244" t="n">
        <f aca="false">E292-(VLOOKUP(A291,DasaYears,2,0)*VLOOKUP(B291,DasaYears,2,0)/VimTotal)*DaysInYear</f>
        <v>50722.8443981349</v>
      </c>
      <c r="F291" s="246"/>
      <c r="G291" s="194" t="str">
        <f aca="false">G290</f>
        <v>Moon</v>
      </c>
      <c r="H291" s="250" t="str">
        <f aca="false">INDEX(DasaYears,MOD(J236,9)+1,1)</f>
        <v>Saturn</v>
      </c>
      <c r="I291" s="250"/>
      <c r="J291" s="250"/>
      <c r="K291" s="244" t="n">
        <f aca="false">K292-(VLOOKUP(G291,DasaYears,2,0)*VLOOKUP(H291,DasaYears,2,0)/VimTotal)*DaysInYear</f>
        <v>46113.6581561285</v>
      </c>
      <c r="M291" s="194" t="str">
        <f aca="false">M290</f>
        <v>Sun</v>
      </c>
      <c r="N291" s="250" t="str">
        <f aca="false">INDEX(DasaYears,MOD(P236,9)+1,1)</f>
        <v>Jupiter</v>
      </c>
      <c r="O291" s="250"/>
      <c r="P291" s="250"/>
      <c r="Q291" s="244" t="n">
        <f aca="false">Q292-(VLOOKUP(M291,DasaYears,2,0)*VLOOKUP(N291,DasaYears,2,0)/VimTotal)*DaysInYear</f>
        <v>50032.3270175329</v>
      </c>
      <c r="S291" s="194" t="e">
        <f aca="false">S290</f>
        <v>#N/A</v>
      </c>
      <c r="T291" s="250" t="e">
        <f aca="false">INDEX(DasaYears,MOD(V236,9)+1,1)</f>
        <v>#N/A</v>
      </c>
      <c r="U291" s="250"/>
      <c r="V291" s="250"/>
      <c r="W291" s="244" t="e">
        <f aca="false">W292-(VLOOKUP(S291,DasaYears,2,0)*VLOOKUP(T291,DasaYears,2,0)/VimTotal)*DaysInYear</f>
        <v>#N/A</v>
      </c>
      <c r="Y291" s="194" t="str">
        <f aca="false">Y290</f>
        <v>Jupiter</v>
      </c>
      <c r="Z291" s="250" t="str">
        <f aca="false">INDEX(DasaYears,MOD(AB236,9)+1,1)</f>
        <v>Venus</v>
      </c>
      <c r="AA291" s="250"/>
      <c r="AB291" s="250"/>
      <c r="AC291" s="244" t="n">
        <f aca="false">AC292-(VLOOKUP(Y291,DasaYears,2,0)*VLOOKUP(Z291,DasaYears,2,0)/VimTotal)*DaysInYear</f>
        <v>49436.4228241187</v>
      </c>
    </row>
    <row r="292" s="227" customFormat="true" ht="15" hidden="false" customHeight="false" outlineLevel="0" collapsed="false">
      <c r="A292" s="194" t="str">
        <f aca="false">A291</f>
        <v>Mercury</v>
      </c>
      <c r="B292" s="250" t="str">
        <f aca="false">INDEX(DasaYears,MOD(D236-8,9)+1,1)</f>
        <v>Mars</v>
      </c>
      <c r="C292" s="250"/>
      <c r="D292" s="250"/>
      <c r="E292" s="244" t="n">
        <f aca="false">E293-(VLOOKUP(A292,DasaYears,2,0)*VLOOKUP(B292,DasaYears,2,0)/VimTotal)*DaysInYear</f>
        <v>51240.2888011055</v>
      </c>
      <c r="F292" s="246"/>
      <c r="G292" s="194" t="str">
        <f aca="false">G291</f>
        <v>Moon</v>
      </c>
      <c r="H292" s="250" t="str">
        <f aca="false">INDEX(DasaYears,MOD(J236-8,9)+1,1)</f>
        <v>Mercury</v>
      </c>
      <c r="I292" s="250"/>
      <c r="J292" s="250"/>
      <c r="K292" s="244" t="n">
        <f aca="false">K293-(VLOOKUP(G292,DasaYears,2,0)*VLOOKUP(H292,DasaYears,2,0)/VimTotal)*DaysInYear</f>
        <v>46691.9783712134</v>
      </c>
      <c r="M292" s="194" t="str">
        <f aca="false">M291</f>
        <v>Sun</v>
      </c>
      <c r="N292" s="250" t="str">
        <f aca="false">INDEX(DasaYears,MOD(P236-8,9)+1,1)</f>
        <v>Saturn</v>
      </c>
      <c r="O292" s="250"/>
      <c r="P292" s="250"/>
      <c r="Q292" s="244" t="n">
        <f aca="false">Q293-(VLOOKUP(M292,DasaYears,2,0)*VLOOKUP(N292,DasaYears,2,0)/VimTotal)*DaysInYear</f>
        <v>50324.530915681</v>
      </c>
      <c r="S292" s="194" t="e">
        <f aca="false">S291</f>
        <v>#N/A</v>
      </c>
      <c r="T292" s="250" t="e">
        <f aca="false">INDEX(DasaYears,MOD(V236-8,9)+1,1)</f>
        <v>#N/A</v>
      </c>
      <c r="U292" s="250"/>
      <c r="V292" s="250"/>
      <c r="W292" s="244" t="e">
        <f aca="false">W293-(VLOOKUP(S292,DasaYears,2,0)*VLOOKUP(T292,DasaYears,2,0)/VimTotal)*DaysInYear</f>
        <v>#N/A</v>
      </c>
      <c r="Y292" s="194" t="str">
        <f aca="false">Y291</f>
        <v>Jupiter</v>
      </c>
      <c r="Z292" s="250" t="str">
        <f aca="false">INDEX(DasaYears,MOD(AB236-8,9)+1,1)</f>
        <v>Sun</v>
      </c>
      <c r="AA292" s="250"/>
      <c r="AB292" s="250"/>
      <c r="AC292" s="244" t="n">
        <f aca="false">AC293-(VLOOKUP(Y292,DasaYears,2,0)*VLOOKUP(Z292,DasaYears,2,0)/VimTotal)*DaysInYear</f>
        <v>50410.4358179459</v>
      </c>
    </row>
    <row r="293" s="227" customFormat="true" ht="15" hidden="false" customHeight="false" outlineLevel="0" collapsed="false">
      <c r="A293" s="194" t="str">
        <f aca="false">A292</f>
        <v>Mercury</v>
      </c>
      <c r="B293" s="250" t="str">
        <f aca="false">INDEX(DasaYears,MOD(D236-7,9)+1,1)</f>
        <v>Rahu</v>
      </c>
      <c r="C293" s="250"/>
      <c r="D293" s="250"/>
      <c r="E293" s="244" t="n">
        <f aca="false">E294-(VLOOKUP(A293,DasaYears,2,0)*VLOOKUP(B293,DasaYears,2,0)/VimTotal)*DaysInYear</f>
        <v>51602.499883185</v>
      </c>
      <c r="F293" s="246"/>
      <c r="G293" s="194" t="str">
        <f aca="false">G292</f>
        <v>Moon</v>
      </c>
      <c r="H293" s="250" t="str">
        <f aca="false">INDEX(DasaYears,MOD(J236-7,9)+1,1)</f>
        <v>Ketu</v>
      </c>
      <c r="I293" s="250"/>
      <c r="J293" s="250"/>
      <c r="K293" s="244" t="n">
        <f aca="false">K294-(VLOOKUP(G293,DasaYears,2,0)*VLOOKUP(H293,DasaYears,2,0)/VimTotal)*DaysInYear</f>
        <v>47209.4227741841</v>
      </c>
      <c r="M293" s="194" t="str">
        <f aca="false">M292</f>
        <v>Sun</v>
      </c>
      <c r="N293" s="250" t="str">
        <f aca="false">INDEX(DasaYears,MOD(P236-7,9)+1,1)</f>
        <v>Mercury</v>
      </c>
      <c r="O293" s="250"/>
      <c r="P293" s="250"/>
      <c r="Q293" s="244" t="n">
        <f aca="false">Q294-(VLOOKUP(M293,DasaYears,2,0)*VLOOKUP(N293,DasaYears,2,0)/VimTotal)*DaysInYear</f>
        <v>50671.523044732</v>
      </c>
      <c r="S293" s="194" t="e">
        <f aca="false">S292</f>
        <v>#N/A</v>
      </c>
      <c r="T293" s="250" t="e">
        <f aca="false">INDEX(DasaYears,MOD(V236-7,9)+1,1)</f>
        <v>#N/A</v>
      </c>
      <c r="U293" s="250"/>
      <c r="V293" s="250"/>
      <c r="W293" s="244" t="e">
        <f aca="false">W294-(VLOOKUP(S293,DasaYears,2,0)*VLOOKUP(T293,DasaYears,2,0)/VimTotal)*DaysInYear</f>
        <v>#N/A</v>
      </c>
      <c r="Y293" s="194" t="str">
        <f aca="false">Y292</f>
        <v>Jupiter</v>
      </c>
      <c r="Z293" s="250" t="str">
        <f aca="false">INDEX(DasaYears,MOD(AB236-7,9)+1,1)</f>
        <v>Moon</v>
      </c>
      <c r="AA293" s="250"/>
      <c r="AB293" s="250"/>
      <c r="AC293" s="244" t="n">
        <f aca="false">AC294-(VLOOKUP(Y293,DasaYears,2,0)*VLOOKUP(Z293,DasaYears,2,0)/VimTotal)*DaysInYear</f>
        <v>50702.639716094</v>
      </c>
    </row>
    <row r="294" s="227" customFormat="true" ht="15" hidden="false" customHeight="false" outlineLevel="0" collapsed="false">
      <c r="A294" s="194" t="str">
        <f aca="false">A293</f>
        <v>Mercury</v>
      </c>
      <c r="B294" s="250" t="str">
        <f aca="false">INDEX(DasaYears,MOD(D236-6,9)+1,1)</f>
        <v>Jupiter</v>
      </c>
      <c r="C294" s="250"/>
      <c r="D294" s="250"/>
      <c r="E294" s="244" t="n">
        <f aca="false">E295-(VLOOKUP(A294,DasaYears,2,0)*VLOOKUP(B294,DasaYears,2,0)/VimTotal)*DaysInYear</f>
        <v>52533.8998085322</v>
      </c>
      <c r="F294" s="246"/>
      <c r="G294" s="194" t="str">
        <f aca="false">G293</f>
        <v>Moon</v>
      </c>
      <c r="H294" s="250" t="str">
        <f aca="false">INDEX(DasaYears,MOD(J236-6,9)+1,1)</f>
        <v>Venus</v>
      </c>
      <c r="I294" s="250"/>
      <c r="J294" s="250"/>
      <c r="K294" s="244" t="n">
        <f aca="false">K295-(VLOOKUP(G294,DasaYears,2,0)*VLOOKUP(H294,DasaYears,2,0)/VimTotal)*DaysInYear</f>
        <v>47422.4881165838</v>
      </c>
      <c r="M294" s="194" t="str">
        <f aca="false">M293</f>
        <v>Sun</v>
      </c>
      <c r="N294" s="250" t="str">
        <f aca="false">INDEX(DasaYears,MOD(P236-6,9)+1,1)</f>
        <v>Ketu</v>
      </c>
      <c r="O294" s="250"/>
      <c r="P294" s="250"/>
      <c r="Q294" s="244" t="n">
        <f aca="false">Q295-(VLOOKUP(M294,DasaYears,2,0)*VLOOKUP(N294,DasaYears,2,0)/VimTotal)*DaysInYear</f>
        <v>50981.9896865144</v>
      </c>
      <c r="S294" s="194" t="e">
        <f aca="false">S293</f>
        <v>#N/A</v>
      </c>
      <c r="T294" s="250" t="e">
        <f aca="false">INDEX(DasaYears,MOD(V236-6,9)+1,1)</f>
        <v>#N/A</v>
      </c>
      <c r="U294" s="250"/>
      <c r="V294" s="250"/>
      <c r="W294" s="244" t="e">
        <f aca="false">W295-(VLOOKUP(S294,DasaYears,2,0)*VLOOKUP(T294,DasaYears,2,0)/VimTotal)*DaysInYear</f>
        <v>#N/A</v>
      </c>
      <c r="Y294" s="194" t="str">
        <f aca="false">Y293</f>
        <v>Jupiter</v>
      </c>
      <c r="Z294" s="250" t="str">
        <f aca="false">INDEX(DasaYears,MOD(AB236-6,9)+1,1)</f>
        <v>Mars</v>
      </c>
      <c r="AA294" s="250"/>
      <c r="AB294" s="250"/>
      <c r="AC294" s="244" t="n">
        <f aca="false">AC295-(VLOOKUP(Y294,DasaYears,2,0)*VLOOKUP(Z294,DasaYears,2,0)/VimTotal)*DaysInYear</f>
        <v>51189.6462130076</v>
      </c>
    </row>
    <row r="295" s="227" customFormat="true" ht="15" hidden="false" customHeight="false" outlineLevel="0" collapsed="false">
      <c r="A295" s="194" t="str">
        <f aca="false">A294</f>
        <v>Mercury</v>
      </c>
      <c r="B295" s="250" t="str">
        <f aca="false">INDEX(DasaYears,MOD(D236-5,9)+1,1)</f>
        <v>Saturn</v>
      </c>
      <c r="C295" s="250"/>
      <c r="D295" s="250"/>
      <c r="E295" s="244" t="n">
        <f aca="false">E296-(VLOOKUP(A295,DasaYears,2,0)*VLOOKUP(B295,DasaYears,2,0)/VimTotal)*DaysInYear</f>
        <v>53361.8108532853</v>
      </c>
      <c r="F295" s="246"/>
      <c r="G295" s="194" t="str">
        <f aca="false">G294</f>
        <v>Moon</v>
      </c>
      <c r="H295" s="250" t="str">
        <f aca="false">INDEX(DasaYears,MOD(J236-5,9)+1,1)</f>
        <v>Sun</v>
      </c>
      <c r="I295" s="250"/>
      <c r="J295" s="250"/>
      <c r="K295" s="244" t="n">
        <f aca="false">K296-(VLOOKUP(G295,DasaYears,2,0)*VLOOKUP(H295,DasaYears,2,0)/VimTotal)*DaysInYear</f>
        <v>48031.2462377258</v>
      </c>
      <c r="M295" s="194" t="str">
        <f aca="false">M294</f>
        <v>Sun</v>
      </c>
      <c r="N295" s="250" t="str">
        <f aca="false">INDEX(DasaYears,MOD(P236-5,9)+1,1)</f>
        <v>Venus</v>
      </c>
      <c r="O295" s="250"/>
      <c r="P295" s="250"/>
      <c r="Q295" s="244" t="n">
        <f aca="false">Q296-(VLOOKUP(M295,DasaYears,2,0)*VLOOKUP(N295,DasaYears,2,0)/VimTotal)*DaysInYear</f>
        <v>51109.8288919542</v>
      </c>
      <c r="S295" s="194" t="e">
        <f aca="false">S294</f>
        <v>#N/A</v>
      </c>
      <c r="T295" s="250" t="e">
        <f aca="false">INDEX(DasaYears,MOD(V236-5,9)+1,1)</f>
        <v>#N/A</v>
      </c>
      <c r="U295" s="250"/>
      <c r="V295" s="250"/>
      <c r="W295" s="244" t="e">
        <f aca="false">W296-(VLOOKUP(S295,DasaYears,2,0)*VLOOKUP(T295,DasaYears,2,0)/VimTotal)*DaysInYear</f>
        <v>#N/A</v>
      </c>
      <c r="Y295" s="194" t="str">
        <f aca="false">Y294</f>
        <v>Jupiter</v>
      </c>
      <c r="Z295" s="250" t="str">
        <f aca="false">INDEX(DasaYears,MOD(AB236-5,9)+1,1)</f>
        <v>Rahu</v>
      </c>
      <c r="AA295" s="250"/>
      <c r="AB295" s="250"/>
      <c r="AC295" s="244" t="n">
        <f aca="false">AC296-(VLOOKUP(Y295,DasaYears,2,0)*VLOOKUP(Z295,DasaYears,2,0)/VimTotal)*DaysInYear</f>
        <v>51530.5507608471</v>
      </c>
    </row>
    <row r="296" s="269" customFormat="true" ht="15" hidden="false" customHeight="false" outlineLevel="0" collapsed="false">
      <c r="A296" s="213" t="str">
        <f aca="false">INDEX(DasaYears,MOD(D236+6,9)+1,1)</f>
        <v>Ketu</v>
      </c>
      <c r="C296" s="266"/>
      <c r="D296" s="266"/>
      <c r="E296" s="267" t="n">
        <f aca="false">E287+DaysInYear*VLOOKUP(A287,DasaYears,2,0)</f>
        <v>54344.9552189296</v>
      </c>
      <c r="F296" s="268"/>
      <c r="G296" s="213" t="str">
        <f aca="false">INDEX(DasaYears,MOD(J236+6,9)+1,1)</f>
        <v>Mars</v>
      </c>
      <c r="I296" s="266"/>
      <c r="J296" s="266"/>
      <c r="K296" s="267" t="n">
        <f aca="false">K287+DaysInYear*VLOOKUP(G287,DasaYears,2,0)</f>
        <v>48213.8736740683</v>
      </c>
      <c r="M296" s="213" t="str">
        <f aca="false">INDEX(DasaYears,MOD(P236+6,9)+1,1)</f>
        <v>Moon</v>
      </c>
      <c r="O296" s="266"/>
      <c r="P296" s="266"/>
      <c r="Q296" s="267" t="n">
        <f aca="false">Q287+DaysInYear*VLOOKUP(M287,DasaYears,2,0)</f>
        <v>51475.0837646394</v>
      </c>
      <c r="S296" s="213" t="e">
        <f aca="false">INDEX(DasaYears,MOD(V236+6,9)+1,1)</f>
        <v>#N/A</v>
      </c>
      <c r="U296" s="266"/>
      <c r="V296" s="266"/>
      <c r="W296" s="267" t="e">
        <f aca="false">W287+DaysInYear*VLOOKUP(S287,DasaYears,2,0)</f>
        <v>#N/A</v>
      </c>
      <c r="Y296" s="213" t="str">
        <f aca="false">INDEX(DasaYears,MOD(AB236+6,9)+1,1)</f>
        <v>Saturn</v>
      </c>
      <c r="AA296" s="266"/>
      <c r="AB296" s="266"/>
      <c r="AC296" s="267" t="n">
        <f aca="false">AC287+DaysInYear*VLOOKUP(Y287,DasaYears,2,0)</f>
        <v>52407.1624552915</v>
      </c>
    </row>
    <row r="297" s="269" customFormat="true" ht="15" hidden="false" customHeight="false" outlineLevel="0" collapsed="false">
      <c r="A297" s="213" t="str">
        <f aca="false">A296</f>
        <v>Ketu</v>
      </c>
      <c r="B297" s="266" t="str">
        <f aca="false">INDEX(DasaYears,MOD(D236-2,9)+1,1)</f>
        <v>Venus</v>
      </c>
      <c r="C297" s="266"/>
      <c r="D297" s="266"/>
      <c r="E297" s="267" t="n">
        <f aca="false">E298-(VLOOKUP(A297,DasaYears,2,0)*VLOOKUP(B297,DasaYears,2,0)/VimTotal)*DaysInYear</f>
        <v>54494.1009586094</v>
      </c>
      <c r="F297" s="268"/>
      <c r="G297" s="213" t="str">
        <f aca="false">G296</f>
        <v>Mars</v>
      </c>
      <c r="H297" s="266" t="str">
        <f aca="false">INDEX(DasaYears,MOD(J236-2,9)+1,1)</f>
        <v>Rahu</v>
      </c>
      <c r="I297" s="266"/>
      <c r="J297" s="266"/>
      <c r="K297" s="267" t="n">
        <f aca="false">K298-(VLOOKUP(G297,DasaYears,2,0)*VLOOKUP(H297,DasaYears,2,0)/VimTotal)*DaysInYear</f>
        <v>48363.0194137481</v>
      </c>
      <c r="M297" s="213" t="str">
        <f aca="false">M296</f>
        <v>Moon</v>
      </c>
      <c r="N297" s="266" t="str">
        <f aca="false">INDEX(DasaYears,MOD(P236-2,9)+1,1)</f>
        <v>Mars</v>
      </c>
      <c r="O297" s="266"/>
      <c r="P297" s="266"/>
      <c r="Q297" s="267" t="n">
        <f aca="false">Q298-(VLOOKUP(M297,DasaYears,2,0)*VLOOKUP(N297,DasaYears,2,0)/VimTotal)*DaysInYear</f>
        <v>51779.4628252103</v>
      </c>
      <c r="S297" s="213" t="e">
        <f aca="false">S296</f>
        <v>#N/A</v>
      </c>
      <c r="T297" s="266" t="e">
        <f aca="false">INDEX(DasaYears,MOD(V236-2,9)+1,1)</f>
        <v>#N/A</v>
      </c>
      <c r="U297" s="266"/>
      <c r="V297" s="266"/>
      <c r="W297" s="267" t="e">
        <f aca="false">W298-(VLOOKUP(S297,DasaYears,2,0)*VLOOKUP(T297,DasaYears,2,0)/VimTotal)*DaysInYear</f>
        <v>#N/A</v>
      </c>
      <c r="Y297" s="213" t="str">
        <f aca="false">Y296</f>
        <v>Saturn</v>
      </c>
      <c r="Z297" s="266" t="str">
        <f aca="false">INDEX(DasaYears,MOD(AB236-2,9)+1,1)</f>
        <v>Mercury</v>
      </c>
      <c r="AA297" s="266"/>
      <c r="AB297" s="266"/>
      <c r="AC297" s="267" t="n">
        <f aca="false">AC298-(VLOOKUP(Y297,DasaYears,2,0)*VLOOKUP(Z297,DasaYears,2,0)/VimTotal)*DaysInYear</f>
        <v>53505.9708639528</v>
      </c>
    </row>
    <row r="298" s="269" customFormat="true" ht="15" hidden="false" customHeight="false" outlineLevel="0" collapsed="false">
      <c r="A298" s="213" t="str">
        <f aca="false">A297</f>
        <v>Ketu</v>
      </c>
      <c r="B298" s="269" t="str">
        <f aca="false">INDEX(DasaYears,MOD(D236-1,9)+1,1)</f>
        <v>Sun</v>
      </c>
      <c r="C298" s="266"/>
      <c r="D298" s="266"/>
      <c r="E298" s="267" t="n">
        <f aca="false">E299-(VLOOKUP(A298,DasaYears,2,0)*VLOOKUP(B298,DasaYears,2,0)/VimTotal)*DaysInYear</f>
        <v>54920.2316434087</v>
      </c>
      <c r="F298" s="268"/>
      <c r="G298" s="213" t="str">
        <f aca="false">G297</f>
        <v>Mars</v>
      </c>
      <c r="H298" s="269" t="str">
        <f aca="false">INDEX(DasaYears,MOD(J236-1,9)+1,1)</f>
        <v>Jupiter</v>
      </c>
      <c r="I298" s="266"/>
      <c r="J298" s="266"/>
      <c r="K298" s="267" t="n">
        <f aca="false">K299-(VLOOKUP(G298,DasaYears,2,0)*VLOOKUP(H298,DasaYears,2,0)/VimTotal)*DaysInYear</f>
        <v>48746.5370300676</v>
      </c>
      <c r="M298" s="213" t="str">
        <f aca="false">M297</f>
        <v>Moon</v>
      </c>
      <c r="N298" s="269" t="str">
        <f aca="false">INDEX(DasaYears,MOD(P236-1,9)+1,1)</f>
        <v>Rahu</v>
      </c>
      <c r="O298" s="266"/>
      <c r="P298" s="266"/>
      <c r="Q298" s="267" t="n">
        <f aca="false">Q299-(VLOOKUP(M298,DasaYears,2,0)*VLOOKUP(N298,DasaYears,2,0)/VimTotal)*DaysInYear</f>
        <v>51992.52816761</v>
      </c>
      <c r="S298" s="213" t="e">
        <f aca="false">S297</f>
        <v>#N/A</v>
      </c>
      <c r="T298" s="269" t="e">
        <f aca="false">INDEX(DasaYears,MOD(V236-1,9)+1,1)</f>
        <v>#N/A</v>
      </c>
      <c r="U298" s="266"/>
      <c r="V298" s="266"/>
      <c r="W298" s="267" t="e">
        <f aca="false">W299-(VLOOKUP(S298,DasaYears,2,0)*VLOOKUP(T298,DasaYears,2,0)/VimTotal)*DaysInYear</f>
        <v>#N/A</v>
      </c>
      <c r="Y298" s="213" t="str">
        <f aca="false">Y297</f>
        <v>Saturn</v>
      </c>
      <c r="Z298" s="269" t="str">
        <f aca="false">INDEX(DasaYears,MOD(AB236-1,9)+1,1)</f>
        <v>Ketu</v>
      </c>
      <c r="AA298" s="266"/>
      <c r="AB298" s="266"/>
      <c r="AC298" s="267" t="n">
        <f aca="false">AC299-(VLOOKUP(Y298,DasaYears,2,0)*VLOOKUP(Z298,DasaYears,2,0)/VimTotal)*DaysInYear</f>
        <v>54489.1152295971</v>
      </c>
    </row>
    <row r="299" s="269" customFormat="true" ht="15" hidden="false" customHeight="false" outlineLevel="0" collapsed="false">
      <c r="A299" s="213" t="str">
        <f aca="false">A298</f>
        <v>Ketu</v>
      </c>
      <c r="B299" s="266" t="str">
        <f aca="false">INDEX(DasaYears,MOD(D236,9)+1,1)</f>
        <v>Moon</v>
      </c>
      <c r="C299" s="266"/>
      <c r="D299" s="266"/>
      <c r="E299" s="267" t="n">
        <f aca="false">E300-(VLOOKUP(A299,DasaYears,2,0)*VLOOKUP(B299,DasaYears,2,0)/VimTotal)*DaysInYear</f>
        <v>55048.0708488485</v>
      </c>
      <c r="F299" s="268"/>
      <c r="G299" s="213" t="str">
        <f aca="false">G298</f>
        <v>Mars</v>
      </c>
      <c r="H299" s="266" t="str">
        <f aca="false">INDEX(DasaYears,MOD(J236,9)+1,1)</f>
        <v>Saturn</v>
      </c>
      <c r="I299" s="266"/>
      <c r="J299" s="266"/>
      <c r="K299" s="267" t="n">
        <f aca="false">K300-(VLOOKUP(G299,DasaYears,2,0)*VLOOKUP(H299,DasaYears,2,0)/VimTotal)*DaysInYear</f>
        <v>49087.4415779071</v>
      </c>
      <c r="M299" s="213" t="str">
        <f aca="false">M298</f>
        <v>Moon</v>
      </c>
      <c r="N299" s="266" t="str">
        <f aca="false">INDEX(DasaYears,MOD(P236,9)+1,1)</f>
        <v>Jupiter</v>
      </c>
      <c r="O299" s="266"/>
      <c r="P299" s="266"/>
      <c r="Q299" s="267" t="n">
        <f aca="false">Q300-(VLOOKUP(M299,DasaYears,2,0)*VLOOKUP(N299,DasaYears,2,0)/VimTotal)*DaysInYear</f>
        <v>52540.4104766378</v>
      </c>
      <c r="S299" s="213" t="e">
        <f aca="false">S298</f>
        <v>#N/A</v>
      </c>
      <c r="T299" s="266" t="e">
        <f aca="false">INDEX(DasaYears,MOD(V236,9)+1,1)</f>
        <v>#N/A</v>
      </c>
      <c r="U299" s="266"/>
      <c r="V299" s="266"/>
      <c r="W299" s="267" t="e">
        <f aca="false">W300-(VLOOKUP(S299,DasaYears,2,0)*VLOOKUP(T299,DasaYears,2,0)/VimTotal)*DaysInYear</f>
        <v>#N/A</v>
      </c>
      <c r="Y299" s="213" t="str">
        <f aca="false">Y298</f>
        <v>Saturn</v>
      </c>
      <c r="Z299" s="266" t="str">
        <f aca="false">INDEX(DasaYears,MOD(AB236,9)+1,1)</f>
        <v>Venus</v>
      </c>
      <c r="AA299" s="266"/>
      <c r="AB299" s="266"/>
      <c r="AC299" s="267" t="n">
        <f aca="false">AC300-(VLOOKUP(Y299,DasaYears,2,0)*VLOOKUP(Z299,DasaYears,2,0)/VimTotal)*DaysInYear</f>
        <v>54893.9393801565</v>
      </c>
    </row>
    <row r="300" s="269" customFormat="true" ht="15" hidden="false" customHeight="false" outlineLevel="0" collapsed="false">
      <c r="A300" s="213" t="str">
        <f aca="false">A299</f>
        <v>Ketu</v>
      </c>
      <c r="B300" s="266" t="str">
        <f aca="false">INDEX(DasaYears,MOD(D236-8,9)+1,1)</f>
        <v>Mars</v>
      </c>
      <c r="C300" s="266"/>
      <c r="D300" s="266"/>
      <c r="E300" s="267" t="n">
        <f aca="false">E301-(VLOOKUP(A300,DasaYears,2,0)*VLOOKUP(B300,DasaYears,2,0)/VimTotal)*DaysInYear</f>
        <v>55261.1361912482</v>
      </c>
      <c r="F300" s="268"/>
      <c r="G300" s="213" t="str">
        <f aca="false">G299</f>
        <v>Mars</v>
      </c>
      <c r="H300" s="266" t="str">
        <f aca="false">INDEX(DasaYears,MOD(J236-8,9)+1,1)</f>
        <v>Mercury</v>
      </c>
      <c r="I300" s="266"/>
      <c r="J300" s="266"/>
      <c r="K300" s="267" t="n">
        <f aca="false">K301-(VLOOKUP(G300,DasaYears,2,0)*VLOOKUP(H300,DasaYears,2,0)/VimTotal)*DaysInYear</f>
        <v>49492.2657284665</v>
      </c>
      <c r="M300" s="213" t="str">
        <f aca="false">M299</f>
        <v>Moon</v>
      </c>
      <c r="N300" s="266" t="str">
        <f aca="false">INDEX(DasaYears,MOD(P236-8,9)+1,1)</f>
        <v>Saturn</v>
      </c>
      <c r="O300" s="266"/>
      <c r="P300" s="266"/>
      <c r="Q300" s="267" t="n">
        <f aca="false">Q301-(VLOOKUP(M300,DasaYears,2,0)*VLOOKUP(N300,DasaYears,2,0)/VimTotal)*DaysInYear</f>
        <v>53027.4169735514</v>
      </c>
      <c r="S300" s="213" t="e">
        <f aca="false">S299</f>
        <v>#N/A</v>
      </c>
      <c r="T300" s="266" t="e">
        <f aca="false">INDEX(DasaYears,MOD(V236-8,9)+1,1)</f>
        <v>#N/A</v>
      </c>
      <c r="U300" s="266"/>
      <c r="V300" s="266"/>
      <c r="W300" s="267" t="e">
        <f aca="false">W301-(VLOOKUP(S300,DasaYears,2,0)*VLOOKUP(T300,DasaYears,2,0)/VimTotal)*DaysInYear</f>
        <v>#N/A</v>
      </c>
      <c r="Y300" s="213" t="str">
        <f aca="false">Y299</f>
        <v>Saturn</v>
      </c>
      <c r="Z300" s="266" t="str">
        <f aca="false">INDEX(DasaYears,MOD(AB236-8,9)+1,1)</f>
        <v>Sun</v>
      </c>
      <c r="AA300" s="266"/>
      <c r="AB300" s="266"/>
      <c r="AC300" s="267" t="n">
        <f aca="false">AC301-(VLOOKUP(Y300,DasaYears,2,0)*VLOOKUP(Z300,DasaYears,2,0)/VimTotal)*DaysInYear</f>
        <v>56050.5798103262</v>
      </c>
    </row>
    <row r="301" s="269" customFormat="true" ht="15" hidden="false" customHeight="false" outlineLevel="0" collapsed="false">
      <c r="A301" s="213" t="str">
        <f aca="false">A300</f>
        <v>Ketu</v>
      </c>
      <c r="B301" s="266" t="str">
        <f aca="false">INDEX(DasaYears,MOD(D236-7,9)+1,1)</f>
        <v>Rahu</v>
      </c>
      <c r="C301" s="266"/>
      <c r="D301" s="266"/>
      <c r="E301" s="267" t="n">
        <f aca="false">E302-(VLOOKUP(A301,DasaYears,2,0)*VLOOKUP(B301,DasaYears,2,0)/VimTotal)*DaysInYear</f>
        <v>55410.281930928</v>
      </c>
      <c r="F301" s="268"/>
      <c r="G301" s="213" t="str">
        <f aca="false">G300</f>
        <v>Mars</v>
      </c>
      <c r="H301" s="266" t="str">
        <f aca="false">INDEX(DasaYears,MOD(J236-7,9)+1,1)</f>
        <v>Ketu</v>
      </c>
      <c r="I301" s="266"/>
      <c r="J301" s="266"/>
      <c r="K301" s="267" t="n">
        <f aca="false">K302-(VLOOKUP(G301,DasaYears,2,0)*VLOOKUP(H301,DasaYears,2,0)/VimTotal)*DaysInYear</f>
        <v>49854.4768105459</v>
      </c>
      <c r="M301" s="213" t="str">
        <f aca="false">M300</f>
        <v>Moon</v>
      </c>
      <c r="N301" s="266" t="str">
        <f aca="false">INDEX(DasaYears,MOD(P236-7,9)+1,1)</f>
        <v>Mercury</v>
      </c>
      <c r="O301" s="266"/>
      <c r="P301" s="266"/>
      <c r="Q301" s="267" t="n">
        <f aca="false">Q302-(VLOOKUP(M301,DasaYears,2,0)*VLOOKUP(N301,DasaYears,2,0)/VimTotal)*DaysInYear</f>
        <v>53605.7371886363</v>
      </c>
      <c r="S301" s="213" t="e">
        <f aca="false">S300</f>
        <v>#N/A</v>
      </c>
      <c r="T301" s="266" t="e">
        <f aca="false">INDEX(DasaYears,MOD(V236-7,9)+1,1)</f>
        <v>#N/A</v>
      </c>
      <c r="U301" s="266"/>
      <c r="V301" s="266"/>
      <c r="W301" s="267" t="e">
        <f aca="false">W302-(VLOOKUP(S301,DasaYears,2,0)*VLOOKUP(T301,DasaYears,2,0)/VimTotal)*DaysInYear</f>
        <v>#N/A</v>
      </c>
      <c r="Y301" s="213" t="str">
        <f aca="false">Y300</f>
        <v>Saturn</v>
      </c>
      <c r="Z301" s="266" t="str">
        <f aca="false">INDEX(DasaYears,MOD(AB236-7,9)+1,1)</f>
        <v>Moon</v>
      </c>
      <c r="AA301" s="266"/>
      <c r="AB301" s="266"/>
      <c r="AC301" s="267" t="n">
        <f aca="false">AC302-(VLOOKUP(Y301,DasaYears,2,0)*VLOOKUP(Z301,DasaYears,2,0)/VimTotal)*DaysInYear</f>
        <v>56397.5719393771</v>
      </c>
    </row>
    <row r="302" s="269" customFormat="true" ht="15" hidden="false" customHeight="false" outlineLevel="0" collapsed="false">
      <c r="A302" s="213" t="str">
        <f aca="false">A301</f>
        <v>Ketu</v>
      </c>
      <c r="B302" s="266" t="str">
        <f aca="false">INDEX(DasaYears,MOD(D236-6,9)+1,1)</f>
        <v>Jupiter</v>
      </c>
      <c r="C302" s="266"/>
      <c r="D302" s="266"/>
      <c r="E302" s="267" t="n">
        <f aca="false">E303-(VLOOKUP(A302,DasaYears,2,0)*VLOOKUP(B302,DasaYears,2,0)/VimTotal)*DaysInYear</f>
        <v>55793.7995472475</v>
      </c>
      <c r="F302" s="268"/>
      <c r="G302" s="213" t="str">
        <f aca="false">G301</f>
        <v>Mars</v>
      </c>
      <c r="H302" s="266" t="str">
        <f aca="false">INDEX(DasaYears,MOD(J236-6,9)+1,1)</f>
        <v>Venus</v>
      </c>
      <c r="I302" s="266"/>
      <c r="J302" s="266"/>
      <c r="K302" s="267" t="n">
        <f aca="false">K303-(VLOOKUP(G302,DasaYears,2,0)*VLOOKUP(H302,DasaYears,2,0)/VimTotal)*DaysInYear</f>
        <v>50003.6225502257</v>
      </c>
      <c r="M302" s="213" t="str">
        <f aca="false">M301</f>
        <v>Moon</v>
      </c>
      <c r="N302" s="266" t="str">
        <f aca="false">INDEX(DasaYears,MOD(P236-6,9)+1,1)</f>
        <v>Ketu</v>
      </c>
      <c r="O302" s="266"/>
      <c r="P302" s="266"/>
      <c r="Q302" s="267" t="n">
        <f aca="false">Q303-(VLOOKUP(M302,DasaYears,2,0)*VLOOKUP(N302,DasaYears,2,0)/VimTotal)*DaysInYear</f>
        <v>54123.1815916069</v>
      </c>
      <c r="S302" s="213" t="e">
        <f aca="false">S301</f>
        <v>#N/A</v>
      </c>
      <c r="T302" s="266" t="e">
        <f aca="false">INDEX(DasaYears,MOD(V236-6,9)+1,1)</f>
        <v>#N/A</v>
      </c>
      <c r="U302" s="266"/>
      <c r="V302" s="266"/>
      <c r="W302" s="267" t="e">
        <f aca="false">W303-(VLOOKUP(S302,DasaYears,2,0)*VLOOKUP(T302,DasaYears,2,0)/VimTotal)*DaysInYear</f>
        <v>#N/A</v>
      </c>
      <c r="Y302" s="213" t="str">
        <f aca="false">Y301</f>
        <v>Saturn</v>
      </c>
      <c r="Z302" s="266" t="str">
        <f aca="false">INDEX(DasaYears,MOD(AB236-6,9)+1,1)</f>
        <v>Mars</v>
      </c>
      <c r="AA302" s="266"/>
      <c r="AB302" s="266"/>
      <c r="AC302" s="267" t="n">
        <f aca="false">AC303-(VLOOKUP(Y302,DasaYears,2,0)*VLOOKUP(Z302,DasaYears,2,0)/VimTotal)*DaysInYear</f>
        <v>56975.892154462</v>
      </c>
    </row>
    <row r="303" s="269" customFormat="true" ht="15" hidden="false" customHeight="false" outlineLevel="0" collapsed="false">
      <c r="A303" s="213" t="str">
        <f aca="false">A302</f>
        <v>Ketu</v>
      </c>
      <c r="B303" s="266" t="str">
        <f aca="false">INDEX(DasaYears,MOD(D236-5,9)+1,1)</f>
        <v>Saturn</v>
      </c>
      <c r="C303" s="266"/>
      <c r="D303" s="266"/>
      <c r="E303" s="267" t="n">
        <f aca="false">E304-(VLOOKUP(A303,DasaYears,2,0)*VLOOKUP(B303,DasaYears,2,0)/VimTotal)*DaysInYear</f>
        <v>56134.704095087</v>
      </c>
      <c r="F303" s="268"/>
      <c r="G303" s="213" t="str">
        <f aca="false">G302</f>
        <v>Mars</v>
      </c>
      <c r="H303" s="266" t="str">
        <f aca="false">INDEX(DasaYears,MOD(J236-5,9)+1,1)</f>
        <v>Sun</v>
      </c>
      <c r="I303" s="266"/>
      <c r="J303" s="266"/>
      <c r="K303" s="267" t="n">
        <f aca="false">K304-(VLOOKUP(G303,DasaYears,2,0)*VLOOKUP(H303,DasaYears,2,0)/VimTotal)*DaysInYear</f>
        <v>50429.7532350251</v>
      </c>
      <c r="M303" s="213" t="str">
        <f aca="false">M302</f>
        <v>Moon</v>
      </c>
      <c r="N303" s="266" t="str">
        <f aca="false">INDEX(DasaYears,MOD(P236-5,9)+1,1)</f>
        <v>Venus</v>
      </c>
      <c r="O303" s="266"/>
      <c r="P303" s="266"/>
      <c r="Q303" s="267" t="n">
        <f aca="false">Q304-(VLOOKUP(M303,DasaYears,2,0)*VLOOKUP(N303,DasaYears,2,0)/VimTotal)*DaysInYear</f>
        <v>54336.2469340066</v>
      </c>
      <c r="S303" s="213" t="e">
        <f aca="false">S302</f>
        <v>#N/A</v>
      </c>
      <c r="T303" s="266" t="e">
        <f aca="false">INDEX(DasaYears,MOD(V236-5,9)+1,1)</f>
        <v>#N/A</v>
      </c>
      <c r="U303" s="266"/>
      <c r="V303" s="266"/>
      <c r="W303" s="267" t="e">
        <f aca="false">W304-(VLOOKUP(S303,DasaYears,2,0)*VLOOKUP(T303,DasaYears,2,0)/VimTotal)*DaysInYear</f>
        <v>#N/A</v>
      </c>
      <c r="Y303" s="213" t="str">
        <f aca="false">Y302</f>
        <v>Saturn</v>
      </c>
      <c r="Z303" s="266" t="str">
        <f aca="false">INDEX(DasaYears,MOD(AB236-5,9)+1,1)</f>
        <v>Rahu</v>
      </c>
      <c r="AA303" s="266"/>
      <c r="AB303" s="266"/>
      <c r="AC303" s="267" t="n">
        <f aca="false">AC304-(VLOOKUP(Y303,DasaYears,2,0)*VLOOKUP(Z303,DasaYears,2,0)/VimTotal)*DaysInYear</f>
        <v>57380.7163050214</v>
      </c>
    </row>
    <row r="304" s="269" customFormat="true" ht="15" hidden="false" customHeight="false" outlineLevel="0" collapsed="false">
      <c r="A304" s="213" t="str">
        <f aca="false">A303</f>
        <v>Ketu</v>
      </c>
      <c r="B304" s="266" t="str">
        <f aca="false">INDEX(DasaYears,MOD(D236-4,9)+1,1)</f>
        <v>Mercury</v>
      </c>
      <c r="C304" s="266"/>
      <c r="D304" s="266"/>
      <c r="E304" s="267" t="n">
        <f aca="false">E305-(VLOOKUP(A304,DasaYears,2,0)*VLOOKUP(B304,DasaYears,2,0)/VimTotal)*DaysInYear</f>
        <v>56539.5282456464</v>
      </c>
      <c r="F304" s="268"/>
      <c r="G304" s="213" t="str">
        <f aca="false">G303</f>
        <v>Mars</v>
      </c>
      <c r="H304" s="266" t="str">
        <f aca="false">INDEX(DasaYears,MOD(J236-4,9)+1,1)</f>
        <v>Moon</v>
      </c>
      <c r="I304" s="266"/>
      <c r="J304" s="266"/>
      <c r="K304" s="267" t="n">
        <f aca="false">K305-(VLOOKUP(G304,DasaYears,2,0)*VLOOKUP(H304,DasaYears,2,0)/VimTotal)*DaysInYear</f>
        <v>50557.5924404649</v>
      </c>
      <c r="M304" s="213" t="str">
        <f aca="false">M303</f>
        <v>Moon</v>
      </c>
      <c r="N304" s="266" t="str">
        <f aca="false">INDEX(DasaYears,MOD(P236-4,9)+1,1)</f>
        <v>Sun</v>
      </c>
      <c r="O304" s="266"/>
      <c r="P304" s="266"/>
      <c r="Q304" s="267" t="n">
        <f aca="false">Q305-(VLOOKUP(M304,DasaYears,2,0)*VLOOKUP(N304,DasaYears,2,0)/VimTotal)*DaysInYear</f>
        <v>54945.0050551486</v>
      </c>
      <c r="S304" s="213" t="e">
        <f aca="false">S303</f>
        <v>#N/A</v>
      </c>
      <c r="T304" s="266" t="e">
        <f aca="false">INDEX(DasaYears,MOD(V236-4,9)+1,1)</f>
        <v>#N/A</v>
      </c>
      <c r="U304" s="266"/>
      <c r="V304" s="266"/>
      <c r="W304" s="267" t="e">
        <f aca="false">W305-(VLOOKUP(S304,DasaYears,2,0)*VLOOKUP(T304,DasaYears,2,0)/VimTotal)*DaysInYear</f>
        <v>#N/A</v>
      </c>
      <c r="Y304" s="213" t="str">
        <f aca="false">Y303</f>
        <v>Saturn</v>
      </c>
      <c r="Z304" s="266" t="str">
        <f aca="false">INDEX(DasaYears,MOD(AB236-4,9)+1,1)</f>
        <v>Jupiter</v>
      </c>
      <c r="AA304" s="266"/>
      <c r="AB304" s="266"/>
      <c r="AC304" s="267" t="n">
        <f aca="false">AC305-(VLOOKUP(Y304,DasaYears,2,0)*VLOOKUP(Z304,DasaYears,2,0)/VimTotal)*DaysInYear</f>
        <v>58421.6926921742</v>
      </c>
    </row>
    <row r="305" s="227" customFormat="true" ht="15" hidden="false" customHeight="false" outlineLevel="0" collapsed="false">
      <c r="A305" s="194" t="str">
        <f aca="false">INDEX(DasaYears,MOD(D236+7,9)+1,1)</f>
        <v>Venus</v>
      </c>
      <c r="C305" s="250"/>
      <c r="D305" s="250"/>
      <c r="E305" s="244" t="n">
        <f aca="false">E296+DaysInYear*VLOOKUP(A296,DasaYears,2,0)</f>
        <v>56901.7393277258</v>
      </c>
      <c r="F305" s="246"/>
      <c r="G305" s="194" t="str">
        <f aca="false">INDEX(DasaYears,MOD(J236+7,9)+1,1)</f>
        <v>Rahu</v>
      </c>
      <c r="I305" s="250"/>
      <c r="J305" s="250"/>
      <c r="K305" s="244" t="n">
        <f aca="false">K296+DaysInYear*VLOOKUP(G296,DasaYears,2,0)</f>
        <v>50770.6577828646</v>
      </c>
      <c r="M305" s="194" t="str">
        <f aca="false">INDEX(DasaYears,MOD(P236+7,9)+1,1)</f>
        <v>Mars</v>
      </c>
      <c r="O305" s="250"/>
      <c r="P305" s="250"/>
      <c r="Q305" s="244" t="n">
        <f aca="false">Q296+DaysInYear*VLOOKUP(M296,DasaYears,2,0)</f>
        <v>55127.6324914912</v>
      </c>
      <c r="S305" s="194" t="e">
        <f aca="false">INDEX(DasaYears,MOD(V236+7,9)+1,1)</f>
        <v>#N/A</v>
      </c>
      <c r="U305" s="250"/>
      <c r="V305" s="250"/>
      <c r="W305" s="244" t="e">
        <f aca="false">W296+DaysInYear*VLOOKUP(S296,DasaYears,2,0)</f>
        <v>#N/A</v>
      </c>
      <c r="Y305" s="194" t="str">
        <f aca="false">INDEX(DasaYears,MOD(AB236+7,9)+1,1)</f>
        <v>Mercury</v>
      </c>
      <c r="AA305" s="250"/>
      <c r="AB305" s="250"/>
      <c r="AC305" s="244" t="n">
        <f aca="false">AC296+DaysInYear*VLOOKUP(Y296,DasaYears,2,0)</f>
        <v>59347.00503631</v>
      </c>
    </row>
    <row r="306" s="227" customFormat="true" ht="15" hidden="false" customHeight="false" outlineLevel="0" collapsed="false">
      <c r="A306" s="194" t="str">
        <f aca="false">A305</f>
        <v>Venus</v>
      </c>
      <c r="B306" s="227" t="str">
        <f aca="false">INDEX(DasaYears,MOD(D236-1,9)+1,1)</f>
        <v>Sun</v>
      </c>
      <c r="C306" s="250"/>
      <c r="D306" s="250"/>
      <c r="E306" s="244" t="n">
        <f aca="false">E307-(VLOOKUP(A306,DasaYears,2,0)*VLOOKUP(B306,DasaYears,2,0)/VimTotal)*DaysInYear</f>
        <v>58119.2555700098</v>
      </c>
      <c r="F306" s="246"/>
      <c r="G306" s="194" t="str">
        <f aca="false">G305</f>
        <v>Rahu</v>
      </c>
      <c r="H306" s="227" t="str">
        <f aca="false">INDEX(DasaYears,MOD(J236-1,9)+1,1)</f>
        <v>Jupiter</v>
      </c>
      <c r="I306" s="250"/>
      <c r="J306" s="250"/>
      <c r="K306" s="244" t="n">
        <f aca="false">K307-(VLOOKUP(G306,DasaYears,2,0)*VLOOKUP(H306,DasaYears,2,0)/VimTotal)*DaysInYear</f>
        <v>51756.8459391146</v>
      </c>
      <c r="M306" s="194" t="str">
        <f aca="false">M305</f>
        <v>Mars</v>
      </c>
      <c r="N306" s="227" t="str">
        <f aca="false">INDEX(DasaYears,MOD(P236-1,9)+1,1)</f>
        <v>Rahu</v>
      </c>
      <c r="O306" s="250"/>
      <c r="P306" s="250"/>
      <c r="Q306" s="244" t="n">
        <f aca="false">Q307-(VLOOKUP(M306,DasaYears,2,0)*VLOOKUP(N306,DasaYears,2,0)/VimTotal)*DaysInYear</f>
        <v>55276.778231171</v>
      </c>
      <c r="S306" s="194" t="e">
        <f aca="false">S305</f>
        <v>#N/A</v>
      </c>
      <c r="T306" s="227" t="e">
        <f aca="false">INDEX(DasaYears,MOD(V236-1,9)+1,1)</f>
        <v>#N/A</v>
      </c>
      <c r="U306" s="250"/>
      <c r="V306" s="250"/>
      <c r="W306" s="244" t="e">
        <f aca="false">W307-(VLOOKUP(S306,DasaYears,2,0)*VLOOKUP(T306,DasaYears,2,0)/VimTotal)*DaysInYear</f>
        <v>#N/A</v>
      </c>
      <c r="Y306" s="194" t="str">
        <f aca="false">Y305</f>
        <v>Mercury</v>
      </c>
      <c r="Z306" s="227" t="str">
        <f aca="false">INDEX(DasaYears,MOD(AB236-1,9)+1,1)</f>
        <v>Ketu</v>
      </c>
      <c r="AA306" s="250"/>
      <c r="AB306" s="250"/>
      <c r="AC306" s="244" t="n">
        <f aca="false">AC307-(VLOOKUP(Y306,DasaYears,2,0)*VLOOKUP(Z306,DasaYears,2,0)/VimTotal)*DaysInYear</f>
        <v>60226.6605213601</v>
      </c>
    </row>
    <row r="307" s="227" customFormat="true" ht="15" hidden="false" customHeight="false" outlineLevel="0" collapsed="false">
      <c r="A307" s="194" t="str">
        <f aca="false">A306</f>
        <v>Venus</v>
      </c>
      <c r="B307" s="250" t="str">
        <f aca="false">INDEX(DasaYears,MOD(D236,9)+1,1)</f>
        <v>Moon</v>
      </c>
      <c r="C307" s="250"/>
      <c r="D307" s="250"/>
      <c r="E307" s="244" t="n">
        <f aca="false">E308-(VLOOKUP(A307,DasaYears,2,0)*VLOOKUP(B307,DasaYears,2,0)/VimTotal)*DaysInYear</f>
        <v>58484.510442695</v>
      </c>
      <c r="F307" s="246"/>
      <c r="G307" s="194" t="str">
        <f aca="false">G306</f>
        <v>Rahu</v>
      </c>
      <c r="H307" s="250" t="str">
        <f aca="false">INDEX(DasaYears,MOD(J236,9)+1,1)</f>
        <v>Saturn</v>
      </c>
      <c r="I307" s="250"/>
      <c r="J307" s="250"/>
      <c r="K307" s="244" t="n">
        <f aca="false">K308-(VLOOKUP(G307,DasaYears,2,0)*VLOOKUP(H307,DasaYears,2,0)/VimTotal)*DaysInYear</f>
        <v>52633.457633559</v>
      </c>
      <c r="M307" s="194" t="str">
        <f aca="false">M306</f>
        <v>Mars</v>
      </c>
      <c r="N307" s="250" t="str">
        <f aca="false">INDEX(DasaYears,MOD(P236,9)+1,1)</f>
        <v>Jupiter</v>
      </c>
      <c r="O307" s="250"/>
      <c r="P307" s="250"/>
      <c r="Q307" s="244" t="n">
        <f aca="false">Q308-(VLOOKUP(M307,DasaYears,2,0)*VLOOKUP(N307,DasaYears,2,0)/VimTotal)*DaysInYear</f>
        <v>55660.2958474904</v>
      </c>
      <c r="S307" s="194" t="e">
        <f aca="false">S306</f>
        <v>#N/A</v>
      </c>
      <c r="T307" s="250" t="e">
        <f aca="false">INDEX(DasaYears,MOD(V236,9)+1,1)</f>
        <v>#N/A</v>
      </c>
      <c r="U307" s="250"/>
      <c r="V307" s="250"/>
      <c r="W307" s="244" t="e">
        <f aca="false">W308-(VLOOKUP(S307,DasaYears,2,0)*VLOOKUP(T307,DasaYears,2,0)/VimTotal)*DaysInYear</f>
        <v>#N/A</v>
      </c>
      <c r="Y307" s="194" t="str">
        <f aca="false">Y306</f>
        <v>Mercury</v>
      </c>
      <c r="Z307" s="250" t="str">
        <f aca="false">INDEX(DasaYears,MOD(AB236,9)+1,1)</f>
        <v>Venus</v>
      </c>
      <c r="AA307" s="250"/>
      <c r="AB307" s="250"/>
      <c r="AC307" s="244" t="n">
        <f aca="false">AC308-(VLOOKUP(Y307,DasaYears,2,0)*VLOOKUP(Z307,DasaYears,2,0)/VimTotal)*DaysInYear</f>
        <v>60588.8716034396</v>
      </c>
    </row>
    <row r="308" s="227" customFormat="true" ht="15" hidden="false" customHeight="false" outlineLevel="0" collapsed="false">
      <c r="A308" s="194" t="str">
        <f aca="false">A307</f>
        <v>Venus</v>
      </c>
      <c r="B308" s="250" t="str">
        <f aca="false">INDEX(DasaYears,MOD(D236-8,9)+1,1)</f>
        <v>Mars</v>
      </c>
      <c r="C308" s="250"/>
      <c r="D308" s="250"/>
      <c r="E308" s="244" t="n">
        <f aca="false">E309-(VLOOKUP(A308,DasaYears,2,0)*VLOOKUP(B308,DasaYears,2,0)/VimTotal)*DaysInYear</f>
        <v>59093.2685638369</v>
      </c>
      <c r="F308" s="246"/>
      <c r="G308" s="194" t="str">
        <f aca="false">G307</f>
        <v>Rahu</v>
      </c>
      <c r="H308" s="250" t="str">
        <f aca="false">INDEX(DasaYears,MOD(J236-8,9)+1,1)</f>
        <v>Mercury</v>
      </c>
      <c r="I308" s="250"/>
      <c r="J308" s="250"/>
      <c r="K308" s="244" t="n">
        <f aca="false">K309-(VLOOKUP(G308,DasaYears,2,0)*VLOOKUP(H308,DasaYears,2,0)/VimTotal)*DaysInYear</f>
        <v>53674.4340207118</v>
      </c>
      <c r="M308" s="194" t="str">
        <f aca="false">M307</f>
        <v>Mars</v>
      </c>
      <c r="N308" s="250" t="str">
        <f aca="false">INDEX(DasaYears,MOD(P236-8,9)+1,1)</f>
        <v>Saturn</v>
      </c>
      <c r="O308" s="250"/>
      <c r="P308" s="250"/>
      <c r="Q308" s="244" t="n">
        <f aca="false">Q309-(VLOOKUP(M308,DasaYears,2,0)*VLOOKUP(N308,DasaYears,2,0)/VimTotal)*DaysInYear</f>
        <v>56001.2003953299</v>
      </c>
      <c r="S308" s="194" t="e">
        <f aca="false">S307</f>
        <v>#N/A</v>
      </c>
      <c r="T308" s="250" t="e">
        <f aca="false">INDEX(DasaYears,MOD(V236-8,9)+1,1)</f>
        <v>#N/A</v>
      </c>
      <c r="U308" s="250"/>
      <c r="V308" s="250"/>
      <c r="W308" s="244" t="e">
        <f aca="false">W309-(VLOOKUP(S308,DasaYears,2,0)*VLOOKUP(T308,DasaYears,2,0)/VimTotal)*DaysInYear</f>
        <v>#N/A</v>
      </c>
      <c r="Y308" s="194" t="str">
        <f aca="false">Y307</f>
        <v>Mercury</v>
      </c>
      <c r="Z308" s="250" t="str">
        <f aca="false">INDEX(DasaYears,MOD(AB236-8,9)+1,1)</f>
        <v>Sun</v>
      </c>
      <c r="AA308" s="250"/>
      <c r="AB308" s="250"/>
      <c r="AC308" s="244" t="n">
        <f aca="false">AC309-(VLOOKUP(Y308,DasaYears,2,0)*VLOOKUP(Z308,DasaYears,2,0)/VimTotal)*DaysInYear</f>
        <v>61623.760409381</v>
      </c>
    </row>
    <row r="309" s="227" customFormat="true" ht="15" hidden="false" customHeight="false" outlineLevel="0" collapsed="false">
      <c r="A309" s="194" t="str">
        <f aca="false">A308</f>
        <v>Venus</v>
      </c>
      <c r="B309" s="250" t="str">
        <f aca="false">INDEX(DasaYears,MOD(D236-7,9)+1,1)</f>
        <v>Rahu</v>
      </c>
      <c r="C309" s="250"/>
      <c r="D309" s="250"/>
      <c r="E309" s="244" t="n">
        <f aca="false">E310-(VLOOKUP(A309,DasaYears,2,0)*VLOOKUP(B309,DasaYears,2,0)/VimTotal)*DaysInYear</f>
        <v>59519.3992486363</v>
      </c>
      <c r="F309" s="246"/>
      <c r="G309" s="194" t="str">
        <f aca="false">G308</f>
        <v>Rahu</v>
      </c>
      <c r="H309" s="250" t="str">
        <f aca="false">INDEX(DasaYears,MOD(J236-7,9)+1,1)</f>
        <v>Ketu</v>
      </c>
      <c r="I309" s="250"/>
      <c r="J309" s="250"/>
      <c r="K309" s="244" t="n">
        <f aca="false">K310-(VLOOKUP(G309,DasaYears,2,0)*VLOOKUP(H309,DasaYears,2,0)/VimTotal)*DaysInYear</f>
        <v>54605.833946059</v>
      </c>
      <c r="M309" s="194" t="str">
        <f aca="false">M308</f>
        <v>Mars</v>
      </c>
      <c r="N309" s="250" t="str">
        <f aca="false">INDEX(DasaYears,MOD(P236-7,9)+1,1)</f>
        <v>Mercury</v>
      </c>
      <c r="O309" s="250"/>
      <c r="P309" s="250"/>
      <c r="Q309" s="244" t="n">
        <f aca="false">Q310-(VLOOKUP(M309,DasaYears,2,0)*VLOOKUP(N309,DasaYears,2,0)/VimTotal)*DaysInYear</f>
        <v>56406.0245458893</v>
      </c>
      <c r="S309" s="194" t="e">
        <f aca="false">S308</f>
        <v>#N/A</v>
      </c>
      <c r="T309" s="250" t="e">
        <f aca="false">INDEX(DasaYears,MOD(V236-7,9)+1,1)</f>
        <v>#N/A</v>
      </c>
      <c r="U309" s="250"/>
      <c r="V309" s="250"/>
      <c r="W309" s="244" t="e">
        <f aca="false">W310-(VLOOKUP(S309,DasaYears,2,0)*VLOOKUP(T309,DasaYears,2,0)/VimTotal)*DaysInYear</f>
        <v>#N/A</v>
      </c>
      <c r="Y309" s="194" t="str">
        <f aca="false">Y308</f>
        <v>Mercury</v>
      </c>
      <c r="Z309" s="250" t="str">
        <f aca="false">INDEX(DasaYears,MOD(AB236-7,9)+1,1)</f>
        <v>Moon</v>
      </c>
      <c r="AA309" s="250"/>
      <c r="AB309" s="250"/>
      <c r="AC309" s="244" t="n">
        <f aca="false">AC310-(VLOOKUP(Y309,DasaYears,2,0)*VLOOKUP(Z309,DasaYears,2,0)/VimTotal)*DaysInYear</f>
        <v>61934.2270511634</v>
      </c>
    </row>
    <row r="310" s="227" customFormat="true" ht="15" hidden="false" customHeight="false" outlineLevel="0" collapsed="false">
      <c r="A310" s="194" t="str">
        <f aca="false">A309</f>
        <v>Venus</v>
      </c>
      <c r="B310" s="250" t="str">
        <f aca="false">INDEX(DasaYears,MOD(D236-6,9)+1,1)</f>
        <v>Jupiter</v>
      </c>
      <c r="C310" s="250"/>
      <c r="D310" s="250"/>
      <c r="E310" s="244" t="n">
        <f aca="false">E311-(VLOOKUP(A310,DasaYears,2,0)*VLOOKUP(B310,DasaYears,2,0)/VimTotal)*DaysInYear</f>
        <v>60615.1638666919</v>
      </c>
      <c r="F310" s="246"/>
      <c r="G310" s="194" t="str">
        <f aca="false">G309</f>
        <v>Rahu</v>
      </c>
      <c r="H310" s="250" t="str">
        <f aca="false">INDEX(DasaYears,MOD(J236-6,9)+1,1)</f>
        <v>Venus</v>
      </c>
      <c r="I310" s="250"/>
      <c r="J310" s="250"/>
      <c r="K310" s="244" t="n">
        <f aca="false">K311-(VLOOKUP(G310,DasaYears,2,0)*VLOOKUP(H310,DasaYears,2,0)/VimTotal)*DaysInYear</f>
        <v>54989.3515623785</v>
      </c>
      <c r="M310" s="194" t="str">
        <f aca="false">M309</f>
        <v>Mars</v>
      </c>
      <c r="N310" s="250" t="str">
        <f aca="false">INDEX(DasaYears,MOD(P236-6,9)+1,1)</f>
        <v>Ketu</v>
      </c>
      <c r="O310" s="250"/>
      <c r="P310" s="250"/>
      <c r="Q310" s="244" t="n">
        <f aca="false">Q311-(VLOOKUP(M310,DasaYears,2,0)*VLOOKUP(N310,DasaYears,2,0)/VimTotal)*DaysInYear</f>
        <v>56768.2356279688</v>
      </c>
      <c r="S310" s="194" t="e">
        <f aca="false">S309</f>
        <v>#N/A</v>
      </c>
      <c r="T310" s="250" t="e">
        <f aca="false">INDEX(DasaYears,MOD(V236-6,9)+1,1)</f>
        <v>#N/A</v>
      </c>
      <c r="U310" s="250"/>
      <c r="V310" s="250"/>
      <c r="W310" s="244" t="e">
        <f aca="false">W311-(VLOOKUP(S310,DasaYears,2,0)*VLOOKUP(T310,DasaYears,2,0)/VimTotal)*DaysInYear</f>
        <v>#N/A</v>
      </c>
      <c r="Y310" s="194" t="str">
        <f aca="false">Y309</f>
        <v>Mercury</v>
      </c>
      <c r="Z310" s="250" t="str">
        <f aca="false">INDEX(DasaYears,MOD(AB236-6,9)+1,1)</f>
        <v>Mars</v>
      </c>
      <c r="AA310" s="250"/>
      <c r="AB310" s="250"/>
      <c r="AC310" s="244" t="n">
        <f aca="false">AC311-(VLOOKUP(Y310,DasaYears,2,0)*VLOOKUP(Z310,DasaYears,2,0)/VimTotal)*DaysInYear</f>
        <v>62451.671454134</v>
      </c>
    </row>
    <row r="311" s="227" customFormat="true" ht="15" hidden="false" customHeight="false" outlineLevel="0" collapsed="false">
      <c r="A311" s="194" t="str">
        <f aca="false">A310</f>
        <v>Venus</v>
      </c>
      <c r="B311" s="250" t="str">
        <f aca="false">INDEX(DasaYears,MOD(D236-5,9)+1,1)</f>
        <v>Saturn</v>
      </c>
      <c r="C311" s="250"/>
      <c r="D311" s="250"/>
      <c r="E311" s="244" t="n">
        <f aca="false">E312-(VLOOKUP(A311,DasaYears,2,0)*VLOOKUP(B311,DasaYears,2,0)/VimTotal)*DaysInYear</f>
        <v>61589.176860519</v>
      </c>
      <c r="F311" s="246"/>
      <c r="G311" s="194" t="str">
        <f aca="false">G310</f>
        <v>Rahu</v>
      </c>
      <c r="H311" s="250" t="str">
        <f aca="false">INDEX(DasaYears,MOD(J236-5,9)+1,1)</f>
        <v>Sun</v>
      </c>
      <c r="I311" s="250"/>
      <c r="J311" s="250"/>
      <c r="K311" s="244" t="n">
        <f aca="false">K312-(VLOOKUP(G311,DasaYears,2,0)*VLOOKUP(H311,DasaYears,2,0)/VimTotal)*DaysInYear</f>
        <v>56085.116180434</v>
      </c>
      <c r="M311" s="194" t="str">
        <f aca="false">M310</f>
        <v>Mars</v>
      </c>
      <c r="N311" s="250" t="str">
        <f aca="false">INDEX(DasaYears,MOD(P236-5,9)+1,1)</f>
        <v>Venus</v>
      </c>
      <c r="O311" s="250"/>
      <c r="P311" s="250"/>
      <c r="Q311" s="244" t="n">
        <f aca="false">Q312-(VLOOKUP(M311,DasaYears,2,0)*VLOOKUP(N311,DasaYears,2,0)/VimTotal)*DaysInYear</f>
        <v>56917.3813676486</v>
      </c>
      <c r="S311" s="194" t="e">
        <f aca="false">S310</f>
        <v>#N/A</v>
      </c>
      <c r="T311" s="250" t="e">
        <f aca="false">INDEX(DasaYears,MOD(V236-5,9)+1,1)</f>
        <v>#N/A</v>
      </c>
      <c r="U311" s="250"/>
      <c r="V311" s="250"/>
      <c r="W311" s="244" t="e">
        <f aca="false">W312-(VLOOKUP(S311,DasaYears,2,0)*VLOOKUP(T311,DasaYears,2,0)/VimTotal)*DaysInYear</f>
        <v>#N/A</v>
      </c>
      <c r="Y311" s="194" t="str">
        <f aca="false">Y310</f>
        <v>Mercury</v>
      </c>
      <c r="Z311" s="250" t="str">
        <f aca="false">INDEX(DasaYears,MOD(AB236-5,9)+1,1)</f>
        <v>Rahu</v>
      </c>
      <c r="AA311" s="250"/>
      <c r="AB311" s="250"/>
      <c r="AC311" s="244" t="n">
        <f aca="false">AC312-(VLOOKUP(Y311,DasaYears,2,0)*VLOOKUP(Z311,DasaYears,2,0)/VimTotal)*DaysInYear</f>
        <v>62813.8825362135</v>
      </c>
    </row>
    <row r="312" s="227" customFormat="true" ht="15" hidden="false" customHeight="false" outlineLevel="0" collapsed="false">
      <c r="A312" s="194" t="str">
        <f aca="false">A311</f>
        <v>Venus</v>
      </c>
      <c r="B312" s="250" t="str">
        <f aca="false">INDEX(DasaYears,MOD(D236-4,9)+1,1)</f>
        <v>Mercury</v>
      </c>
      <c r="C312" s="250"/>
      <c r="D312" s="250"/>
      <c r="E312" s="244" t="n">
        <f aca="false">E313-(VLOOKUP(A312,DasaYears,2,0)*VLOOKUP(B312,DasaYears,2,0)/VimTotal)*DaysInYear</f>
        <v>62745.8172906888</v>
      </c>
      <c r="F312" s="246"/>
      <c r="G312" s="194" t="str">
        <f aca="false">G311</f>
        <v>Rahu</v>
      </c>
      <c r="H312" s="250" t="str">
        <f aca="false">INDEX(DasaYears,MOD(J236-4,9)+1,1)</f>
        <v>Moon</v>
      </c>
      <c r="I312" s="250"/>
      <c r="J312" s="250"/>
      <c r="K312" s="244" t="n">
        <f aca="false">K313-(VLOOKUP(G312,DasaYears,2,0)*VLOOKUP(H312,DasaYears,2,0)/VimTotal)*DaysInYear</f>
        <v>56413.8455658507</v>
      </c>
      <c r="M312" s="194" t="str">
        <f aca="false">M311</f>
        <v>Mars</v>
      </c>
      <c r="N312" s="250" t="str">
        <f aca="false">INDEX(DasaYears,MOD(P236-4,9)+1,1)</f>
        <v>Sun</v>
      </c>
      <c r="O312" s="250"/>
      <c r="P312" s="250"/>
      <c r="Q312" s="244" t="n">
        <f aca="false">Q313-(VLOOKUP(M312,DasaYears,2,0)*VLOOKUP(N312,DasaYears,2,0)/VimTotal)*DaysInYear</f>
        <v>57343.5120524479</v>
      </c>
      <c r="S312" s="194" t="e">
        <f aca="false">S311</f>
        <v>#N/A</v>
      </c>
      <c r="T312" s="250" t="e">
        <f aca="false">INDEX(DasaYears,MOD(V236-4,9)+1,1)</f>
        <v>#N/A</v>
      </c>
      <c r="U312" s="250"/>
      <c r="V312" s="250"/>
      <c r="W312" s="244" t="e">
        <f aca="false">W313-(VLOOKUP(S312,DasaYears,2,0)*VLOOKUP(T312,DasaYears,2,0)/VimTotal)*DaysInYear</f>
        <v>#N/A</v>
      </c>
      <c r="Y312" s="194" t="str">
        <f aca="false">Y311</f>
        <v>Mercury</v>
      </c>
      <c r="Z312" s="250" t="str">
        <f aca="false">INDEX(DasaYears,MOD(AB236-4,9)+1,1)</f>
        <v>Jupiter</v>
      </c>
      <c r="AA312" s="250"/>
      <c r="AB312" s="250"/>
      <c r="AC312" s="244" t="n">
        <f aca="false">AC313-(VLOOKUP(Y312,DasaYears,2,0)*VLOOKUP(Z312,DasaYears,2,0)/VimTotal)*DaysInYear</f>
        <v>63745.2824615607</v>
      </c>
    </row>
    <row r="313" s="227" customFormat="true" ht="15" hidden="false" customHeight="false" outlineLevel="0" collapsed="false">
      <c r="A313" s="194" t="str">
        <f aca="false">A312</f>
        <v>Venus</v>
      </c>
      <c r="B313" s="250" t="str">
        <f aca="false">INDEX(DasaYears,MOD(D236-3,9)+1,1)</f>
        <v>Ketu</v>
      </c>
      <c r="C313" s="250"/>
      <c r="D313" s="250"/>
      <c r="E313" s="244" t="n">
        <f aca="false">E314-(VLOOKUP(A313,DasaYears,2,0)*VLOOKUP(B313,DasaYears,2,0)/VimTotal)*DaysInYear</f>
        <v>63780.7060966301</v>
      </c>
      <c r="F313" s="246"/>
      <c r="G313" s="194" t="str">
        <f aca="false">G312</f>
        <v>Rahu</v>
      </c>
      <c r="H313" s="250" t="str">
        <f aca="false">INDEX(DasaYears,MOD(J236-3,9)+1,1)</f>
        <v>Mars</v>
      </c>
      <c r="I313" s="250"/>
      <c r="J313" s="250"/>
      <c r="K313" s="244" t="n">
        <f aca="false">K314-(VLOOKUP(G313,DasaYears,2,0)*VLOOKUP(H313,DasaYears,2,0)/VimTotal)*DaysInYear</f>
        <v>56961.7278748784</v>
      </c>
      <c r="M313" s="194" t="str">
        <f aca="false">M312</f>
        <v>Mars</v>
      </c>
      <c r="N313" s="250" t="str">
        <f aca="false">INDEX(DasaYears,MOD(P236-3,9)+1,1)</f>
        <v>Moon</v>
      </c>
      <c r="O313" s="250"/>
      <c r="P313" s="250"/>
      <c r="Q313" s="244" t="n">
        <f aca="false">Q314-(VLOOKUP(M313,DasaYears,2,0)*VLOOKUP(N313,DasaYears,2,0)/VimTotal)*DaysInYear</f>
        <v>57471.3512578878</v>
      </c>
      <c r="S313" s="194" t="e">
        <f aca="false">S312</f>
        <v>#N/A</v>
      </c>
      <c r="T313" s="250" t="e">
        <f aca="false">INDEX(DasaYears,MOD(V236-3,9)+1,1)</f>
        <v>#N/A</v>
      </c>
      <c r="U313" s="250"/>
      <c r="V313" s="250"/>
      <c r="W313" s="244" t="e">
        <f aca="false">W314-(VLOOKUP(S313,DasaYears,2,0)*VLOOKUP(T313,DasaYears,2,0)/VimTotal)*DaysInYear</f>
        <v>#N/A</v>
      </c>
      <c r="Y313" s="194" t="str">
        <f aca="false">Y312</f>
        <v>Mercury</v>
      </c>
      <c r="Z313" s="250" t="str">
        <f aca="false">INDEX(DasaYears,MOD(AB236-3,9)+1,1)</f>
        <v>Saturn</v>
      </c>
      <c r="AA313" s="250"/>
      <c r="AB313" s="250"/>
      <c r="AC313" s="244" t="n">
        <f aca="false">AC314-(VLOOKUP(Y313,DasaYears,2,0)*VLOOKUP(Z313,DasaYears,2,0)/VimTotal)*DaysInYear</f>
        <v>64573.1935063138</v>
      </c>
    </row>
    <row r="314" s="269" customFormat="true" ht="15" hidden="false" customHeight="false" outlineLevel="0" collapsed="false">
      <c r="A314" s="213" t="str">
        <f aca="false">INDEX(DasaYears,MOD(D236+8,9)+1,1)</f>
        <v>Sun</v>
      </c>
      <c r="C314" s="266"/>
      <c r="D314" s="266"/>
      <c r="E314" s="267" t="n">
        <f aca="false">E305+DaysInYear*VLOOKUP(A305,DasaYears,2,0)</f>
        <v>64206.8367814295</v>
      </c>
      <c r="F314" s="268"/>
      <c r="G314" s="213" t="str">
        <f aca="false">INDEX(DasaYears,MOD(J236+8,9)+1,1)</f>
        <v>Jupiter</v>
      </c>
      <c r="I314" s="266"/>
      <c r="J314" s="266"/>
      <c r="K314" s="267" t="n">
        <f aca="false">K305+DaysInYear*VLOOKUP(G305,DasaYears,2,0)</f>
        <v>57345.2454911979</v>
      </c>
      <c r="M314" s="213" t="str">
        <f aca="false">INDEX(DasaYears,MOD(P236+8,9)+1,1)</f>
        <v>Rahu</v>
      </c>
      <c r="O314" s="266"/>
      <c r="P314" s="266"/>
      <c r="Q314" s="267" t="n">
        <f aca="false">Q305+DaysInYear*VLOOKUP(M305,DasaYears,2,0)</f>
        <v>57684.4166002875</v>
      </c>
      <c r="S314" s="213" t="e">
        <f aca="false">INDEX(DasaYears,MOD(V236+8,9)+1,1)</f>
        <v>#N/A</v>
      </c>
      <c r="U314" s="266"/>
      <c r="V314" s="266"/>
      <c r="W314" s="267" t="e">
        <f aca="false">W305+DaysInYear*VLOOKUP(S305,DasaYears,2,0)</f>
        <v>#N/A</v>
      </c>
      <c r="Y314" s="213" t="str">
        <f aca="false">INDEX(DasaYears,MOD(AB236+8,9)+1,1)</f>
        <v>Ketu</v>
      </c>
      <c r="AA314" s="266"/>
      <c r="AB314" s="266"/>
      <c r="AC314" s="267" t="n">
        <f aca="false">AC305+DaysInYear*VLOOKUP(Y305,DasaYears,2,0)</f>
        <v>65556.3378719581</v>
      </c>
    </row>
    <row r="315" s="269" customFormat="true" ht="15" hidden="false" customHeight="false" outlineLevel="0" collapsed="false">
      <c r="A315" s="213" t="str">
        <f aca="false">A314</f>
        <v>Sun</v>
      </c>
      <c r="B315" s="266" t="str">
        <f aca="false">INDEX(DasaYears,MOD(D236,9)+1,1)</f>
        <v>Moon</v>
      </c>
      <c r="C315" s="266"/>
      <c r="D315" s="266"/>
      <c r="E315" s="267" t="n">
        <f aca="false">E316-(VLOOKUP(A315,DasaYears,2,0)*VLOOKUP(B315,DasaYears,2,0)/VimTotal)*DaysInYear</f>
        <v>64316.413243235</v>
      </c>
      <c r="F315" s="268"/>
      <c r="G315" s="213" t="str">
        <f aca="false">G314</f>
        <v>Jupiter</v>
      </c>
      <c r="H315" s="266" t="str">
        <f aca="false">INDEX(DasaYears,MOD(J236,9)+1,1)</f>
        <v>Saturn</v>
      </c>
      <c r="I315" s="266"/>
      <c r="J315" s="266"/>
      <c r="K315" s="267" t="n">
        <f aca="false">K316-(VLOOKUP(G315,DasaYears,2,0)*VLOOKUP(H315,DasaYears,2,0)/VimTotal)*DaysInYear</f>
        <v>58124.4558862596</v>
      </c>
      <c r="M315" s="213" t="str">
        <f aca="false">M314</f>
        <v>Rahu</v>
      </c>
      <c r="N315" s="266" t="str">
        <f aca="false">INDEX(DasaYears,MOD(P236,9)+1,1)</f>
        <v>Jupiter</v>
      </c>
      <c r="O315" s="266"/>
      <c r="P315" s="266"/>
      <c r="Q315" s="267" t="n">
        <f aca="false">Q316-(VLOOKUP(M315,DasaYears,2,0)*VLOOKUP(N315,DasaYears,2,0)/VimTotal)*DaysInYear</f>
        <v>58670.6047565374</v>
      </c>
      <c r="S315" s="213" t="e">
        <f aca="false">S314</f>
        <v>#N/A</v>
      </c>
      <c r="T315" s="266" t="e">
        <f aca="false">INDEX(DasaYears,MOD(V236,9)+1,1)</f>
        <v>#N/A</v>
      </c>
      <c r="U315" s="266"/>
      <c r="V315" s="266"/>
      <c r="W315" s="267" t="e">
        <f aca="false">W316-(VLOOKUP(S315,DasaYears,2,0)*VLOOKUP(T315,DasaYears,2,0)/VimTotal)*DaysInYear</f>
        <v>#N/A</v>
      </c>
      <c r="Y315" s="213" t="str">
        <f aca="false">Y314</f>
        <v>Ketu</v>
      </c>
      <c r="Z315" s="266" t="str">
        <f aca="false">INDEX(DasaYears,MOD(AB236,9)+1,1)</f>
        <v>Venus</v>
      </c>
      <c r="AA315" s="266"/>
      <c r="AB315" s="266"/>
      <c r="AC315" s="267" t="n">
        <f aca="false">AC316-(VLOOKUP(Y315,DasaYears,2,0)*VLOOKUP(Z315,DasaYears,2,0)/VimTotal)*DaysInYear</f>
        <v>65705.4836116379</v>
      </c>
    </row>
    <row r="316" s="269" customFormat="true" ht="15" hidden="false" customHeight="false" outlineLevel="0" collapsed="false">
      <c r="A316" s="213" t="str">
        <f aca="false">A315</f>
        <v>Sun</v>
      </c>
      <c r="B316" s="266" t="str">
        <f aca="false">INDEX(DasaYears,MOD(D236-8,9)+1,1)</f>
        <v>Mars</v>
      </c>
      <c r="C316" s="266"/>
      <c r="D316" s="266"/>
      <c r="E316" s="267" t="n">
        <f aca="false">E317-(VLOOKUP(A316,DasaYears,2,0)*VLOOKUP(B316,DasaYears,2,0)/VimTotal)*DaysInYear</f>
        <v>64499.0406795776</v>
      </c>
      <c r="F316" s="268"/>
      <c r="G316" s="213" t="str">
        <f aca="false">G315</f>
        <v>Jupiter</v>
      </c>
      <c r="H316" s="266" t="str">
        <f aca="false">INDEX(DasaYears,MOD(J236-8,9)+1,1)</f>
        <v>Mercury</v>
      </c>
      <c r="I316" s="266"/>
      <c r="J316" s="266"/>
      <c r="K316" s="267" t="n">
        <f aca="false">K317-(VLOOKUP(G316,DasaYears,2,0)*VLOOKUP(H316,DasaYears,2,0)/VimTotal)*DaysInYear</f>
        <v>59049.7682303954</v>
      </c>
      <c r="M316" s="213" t="str">
        <f aca="false">M315</f>
        <v>Rahu</v>
      </c>
      <c r="N316" s="266" t="str">
        <f aca="false">INDEX(DasaYears,MOD(P236-8,9)+1,1)</f>
        <v>Saturn</v>
      </c>
      <c r="O316" s="266"/>
      <c r="P316" s="266"/>
      <c r="Q316" s="267" t="n">
        <f aca="false">Q317-(VLOOKUP(M316,DasaYears,2,0)*VLOOKUP(N316,DasaYears,2,0)/VimTotal)*DaysInYear</f>
        <v>59547.2164509819</v>
      </c>
      <c r="S316" s="213" t="e">
        <f aca="false">S315</f>
        <v>#N/A</v>
      </c>
      <c r="T316" s="266" t="e">
        <f aca="false">INDEX(DasaYears,MOD(V236-8,9)+1,1)</f>
        <v>#N/A</v>
      </c>
      <c r="U316" s="266"/>
      <c r="V316" s="266"/>
      <c r="W316" s="267" t="e">
        <f aca="false">W317-(VLOOKUP(S316,DasaYears,2,0)*VLOOKUP(T316,DasaYears,2,0)/VimTotal)*DaysInYear</f>
        <v>#N/A</v>
      </c>
      <c r="Y316" s="213" t="str">
        <f aca="false">Y315</f>
        <v>Ketu</v>
      </c>
      <c r="Z316" s="266" t="str">
        <f aca="false">INDEX(DasaYears,MOD(AB236-8,9)+1,1)</f>
        <v>Sun</v>
      </c>
      <c r="AA316" s="266"/>
      <c r="AB316" s="266"/>
      <c r="AC316" s="267" t="n">
        <f aca="false">AC317-(VLOOKUP(Y316,DasaYears,2,0)*VLOOKUP(Z316,DasaYears,2,0)/VimTotal)*DaysInYear</f>
        <v>66131.6142964373</v>
      </c>
    </row>
    <row r="317" s="269" customFormat="true" ht="15" hidden="false" customHeight="false" outlineLevel="0" collapsed="false">
      <c r="A317" s="213" t="str">
        <f aca="false">A316</f>
        <v>Sun</v>
      </c>
      <c r="B317" s="266" t="str">
        <f aca="false">INDEX(DasaYears,MOD(D236-7,9)+1,1)</f>
        <v>Rahu</v>
      </c>
      <c r="C317" s="266"/>
      <c r="D317" s="266"/>
      <c r="E317" s="267" t="n">
        <f aca="false">E318-(VLOOKUP(A317,DasaYears,2,0)*VLOOKUP(B317,DasaYears,2,0)/VimTotal)*DaysInYear</f>
        <v>64626.8798850175</v>
      </c>
      <c r="F317" s="268"/>
      <c r="G317" s="213" t="str">
        <f aca="false">G316</f>
        <v>Jupiter</v>
      </c>
      <c r="H317" s="266" t="str">
        <f aca="false">INDEX(DasaYears,MOD(J236-7,9)+1,1)</f>
        <v>Ketu</v>
      </c>
      <c r="I317" s="266"/>
      <c r="J317" s="266"/>
      <c r="K317" s="267" t="n">
        <f aca="false">K318-(VLOOKUP(G317,DasaYears,2,0)*VLOOKUP(H317,DasaYears,2,0)/VimTotal)*DaysInYear</f>
        <v>59877.6792751485</v>
      </c>
      <c r="M317" s="213" t="str">
        <f aca="false">M316</f>
        <v>Rahu</v>
      </c>
      <c r="N317" s="266" t="str">
        <f aca="false">INDEX(DasaYears,MOD(P236-7,9)+1,1)</f>
        <v>Mercury</v>
      </c>
      <c r="O317" s="266"/>
      <c r="P317" s="266"/>
      <c r="Q317" s="267" t="n">
        <f aca="false">Q318-(VLOOKUP(M317,DasaYears,2,0)*VLOOKUP(N317,DasaYears,2,0)/VimTotal)*DaysInYear</f>
        <v>60588.1928381346</v>
      </c>
      <c r="S317" s="213" t="e">
        <f aca="false">S316</f>
        <v>#N/A</v>
      </c>
      <c r="T317" s="266" t="e">
        <f aca="false">INDEX(DasaYears,MOD(V236-7,9)+1,1)</f>
        <v>#N/A</v>
      </c>
      <c r="U317" s="266"/>
      <c r="V317" s="266"/>
      <c r="W317" s="267" t="e">
        <f aca="false">W318-(VLOOKUP(S317,DasaYears,2,0)*VLOOKUP(T317,DasaYears,2,0)/VimTotal)*DaysInYear</f>
        <v>#N/A</v>
      </c>
      <c r="Y317" s="213" t="str">
        <f aca="false">Y316</f>
        <v>Ketu</v>
      </c>
      <c r="Z317" s="266" t="str">
        <f aca="false">INDEX(DasaYears,MOD(AB236-7,9)+1,1)</f>
        <v>Moon</v>
      </c>
      <c r="AA317" s="266"/>
      <c r="AB317" s="266"/>
      <c r="AC317" s="267" t="n">
        <f aca="false">AC318-(VLOOKUP(Y317,DasaYears,2,0)*VLOOKUP(Z317,DasaYears,2,0)/VimTotal)*DaysInYear</f>
        <v>66259.4535018771</v>
      </c>
    </row>
    <row r="318" s="269" customFormat="true" ht="15" hidden="false" customHeight="false" outlineLevel="0" collapsed="false">
      <c r="A318" s="213" t="str">
        <f aca="false">A317</f>
        <v>Sun</v>
      </c>
      <c r="B318" s="266" t="str">
        <f aca="false">INDEX(DasaYears,MOD(D236-6,9)+1,1)</f>
        <v>Jupiter</v>
      </c>
      <c r="C318" s="266"/>
      <c r="D318" s="266"/>
      <c r="E318" s="267" t="n">
        <f aca="false">E319-(VLOOKUP(A318,DasaYears,2,0)*VLOOKUP(B318,DasaYears,2,0)/VimTotal)*DaysInYear</f>
        <v>64955.6092704341</v>
      </c>
      <c r="F318" s="268"/>
      <c r="G318" s="213" t="str">
        <f aca="false">G317</f>
        <v>Jupiter</v>
      </c>
      <c r="H318" s="266" t="str">
        <f aca="false">INDEX(DasaYears,MOD(J236-6,9)+1,1)</f>
        <v>Venus</v>
      </c>
      <c r="I318" s="266"/>
      <c r="J318" s="266"/>
      <c r="K318" s="267" t="n">
        <f aca="false">K319-(VLOOKUP(G318,DasaYears,2,0)*VLOOKUP(H318,DasaYears,2,0)/VimTotal)*DaysInYear</f>
        <v>60218.583822988</v>
      </c>
      <c r="M318" s="213" t="str">
        <f aca="false">M317</f>
        <v>Rahu</v>
      </c>
      <c r="N318" s="266" t="str">
        <f aca="false">INDEX(DasaYears,MOD(P236-6,9)+1,1)</f>
        <v>Ketu</v>
      </c>
      <c r="O318" s="266"/>
      <c r="P318" s="266"/>
      <c r="Q318" s="267" t="n">
        <f aca="false">Q319-(VLOOKUP(M318,DasaYears,2,0)*VLOOKUP(N318,DasaYears,2,0)/VimTotal)*DaysInYear</f>
        <v>61519.5927634819</v>
      </c>
      <c r="S318" s="213" t="e">
        <f aca="false">S317</f>
        <v>#N/A</v>
      </c>
      <c r="T318" s="266" t="e">
        <f aca="false">INDEX(DasaYears,MOD(V236-6,9)+1,1)</f>
        <v>#N/A</v>
      </c>
      <c r="U318" s="266"/>
      <c r="V318" s="266"/>
      <c r="W318" s="267" t="e">
        <f aca="false">W319-(VLOOKUP(S318,DasaYears,2,0)*VLOOKUP(T318,DasaYears,2,0)/VimTotal)*DaysInYear</f>
        <v>#N/A</v>
      </c>
      <c r="Y318" s="213" t="str">
        <f aca="false">Y317</f>
        <v>Ketu</v>
      </c>
      <c r="Z318" s="266" t="str">
        <f aca="false">INDEX(DasaYears,MOD(AB236-6,9)+1,1)</f>
        <v>Mars</v>
      </c>
      <c r="AA318" s="266"/>
      <c r="AB318" s="266"/>
      <c r="AC318" s="267" t="n">
        <f aca="false">AC319-(VLOOKUP(Y318,DasaYears,2,0)*VLOOKUP(Z318,DasaYears,2,0)/VimTotal)*DaysInYear</f>
        <v>66472.5188442768</v>
      </c>
    </row>
    <row r="319" s="269" customFormat="true" ht="15" hidden="false" customHeight="false" outlineLevel="0" collapsed="false">
      <c r="A319" s="213" t="str">
        <f aca="false">A318</f>
        <v>Sun</v>
      </c>
      <c r="B319" s="266" t="str">
        <f aca="false">INDEX(DasaYears,MOD(D236-5,9)+1,1)</f>
        <v>Saturn</v>
      </c>
      <c r="C319" s="266"/>
      <c r="D319" s="266"/>
      <c r="E319" s="267" t="n">
        <f aca="false">E320-(VLOOKUP(A319,DasaYears,2,0)*VLOOKUP(B319,DasaYears,2,0)/VimTotal)*DaysInYear</f>
        <v>65247.8131685823</v>
      </c>
      <c r="F319" s="268"/>
      <c r="G319" s="213" t="str">
        <f aca="false">G318</f>
        <v>Jupiter</v>
      </c>
      <c r="H319" s="266" t="str">
        <f aca="false">INDEX(DasaYears,MOD(J236-5,9)+1,1)</f>
        <v>Sun</v>
      </c>
      <c r="I319" s="266"/>
      <c r="J319" s="266"/>
      <c r="K319" s="267" t="n">
        <f aca="false">K320-(VLOOKUP(G319,DasaYears,2,0)*VLOOKUP(H319,DasaYears,2,0)/VimTotal)*DaysInYear</f>
        <v>61192.5968168151</v>
      </c>
      <c r="M319" s="213" t="str">
        <f aca="false">M318</f>
        <v>Rahu</v>
      </c>
      <c r="N319" s="266" t="str">
        <f aca="false">INDEX(DasaYears,MOD(P236-5,9)+1,1)</f>
        <v>Venus</v>
      </c>
      <c r="O319" s="266"/>
      <c r="P319" s="266"/>
      <c r="Q319" s="267" t="n">
        <f aca="false">Q320-(VLOOKUP(M319,DasaYears,2,0)*VLOOKUP(N319,DasaYears,2,0)/VimTotal)*DaysInYear</f>
        <v>61903.1103798013</v>
      </c>
      <c r="S319" s="213" t="e">
        <f aca="false">S318</f>
        <v>#N/A</v>
      </c>
      <c r="T319" s="266" t="e">
        <f aca="false">INDEX(DasaYears,MOD(V236-5,9)+1,1)</f>
        <v>#N/A</v>
      </c>
      <c r="U319" s="266"/>
      <c r="V319" s="266"/>
      <c r="W319" s="267" t="e">
        <f aca="false">W320-(VLOOKUP(S319,DasaYears,2,0)*VLOOKUP(T319,DasaYears,2,0)/VimTotal)*DaysInYear</f>
        <v>#N/A</v>
      </c>
      <c r="Y319" s="213" t="str">
        <f aca="false">Y318</f>
        <v>Ketu</v>
      </c>
      <c r="Z319" s="266" t="str">
        <f aca="false">INDEX(DasaYears,MOD(AB236-5,9)+1,1)</f>
        <v>Rahu</v>
      </c>
      <c r="AA319" s="266"/>
      <c r="AB319" s="266"/>
      <c r="AC319" s="267" t="n">
        <f aca="false">AC320-(VLOOKUP(Y319,DasaYears,2,0)*VLOOKUP(Z319,DasaYears,2,0)/VimTotal)*DaysInYear</f>
        <v>66621.6645839565</v>
      </c>
    </row>
    <row r="320" s="269" customFormat="true" ht="15" hidden="false" customHeight="false" outlineLevel="0" collapsed="false">
      <c r="A320" s="213" t="str">
        <f aca="false">A319</f>
        <v>Sun</v>
      </c>
      <c r="B320" s="266" t="str">
        <f aca="false">INDEX(DasaYears,MOD(D236-4,9)+1,1)</f>
        <v>Mercury</v>
      </c>
      <c r="C320" s="266"/>
      <c r="D320" s="266"/>
      <c r="E320" s="267" t="n">
        <f aca="false">E321-(VLOOKUP(A320,DasaYears,2,0)*VLOOKUP(B320,DasaYears,2,0)/VimTotal)*DaysInYear</f>
        <v>65594.8052976332</v>
      </c>
      <c r="F320" s="268"/>
      <c r="G320" s="213" t="str">
        <f aca="false">G319</f>
        <v>Jupiter</v>
      </c>
      <c r="H320" s="266" t="str">
        <f aca="false">INDEX(DasaYears,MOD(J236-4,9)+1,1)</f>
        <v>Moon</v>
      </c>
      <c r="I320" s="266"/>
      <c r="J320" s="266"/>
      <c r="K320" s="267" t="n">
        <f aca="false">K321-(VLOOKUP(G320,DasaYears,2,0)*VLOOKUP(H320,DasaYears,2,0)/VimTotal)*DaysInYear</f>
        <v>61484.8007149633</v>
      </c>
      <c r="M320" s="213" t="str">
        <f aca="false">M319</f>
        <v>Rahu</v>
      </c>
      <c r="N320" s="266" t="str">
        <f aca="false">INDEX(DasaYears,MOD(P236-4,9)+1,1)</f>
        <v>Sun</v>
      </c>
      <c r="O320" s="266"/>
      <c r="P320" s="266"/>
      <c r="Q320" s="267" t="n">
        <f aca="false">Q321-(VLOOKUP(M320,DasaYears,2,0)*VLOOKUP(N320,DasaYears,2,0)/VimTotal)*DaysInYear</f>
        <v>62998.8749978568</v>
      </c>
      <c r="S320" s="213" t="e">
        <f aca="false">S319</f>
        <v>#N/A</v>
      </c>
      <c r="T320" s="266" t="e">
        <f aca="false">INDEX(DasaYears,MOD(V236-4,9)+1,1)</f>
        <v>#N/A</v>
      </c>
      <c r="U320" s="266"/>
      <c r="V320" s="266"/>
      <c r="W320" s="267" t="e">
        <f aca="false">W321-(VLOOKUP(S320,DasaYears,2,0)*VLOOKUP(T320,DasaYears,2,0)/VimTotal)*DaysInYear</f>
        <v>#N/A</v>
      </c>
      <c r="Y320" s="213" t="str">
        <f aca="false">Y319</f>
        <v>Ketu</v>
      </c>
      <c r="Z320" s="266" t="str">
        <f aca="false">INDEX(DasaYears,MOD(AB236-4,9)+1,1)</f>
        <v>Jupiter</v>
      </c>
      <c r="AA320" s="266"/>
      <c r="AB320" s="266"/>
      <c r="AC320" s="267" t="n">
        <f aca="false">AC321-(VLOOKUP(Y320,DasaYears,2,0)*VLOOKUP(Z320,DasaYears,2,0)/VimTotal)*DaysInYear</f>
        <v>67005.182200276</v>
      </c>
    </row>
    <row r="321" s="269" customFormat="true" ht="15" hidden="false" customHeight="false" outlineLevel="0" collapsed="false">
      <c r="A321" s="213" t="str">
        <f aca="false">A320</f>
        <v>Sun</v>
      </c>
      <c r="B321" s="266" t="str">
        <f aca="false">INDEX(DasaYears,MOD(D236-3,9)+1,1)</f>
        <v>Ketu</v>
      </c>
      <c r="C321" s="266"/>
      <c r="D321" s="266"/>
      <c r="E321" s="267" t="n">
        <f aca="false">E322-(VLOOKUP(A321,DasaYears,2,0)*VLOOKUP(B321,DasaYears,2,0)/VimTotal)*DaysInYear</f>
        <v>65905.2719394156</v>
      </c>
      <c r="F321" s="268"/>
      <c r="G321" s="213" t="str">
        <f aca="false">G320</f>
        <v>Jupiter</v>
      </c>
      <c r="H321" s="266" t="str">
        <f aca="false">INDEX(DasaYears,MOD(J236-3,9)+1,1)</f>
        <v>Mars</v>
      </c>
      <c r="I321" s="266"/>
      <c r="J321" s="266"/>
      <c r="K321" s="267" t="n">
        <f aca="false">K322-(VLOOKUP(G321,DasaYears,2,0)*VLOOKUP(H321,DasaYears,2,0)/VimTotal)*DaysInYear</f>
        <v>61971.8072118769</v>
      </c>
      <c r="M321" s="213" t="str">
        <f aca="false">M320</f>
        <v>Rahu</v>
      </c>
      <c r="N321" s="266" t="str">
        <f aca="false">INDEX(DasaYears,MOD(P236-3,9)+1,1)</f>
        <v>Moon</v>
      </c>
      <c r="O321" s="266"/>
      <c r="P321" s="266"/>
      <c r="Q321" s="267" t="n">
        <f aca="false">Q322-(VLOOKUP(M321,DasaYears,2,0)*VLOOKUP(N321,DasaYears,2,0)/VimTotal)*DaysInYear</f>
        <v>63327.6043832735</v>
      </c>
      <c r="S321" s="213" t="e">
        <f aca="false">S320</f>
        <v>#N/A</v>
      </c>
      <c r="T321" s="266" t="e">
        <f aca="false">INDEX(DasaYears,MOD(V236-3,9)+1,1)</f>
        <v>#N/A</v>
      </c>
      <c r="U321" s="266"/>
      <c r="V321" s="266"/>
      <c r="W321" s="267" t="e">
        <f aca="false">W322-(VLOOKUP(S321,DasaYears,2,0)*VLOOKUP(T321,DasaYears,2,0)/VimTotal)*DaysInYear</f>
        <v>#N/A</v>
      </c>
      <c r="Y321" s="213" t="str">
        <f aca="false">Y320</f>
        <v>Ketu</v>
      </c>
      <c r="Z321" s="266" t="str">
        <f aca="false">INDEX(DasaYears,MOD(AB236-3,9)+1,1)</f>
        <v>Saturn</v>
      </c>
      <c r="AA321" s="266"/>
      <c r="AB321" s="266"/>
      <c r="AC321" s="267" t="n">
        <f aca="false">AC322-(VLOOKUP(Y321,DasaYears,2,0)*VLOOKUP(Z321,DasaYears,2,0)/VimTotal)*DaysInYear</f>
        <v>67346.0867481155</v>
      </c>
    </row>
    <row r="322" s="269" customFormat="true" ht="15" hidden="false" customHeight="false" outlineLevel="0" collapsed="false">
      <c r="A322" s="213" t="str">
        <f aca="false">A321</f>
        <v>Sun</v>
      </c>
      <c r="B322" s="266" t="str">
        <f aca="false">INDEX(DasaYears,MOD(D236-2,9)+1,1)</f>
        <v>Venus</v>
      </c>
      <c r="E322" s="267" t="n">
        <f aca="false">E323-(VLOOKUP(A322,DasaYears,2,0)*VLOOKUP(B322,DasaYears,2,0)/VimTotal)*DaysInYear</f>
        <v>66033.1111448554</v>
      </c>
      <c r="G322" s="213" t="str">
        <f aca="false">G321</f>
        <v>Jupiter</v>
      </c>
      <c r="H322" s="266" t="str">
        <f aca="false">INDEX(DasaYears,MOD(J236-2,9)+1,1)</f>
        <v>Rahu</v>
      </c>
      <c r="K322" s="267" t="n">
        <f aca="false">K323-(VLOOKUP(G322,DasaYears,2,0)*VLOOKUP(H322,DasaYears,2,0)/VimTotal)*DaysInYear</f>
        <v>62312.7117597164</v>
      </c>
      <c r="M322" s="213" t="str">
        <f aca="false">M321</f>
        <v>Rahu</v>
      </c>
      <c r="N322" s="266" t="str">
        <f aca="false">INDEX(DasaYears,MOD(P236-2,9)+1,1)</f>
        <v>Mars</v>
      </c>
      <c r="Q322" s="267" t="n">
        <f aca="false">Q323-(VLOOKUP(M322,DasaYears,2,0)*VLOOKUP(N322,DasaYears,2,0)/VimTotal)*DaysInYear</f>
        <v>63875.4866923013</v>
      </c>
      <c r="S322" s="213" t="e">
        <f aca="false">S321</f>
        <v>#N/A</v>
      </c>
      <c r="T322" s="266" t="e">
        <f aca="false">INDEX(DasaYears,MOD(V236-2,9)+1,1)</f>
        <v>#N/A</v>
      </c>
      <c r="W322" s="267" t="e">
        <f aca="false">W323-(VLOOKUP(S322,DasaYears,2,0)*VLOOKUP(T322,DasaYears,2,0)/VimTotal)*DaysInYear</f>
        <v>#N/A</v>
      </c>
      <c r="Y322" s="213" t="str">
        <f aca="false">Y321</f>
        <v>Ketu</v>
      </c>
      <c r="Z322" s="266" t="str">
        <f aca="false">INDEX(DasaYears,MOD(AB236-2,9)+1,1)</f>
        <v>Mercury</v>
      </c>
      <c r="AC322" s="267" t="n">
        <f aca="false">AC323-(VLOOKUP(Y322,DasaYears,2,0)*VLOOKUP(Z322,DasaYears,2,0)/VimTotal)*DaysInYear</f>
        <v>67750.9108986749</v>
      </c>
    </row>
    <row r="323" s="227" customFormat="true" ht="15" hidden="false" customHeight="false" outlineLevel="0" collapsed="false">
      <c r="A323" s="220" t="str">
        <f aca="false">INDEX(DasaYears,MOD(D236+9,9)+1,1)</f>
        <v>Moon</v>
      </c>
      <c r="B323" s="270"/>
      <c r="C323" s="270"/>
      <c r="D323" s="270"/>
      <c r="E323" s="271" t="n">
        <f aca="false">E314+DaysInYear*VLOOKUP(A314,DasaYears,2,0)</f>
        <v>66398.3660175406</v>
      </c>
      <c r="G323" s="220" t="str">
        <f aca="false">INDEX(DasaYears,MOD(J236+9,9)+1,1)</f>
        <v>Saturn</v>
      </c>
      <c r="H323" s="270"/>
      <c r="I323" s="270"/>
      <c r="J323" s="270"/>
      <c r="K323" s="271" t="n">
        <f aca="false">K314+DaysInYear*VLOOKUP(G314,DasaYears,2,0)</f>
        <v>63189.3234541608</v>
      </c>
      <c r="M323" s="220" t="str">
        <f aca="false">INDEX(DasaYears,MOD(P236+9,9)+1,1)</f>
        <v>Jupiter</v>
      </c>
      <c r="N323" s="270"/>
      <c r="O323" s="270"/>
      <c r="P323" s="270"/>
      <c r="Q323" s="271" t="n">
        <f aca="false">Q314+DaysInYear*VLOOKUP(M314,DasaYears,2,0)</f>
        <v>64259.0043086207</v>
      </c>
      <c r="S323" s="220" t="e">
        <f aca="false">INDEX(DasaYears,MOD(V236+9,9)+1,1)</f>
        <v>#N/A</v>
      </c>
      <c r="T323" s="270"/>
      <c r="U323" s="270"/>
      <c r="V323" s="270"/>
      <c r="W323" s="271" t="e">
        <f aca="false">W314+DaysInYear*VLOOKUP(S314,DasaYears,2,0)</f>
        <v>#N/A</v>
      </c>
      <c r="Y323" s="220" t="str">
        <f aca="false">INDEX(DasaYears,MOD(AB236+9,9)+1,1)</f>
        <v>Venus</v>
      </c>
      <c r="Z323" s="270"/>
      <c r="AA323" s="270"/>
      <c r="AB323" s="270"/>
      <c r="AC323" s="271" t="n">
        <f aca="false">AC314+DaysInYear*VLOOKUP(Y314,DasaYears,2,0)</f>
        <v>68113.1219807544</v>
      </c>
    </row>
  </sheetData>
  <mergeCells count="20">
    <mergeCell ref="B14:D14"/>
    <mergeCell ref="B16:E16"/>
    <mergeCell ref="B18:E18"/>
    <mergeCell ref="E231:F231"/>
    <mergeCell ref="G233:J233"/>
    <mergeCell ref="B235:D235"/>
    <mergeCell ref="H235:J235"/>
    <mergeCell ref="N235:P235"/>
    <mergeCell ref="T235:V235"/>
    <mergeCell ref="Z235:AB235"/>
    <mergeCell ref="B237:E237"/>
    <mergeCell ref="H237:K237"/>
    <mergeCell ref="N237:Q237"/>
    <mergeCell ref="T237:W237"/>
    <mergeCell ref="Z237:AC237"/>
    <mergeCell ref="B239:E239"/>
    <mergeCell ref="H239:K239"/>
    <mergeCell ref="N239:Q239"/>
    <mergeCell ref="T239:W239"/>
    <mergeCell ref="Z239:AC239"/>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86" fitToWidth="1" fitToHeight="1" pageOrder="downThenOver" orientation="portrait" blackAndWhite="false" draft="false" cellComments="none" horizontalDpi="300" verticalDpi="300" copies="1"/>
  <headerFooter differentFirst="false" differentOddEven="false">
    <oddHeader/>
    <oddFooter/>
  </headerFooter>
  <rowBreaks count="2" manualBreakCount="2">
    <brk id="62" man="true" max="16383" min="0"/>
    <brk id="145" man="true" max="16383" min="0"/>
  </rowBreaks>
  <colBreaks count="1" manualBreakCount="1">
    <brk id="7" man="true" max="65535" min="0"/>
  </colBreaks>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O330"/>
  <sheetViews>
    <sheetView showFormulas="false" showGridLines="true" showRowColHeaders="true" showZeros="true" rightToLeft="false" tabSelected="false" showOutlineSymbols="true" defaultGridColor="true" view="normal" topLeftCell="A1" colorId="64" zoomScale="181" zoomScaleNormal="181" zoomScalePageLayoutView="100" workbookViewId="0">
      <selection pane="topLeft" activeCell="F28" activeCellId="0" sqref="F28"/>
    </sheetView>
  </sheetViews>
  <sheetFormatPr defaultColWidth="8.5703125" defaultRowHeight="15" customHeight="true" zeroHeight="false" outlineLevelRow="0" outlineLevelCol="0"/>
  <cols>
    <col collapsed="false" customWidth="true" hidden="false" outlineLevel="0" max="1" min="1" style="6" width="23.57"/>
    <col collapsed="false" customWidth="true" hidden="false" outlineLevel="0" max="2" min="2" style="272" width="18"/>
    <col collapsed="false" customWidth="true" hidden="false" outlineLevel="0" max="3" min="3" style="6" width="12.71"/>
    <col collapsed="false" customWidth="true" hidden="false" outlineLevel="0" max="4" min="4" style="6" width="19.14"/>
    <col collapsed="false" customWidth="true" hidden="false" outlineLevel="0" max="5" min="5" style="6" width="17"/>
    <col collapsed="false" customWidth="true" hidden="false" outlineLevel="0" max="6" min="6" style="6" width="17.42"/>
    <col collapsed="false" customWidth="true" hidden="false" outlineLevel="0" max="7" min="7" style="6" width="22"/>
    <col collapsed="false" customWidth="true" hidden="false" outlineLevel="0" max="8" min="8" style="6" width="13"/>
    <col collapsed="false" customWidth="true" hidden="false" outlineLevel="0" max="9" min="9" style="273" width="18"/>
    <col collapsed="false" customWidth="true" hidden="false" outlineLevel="0" max="10" min="10" style="6" width="89.29"/>
    <col collapsed="false" customWidth="true" hidden="false" outlineLevel="0" max="11" min="11" style="6" width="10.85"/>
  </cols>
  <sheetData>
    <row r="1" customFormat="false" ht="15" hidden="false" customHeight="false" outlineLevel="0" collapsed="false">
      <c r="A1" s="227" t="s">
        <v>443</v>
      </c>
      <c r="B1" s="274"/>
      <c r="C1" s="5"/>
      <c r="D1" s="1"/>
      <c r="E1" s="1"/>
      <c r="F1" s="1"/>
      <c r="N1" s="275" t="e">
        <f aca="false">jhora #REF!</f>
        <v>#NAME?</v>
      </c>
      <c r="O1" s="6" t="e">
        <f aca="false">jhora #REF!</f>
        <v>#NAME?</v>
      </c>
    </row>
    <row r="2" customFormat="false" ht="15" hidden="false" customHeight="false" outlineLevel="0" collapsed="false">
      <c r="A2" s="276" t="str">
        <f aca="false">Basics!A9</f>
        <v>Moon</v>
      </c>
      <c r="E2" s="186"/>
      <c r="F2" s="1"/>
      <c r="N2" s="275" t="e">
        <f aca="false">jhora #REF!</f>
        <v>#NAME?</v>
      </c>
      <c r="O2" s="6" t="e">
        <f aca="false">jhora #REF!</f>
        <v>#NAME?</v>
      </c>
    </row>
    <row r="3" customFormat="false" ht="15" hidden="false" customHeight="false" outlineLevel="0" collapsed="false">
      <c r="A3" s="277" t="s">
        <v>375</v>
      </c>
      <c r="B3" s="278" t="n">
        <f aca="false">VLOOKUP(A2,ChartInfo,7,0)</f>
        <v>53.0159444444444</v>
      </c>
      <c r="C3" s="278"/>
      <c r="D3" s="278"/>
      <c r="E3" s="186"/>
      <c r="F3" s="1"/>
      <c r="N3" s="275" t="n">
        <f aca="false">JHora!B4</f>
        <v>37926</v>
      </c>
      <c r="O3" s="225" t="str">
        <f aca="false">JHora!C4</f>
        <v>Bought Car D16</v>
      </c>
    </row>
    <row r="4" customFormat="false" ht="15" hidden="false" customHeight="false" outlineLevel="0" collapsed="false">
      <c r="A4" s="279" t="s">
        <v>376</v>
      </c>
      <c r="B4" s="272" t="str">
        <f aca="false">INDEX(DasaYears,D4+1,1)</f>
        <v>Moon</v>
      </c>
      <c r="D4" s="5" t="n">
        <f aca="false">MOD(FLOOR(B3/StarDeg,1),9)</f>
        <v>3</v>
      </c>
      <c r="E4" s="186" t="n">
        <f aca="false">INDEX(DasaYears,MOD(FLOOR(B3/StarDeg,1),9)+1,2)</f>
        <v>10</v>
      </c>
      <c r="F4" s="1"/>
      <c r="N4" s="275" t="n">
        <f aca="false">JHora!B5</f>
        <v>38779</v>
      </c>
      <c r="O4" s="225" t="str">
        <f aca="false">JHora!C5</f>
        <v>Marriage D9</v>
      </c>
    </row>
    <row r="5" customFormat="false" ht="15" hidden="false" customHeight="false" outlineLevel="0" collapsed="false">
      <c r="A5" s="279" t="s">
        <v>377</v>
      </c>
      <c r="B5" s="280" t="n">
        <f aca="false">((StarDeg-MOD(B3,StarDeg))/StarDeg)*E4</f>
        <v>0.238041666666569</v>
      </c>
      <c r="C5" s="280"/>
      <c r="D5" s="280"/>
      <c r="E5" s="280"/>
      <c r="F5" s="1"/>
      <c r="I5" s="273" t="e">
        <f aca="false">MATCH(C16,ChartInfo,0)</f>
        <v>#VALUE!</v>
      </c>
      <c r="N5" s="275" t="n">
        <f aca="false">JHora!B6</f>
        <v>41694</v>
      </c>
      <c r="O5" s="225" t="str">
        <f aca="false">JHora!C6</f>
        <v>Bought Car D16</v>
      </c>
    </row>
    <row r="6" customFormat="false" ht="15" hidden="false" customHeight="false" outlineLevel="0" collapsed="false">
      <c r="A6" s="279" t="s">
        <v>378</v>
      </c>
      <c r="B6" s="281"/>
      <c r="C6" s="5"/>
      <c r="D6" s="5"/>
      <c r="E6" s="186" t="n">
        <f aca="false">((MOD(B3,StarDeg))/StarDeg)*E4-F6/DaysInYear</f>
        <v>9.76195833333343</v>
      </c>
      <c r="F6" s="1" t="n">
        <v>0</v>
      </c>
      <c r="G6" s="1" t="str">
        <f aca="false">Vimshottari!H18</f>
        <v>&lt;-Corrections Days</v>
      </c>
      <c r="I6" s="273" t="n">
        <f aca="false">VLOOKUP(C16,ChartInfo,11,0)</f>
        <v>0</v>
      </c>
      <c r="N6" s="275" t="n">
        <f aca="false">JHora!B7</f>
        <v>0</v>
      </c>
      <c r="O6" s="225" t="n">
        <f aca="false">JHora!C7</f>
        <v>0</v>
      </c>
    </row>
    <row r="7" customFormat="false" ht="15" hidden="false" customHeight="false" outlineLevel="0" collapsed="false">
      <c r="A7" s="279" t="s">
        <v>444</v>
      </c>
      <c r="B7" s="282" t="b">
        <f aca="false">TRUE()</f>
        <v>1</v>
      </c>
      <c r="C7" s="282"/>
      <c r="D7" s="282"/>
      <c r="E7" s="282"/>
      <c r="I7" s="273" t="n">
        <f aca="false">IF(VLOOKUP(C16,ChartInfo,11,0),1,0)*B17</f>
        <v>0</v>
      </c>
      <c r="N7" s="275" t="n">
        <f aca="false">JHora!B8</f>
        <v>0</v>
      </c>
      <c r="O7" s="225" t="n">
        <f aca="false">JHora!C8</f>
        <v>0</v>
      </c>
    </row>
    <row r="8" customFormat="false" ht="15" hidden="false" customHeight="false" outlineLevel="0" collapsed="false">
      <c r="A8" s="1" t="s">
        <v>445</v>
      </c>
      <c r="B8" s="283" t="n">
        <f aca="false">DaysInYear</f>
        <v>365.254872685182</v>
      </c>
      <c r="C8" s="284"/>
      <c r="D8" s="1"/>
      <c r="E8" s="1"/>
      <c r="F8" s="1"/>
      <c r="N8" s="275" t="n">
        <f aca="false">JHora!B9</f>
        <v>0</v>
      </c>
      <c r="O8" s="225" t="n">
        <f aca="false">JHora!C9</f>
        <v>0</v>
      </c>
    </row>
    <row r="9" customFormat="false" ht="15" hidden="false" customHeight="false" outlineLevel="0" collapsed="false">
      <c r="A9" s="1"/>
      <c r="B9" s="283"/>
      <c r="C9" s="284"/>
      <c r="D9" s="1"/>
      <c r="E9" s="1"/>
      <c r="H9" s="1"/>
      <c r="N9" s="275" t="n">
        <f aca="false">JHora!B10</f>
        <v>0</v>
      </c>
      <c r="O9" s="225" t="n">
        <f aca="false">JHora!C10</f>
        <v>0</v>
      </c>
    </row>
    <row r="10" customFormat="false" ht="15" hidden="false" customHeight="false" outlineLevel="0" collapsed="false">
      <c r="A10" s="285"/>
      <c r="B10" s="286" t="s">
        <v>446</v>
      </c>
      <c r="C10" s="287" t="s">
        <v>447</v>
      </c>
      <c r="D10" s="288" t="s">
        <v>448</v>
      </c>
      <c r="E10" s="287" t="s">
        <v>449</v>
      </c>
      <c r="F10" s="287" t="s">
        <v>450</v>
      </c>
      <c r="G10" s="287" t="s">
        <v>384</v>
      </c>
      <c r="H10" s="287" t="s">
        <v>245</v>
      </c>
      <c r="I10" s="289" t="s">
        <v>451</v>
      </c>
      <c r="J10" s="290" t="s">
        <v>452</v>
      </c>
      <c r="K10" s="290" t="s">
        <v>453</v>
      </c>
      <c r="N10" s="275" t="n">
        <f aca="false">JHora!B11</f>
        <v>0</v>
      </c>
      <c r="O10" s="225" t="n">
        <f aca="false">JHora!C11</f>
        <v>0</v>
      </c>
    </row>
    <row r="11" customFormat="false" ht="15" hidden="false" customHeight="false" outlineLevel="0" collapsed="false">
      <c r="A11" s="291" t="s">
        <v>454</v>
      </c>
      <c r="B11" s="292" t="n">
        <f aca="false">DoB-$E$6*DaysInYear</f>
        <v>22567.7812953187</v>
      </c>
      <c r="C11" s="293" t="n">
        <f aca="false">B11+B13*INDEX(INDEX(VimFrac,,VLOOKUP(B16,PlanetData,3,0)+1),MATCH(B14,INDEX(VimFrac,,VLOOKUP(B16,PlanetData,3,0)+1),1))</f>
        <v>41195.779802263</v>
      </c>
      <c r="D11" s="293" t="n">
        <f aca="false">C11+C13*INDEX(INDEX(VimFrac,0,9*C17+VLOOKUP(C16,PlanetData,3,0)+1),IF(C17,1,0)+MATCH(C14,INDEX(VimFrac,0,9*C17+VLOOKUP(C16,PlanetData,3,0)+1),IF(C17,-1,1)))</f>
        <v>45764.5095014335</v>
      </c>
      <c r="E11" s="293" t="n">
        <f aca="false">D11+D13*INDEX(INDEX(VimFrac,0,9*D17+VLOOKUP(D16,PlanetData,3,0)+1),IF(D17,1,0)+MATCH(D14,INDEX(VimFrac,0,9*D17+VLOOKUP(D16,PlanetData,3,0)+1),IF(D17,-1,1)))</f>
        <v>45909.5714887173</v>
      </c>
      <c r="F11" s="293" t="n">
        <f aca="false">E11+E13*INDEX(INDEX(VimFrac,0,9*E17+VLOOKUP(E16,PlanetData,3,0)+1),IF(E17,1,0)+MATCH(E14,INDEX(VimFrac,0,9*E17+VLOOKUP(E16,PlanetData,3,0)+1),IF(E17,-1,1)))</f>
        <v>45950.1944677144</v>
      </c>
      <c r="G11" s="293" t="n">
        <f aca="false">F11+F13*INDEX(INDEX(VimFrac,0,9*F17+VLOOKUP(F16,PlanetData,3,0)+1),IF(F17,1,0)+MATCH(F14,INDEX(VimFrac,0,9*F17+VLOOKUP(F16,PlanetData,3,0)+1),IF(F17,-1,1)))</f>
        <v>45951.3414694743</v>
      </c>
      <c r="H11" s="293" t="n">
        <f aca="false">G11+G13*INDEX(INDEX(VimFrac,0,9*G17+VLOOKUP(G16,PlanetData,3,0)+1),IF(G17,1,0)+MATCH(G14,INDEX(VimFrac,0,9*G17+VLOOKUP(G16,PlanetData,3,0)+1),IF(G17,-1,1)))</f>
        <v>45951.4009436397</v>
      </c>
      <c r="J11" s="6" t="str">
        <f aca="false">J12</f>
        <v>Now() The current dasa</v>
      </c>
      <c r="K11" s="6" t="n">
        <v>1</v>
      </c>
      <c r="N11" s="275" t="n">
        <f aca="false">JHora!B12</f>
        <v>0</v>
      </c>
      <c r="O11" s="225" t="n">
        <f aca="false">JHora!C12</f>
        <v>0</v>
      </c>
    </row>
    <row r="12" customFormat="false" ht="15" hidden="false" customHeight="false" outlineLevel="0" collapsed="false">
      <c r="A12" s="291" t="s">
        <v>455</v>
      </c>
      <c r="B12" s="292" t="n">
        <f aca="false">B11+B13</f>
        <v>66398.3660175406</v>
      </c>
      <c r="C12" s="293" t="n">
        <f aca="false">B11+B13*INDEX(INDEX(VimFrac,,VLOOKUP(B16,PlanetData,3,0)+1),MATCH(B14,INDEX(VimFrac,,VLOOKUP(B16,PlanetData,3,0)+1),1)+1)</f>
        <v>48135.6223832815</v>
      </c>
      <c r="D12" s="293" t="n">
        <f aca="false">C11+C13*INDEX(INDEX(VimFrac,0,9*C17+VLOOKUP(C16,PlanetData,3,0)+1),IF(C17,0,1)+MATCH(C14,INDEX(VimFrac,0,9*C17+VLOOKUP(C16,PlanetData,3,0)+1),IF(C17,-1,1)))</f>
        <v>46169.3336519929</v>
      </c>
      <c r="E12" s="293" t="n">
        <f aca="false">D11+D13*INDEX(INDEX(VimFrac,0,9*D17+VLOOKUP(D16,PlanetData,3,0)+1),IF(D17,0,1)+MATCH(D14,INDEX(VimFrac,0,9*D17+VLOOKUP(D16,PlanetData,3,0)+1),IF(D17,-1,1)))</f>
        <v>45966.9215767132</v>
      </c>
      <c r="F12" s="293" t="n">
        <f aca="false">E11+E13*INDEX(INDEX(VimFrac,0,9*E17+VLOOKUP(E16,PlanetData,3,0)+1),IF(E17,0,1)+MATCH(E14,INDEX(VimFrac,0,9*E17+VLOOKUP(E16,PlanetData,3,0)+1),IF(E17,-1,1)))</f>
        <v>45957.8411461139</v>
      </c>
      <c r="G12" s="293" t="n">
        <f aca="false">F11+F13*INDEX(INDEX(VimFrac,0,9*F17+VLOOKUP(F16,PlanetData,3,0)+1),IF(F17,0,1)+MATCH(F14,INDEX(VimFrac,0,9*F17+VLOOKUP(F16,PlanetData,3,0)+1),IF(F17,-1,1)))</f>
        <v>45951.7875257143</v>
      </c>
      <c r="H12" s="293" t="n">
        <f aca="false">G11+G13*INDEX(INDEX(VimFrac,0,9*G17+VLOOKUP(G16,PlanetData,3,0)+1),IF(G17,0,1)+MATCH(G14,INDEX(VimFrac,0,9*G17+VLOOKUP(G16,PlanetData,3,0)+1),IF(G17,-1,1)))</f>
        <v>45951.4752863463</v>
      </c>
      <c r="J12" s="6" t="str">
        <f aca="false">J16</f>
        <v>Now() The current dasa</v>
      </c>
      <c r="K12" s="6" t="n">
        <v>1</v>
      </c>
      <c r="N12" s="275" t="n">
        <f aca="false">JHora!B13</f>
        <v>0</v>
      </c>
      <c r="O12" s="225" t="n">
        <f aca="false">JHora!C13</f>
        <v>0</v>
      </c>
    </row>
    <row r="13" customFormat="false" ht="15" hidden="false" customHeight="false" outlineLevel="0" collapsed="false">
      <c r="A13" s="294" t="s">
        <v>456</v>
      </c>
      <c r="B13" s="295" t="n">
        <f aca="false">120*DaysInYear</f>
        <v>43830.5847222218</v>
      </c>
      <c r="C13" s="296" t="n">
        <f aca="false">C12-C11</f>
        <v>6939.84258101844</v>
      </c>
      <c r="D13" s="296" t="n">
        <f aca="false">D12-D11</f>
        <v>404.824150559412</v>
      </c>
      <c r="E13" s="296" t="n">
        <f aca="false">E12-E11</f>
        <v>57.3500879959174</v>
      </c>
      <c r="F13" s="296" t="n">
        <f aca="false">F12-F11</f>
        <v>7.64667839945468</v>
      </c>
      <c r="G13" s="296" t="n">
        <f aca="false">G12-G11</f>
        <v>0.446056239969028</v>
      </c>
      <c r="H13" s="296" t="n">
        <f aca="false">H12-H11</f>
        <v>0.0743427066627083</v>
      </c>
      <c r="K13" s="6" t="n">
        <v>0</v>
      </c>
    </row>
    <row r="14" customFormat="false" ht="15" hidden="false" customHeight="false" outlineLevel="0" collapsed="false">
      <c r="A14" s="294" t="s">
        <v>457</v>
      </c>
      <c r="B14" s="297" t="n">
        <f aca="false">(I16-B11)/(B12-B11)</f>
        <v>0.533501447454473</v>
      </c>
      <c r="C14" s="298" t="n">
        <f aca="false">(I16-C11)/(C12-C11)</f>
        <v>0.68527229971246</v>
      </c>
      <c r="D14" s="298" t="n">
        <f aca="false">(I16-D11)/(D12-D11)</f>
        <v>0.461810852213601</v>
      </c>
      <c r="E14" s="298" t="n">
        <f aca="false">(I16-E11)/(E12-E11)</f>
        <v>0.73042954503712</v>
      </c>
      <c r="F14" s="298" t="n">
        <f aca="false">(I16-F11)/(F12-F11)</f>
        <v>0.165721587778028</v>
      </c>
      <c r="G14" s="298" t="n">
        <f aca="false">(I16-G11)/(G12-G11)</f>
        <v>0.269512933332228</v>
      </c>
      <c r="H14" s="298" t="n">
        <f aca="false">(I16-H11)/(H12-H11)</f>
        <v>0.817077600025784</v>
      </c>
      <c r="K14" s="6" t="n">
        <v>0</v>
      </c>
    </row>
    <row r="15" customFormat="false" ht="15" hidden="false" customHeight="false" outlineLevel="0" collapsed="false">
      <c r="A15" s="294" t="s">
        <v>458</v>
      </c>
      <c r="B15" s="295"/>
      <c r="C15" s="296" t="n">
        <f aca="false">MOD(VLOOKUP(B16,PlanetData,3,0)+MATCH(B14,INDEX(VimFrac,,VLOOKUP(B16,PlanetData,3,0)+1),1)-1,9)</f>
        <v>8</v>
      </c>
      <c r="D15" s="296" t="n">
        <f aca="false">MOD(VLOOKUP(C16,PlanetData,3,0)+MATCH(C14,INDEX(VimFrac,0,9*C17+VLOOKUP(C16,PlanetData,3,0)+1),IF(C17,-1,1))-1,9)</f>
        <v>5</v>
      </c>
      <c r="E15" s="296" t="n">
        <f aca="false">MOD(VLOOKUP(D16,PlanetData,3,0)+MATCH(D14,INDEX(VimFrac,0,9*D17+VLOOKUP(D16,PlanetData,3,0)+1),IF(D17,-1,1))-1,9)</f>
        <v>0</v>
      </c>
      <c r="F15" s="296" t="n">
        <f aca="false">MOD(VLOOKUP(E16,PlanetData,3,0)+MATCH(E14,INDEX(VimFrac,0,9*E17+VLOOKUP(E16,PlanetData,3,0)+1),IF(E17,-1,1))-1,9)</f>
        <v>7</v>
      </c>
      <c r="G15" s="296" t="n">
        <f aca="false">MOD(VLOOKUP(F16,PlanetData,3,0)+MATCH(F14,INDEX(VimFrac,0,9*F17+VLOOKUP(F16,PlanetData,3,0)+1),IF(F17,-1,1))-1,9)</f>
        <v>5</v>
      </c>
      <c r="H15" s="296" t="n">
        <f aca="false">MOD(VLOOKUP(G16,PlanetData,3,0)+MATCH(G14,INDEX(VimFrac,0,9*G17+VLOOKUP(G16,PlanetData,3,0)+1),IF(G17,-1,1))-1,9)</f>
        <v>2</v>
      </c>
      <c r="I15" s="296" t="n">
        <f aca="false">StarDeg*(C15-1)+(D15-1)*POWER(StarDeg,2)/120+(E15-1)*POWER(StarDeg,3)/POWER(120,2)+(F15-1)*POWER(StarDeg,4)/POWER(120,3)+(G15-1)*POWER(StarDeg,5)/POWER(120,4)+(H15-1)*POWER(StarDeg,6)/POWER(120,5)</f>
        <v>99.2127442180785</v>
      </c>
      <c r="J15" s="296"/>
      <c r="K15" s="6" t="n">
        <v>0</v>
      </c>
    </row>
    <row r="16" customFormat="false" ht="15" hidden="false" customHeight="false" outlineLevel="0" collapsed="false">
      <c r="A16" s="294" t="s">
        <v>459</v>
      </c>
      <c r="B16" s="295" t="str">
        <f aca="false">$B$4</f>
        <v>Moon</v>
      </c>
      <c r="C16" s="296" t="str">
        <f aca="false">INDEX(DasaYears,IF(C15=0,9,C15),1)</f>
        <v>Saturn</v>
      </c>
      <c r="D16" s="296" t="str">
        <f aca="false">INDEX(DasaYears,IF(D15=0,9,D15),1)</f>
        <v>Mars</v>
      </c>
      <c r="E16" s="296" t="str">
        <f aca="false">INDEX(DasaYears,IF(E15=0,9,E15),1)</f>
        <v>Mercury</v>
      </c>
      <c r="F16" s="296" t="str">
        <f aca="false">INDEX(DasaYears,IF(F15=0,9,F15),1)</f>
        <v>Jupiter</v>
      </c>
      <c r="G16" s="296" t="str">
        <f aca="false">INDEX(DasaYears,IF(G15=0,9,G15),1)</f>
        <v>Mars</v>
      </c>
      <c r="H16" s="296" t="str">
        <f aca="false">INDEX(DasaYears,IF(H15=0,9,H15),1)</f>
        <v>Venus</v>
      </c>
      <c r="I16" s="275" t="n">
        <f aca="true">NOW()</f>
        <v>45951.4616874</v>
      </c>
      <c r="J16" s="275" t="s">
        <v>460</v>
      </c>
      <c r="K16" s="6" t="n">
        <v>1</v>
      </c>
      <c r="N16" s="275" t="n">
        <f aca="false">JHora!B17</f>
        <v>0</v>
      </c>
      <c r="O16" s="225" t="n">
        <f aca="false">JHora!C17</f>
        <v>0</v>
      </c>
    </row>
    <row r="17" customFormat="false" ht="15" hidden="false" customHeight="false" outlineLevel="0" collapsed="false">
      <c r="A17" s="294" t="s">
        <v>444</v>
      </c>
      <c r="B17" s="295" t="b">
        <f aca="false">$B$7</f>
        <v>1</v>
      </c>
      <c r="C17" s="296" t="n">
        <f aca="false">IF(VLOOKUP(C16,ChartInfo,11,0),1,0)*B17</f>
        <v>0</v>
      </c>
      <c r="D17" s="296" t="n">
        <f aca="false">IF(VLOOKUP(D16,ChartInfo,11,0),1,0)*B17</f>
        <v>1</v>
      </c>
      <c r="E17" s="296" t="n">
        <f aca="false">IF(VLOOKUP(E16,ChartInfo,11,0),1,0)*B17</f>
        <v>0</v>
      </c>
      <c r="F17" s="296" t="n">
        <f aca="false">IF(VLOOKUP(F16,ChartInfo,11,0),1,0)*B17</f>
        <v>1</v>
      </c>
      <c r="G17" s="296" t="n">
        <f aca="false">IF(VLOOKUP(G16,ChartInfo,11,0),1,0)*B17</f>
        <v>1</v>
      </c>
      <c r="H17" s="296" t="n">
        <f aca="false">IF(VLOOKUP(H16,ChartInfo,11,0),1,0)*B17</f>
        <v>0</v>
      </c>
      <c r="K17" s="6" t="n">
        <v>0</v>
      </c>
    </row>
    <row r="18" customFormat="false" ht="15" hidden="false" customHeight="false" outlineLevel="0" collapsed="false">
      <c r="K18" s="6" t="n">
        <v>1</v>
      </c>
      <c r="N18" s="275" t="n">
        <f aca="false">JHora!B19</f>
        <v>0</v>
      </c>
      <c r="O18" s="225" t="n">
        <f aca="false">JHora!C19</f>
        <v>0</v>
      </c>
    </row>
    <row r="19" customFormat="false" ht="15" hidden="true" customHeight="false" outlineLevel="0" collapsed="false">
      <c r="A19" s="291" t="s">
        <v>454</v>
      </c>
      <c r="B19" s="292" t="n">
        <f aca="false">DoB-$E$6*DaysInYear</f>
        <v>22567.7812953187</v>
      </c>
      <c r="C19" s="293" t="n">
        <f aca="false">B19+B21*INDEX(INDEX(VimFrac,,VLOOKUP(B24,PlanetData,3,0)+1),MATCH(B22,INDEX(VimFrac,,VLOOKUP(B24,PlanetData,3,0)+1),1))</f>
        <v>22567.7812953187</v>
      </c>
      <c r="D19" s="293" t="n">
        <f aca="false">C19+C21*INDEX(INDEX(VimFrac,0,9*C25+VLOOKUP(C24,PlanetData,3,0)+1),IF(C25,1,0)+MATCH(C22,INDEX(VimFrac,0,9*C25+VLOOKUP(C24,PlanetData,3,0)+1),IF(C25,-1,1)))</f>
        <v>26037.702585828</v>
      </c>
      <c r="E19" s="293" t="n">
        <f aca="false">D19+D21*INDEX(INDEX(VimFrac,0,9*D25+VLOOKUP(D24,PlanetData,3,0)+1),IF(D25,1,0)+MATCH(D22,INDEX(VimFrac,0,9*D25+VLOOKUP(D24,PlanetData,3,0)+1),IF(D25,-1,1)))</f>
        <v>26124.4506180907</v>
      </c>
      <c r="F19" s="293" t="n">
        <f aca="false">E19+E21*INDEX(INDEX(VimFrac,0,9*E25+VLOOKUP(E24,PlanetData,3,0)+1),IF(E25,1,0)+MATCH(E22,INDEX(VimFrac,0,9*E25+VLOOKUP(E24,PlanetData,3,0)+1),IF(E25,-1,1)))</f>
        <v>26129.0289864601</v>
      </c>
      <c r="G19" s="293" t="n">
        <f aca="false">F19+F21*INDEX(INDEX(VimFrac,0,9*F25+VLOOKUP(F24,PlanetData,3,0)+1),IF(F25,1,0)+MATCH(F22,INDEX(VimFrac,0,9*F25+VLOOKUP(F24,PlanetData,3,0)+1),IF(F25,-1,1)))</f>
        <v>26132.4768191313</v>
      </c>
      <c r="H19" s="293" t="n">
        <f aca="false">G19+G21*INDEX(INDEX(VimFrac,0,9*G25+VLOOKUP(G24,PlanetData,3,0)+1),IF(G25,1,0)+MATCH(G22,INDEX(VimFrac,0,9*G25+VLOOKUP(G24,PlanetData,3,0)+1),IF(G25,-1,1)))</f>
        <v>26132.9416506977</v>
      </c>
      <c r="J19" s="273" t="str">
        <f aca="false">J24</f>
        <v>Born in CIM Stores</v>
      </c>
      <c r="K19" s="6" t="n">
        <f aca="false">K11+1</f>
        <v>2</v>
      </c>
      <c r="N19" s="275" t="n">
        <f aca="false">JHora!B20</f>
        <v>0</v>
      </c>
      <c r="O19" s="225" t="n">
        <f aca="false">JHora!C20</f>
        <v>0</v>
      </c>
    </row>
    <row r="20" customFormat="false" ht="15" hidden="true" customHeight="false" outlineLevel="0" collapsed="false">
      <c r="A20" s="291" t="s">
        <v>455</v>
      </c>
      <c r="B20" s="292" t="n">
        <f aca="false">B19+B21</f>
        <v>66398.3660175406</v>
      </c>
      <c r="C20" s="293" t="n">
        <f aca="false">B19+B21*INDEX(INDEX(VimFrac,,VLOOKUP(B24,PlanetData,3,0)+1),MATCH(B22,INDEX(VimFrac,,VLOOKUP(B24,PlanetData,3,0)+1),1)+1)</f>
        <v>26220.3300221706</v>
      </c>
      <c r="D20" s="293" t="n">
        <f aca="false">C19+C21*INDEX(INDEX(VimFrac,0,9*C25+VLOOKUP(C24,PlanetData,3,0)+1),IF(C25,0,1)+MATCH(C22,INDEX(VimFrac,0,9*C25+VLOOKUP(C24,PlanetData,3,0)+1),IF(C25,-1,1)))</f>
        <v>26220.3300221706</v>
      </c>
      <c r="E20" s="293" t="n">
        <f aca="false">D19+D21*INDEX(INDEX(VimFrac,0,9*D25+VLOOKUP(D24,PlanetData,3,0)+1),IF(D25,0,1)+MATCH(D22,INDEX(VimFrac,0,9*D25+VLOOKUP(D24,PlanetData,3,0)+1),IF(D25,-1,1)))</f>
        <v>26153.366628845</v>
      </c>
      <c r="F20" s="293" t="n">
        <f aca="false">E19+E21*INDEX(INDEX(VimFrac,0,9*E25+VLOOKUP(E24,PlanetData,3,0)+1),IF(E25,0,1)+MATCH(E22,INDEX(VimFrac,0,9*E25+VLOOKUP(E24,PlanetData,3,0)+1),IF(E25,-1,1)))</f>
        <v>26133.125421317</v>
      </c>
      <c r="G20" s="293" t="n">
        <f aca="false">F19+F21*INDEX(INDEX(VimFrac,0,9*F25+VLOOKUP(F24,PlanetData,3,0)+1),IF(F25,0,1)+MATCH(F22,INDEX(VimFrac,0,9*F25+VLOOKUP(F24,PlanetData,3,0)+1),IF(F25,-1,1)))</f>
        <v>26133.125421317</v>
      </c>
      <c r="H20" s="293" t="n">
        <f aca="false">G19+G21*INDEX(INDEX(VimFrac,0,9*G25+VLOOKUP(G24,PlanetData,3,0)+1),IF(G25,0,1)+MATCH(G22,INDEX(VimFrac,0,9*G25+VLOOKUP(G24,PlanetData,3,0)+1),IF(G25,-1,1)))</f>
        <v>26133.0389410256</v>
      </c>
      <c r="J20" s="273" t="str">
        <f aca="false">J24</f>
        <v>Born in CIM Stores</v>
      </c>
      <c r="K20" s="6" t="n">
        <f aca="false">K12+1</f>
        <v>2</v>
      </c>
      <c r="N20" s="275" t="n">
        <f aca="false">JHora!B21</f>
        <v>0</v>
      </c>
      <c r="O20" s="225" t="n">
        <f aca="false">JHora!C21</f>
        <v>0</v>
      </c>
    </row>
    <row r="21" customFormat="false" ht="15" hidden="true" customHeight="false" outlineLevel="0" collapsed="false">
      <c r="A21" s="294" t="s">
        <v>456</v>
      </c>
      <c r="B21" s="295" t="n">
        <f aca="false">120*DaysInYear</f>
        <v>43830.5847222218</v>
      </c>
      <c r="C21" s="296" t="n">
        <f aca="false">C20-C19</f>
        <v>3652.54872685182</v>
      </c>
      <c r="D21" s="296" t="n">
        <f aca="false">D20-D19</f>
        <v>182.627436342591</v>
      </c>
      <c r="E21" s="296" t="n">
        <f aca="false">E20-E19</f>
        <v>28.9160107542448</v>
      </c>
      <c r="F21" s="296" t="n">
        <f aca="false">F20-F19</f>
        <v>4.09643485685228</v>
      </c>
      <c r="G21" s="296" t="n">
        <f aca="false">G20-G19</f>
        <v>0.648602185669005</v>
      </c>
      <c r="H21" s="296" t="n">
        <f aca="false">H20-H19</f>
        <v>0.0972903278525232</v>
      </c>
      <c r="K21" s="6" t="n">
        <f aca="false">K13</f>
        <v>0</v>
      </c>
    </row>
    <row r="22" customFormat="false" ht="15" hidden="true" customHeight="false" outlineLevel="0" collapsed="false">
      <c r="A22" s="294" t="s">
        <v>457</v>
      </c>
      <c r="B22" s="297" t="n">
        <f aca="false">(I24-B19)/(B20-B19)</f>
        <v>0.0813408884977459</v>
      </c>
      <c r="C22" s="298" t="n">
        <f aca="false">(I24-C19)/(C20-C19)</f>
        <v>0.976090661972952</v>
      </c>
      <c r="D22" s="298" t="n">
        <f aca="false">(I24-D19)/(D20-D19)</f>
        <v>0.521813239459035</v>
      </c>
      <c r="E22" s="298" t="n">
        <f aca="false">(I24-E19)/(E20-E19)</f>
        <v>0.295662565004417</v>
      </c>
      <c r="F22" s="298" t="n">
        <f aca="false">(I24-F19)/(F20-F19)</f>
        <v>0.969382811795983</v>
      </c>
      <c r="G22" s="298" t="n">
        <f aca="false">(I24-G19)/(G20-G19)</f>
        <v>0.806628285027476</v>
      </c>
      <c r="H22" s="298" t="n">
        <f aca="false">(I24-H19)/(H20-H19)</f>
        <v>0.599744122409462</v>
      </c>
      <c r="K22" s="6" t="n">
        <f aca="false">K14</f>
        <v>0</v>
      </c>
    </row>
    <row r="23" customFormat="false" ht="15" hidden="true" customHeight="false" outlineLevel="0" collapsed="false">
      <c r="A23" s="294" t="s">
        <v>458</v>
      </c>
      <c r="B23" s="295"/>
      <c r="C23" s="296" t="n">
        <f aca="false">MOD(VLOOKUP(B24,PlanetData,3,0)+MATCH(B22,INDEX(VimFrac,,VLOOKUP(B24,PlanetData,3,0)+1),1)-1,9)</f>
        <v>4</v>
      </c>
      <c r="D23" s="296" t="n">
        <f aca="false">MOD(VLOOKUP(C24,PlanetData,3,0)+MATCH(C22,INDEX(VimFrac,0,9*C25+VLOOKUP(C24,PlanetData,3,0)+1),IF(C25,-1,1))-1,9)</f>
        <v>3</v>
      </c>
      <c r="E23" s="296" t="n">
        <f aca="false">MOD(VLOOKUP(D24,PlanetData,3,0)+MATCH(D22,INDEX(VimFrac,0,9*D25+VLOOKUP(D24,PlanetData,3,0)+1),IF(D25,-1,1))-1,9)</f>
        <v>8</v>
      </c>
      <c r="F23" s="296" t="n">
        <f aca="false">MOD(VLOOKUP(E24,PlanetData,3,0)+MATCH(E22,INDEX(VimFrac,0,9*E25+VLOOKUP(E24,PlanetData,3,0)+1),IF(E25,-1,1))-1,9)</f>
        <v>0</v>
      </c>
      <c r="G23" s="296" t="n">
        <f aca="false">MOD(VLOOKUP(F24,PlanetData,3,0)+MATCH(F22,INDEX(VimFrac,0,9*F25+VLOOKUP(F24,PlanetData,3,0)+1),IF(F25,-1,1))-1,9)</f>
        <v>8</v>
      </c>
      <c r="H23" s="296" t="n">
        <f aca="false">MOD(VLOOKUP(G24,PlanetData,3,0)+MATCH(G22,INDEX(VimFrac,0,9*G25+VLOOKUP(G24,PlanetData,3,0)+1),IF(G25,-1,1))-1,9)</f>
        <v>6</v>
      </c>
      <c r="K23" s="6" t="n">
        <f aca="false">K15</f>
        <v>0</v>
      </c>
    </row>
    <row r="24" customFormat="false" ht="15" hidden="true" customHeight="false" outlineLevel="0" collapsed="false">
      <c r="A24" s="294" t="s">
        <v>459</v>
      </c>
      <c r="B24" s="295" t="str">
        <f aca="false">$B$4</f>
        <v>Moon</v>
      </c>
      <c r="C24" s="296" t="str">
        <f aca="false">INDEX(DasaYears,IF(C23=0,9,C23),1)</f>
        <v>Moon</v>
      </c>
      <c r="D24" s="296" t="str">
        <f aca="false">INDEX(DasaYears,IF(D23=0,9,D23),1)</f>
        <v>Sun</v>
      </c>
      <c r="E24" s="296" t="str">
        <f aca="false">INDEX(DasaYears,IF(E23=0,9,E23),1)</f>
        <v>Saturn</v>
      </c>
      <c r="F24" s="296" t="str">
        <f aca="false">INDEX(DasaYears,IF(F23=0,9,F23),1)</f>
        <v>Mercury</v>
      </c>
      <c r="G24" s="296" t="str">
        <f aca="false">INDEX(DasaYears,IF(G23=0,9,G23),1)</f>
        <v>Saturn</v>
      </c>
      <c r="H24" s="296" t="str">
        <f aca="false">INDEX(DasaYears,IF(H23=0,9,H23),1)</f>
        <v>Rahu</v>
      </c>
      <c r="I24" s="275" t="n">
        <f aca="true">INDIRECT("'JHora'!$B$"&amp;($K24))</f>
        <v>26133</v>
      </c>
      <c r="J24" s="275" t="str">
        <f aca="true">INDIRECT("'JHora'!$C$"&amp;($K24))</f>
        <v>Born in CIM Stores</v>
      </c>
      <c r="K24" s="6" t="n">
        <f aca="false">K16+1</f>
        <v>2</v>
      </c>
      <c r="N24" s="275" t="n">
        <f aca="false">JHora!B25</f>
        <v>0</v>
      </c>
      <c r="O24" s="225" t="n">
        <f aca="false">JHora!C25</f>
        <v>0</v>
      </c>
    </row>
    <row r="25" customFormat="false" ht="15" hidden="true" customHeight="false" outlineLevel="0" collapsed="false">
      <c r="A25" s="294" t="s">
        <v>444</v>
      </c>
      <c r="B25" s="295" t="b">
        <f aca="false">$B$7</f>
        <v>1</v>
      </c>
      <c r="C25" s="296" t="n">
        <f aca="false">IF(VLOOKUP(C24,ChartInfo,11,0),1,0)*B25</f>
        <v>0</v>
      </c>
      <c r="D25" s="296" t="n">
        <f aca="false">IF(VLOOKUP(D24,ChartInfo,11,0),1,0)*B25</f>
        <v>0</v>
      </c>
      <c r="E25" s="296" t="n">
        <f aca="false">IF(VLOOKUP(E24,ChartInfo,11,0),1,0)*B25</f>
        <v>0</v>
      </c>
      <c r="F25" s="296" t="n">
        <f aca="false">IF(VLOOKUP(F24,ChartInfo,11,0),1,0)*B25</f>
        <v>0</v>
      </c>
      <c r="G25" s="296" t="n">
        <f aca="false">IF(VLOOKUP(G24,ChartInfo,11,0),1,0)*B25</f>
        <v>0</v>
      </c>
      <c r="H25" s="296" t="n">
        <f aca="false">IF(VLOOKUP(H24,ChartInfo,11,0),1,0)*B25</f>
        <v>0</v>
      </c>
      <c r="K25" s="6" t="n">
        <f aca="false">K17</f>
        <v>0</v>
      </c>
    </row>
    <row r="26" customFormat="false" ht="15" hidden="true" customHeight="false" outlineLevel="0" collapsed="false">
      <c r="K26" s="6" t="n">
        <f aca="false">K18+1</f>
        <v>2</v>
      </c>
      <c r="N26" s="275" t="n">
        <f aca="false">JHora!B27</f>
        <v>0</v>
      </c>
      <c r="O26" s="225" t="n">
        <f aca="false">JHora!C27</f>
        <v>0</v>
      </c>
    </row>
    <row r="27" customFormat="false" ht="15" hidden="false" customHeight="false" outlineLevel="0" collapsed="false">
      <c r="A27" s="291" t="s">
        <v>454</v>
      </c>
      <c r="B27" s="292" t="n">
        <f aca="false">DoB-$E$6*DaysInYear</f>
        <v>22567.7812953187</v>
      </c>
      <c r="C27" s="293" t="n">
        <f aca="false">B27+B29*INDEX(INDEX(VimFrac,,VLOOKUP(B32,PlanetData,3,0)+1),MATCH(B30,INDEX(VimFrac,,VLOOKUP(B32,PlanetData,3,0)+1),1))</f>
        <v>35351.7018393001</v>
      </c>
      <c r="D27" s="293" t="n">
        <f aca="false">C27+C29*INDEX(INDEX(VimFrac,0,9*C33+VLOOKUP(C32,PlanetData,3,0)+1),IF(C33,1,0)+MATCH(C30,INDEX(VimFrac,0,9*C33+VLOOKUP(C32,PlanetData,3,0)+1),IF(C33,-1,1)))</f>
        <v>36569.2180815841</v>
      </c>
      <c r="E27" s="293" t="n">
        <f aca="false">D27+D29*INDEX(INDEX(VimFrac,0,9*D33+VLOOKUP(D32,PlanetData,3,0)+1),IF(D33,1,0)+MATCH(D30,INDEX(VimFrac,0,9*D33+VLOOKUP(D32,PlanetData,3,0)+1),IF(D33,-1,1)))</f>
        <v>36711.2616431839</v>
      </c>
      <c r="F27" s="293" t="n">
        <f aca="false">E27+E29*INDEX(INDEX(VimFrac,0,9*E33+VLOOKUP(E32,PlanetData,3,0)+1),IF(E33,1,0)+MATCH(E30,INDEX(VimFrac,0,9*E33+VLOOKUP(E32,PlanetData,3,0)+1),IF(E33,-1,1)))</f>
        <v>36721.0017731221</v>
      </c>
      <c r="G27" s="293" t="n">
        <f aca="false">F27+F29*INDEX(INDEX(VimFrac,0,9*F33+VLOOKUP(F32,PlanetData,3,0)+1),IF(F33,1,0)+MATCH(F30,INDEX(VimFrac,0,9*F33+VLOOKUP(F32,PlanetData,3,0)+1),IF(F33,-1,1)))</f>
        <v>36722.8956872768</v>
      </c>
      <c r="H27" s="293" t="n">
        <f aca="false">G27+G29*INDEX(INDEX(VimFrac,0,9*G33+VLOOKUP(G32,PlanetData,3,0)+1),IF(G33,1,0)+MATCH(G30,INDEX(VimFrac,0,9*G33+VLOOKUP(G32,PlanetData,3,0)+1),IF(G33,-1,1)))</f>
        <v>36722.9906460282</v>
      </c>
      <c r="J27" s="273" t="str">
        <f aca="false">J32</f>
        <v>Joined SJC/SJVC</v>
      </c>
      <c r="K27" s="6" t="n">
        <f aca="false">K19+1</f>
        <v>3</v>
      </c>
      <c r="N27" s="275" t="n">
        <f aca="false">JHora!B28</f>
        <v>0</v>
      </c>
      <c r="O27" s="225" t="n">
        <f aca="false">JHora!C28</f>
        <v>0</v>
      </c>
    </row>
    <row r="28" customFormat="false" ht="15" hidden="false" customHeight="false" outlineLevel="0" collapsed="false">
      <c r="A28" s="291" t="s">
        <v>455</v>
      </c>
      <c r="B28" s="292" t="n">
        <f aca="false">B27+B29</f>
        <v>66398.3660175406</v>
      </c>
      <c r="C28" s="293" t="n">
        <f aca="false">B27+B29*INDEX(INDEX(VimFrac,,VLOOKUP(B32,PlanetData,3,0)+1),MATCH(B30,INDEX(VimFrac,,VLOOKUP(B32,PlanetData,3,0)+1),1)+1)</f>
        <v>41195.779802263</v>
      </c>
      <c r="D28" s="293" t="n">
        <f aca="false">C27+C29*INDEX(INDEX(VimFrac,0,9*C33+VLOOKUP(C32,PlanetData,3,0)+1),IF(C33,0,1)+MATCH(C30,INDEX(VimFrac,0,9*C33+VLOOKUP(C32,PlanetData,3,0)+1),IF(C33,-1,1)))</f>
        <v>37056.2245784977</v>
      </c>
      <c r="E28" s="293" t="n">
        <f aca="false">D27+D29*INDEX(INDEX(VimFrac,0,9*D33+VLOOKUP(D32,PlanetData,3,0)+1),IF(D33,0,1)+MATCH(D30,INDEX(VimFrac,0,9*D33+VLOOKUP(D32,PlanetData,3,0)+1),IF(D33,-1,1)))</f>
        <v>36776.1958427723</v>
      </c>
      <c r="F28" s="293" t="n">
        <f aca="false">E27+E29*INDEX(INDEX(VimFrac,0,9*E33+VLOOKUP(E32,PlanetData,3,0)+1),IF(E33,0,1)+MATCH(E30,INDEX(VimFrac,0,9*E33+VLOOKUP(E32,PlanetData,3,0)+1),IF(E33,-1,1)))</f>
        <v>36724.7896014315</v>
      </c>
      <c r="G28" s="293" t="n">
        <f aca="false">F27+F29*INDEX(INDEX(VimFrac,0,9*F33+VLOOKUP(F32,PlanetData,3,0)+1),IF(F33,0,1)+MATCH(F30,INDEX(VimFrac,0,9*F33+VLOOKUP(F32,PlanetData,3,0)+1),IF(F33,-1,1)))</f>
        <v>36723.4954267591</v>
      </c>
      <c r="H28" s="293" t="n">
        <f aca="false">G27+G29*INDEX(INDEX(VimFrac,0,9*G33+VLOOKUP(G32,PlanetData,3,0)+1),IF(G33,0,1)+MATCH(G30,INDEX(VimFrac,0,9*G33+VLOOKUP(G32,PlanetData,3,0)+1),IF(G33,-1,1)))</f>
        <v>36723.0756091215</v>
      </c>
      <c r="J28" s="273" t="str">
        <f aca="false">J32</f>
        <v>Joined SJC/SJVC</v>
      </c>
      <c r="K28" s="6" t="n">
        <f aca="false">K20+1</f>
        <v>3</v>
      </c>
      <c r="N28" s="275" t="n">
        <f aca="false">JHora!B29</f>
        <v>0</v>
      </c>
      <c r="O28" s="225" t="n">
        <f aca="false">JHora!C29</f>
        <v>0</v>
      </c>
    </row>
    <row r="29" customFormat="false" ht="15" hidden="false" customHeight="false" outlineLevel="0" collapsed="false">
      <c r="A29" s="294" t="s">
        <v>456</v>
      </c>
      <c r="B29" s="295" t="n">
        <f aca="false">120*DaysInYear</f>
        <v>43830.5847222218</v>
      </c>
      <c r="C29" s="296" t="n">
        <f aca="false">C28-C27</f>
        <v>5844.0779629629</v>
      </c>
      <c r="D29" s="296" t="n">
        <f aca="false">D28-D27</f>
        <v>487.006496913578</v>
      </c>
      <c r="E29" s="296" t="n">
        <f aca="false">E28-E27</f>
        <v>64.9341995884752</v>
      </c>
      <c r="F29" s="296" t="n">
        <f aca="false">F28-F27</f>
        <v>3.7878283093305</v>
      </c>
      <c r="G29" s="296" t="n">
        <f aca="false">G28-G27</f>
        <v>0.599739482313449</v>
      </c>
      <c r="H29" s="296" t="n">
        <f aca="false">H28-H27</f>
        <v>0.084963093322581</v>
      </c>
      <c r="K29" s="6" t="n">
        <f aca="false">K21</f>
        <v>0</v>
      </c>
    </row>
    <row r="30" customFormat="false" ht="15" hidden="false" customHeight="false" outlineLevel="0" collapsed="false">
      <c r="A30" s="294" t="s">
        <v>457</v>
      </c>
      <c r="B30" s="297" t="n">
        <f aca="false">(I32-B27)/(B28-B27)</f>
        <v>0.322952997191129</v>
      </c>
      <c r="C30" s="298" t="n">
        <f aca="false">(I32-C27)/(C28-C27)</f>
        <v>0.234647478933465</v>
      </c>
      <c r="D30" s="298" t="n">
        <f aca="false">(I32-D27)/(D28-D27)</f>
        <v>0.315769747201586</v>
      </c>
      <c r="E30" s="298" t="n">
        <f aca="false">(I32-E27)/(E28-E27)</f>
        <v>0.180773104011925</v>
      </c>
      <c r="F30" s="298" t="n">
        <f aca="false">(I32-F27)/(F28-F27)</f>
        <v>0.527538925918911</v>
      </c>
      <c r="G30" s="298" t="n">
        <f aca="false">(I32-G27)/(G28-G27)</f>
        <v>0.173930058434411</v>
      </c>
      <c r="H30" s="298" t="n">
        <f aca="false">(I32-H27)/(H28-H27)</f>
        <v>0.110094530114087</v>
      </c>
      <c r="K30" s="6" t="n">
        <f aca="false">K22</f>
        <v>0</v>
      </c>
    </row>
    <row r="31" customFormat="false" ht="15" hidden="false" customHeight="false" outlineLevel="0" collapsed="false">
      <c r="A31" s="294" t="s">
        <v>458</v>
      </c>
      <c r="B31" s="295"/>
      <c r="C31" s="296" t="n">
        <f aca="false">MOD(VLOOKUP(B32,PlanetData,3,0)+MATCH(B30,INDEX(VimFrac,,VLOOKUP(B32,PlanetData,3,0)+1),1)-1,9)</f>
        <v>7</v>
      </c>
      <c r="D31" s="296" t="n">
        <f aca="false">MOD(VLOOKUP(C32,PlanetData,3,0)+MATCH(C30,INDEX(VimFrac,0,9*C33+VLOOKUP(C32,PlanetData,3,0)+1),IF(C33,-1,1))-1,9)</f>
        <v>4</v>
      </c>
      <c r="E31" s="296" t="n">
        <f aca="false">MOD(VLOOKUP(D32,PlanetData,3,0)+MATCH(D30,INDEX(VimFrac,0,9*D33+VLOOKUP(D32,PlanetData,3,0)+1),IF(D33,-1,1))-1,9)</f>
        <v>7</v>
      </c>
      <c r="F31" s="296" t="n">
        <f aca="false">MOD(VLOOKUP(E32,PlanetData,3,0)+MATCH(E30,INDEX(VimFrac,0,9*E33+VLOOKUP(E32,PlanetData,3,0)+1),IF(E33,-1,1))-1,9)</f>
        <v>5</v>
      </c>
      <c r="G31" s="296" t="n">
        <f aca="false">MOD(VLOOKUP(F32,PlanetData,3,0)+MATCH(F30,INDEX(VimFrac,0,9*F33+VLOOKUP(F32,PlanetData,3,0)+1),IF(F33,-1,1))-1,9)</f>
        <v>8</v>
      </c>
      <c r="H31" s="296" t="n">
        <f aca="false">MOD(VLOOKUP(G32,PlanetData,3,0)+MATCH(G30,INDEX(VimFrac,0,9*G33+VLOOKUP(G32,PlanetData,3,0)+1),IF(G33,-1,1))-1,9)</f>
        <v>0</v>
      </c>
      <c r="K31" s="6" t="n">
        <f aca="false">K23</f>
        <v>0</v>
      </c>
    </row>
    <row r="32" customFormat="false" ht="15" hidden="false" customHeight="false" outlineLevel="0" collapsed="false">
      <c r="A32" s="294" t="s">
        <v>459</v>
      </c>
      <c r="B32" s="295" t="str">
        <f aca="false">$B$4</f>
        <v>Moon</v>
      </c>
      <c r="C32" s="296" t="str">
        <f aca="false">INDEX(DasaYears,IF(C31=0,9,C31),1)</f>
        <v>Jupiter</v>
      </c>
      <c r="D32" s="296" t="str">
        <f aca="false">INDEX(DasaYears,IF(D31=0,9,D31),1)</f>
        <v>Moon</v>
      </c>
      <c r="E32" s="296" t="str">
        <f aca="false">INDEX(DasaYears,IF(E31=0,9,E31),1)</f>
        <v>Jupiter</v>
      </c>
      <c r="F32" s="296" t="str">
        <f aca="false">INDEX(DasaYears,IF(F31=0,9,F31),1)</f>
        <v>Mars</v>
      </c>
      <c r="G32" s="296" t="str">
        <f aca="false">INDEX(DasaYears,IF(G31=0,9,G31),1)</f>
        <v>Saturn</v>
      </c>
      <c r="H32" s="296" t="str">
        <f aca="false">INDEX(DasaYears,IF(H31=0,9,H31),1)</f>
        <v>Mercury</v>
      </c>
      <c r="I32" s="275" t="n">
        <f aca="true">INDIRECT("'JHora'!$B$"&amp;($K32))</f>
        <v>36723</v>
      </c>
      <c r="J32" s="275" t="str">
        <f aca="true">INDIRECT("'JHora'!$C$"&amp;($K32))</f>
        <v>Joined SJC/SJVC</v>
      </c>
      <c r="K32" s="6" t="n">
        <f aca="false">K24+1</f>
        <v>3</v>
      </c>
      <c r="N32" s="275" t="n">
        <f aca="false">JHora!B33</f>
        <v>0</v>
      </c>
      <c r="O32" s="225" t="n">
        <f aca="false">JHora!C33</f>
        <v>0</v>
      </c>
    </row>
    <row r="33" customFormat="false" ht="15" hidden="false" customHeight="false" outlineLevel="0" collapsed="false">
      <c r="A33" s="294" t="s">
        <v>444</v>
      </c>
      <c r="B33" s="295" t="b">
        <f aca="false">$B$7</f>
        <v>1</v>
      </c>
      <c r="C33" s="296" t="n">
        <f aca="false">IF(VLOOKUP(C32,ChartInfo,11,0),1,0)*B33</f>
        <v>1</v>
      </c>
      <c r="D33" s="296" t="n">
        <f aca="false">IF(VLOOKUP(D32,ChartInfo,11,0),1,0)*B33</f>
        <v>0</v>
      </c>
      <c r="E33" s="296" t="n">
        <f aca="false">IF(VLOOKUP(E32,ChartInfo,11,0),1,0)*B33</f>
        <v>1</v>
      </c>
      <c r="F33" s="296" t="n">
        <f aca="false">IF(VLOOKUP(F32,ChartInfo,11,0),1,0)*B33</f>
        <v>1</v>
      </c>
      <c r="G33" s="296" t="n">
        <f aca="false">IF(VLOOKUP(G32,ChartInfo,11,0),1,0)*B33</f>
        <v>0</v>
      </c>
      <c r="H33" s="296" t="n">
        <f aca="false">IF(VLOOKUP(H32,ChartInfo,11,0),1,0)*B33</f>
        <v>0</v>
      </c>
      <c r="K33" s="6" t="n">
        <f aca="false">K25</f>
        <v>0</v>
      </c>
    </row>
    <row r="34" customFormat="false" ht="15" hidden="false" customHeight="false" outlineLevel="0" collapsed="false">
      <c r="K34" s="6" t="n">
        <f aca="false">K26+1</f>
        <v>3</v>
      </c>
      <c r="N34" s="275" t="n">
        <f aca="false">JHora!B35</f>
        <v>0</v>
      </c>
      <c r="O34" s="225" t="n">
        <f aca="false">JHora!C35</f>
        <v>0</v>
      </c>
    </row>
    <row r="35" customFormat="false" ht="15" hidden="false" customHeight="false" outlineLevel="0" collapsed="false">
      <c r="A35" s="291" t="s">
        <v>454</v>
      </c>
      <c r="B35" s="292" t="n">
        <f aca="false">DoB-$E$6*DaysInYear</f>
        <v>22567.7812953187</v>
      </c>
      <c r="C35" s="293" t="n">
        <f aca="false">B35+B37*INDEX(INDEX(VimFrac,,VLOOKUP(B40,PlanetData,3,0)+1),MATCH(B38,INDEX(VimFrac,,VLOOKUP(B40,PlanetData,3,0)+1),1))</f>
        <v>35351.7018393001</v>
      </c>
      <c r="D35" s="293" t="n">
        <f aca="false">C35+C37*INDEX(INDEX(VimFrac,0,9*C41+VLOOKUP(C40,PlanetData,3,0)+1),IF(C41,1,0)+MATCH(C38,INDEX(VimFrac,0,9*C41+VLOOKUP(C40,PlanetData,3,0)+1),IF(C41,-1,1)))</f>
        <v>37348.4284766458</v>
      </c>
      <c r="E35" s="293" t="n">
        <f aca="false">D35+D37*INDEX(INDEX(VimFrac,0,9*D41+VLOOKUP(D40,PlanetData,3,0)+1),IF(D41,1,0)+MATCH(D38,INDEX(VimFrac,0,9*D41+VLOOKUP(D40,PlanetData,3,0)+1),IF(D41,-1,1)))</f>
        <v>37843.5517485079</v>
      </c>
      <c r="F35" s="293" t="n">
        <f aca="false">E35+E37*INDEX(INDEX(VimFrac,0,9*E41+VLOOKUP(E40,PlanetData,3,0)+1),IF(E41,1,0)+MATCH(E38,INDEX(VimFrac,0,9*E41+VLOOKUP(E40,PlanetData,3,0)+1),IF(E41,-1,1)))</f>
        <v>37917.1438413749</v>
      </c>
      <c r="G35" s="293" t="n">
        <f aca="false">F35+F37*INDEX(INDEX(VimFrac,0,9*F41+VLOOKUP(F40,PlanetData,3,0)+1),IF(F41,1,0)+MATCH(F38,INDEX(VimFrac,0,9*F41+VLOOKUP(F40,PlanetData,3,0)+1),IF(F41,-1,1)))</f>
        <v>37924.8096843818</v>
      </c>
      <c r="H35" s="293" t="n">
        <f aca="false">G35+G37*INDEX(INDEX(VimFrac,0,9*G41+VLOOKUP(G40,PlanetData,3,0)+1),IF(G41,1,0)+MATCH(G38,INDEX(VimFrac,0,9*G41+VLOOKUP(G40,PlanetData,3,0)+1),IF(G41,-1,1)))</f>
        <v>37925.9212316178</v>
      </c>
      <c r="J35" s="273" t="str">
        <f aca="false">J40</f>
        <v>Bought Car D16</v>
      </c>
      <c r="K35" s="6" t="n">
        <f aca="false">K27+1</f>
        <v>4</v>
      </c>
      <c r="N35" s="275" t="n">
        <f aca="false">JHora!B36</f>
        <v>0</v>
      </c>
      <c r="O35" s="225" t="n">
        <f aca="false">JHora!C36</f>
        <v>0</v>
      </c>
    </row>
    <row r="36" customFormat="false" ht="15" hidden="false" customHeight="false" outlineLevel="0" collapsed="false">
      <c r="A36" s="291" t="s">
        <v>455</v>
      </c>
      <c r="B36" s="292" t="n">
        <f aca="false">B35+B37</f>
        <v>66398.3660175406</v>
      </c>
      <c r="C36" s="293" t="n">
        <f aca="false">B35+B37*INDEX(INDEX(VimFrac,,VLOOKUP(B40,PlanetData,3,0)+1),MATCH(B38,INDEX(VimFrac,,VLOOKUP(B40,PlanetData,3,0)+1),1)+1)</f>
        <v>41195.779802263</v>
      </c>
      <c r="D36" s="293" t="n">
        <f aca="false">C35+C37*INDEX(INDEX(VimFrac,0,9*C41+VLOOKUP(C40,PlanetData,3,0)+1),IF(C41,0,1)+MATCH(C38,INDEX(VimFrac,0,9*C41+VLOOKUP(C40,PlanetData,3,0)+1),IF(C41,-1,1)))</f>
        <v>38322.4414704729</v>
      </c>
      <c r="E36" s="293" t="n">
        <f aca="false">D35+D37*INDEX(INDEX(VimFrac,0,9*D41+VLOOKUP(D40,PlanetData,3,0)+1),IF(D41,0,1)+MATCH(D38,INDEX(VimFrac,0,9*D41+VLOOKUP(D40,PlanetData,3,0)+1),IF(D41,-1,1)))</f>
        <v>37973.4201476849</v>
      </c>
      <c r="F36" s="293" t="n">
        <f aca="false">E35+E37*INDEX(INDEX(VimFrac,0,9*E41+VLOOKUP(E40,PlanetData,3,0)+1),IF(E41,0,1)+MATCH(E38,INDEX(VimFrac,0,9*E41+VLOOKUP(E40,PlanetData,3,0)+1),IF(E41,-1,1)))</f>
        <v>37935.5418645916</v>
      </c>
      <c r="G36" s="293" t="n">
        <f aca="false">F35+F37*INDEX(INDEX(VimFrac,0,9*F41+VLOOKUP(F40,PlanetData,3,0)+1),IF(F41,0,1)+MATCH(F38,INDEX(VimFrac,0,9*F41+VLOOKUP(F40,PlanetData,3,0)+1),IF(F41,-1,1)))</f>
        <v>37926.3428529832</v>
      </c>
      <c r="H36" s="293" t="n">
        <f aca="false">G35+G37*INDEX(INDEX(VimFrac,0,9*G41+VLOOKUP(G40,PlanetData,3,0)+1),IF(G41,0,1)+MATCH(G38,INDEX(VimFrac,0,9*G41+VLOOKUP(G40,PlanetData,3,0)+1),IF(G41,-1,1)))</f>
        <v>37926.0106664529</v>
      </c>
      <c r="J36" s="273" t="str">
        <f aca="false">J40</f>
        <v>Bought Car D16</v>
      </c>
      <c r="K36" s="6" t="n">
        <f aca="false">K28+1</f>
        <v>4</v>
      </c>
      <c r="N36" s="275" t="n">
        <f aca="false">JHora!B37</f>
        <v>0</v>
      </c>
      <c r="O36" s="225" t="n">
        <f aca="false">JHora!C37</f>
        <v>0</v>
      </c>
    </row>
    <row r="37" customFormat="false" ht="15" hidden="false" customHeight="false" outlineLevel="0" collapsed="false">
      <c r="A37" s="294" t="s">
        <v>456</v>
      </c>
      <c r="B37" s="295" t="n">
        <f aca="false">120*DaysInYear</f>
        <v>43830.5847222218</v>
      </c>
      <c r="C37" s="296" t="n">
        <f aca="false">C36-C35</f>
        <v>5844.0779629629</v>
      </c>
      <c r="D37" s="296" t="n">
        <f aca="false">D36-D35</f>
        <v>974.012993827142</v>
      </c>
      <c r="E37" s="296" t="n">
        <f aca="false">E36-E35</f>
        <v>129.86839917695</v>
      </c>
      <c r="F37" s="296" t="n">
        <f aca="false">F36-F35</f>
        <v>18.3980232167378</v>
      </c>
      <c r="G37" s="296" t="n">
        <f aca="false">G36-G35</f>
        <v>1.53316860139602</v>
      </c>
      <c r="H37" s="296" t="n">
        <f aca="false">H36-H35</f>
        <v>0.0894348350848264</v>
      </c>
      <c r="K37" s="6" t="n">
        <f aca="false">K29</f>
        <v>0</v>
      </c>
    </row>
    <row r="38" customFormat="false" ht="15" hidden="false" customHeight="false" outlineLevel="0" collapsed="false">
      <c r="A38" s="294" t="s">
        <v>457</v>
      </c>
      <c r="B38" s="297" t="n">
        <f aca="false">(I40-B35)/(B36-B35)</f>
        <v>0.350399585175845</v>
      </c>
      <c r="C38" s="298" t="n">
        <f aca="false">(I40-C35)/(C36-C35)</f>
        <v>0.440496888818834</v>
      </c>
      <c r="D38" s="298" t="n">
        <f aca="false">(I40-D35)/(D36-D35)</f>
        <v>0.592981332913007</v>
      </c>
      <c r="E38" s="298" t="n">
        <f aca="false">(I40-E35)/(E36-E35)</f>
        <v>0.634859996847547</v>
      </c>
      <c r="F38" s="298" t="n">
        <f aca="false">(I40-F35)/(F36-F35)</f>
        <v>0.481364683629765</v>
      </c>
      <c r="G38" s="298" t="n">
        <f aca="false">(I40-G35)/(G36-G35)</f>
        <v>0.776376203557358</v>
      </c>
      <c r="H38" s="298" t="n">
        <f aca="false">(I40-H35)/(H36-H35)</f>
        <v>0.880734918108859</v>
      </c>
      <c r="K38" s="6" t="n">
        <f aca="false">K30</f>
        <v>0</v>
      </c>
    </row>
    <row r="39" customFormat="false" ht="15" hidden="false" customHeight="false" outlineLevel="0" collapsed="false">
      <c r="A39" s="294" t="s">
        <v>458</v>
      </c>
      <c r="B39" s="295"/>
      <c r="C39" s="296" t="n">
        <f aca="false">MOD(VLOOKUP(B40,PlanetData,3,0)+MATCH(B38,INDEX(VimFrac,,VLOOKUP(B40,PlanetData,3,0)+1),1)-1,9)</f>
        <v>7</v>
      </c>
      <c r="D39" s="296" t="n">
        <f aca="false">MOD(VLOOKUP(C40,PlanetData,3,0)+MATCH(C38,INDEX(VimFrac,0,9*C41+VLOOKUP(C40,PlanetData,3,0)+1),IF(C41,-1,1))-1,9)</f>
        <v>2</v>
      </c>
      <c r="E39" s="296" t="n">
        <f aca="false">MOD(VLOOKUP(D40,PlanetData,3,0)+MATCH(D38,INDEX(VimFrac,0,9*D41+VLOOKUP(D40,PlanetData,3,0)+1),IF(D41,-1,1))-1,9)</f>
        <v>7</v>
      </c>
      <c r="F39" s="296" t="n">
        <f aca="false">MOD(VLOOKUP(E40,PlanetData,3,0)+MATCH(E38,INDEX(VimFrac,0,9*E41+VLOOKUP(E40,PlanetData,3,0)+1),IF(E41,-1,1))-1,9)</f>
        <v>0</v>
      </c>
      <c r="G39" s="296" t="n">
        <f aca="false">MOD(VLOOKUP(F40,PlanetData,3,0)+MATCH(F38,INDEX(VimFrac,0,9*F41+VLOOKUP(F40,PlanetData,3,0)+1),IF(F41,-1,1))-1,9)</f>
        <v>4</v>
      </c>
      <c r="H39" s="296" t="n">
        <f aca="false">MOD(VLOOKUP(G40,PlanetData,3,0)+MATCH(G38,INDEX(VimFrac,0,9*G41+VLOOKUP(G40,PlanetData,3,0)+1),IF(G41,-1,1))-1,9)</f>
        <v>1</v>
      </c>
      <c r="K39" s="6" t="n">
        <f aca="false">K31</f>
        <v>0</v>
      </c>
    </row>
    <row r="40" customFormat="false" ht="15" hidden="false" customHeight="false" outlineLevel="0" collapsed="false">
      <c r="A40" s="294" t="s">
        <v>459</v>
      </c>
      <c r="B40" s="295" t="str">
        <f aca="false">$B$4</f>
        <v>Moon</v>
      </c>
      <c r="C40" s="296" t="str">
        <f aca="false">INDEX(DasaYears,IF(C39=0,9,C39),1)</f>
        <v>Jupiter</v>
      </c>
      <c r="D40" s="296" t="str">
        <f aca="false">INDEX(DasaYears,IF(D39=0,9,D39),1)</f>
        <v>Venus</v>
      </c>
      <c r="E40" s="296" t="str">
        <f aca="false">INDEX(DasaYears,IF(E39=0,9,E39),1)</f>
        <v>Jupiter</v>
      </c>
      <c r="F40" s="296" t="str">
        <f aca="false">INDEX(DasaYears,IF(F39=0,9,F39),1)</f>
        <v>Mercury</v>
      </c>
      <c r="G40" s="296" t="str">
        <f aca="false">INDEX(DasaYears,IF(G39=0,9,G39),1)</f>
        <v>Moon</v>
      </c>
      <c r="H40" s="296" t="str">
        <f aca="false">INDEX(DasaYears,IF(H39=0,9,H39),1)</f>
        <v>Ketu</v>
      </c>
      <c r="I40" s="275" t="n">
        <f aca="true">INDIRECT("'JHora'!$B$"&amp;($K40))</f>
        <v>37926</v>
      </c>
      <c r="J40" s="275" t="str">
        <f aca="true">INDIRECT("'JHora'!$C$"&amp;($K40))</f>
        <v>Bought Car D16</v>
      </c>
      <c r="K40" s="6" t="n">
        <f aca="false">K32+1</f>
        <v>4</v>
      </c>
      <c r="N40" s="275" t="n">
        <f aca="false">JHora!B41</f>
        <v>0</v>
      </c>
      <c r="O40" s="225" t="n">
        <f aca="false">JHora!C41</f>
        <v>0</v>
      </c>
    </row>
    <row r="41" customFormat="false" ht="15" hidden="false" customHeight="false" outlineLevel="0" collapsed="false">
      <c r="A41" s="294" t="s">
        <v>444</v>
      </c>
      <c r="B41" s="295" t="b">
        <f aca="false">$B$7</f>
        <v>1</v>
      </c>
      <c r="C41" s="296" t="n">
        <f aca="false">IF(VLOOKUP(C40,ChartInfo,11,0),1,0)*B41</f>
        <v>1</v>
      </c>
      <c r="D41" s="296" t="n">
        <f aca="false">IF(VLOOKUP(D40,ChartInfo,11,0),1,0)*B41</f>
        <v>0</v>
      </c>
      <c r="E41" s="296" t="n">
        <f aca="false">IF(VLOOKUP(E40,ChartInfo,11,0),1,0)*B41</f>
        <v>1</v>
      </c>
      <c r="F41" s="296" t="n">
        <f aca="false">IF(VLOOKUP(F40,ChartInfo,11,0),1,0)*B41</f>
        <v>0</v>
      </c>
      <c r="G41" s="296" t="n">
        <f aca="false">IF(VLOOKUP(G40,ChartInfo,11,0),1,0)*B41</f>
        <v>0</v>
      </c>
      <c r="H41" s="296" t="n">
        <f aca="false">IF(VLOOKUP(H40,ChartInfo,11,0),1,0)*B41</f>
        <v>0</v>
      </c>
      <c r="K41" s="6" t="n">
        <f aca="false">K33</f>
        <v>0</v>
      </c>
    </row>
    <row r="42" customFormat="false" ht="15" hidden="false" customHeight="false" outlineLevel="0" collapsed="false">
      <c r="K42" s="6" t="n">
        <f aca="false">K34+1</f>
        <v>4</v>
      </c>
      <c r="N42" s="275" t="n">
        <f aca="false">JHora!B43</f>
        <v>0</v>
      </c>
      <c r="O42" s="225" t="n">
        <f aca="false">JHora!C43</f>
        <v>0</v>
      </c>
    </row>
    <row r="43" customFormat="false" ht="15" hidden="false" customHeight="false" outlineLevel="0" collapsed="false">
      <c r="A43" s="291" t="s">
        <v>454</v>
      </c>
      <c r="B43" s="292" t="n">
        <f aca="false">DoB-$E$6*DaysInYear</f>
        <v>22567.7812953187</v>
      </c>
      <c r="C43" s="293" t="n">
        <f aca="false">B43+B45*INDEX(INDEX(VimFrac,,VLOOKUP(B48,PlanetData,3,0)+1),MATCH(B46,INDEX(VimFrac,,VLOOKUP(B48,PlanetData,3,0)+1),1))</f>
        <v>35351.7018393001</v>
      </c>
      <c r="D43" s="293" t="n">
        <f aca="false">C43+C45*INDEX(INDEX(VimFrac,0,9*C49+VLOOKUP(C48,PlanetData,3,0)+1),IF(C49,1,0)+MATCH(C46,INDEX(VimFrac,0,9*C49+VLOOKUP(C48,PlanetData,3,0)+1),IF(C49,-1,1)))</f>
        <v>38663.3460183124</v>
      </c>
      <c r="E43" s="293" t="n">
        <f aca="false">D43+D45*INDEX(INDEX(VimFrac,0,9*D49+VLOOKUP(D48,PlanetData,3,0)+1),IF(D49,1,0)+MATCH(D46,INDEX(VimFrac,0,9*D49+VLOOKUP(D48,PlanetData,3,0)+1),IF(D49,-1,1)))</f>
        <v>38663.3460183124</v>
      </c>
      <c r="F43" s="293" t="n">
        <f aca="false">E43+E45*INDEX(INDEX(VimFrac,0,9*E49+VLOOKUP(E48,PlanetData,3,0)+1),IF(E49,1,0)+MATCH(E46,INDEX(VimFrac,0,9*E49+VLOOKUP(E48,PlanetData,3,0)+1),IF(E49,-1,1)))</f>
        <v>38762.0629116347</v>
      </c>
      <c r="G43" s="293" t="n">
        <f aca="false">F43+F45*INDEX(INDEX(VimFrac,0,9*F49+VLOOKUP(F48,PlanetData,3,0)+1),IF(F49,1,0)+MATCH(F46,INDEX(VimFrac,0,9*F49+VLOOKUP(F48,PlanetData,3,0)+1),IF(F49,-1,1)))</f>
        <v>38778.1573490279</v>
      </c>
      <c r="H43" s="293" t="n">
        <f aca="false">G43+G45*INDEX(INDEX(VimFrac,0,9*G49+VLOOKUP(G48,PlanetData,3,0)+1),IF(G49,1,0)+MATCH(G46,INDEX(VimFrac,0,9*G49+VLOOKUP(G48,PlanetData,3,0)+1),IF(G49,-1,1)))</f>
        <v>38778.8795353212</v>
      </c>
      <c r="J43" s="273" t="str">
        <f aca="false">J48</f>
        <v>Marriage D9</v>
      </c>
      <c r="K43" s="6" t="n">
        <f aca="false">K35+1</f>
        <v>5</v>
      </c>
      <c r="N43" s="275" t="n">
        <f aca="false">JHora!B44</f>
        <v>0</v>
      </c>
      <c r="O43" s="225" t="n">
        <f aca="false">JHora!C44</f>
        <v>0</v>
      </c>
    </row>
    <row r="44" customFormat="false" ht="15" hidden="false" customHeight="false" outlineLevel="0" collapsed="false">
      <c r="A44" s="291" t="s">
        <v>455</v>
      </c>
      <c r="B44" s="292" t="n">
        <f aca="false">B43+B45</f>
        <v>66398.3660175406</v>
      </c>
      <c r="C44" s="293" t="n">
        <f aca="false">B43+B45*INDEX(INDEX(VimFrac,,VLOOKUP(B48,PlanetData,3,0)+1),MATCH(B46,INDEX(VimFrac,,VLOOKUP(B48,PlanetData,3,0)+1),1)+1)</f>
        <v>41195.779802263</v>
      </c>
      <c r="D44" s="293" t="n">
        <f aca="false">C43+C45*INDEX(INDEX(VimFrac,0,9*C49+VLOOKUP(C48,PlanetData,3,0)+1),IF(C49,0,1)+MATCH(C46,INDEX(VimFrac,0,9*C49+VLOOKUP(C48,PlanetData,3,0)+1),IF(C49,-1,1)))</f>
        <v>39491.2570630655</v>
      </c>
      <c r="E44" s="293" t="n">
        <f aca="false">D43+D45*INDEX(INDEX(VimFrac,0,9*D49+VLOOKUP(D48,PlanetData,3,0)+1),IF(D49,0,1)+MATCH(D46,INDEX(VimFrac,0,9*D49+VLOOKUP(D48,PlanetData,3,0)+1),IF(D49,-1,1)))</f>
        <v>38780.6334163191</v>
      </c>
      <c r="F44" s="293" t="n">
        <f aca="false">E43+E45*INDEX(INDEX(VimFrac,0,9*E49+VLOOKUP(E48,PlanetData,3,0)+1),IF(E49,0,1)+MATCH(E46,INDEX(VimFrac,0,9*E49+VLOOKUP(E48,PlanetData,3,0)+1),IF(E49,-1,1)))</f>
        <v>38780.6334163191</v>
      </c>
      <c r="G44" s="293" t="n">
        <f aca="false">F43+F45*INDEX(INDEX(VimFrac,0,9*F49+VLOOKUP(F48,PlanetData,3,0)+1),IF(F49,0,1)+MATCH(F46,INDEX(VimFrac,0,9*F49+VLOOKUP(F48,PlanetData,3,0)+1),IF(F49,-1,1)))</f>
        <v>38780.6334163191</v>
      </c>
      <c r="H44" s="293" t="n">
        <f aca="false">G43+G45*INDEX(INDEX(VimFrac,0,9*G49+VLOOKUP(G48,PlanetData,3,0)+1),IF(G49,0,1)+MATCH(G46,INDEX(VimFrac,0,9*G49+VLOOKUP(G48,PlanetData,3,0)+1),IF(G49,-1,1)))</f>
        <v>38779.0033386857</v>
      </c>
      <c r="J44" s="273" t="str">
        <f aca="false">J48</f>
        <v>Marriage D9</v>
      </c>
      <c r="K44" s="6" t="n">
        <f aca="false">K36+1</f>
        <v>5</v>
      </c>
      <c r="N44" s="275" t="n">
        <f aca="false">JHora!B45</f>
        <v>0</v>
      </c>
      <c r="O44" s="225" t="n">
        <f aca="false">JHora!C45</f>
        <v>0</v>
      </c>
    </row>
    <row r="45" customFormat="false" ht="15" hidden="false" customHeight="false" outlineLevel="0" collapsed="false">
      <c r="A45" s="294" t="s">
        <v>456</v>
      </c>
      <c r="B45" s="295" t="n">
        <f aca="false">120*DaysInYear</f>
        <v>43830.5847222218</v>
      </c>
      <c r="C45" s="296" t="n">
        <f aca="false">C44-C43</f>
        <v>5844.0779629629</v>
      </c>
      <c r="D45" s="296" t="n">
        <f aca="false">D44-D43</f>
        <v>827.911044753077</v>
      </c>
      <c r="E45" s="296" t="n">
        <f aca="false">E44-E43</f>
        <v>117.287398006687</v>
      </c>
      <c r="F45" s="296" t="n">
        <f aca="false">F44-F43</f>
        <v>18.5705046843941</v>
      </c>
      <c r="G45" s="296" t="n">
        <f aca="false">G44-G43</f>
        <v>2.47606729125255</v>
      </c>
      <c r="H45" s="296" t="n">
        <f aca="false">H44-H43</f>
        <v>0.123803364556806</v>
      </c>
      <c r="K45" s="6" t="n">
        <f aca="false">K37</f>
        <v>0</v>
      </c>
    </row>
    <row r="46" customFormat="false" ht="15" hidden="false" customHeight="false" outlineLevel="0" collapsed="false">
      <c r="A46" s="294" t="s">
        <v>457</v>
      </c>
      <c r="B46" s="297" t="n">
        <f aca="false">(I48-B43)/(B44-B43)</f>
        <v>0.369860881560685</v>
      </c>
      <c r="C46" s="298" t="n">
        <f aca="false">(I48-C43)/(C44-C43)</f>
        <v>0.586456611705135</v>
      </c>
      <c r="D46" s="298" t="n">
        <f aca="false">(I48-D43)/(D44-D43)</f>
        <v>0.139693729683305</v>
      </c>
      <c r="E46" s="298" t="n">
        <f aca="false">(I48-E43)/(E44-E43)</f>
        <v>0.986073385999794</v>
      </c>
      <c r="F46" s="298" t="n">
        <f aca="false">(I48-F43)/(F44-F43)</f>
        <v>0.912042437893442</v>
      </c>
      <c r="G46" s="298" t="n">
        <f aca="false">(I48-G43)/(G44-G43)</f>
        <v>0.340318284200815</v>
      </c>
      <c r="H46" s="298" t="n">
        <f aca="false">(I48-H43)/(H44-H43)</f>
        <v>0.973032350699291</v>
      </c>
      <c r="K46" s="6" t="n">
        <f aca="false">K38</f>
        <v>0</v>
      </c>
    </row>
    <row r="47" customFormat="false" ht="15" hidden="false" customHeight="false" outlineLevel="0" collapsed="false">
      <c r="A47" s="294" t="s">
        <v>458</v>
      </c>
      <c r="B47" s="295"/>
      <c r="C47" s="296" t="n">
        <f aca="false">MOD(VLOOKUP(B48,PlanetData,3,0)+MATCH(B46,INDEX(VimFrac,,VLOOKUP(B48,PlanetData,3,0)+1),1)-1,9)</f>
        <v>7</v>
      </c>
      <c r="D47" s="296" t="n">
        <f aca="false">MOD(VLOOKUP(C48,PlanetData,3,0)+MATCH(C46,INDEX(VimFrac,0,9*C49+VLOOKUP(C48,PlanetData,3,0)+1),IF(C49,-1,1))-1,9)</f>
        <v>0</v>
      </c>
      <c r="E47" s="296" t="n">
        <f aca="false">MOD(VLOOKUP(D48,PlanetData,3,0)+MATCH(D46,INDEX(VimFrac,0,9*D49+VLOOKUP(D48,PlanetData,3,0)+1),IF(D49,-1,1))-1,9)</f>
        <v>0</v>
      </c>
      <c r="F47" s="296" t="n">
        <f aca="false">MOD(VLOOKUP(E48,PlanetData,3,0)+MATCH(E46,INDEX(VimFrac,0,9*E49+VLOOKUP(E48,PlanetData,3,0)+1),IF(E49,-1,1))-1,9)</f>
        <v>8</v>
      </c>
      <c r="G47" s="296" t="n">
        <f aca="false">MOD(VLOOKUP(F48,PlanetData,3,0)+MATCH(F46,INDEX(VimFrac,0,9*F49+VLOOKUP(F48,PlanetData,3,0)+1),IF(F49,-1,1))-1,9)</f>
        <v>7</v>
      </c>
      <c r="H47" s="296" t="n">
        <f aca="false">MOD(VLOOKUP(G48,PlanetData,3,0)+MATCH(G46,INDEX(VimFrac,0,9*G49+VLOOKUP(G48,PlanetData,3,0)+1),IF(G49,-1,1))-1,9)</f>
        <v>3</v>
      </c>
      <c r="K47" s="6" t="n">
        <f aca="false">K39</f>
        <v>0</v>
      </c>
    </row>
    <row r="48" customFormat="false" ht="15" hidden="false" customHeight="false" outlineLevel="0" collapsed="false">
      <c r="A48" s="294" t="s">
        <v>459</v>
      </c>
      <c r="B48" s="295" t="str">
        <f aca="false">$B$4</f>
        <v>Moon</v>
      </c>
      <c r="C48" s="296" t="str">
        <f aca="false">INDEX(DasaYears,IF(C47=0,9,C47),1)</f>
        <v>Jupiter</v>
      </c>
      <c r="D48" s="296" t="str">
        <f aca="false">INDEX(DasaYears,IF(D47=0,9,D47),1)</f>
        <v>Mercury</v>
      </c>
      <c r="E48" s="296" t="str">
        <f aca="false">INDEX(DasaYears,IF(E47=0,9,E47),1)</f>
        <v>Mercury</v>
      </c>
      <c r="F48" s="296" t="str">
        <f aca="false">INDEX(DasaYears,IF(F47=0,9,F47),1)</f>
        <v>Saturn</v>
      </c>
      <c r="G48" s="296" t="str">
        <f aca="false">INDEX(DasaYears,IF(G47=0,9,G47),1)</f>
        <v>Jupiter</v>
      </c>
      <c r="H48" s="296" t="str">
        <f aca="false">INDEX(DasaYears,IF(H47=0,9,H47),1)</f>
        <v>Sun</v>
      </c>
      <c r="I48" s="275" t="n">
        <f aca="true">INDIRECT("'JHora'!$B$"&amp;($K48))</f>
        <v>38779</v>
      </c>
      <c r="J48" s="275" t="str">
        <f aca="true">INDIRECT("'JHora'!$C$"&amp;($K48))</f>
        <v>Marriage D9</v>
      </c>
      <c r="K48" s="6" t="n">
        <f aca="false">K40+1</f>
        <v>5</v>
      </c>
      <c r="N48" s="275" t="n">
        <f aca="false">JHora!B49</f>
        <v>0</v>
      </c>
      <c r="O48" s="225" t="n">
        <f aca="false">JHora!C49</f>
        <v>0</v>
      </c>
    </row>
    <row r="49" customFormat="false" ht="15" hidden="false" customHeight="false" outlineLevel="0" collapsed="false">
      <c r="A49" s="294" t="s">
        <v>444</v>
      </c>
      <c r="B49" s="295" t="b">
        <f aca="false">$B$7</f>
        <v>1</v>
      </c>
      <c r="C49" s="296" t="n">
        <f aca="false">IF(VLOOKUP(C48,ChartInfo,11,0),1,0)*B49</f>
        <v>1</v>
      </c>
      <c r="D49" s="296" t="n">
        <f aca="false">IF(VLOOKUP(D48,ChartInfo,11,0),1,0)*B49</f>
        <v>0</v>
      </c>
      <c r="E49" s="296" t="n">
        <f aca="false">IF(VLOOKUP(E48,ChartInfo,11,0),1,0)*B49</f>
        <v>0</v>
      </c>
      <c r="F49" s="296" t="n">
        <f aca="false">IF(VLOOKUP(F48,ChartInfo,11,0),1,0)*B49</f>
        <v>0</v>
      </c>
      <c r="G49" s="296" t="n">
        <f aca="false">IF(VLOOKUP(G48,ChartInfo,11,0),1,0)*B49</f>
        <v>1</v>
      </c>
      <c r="H49" s="296" t="n">
        <f aca="false">IF(VLOOKUP(H48,ChartInfo,11,0),1,0)*B49</f>
        <v>0</v>
      </c>
      <c r="K49" s="6" t="n">
        <f aca="false">K41</f>
        <v>0</v>
      </c>
    </row>
    <row r="50" customFormat="false" ht="15" hidden="false" customHeight="false" outlineLevel="0" collapsed="false">
      <c r="K50" s="6" t="n">
        <f aca="false">K42+1</f>
        <v>5</v>
      </c>
      <c r="N50" s="275" t="n">
        <f aca="false">JHora!B51</f>
        <v>0</v>
      </c>
      <c r="O50" s="225" t="n">
        <f aca="false">JHora!C51</f>
        <v>0</v>
      </c>
    </row>
    <row r="51" customFormat="false" ht="15" hidden="false" customHeight="false" outlineLevel="0" collapsed="false">
      <c r="A51" s="291" t="s">
        <v>454</v>
      </c>
      <c r="B51" s="292" t="n">
        <f aca="false">DoB-$E$6*DaysInYear</f>
        <v>22567.7812953187</v>
      </c>
      <c r="C51" s="293" t="n">
        <f aca="false">B51+B53*INDEX(INDEX(VimFrac,,VLOOKUP(B56,PlanetData,3,0)+1),MATCH(B54,INDEX(VimFrac,,VLOOKUP(B56,PlanetData,3,0)+1),1))</f>
        <v>41195.779802263</v>
      </c>
      <c r="D51" s="293" t="n">
        <f aca="false">C51+C53*INDEX(INDEX(VimFrac,0,9*C57+VLOOKUP(C56,PlanetData,3,0)+1),IF(C57,1,0)+MATCH(C54,INDEX(VimFrac,0,9*C57+VLOOKUP(C56,PlanetData,3,0)+1),IF(C57,-1,1)))</f>
        <v>41195.779802263</v>
      </c>
      <c r="E51" s="293" t="n">
        <f aca="false">D51+D53*INDEX(INDEX(VimFrac,0,9*D57+VLOOKUP(D56,PlanetData,3,0)+1),IF(D57,1,0)+MATCH(D54,INDEX(VimFrac,0,9*D57+VLOOKUP(D56,PlanetData,3,0)+1),IF(D57,-1,1)))</f>
        <v>41589.5194820333</v>
      </c>
      <c r="F51" s="293" t="n">
        <f aca="false">E51+E53*INDEX(INDEX(VimFrac,0,9*E57+VLOOKUP(E56,PlanetData,3,0)+1),IF(E57,1,0)+MATCH(E54,INDEX(VimFrac,0,9*E57+VLOOKUP(E56,PlanetData,3,0)+1),IF(E57,-1,1)))</f>
        <v>41682.6129722116</v>
      </c>
      <c r="G51" s="293" t="n">
        <f aca="false">F51+F53*INDEX(INDEX(VimFrac,0,9*F57+VLOOKUP(F56,PlanetData,3,0)+1),IF(F57,1,0)+MATCH(F54,INDEX(VimFrac,0,9*F57+VLOOKUP(F56,PlanetData,3,0)+1),IF(F57,-1,1)))</f>
        <v>41690.9557767958</v>
      </c>
      <c r="H51" s="293" t="n">
        <f aca="false">G51+G53*INDEX(INDEX(VimFrac,0,9*G57+VLOOKUP(G56,PlanetData,3,0)+1),IF(G57,1,0)+MATCH(G54,INDEX(VimFrac,0,9*G57+VLOOKUP(G56,PlanetData,3,0)+1),IF(G57,-1,1)))</f>
        <v>41693.5671424584</v>
      </c>
      <c r="J51" s="273" t="str">
        <f aca="false">J56</f>
        <v>Bought Car D16</v>
      </c>
      <c r="K51" s="6" t="n">
        <f aca="false">K43+1</f>
        <v>6</v>
      </c>
      <c r="N51" s="275" t="n">
        <f aca="false">JHora!B52</f>
        <v>0</v>
      </c>
      <c r="O51" s="225" t="n">
        <f aca="false">JHora!C52</f>
        <v>0</v>
      </c>
    </row>
    <row r="52" customFormat="false" ht="15" hidden="false" customHeight="false" outlineLevel="0" collapsed="false">
      <c r="A52" s="291" t="s">
        <v>455</v>
      </c>
      <c r="B52" s="292" t="n">
        <f aca="false">B51+B53</f>
        <v>66398.3660175406</v>
      </c>
      <c r="C52" s="293" t="n">
        <f aca="false">B51+B53*INDEX(INDEX(VimFrac,,VLOOKUP(B56,PlanetData,3,0)+1),MATCH(B54,INDEX(VimFrac,,VLOOKUP(B56,PlanetData,3,0)+1),1)+1)</f>
        <v>48135.6223832815</v>
      </c>
      <c r="D52" s="293" t="n">
        <f aca="false">C51+C53*INDEX(INDEX(VimFrac,0,9*C57+VLOOKUP(C56,PlanetData,3,0)+1),IF(C57,0,1)+MATCH(C54,INDEX(VimFrac,0,9*C57+VLOOKUP(C56,PlanetData,3,0)+1),IF(C57,-1,1)))</f>
        <v>42294.5882109243</v>
      </c>
      <c r="E52" s="293" t="n">
        <f aca="false">D51+D53*INDEX(INDEX(VimFrac,0,9*D57+VLOOKUP(D56,PlanetData,3,0)+1),IF(D57,0,1)+MATCH(D54,INDEX(VimFrac,0,9*D57+VLOOKUP(D56,PlanetData,3,0)+1),IF(D57,-1,1)))</f>
        <v>41772.6542168102</v>
      </c>
      <c r="F52" s="293" t="n">
        <f aca="false">E51+E53*INDEX(INDEX(VimFrac,0,9*E57+VLOOKUP(E56,PlanetData,3,0)+1),IF(E57,0,1)+MATCH(E54,INDEX(VimFrac,0,9*E57+VLOOKUP(E56,PlanetData,3,0)+1),IF(E57,-1,1)))</f>
        <v>41707.0309368485</v>
      </c>
      <c r="G52" s="293" t="n">
        <f aca="false">F51+F53*INDEX(INDEX(VimFrac,0,9*F57+VLOOKUP(F56,PlanetData,3,0)+1),IF(F57,0,1)+MATCH(F54,INDEX(VimFrac,0,9*F57+VLOOKUP(F56,PlanetData,3,0)+1),IF(F57,-1,1)))</f>
        <v>41695.0254375687</v>
      </c>
      <c r="H52" s="293" t="n">
        <f aca="false">G51+G53*INDEX(INDEX(VimFrac,0,9*G57+VLOOKUP(G56,PlanetData,3,0)+1),IF(G57,0,1)+MATCH(G54,INDEX(VimFrac,0,9*G57+VLOOKUP(G56,PlanetData,3,0)+1),IF(G57,-1,1)))</f>
        <v>41694.2115054141</v>
      </c>
      <c r="J52" s="273" t="str">
        <f aca="false">J56</f>
        <v>Bought Car D16</v>
      </c>
      <c r="K52" s="6" t="n">
        <f aca="false">K44+1</f>
        <v>6</v>
      </c>
      <c r="N52" s="275" t="n">
        <f aca="false">JHora!B53</f>
        <v>0</v>
      </c>
      <c r="O52" s="225" t="n">
        <f aca="false">JHora!C53</f>
        <v>0</v>
      </c>
    </row>
    <row r="53" customFormat="false" ht="15" hidden="false" customHeight="false" outlineLevel="0" collapsed="false">
      <c r="A53" s="294" t="s">
        <v>456</v>
      </c>
      <c r="B53" s="295" t="n">
        <f aca="false">120*DaysInYear</f>
        <v>43830.5847222218</v>
      </c>
      <c r="C53" s="296" t="n">
        <f aca="false">C52-C51</f>
        <v>6939.84258101844</v>
      </c>
      <c r="D53" s="296" t="n">
        <f aca="false">D52-D51</f>
        <v>1098.80840866125</v>
      </c>
      <c r="E53" s="296" t="n">
        <f aca="false">E52-E51</f>
        <v>183.134734776875</v>
      </c>
      <c r="F53" s="296" t="n">
        <f aca="false">F52-F51</f>
        <v>24.4179646369157</v>
      </c>
      <c r="G53" s="296" t="n">
        <f aca="false">G52-G51</f>
        <v>4.06966077281685</v>
      </c>
      <c r="H53" s="296" t="n">
        <f aca="false">H52-H51</f>
        <v>0.644362955696123</v>
      </c>
      <c r="K53" s="6" t="n">
        <f aca="false">K45</f>
        <v>0</v>
      </c>
    </row>
    <row r="54" customFormat="false" ht="15" hidden="false" customHeight="false" outlineLevel="0" collapsed="false">
      <c r="A54" s="294" t="s">
        <v>457</v>
      </c>
      <c r="B54" s="297" t="n">
        <f aca="false">(I56-B51)/(B52-B51)</f>
        <v>0.436366953028221</v>
      </c>
      <c r="C54" s="298" t="n">
        <f aca="false">(I56-C51)/(C52-C51)</f>
        <v>0.0717912822835031</v>
      </c>
      <c r="D54" s="298" t="n">
        <f aca="false">(I56-D51)/(D52-D51)</f>
        <v>0.453418624948442</v>
      </c>
      <c r="E54" s="298" t="n">
        <f aca="false">(I56-E51)/(E52-E51)</f>
        <v>0.570511749690646</v>
      </c>
      <c r="F54" s="298" t="n">
        <f aca="false">(I56-F51)/(F52-F51)</f>
        <v>0.466338122679825</v>
      </c>
      <c r="G54" s="298" t="n">
        <f aca="false">(I56-G51)/(G52-G51)</f>
        <v>0.748028736079008</v>
      </c>
      <c r="H54" s="298" t="n">
        <f aca="false">(I56-H51)/(H52-H51)</f>
        <v>0.671760438389268</v>
      </c>
      <c r="K54" s="6" t="n">
        <f aca="false">K46</f>
        <v>0</v>
      </c>
    </row>
    <row r="55" customFormat="false" ht="15" hidden="false" customHeight="false" outlineLevel="0" collapsed="false">
      <c r="A55" s="294" t="s">
        <v>458</v>
      </c>
      <c r="B55" s="295"/>
      <c r="C55" s="296" t="n">
        <f aca="false">MOD(VLOOKUP(B56,PlanetData,3,0)+MATCH(B54,INDEX(VimFrac,,VLOOKUP(B56,PlanetData,3,0)+1),1)-1,9)</f>
        <v>8</v>
      </c>
      <c r="D55" s="296" t="n">
        <f aca="false">MOD(VLOOKUP(C56,PlanetData,3,0)+MATCH(C54,INDEX(VimFrac,0,9*C57+VLOOKUP(C56,PlanetData,3,0)+1),IF(C57,-1,1))-1,9)</f>
        <v>8</v>
      </c>
      <c r="E55" s="296" t="n">
        <f aca="false">MOD(VLOOKUP(D56,PlanetData,3,0)+MATCH(D54,INDEX(VimFrac,0,9*D57+VLOOKUP(D56,PlanetData,3,0)+1),IF(D57,-1,1))-1,9)</f>
        <v>2</v>
      </c>
      <c r="F55" s="296" t="n">
        <f aca="false">MOD(VLOOKUP(E56,PlanetData,3,0)+MATCH(E54,INDEX(VimFrac,0,9*E57+VLOOKUP(E56,PlanetData,3,0)+1),IF(E57,-1,1))-1,9)</f>
        <v>7</v>
      </c>
      <c r="G55" s="296" t="n">
        <f aca="false">MOD(VLOOKUP(F56,PlanetData,3,0)+MATCH(F54,INDEX(VimFrac,0,9*F57+VLOOKUP(F56,PlanetData,3,0)+1),IF(F57,-1,1))-1,9)</f>
        <v>2</v>
      </c>
      <c r="H55" s="296" t="n">
        <f aca="false">MOD(VLOOKUP(G56,PlanetData,3,0)+MATCH(G54,INDEX(VimFrac,0,9*G57+VLOOKUP(G56,PlanetData,3,0)+1),IF(G57,-1,1))-1,9)</f>
        <v>8</v>
      </c>
      <c r="K55" s="6" t="n">
        <f aca="false">K47</f>
        <v>0</v>
      </c>
    </row>
    <row r="56" customFormat="false" ht="15" hidden="false" customHeight="false" outlineLevel="0" collapsed="false">
      <c r="A56" s="294" t="s">
        <v>459</v>
      </c>
      <c r="B56" s="295" t="str">
        <f aca="false">$B$4</f>
        <v>Moon</v>
      </c>
      <c r="C56" s="296" t="str">
        <f aca="false">INDEX(DasaYears,IF(C55=0,9,C55),1)</f>
        <v>Saturn</v>
      </c>
      <c r="D56" s="296" t="str">
        <f aca="false">INDEX(DasaYears,IF(D55=0,9,D55),1)</f>
        <v>Saturn</v>
      </c>
      <c r="E56" s="296" t="str">
        <f aca="false">INDEX(DasaYears,IF(E55=0,9,E55),1)</f>
        <v>Venus</v>
      </c>
      <c r="F56" s="296" t="str">
        <f aca="false">INDEX(DasaYears,IF(F55=0,9,F55),1)</f>
        <v>Jupiter</v>
      </c>
      <c r="G56" s="296" t="str">
        <f aca="false">INDEX(DasaYears,IF(G55=0,9,G55),1)</f>
        <v>Venus</v>
      </c>
      <c r="H56" s="296" t="str">
        <f aca="false">INDEX(DasaYears,IF(H55=0,9,H55),1)</f>
        <v>Saturn</v>
      </c>
      <c r="I56" s="275" t="n">
        <f aca="true">INDIRECT("'JHora'!$B$"&amp;($K56))</f>
        <v>41694</v>
      </c>
      <c r="J56" s="275" t="str">
        <f aca="true">INDIRECT("'JHora'!$C$"&amp;($K56))</f>
        <v>Bought Car D16</v>
      </c>
      <c r="K56" s="6" t="n">
        <f aca="false">K48+1</f>
        <v>6</v>
      </c>
      <c r="N56" s="275" t="n">
        <f aca="false">JHora!B57</f>
        <v>0</v>
      </c>
      <c r="O56" s="225" t="n">
        <f aca="false">JHora!C57</f>
        <v>0</v>
      </c>
    </row>
    <row r="57" customFormat="false" ht="15" hidden="false" customHeight="false" outlineLevel="0" collapsed="false">
      <c r="A57" s="294" t="s">
        <v>444</v>
      </c>
      <c r="B57" s="295" t="b">
        <f aca="false">$B$7</f>
        <v>1</v>
      </c>
      <c r="C57" s="296" t="n">
        <f aca="false">IF(VLOOKUP(C56,ChartInfo,11,0),1,0)*B57</f>
        <v>0</v>
      </c>
      <c r="D57" s="296" t="n">
        <f aca="false">IF(VLOOKUP(D56,ChartInfo,11,0),1,0)*B57</f>
        <v>0</v>
      </c>
      <c r="E57" s="296" t="n">
        <f aca="false">IF(VLOOKUP(E56,ChartInfo,11,0),1,0)*B57</f>
        <v>0</v>
      </c>
      <c r="F57" s="296" t="n">
        <f aca="false">IF(VLOOKUP(F56,ChartInfo,11,0),1,0)*B57</f>
        <v>1</v>
      </c>
      <c r="G57" s="296" t="n">
        <f aca="false">IF(VLOOKUP(G56,ChartInfo,11,0),1,0)*B57</f>
        <v>0</v>
      </c>
      <c r="H57" s="296" t="n">
        <f aca="false">IF(VLOOKUP(H56,ChartInfo,11,0),1,0)*B57</f>
        <v>0</v>
      </c>
      <c r="K57" s="6" t="n">
        <f aca="false">K49</f>
        <v>0</v>
      </c>
    </row>
    <row r="58" customFormat="false" ht="15" hidden="false" customHeight="false" outlineLevel="0" collapsed="false">
      <c r="K58" s="6" t="n">
        <f aca="false">K50+1</f>
        <v>6</v>
      </c>
      <c r="N58" s="275" t="n">
        <f aca="false">JHora!B59</f>
        <v>0</v>
      </c>
      <c r="O58" s="225" t="n">
        <f aca="false">JHora!C59</f>
        <v>0</v>
      </c>
    </row>
    <row r="59" customFormat="false" ht="15" hidden="false" customHeight="false" outlineLevel="0" collapsed="false">
      <c r="A59" s="291" t="s">
        <v>454</v>
      </c>
      <c r="B59" s="292" t="n">
        <f aca="false">DoB-$E$6*DaysInYear</f>
        <v>22567.7812953187</v>
      </c>
      <c r="C59" s="293" t="e">
        <f aca="false">B59+B61*INDEX(INDEX(VimFrac,,VLOOKUP(B64,PlanetData,3,0)+1),MATCH(B62,INDEX(VimFrac,,VLOOKUP(B64,PlanetData,3,0)+1),1))</f>
        <v>#N/A</v>
      </c>
      <c r="D59" s="293" t="e">
        <f aca="false">C59+C61*INDEX(INDEX(VimFrac,0,9*C65+VLOOKUP(C64,PlanetData,3,0)+1),IF(C65,1,0)+MATCH(C62,INDEX(VimFrac,0,9*C65+VLOOKUP(C64,PlanetData,3,0)+1),IF(C65,-1,1)))</f>
        <v>#N/A</v>
      </c>
      <c r="E59" s="293" t="e">
        <f aca="false">D59+D61*INDEX(INDEX(VimFrac,0,9*D65+VLOOKUP(D64,PlanetData,3,0)+1),IF(D65,1,0)+MATCH(D62,INDEX(VimFrac,0,9*D65+VLOOKUP(D64,PlanetData,3,0)+1),IF(D65,-1,1)))</f>
        <v>#N/A</v>
      </c>
      <c r="F59" s="293" t="e">
        <f aca="false">E59+E61*INDEX(INDEX(VimFrac,0,9*E65+VLOOKUP(E64,PlanetData,3,0)+1),IF(E65,1,0)+MATCH(E62,INDEX(VimFrac,0,9*E65+VLOOKUP(E64,PlanetData,3,0)+1),IF(E65,-1,1)))</f>
        <v>#N/A</v>
      </c>
      <c r="G59" s="293" t="e">
        <f aca="false">F59+F61*INDEX(INDEX(VimFrac,0,9*F65+VLOOKUP(F64,PlanetData,3,0)+1),IF(F65,1,0)+MATCH(F62,INDEX(VimFrac,0,9*F65+VLOOKUP(F64,PlanetData,3,0)+1),IF(F65,-1,1)))</f>
        <v>#N/A</v>
      </c>
      <c r="H59" s="293" t="e">
        <f aca="false">G59+G61*INDEX(INDEX(VimFrac,0,9*G65+VLOOKUP(G64,PlanetData,3,0)+1),IF(G65,1,0)+MATCH(G62,INDEX(VimFrac,0,9*G65+VLOOKUP(G64,PlanetData,3,0)+1),IF(G65,-1,1)))</f>
        <v>#N/A</v>
      </c>
      <c r="J59" s="273" t="n">
        <f aca="false">J64</f>
        <v>0</v>
      </c>
      <c r="K59" s="6" t="n">
        <f aca="false">K51+1</f>
        <v>7</v>
      </c>
      <c r="N59" s="275" t="n">
        <f aca="false">JHora!B60</f>
        <v>0</v>
      </c>
      <c r="O59" s="225" t="n">
        <f aca="false">JHora!C60</f>
        <v>0</v>
      </c>
    </row>
    <row r="60" customFormat="false" ht="15" hidden="false" customHeight="false" outlineLevel="0" collapsed="false">
      <c r="A60" s="291" t="s">
        <v>455</v>
      </c>
      <c r="B60" s="292" t="n">
        <f aca="false">B59+B61</f>
        <v>66398.3660175406</v>
      </c>
      <c r="C60" s="293" t="e">
        <f aca="false">B59+B61*INDEX(INDEX(VimFrac,,VLOOKUP(B64,PlanetData,3,0)+1),MATCH(B62,INDEX(VimFrac,,VLOOKUP(B64,PlanetData,3,0)+1),1)+1)</f>
        <v>#N/A</v>
      </c>
      <c r="D60" s="293" t="e">
        <f aca="false">C59+C61*INDEX(INDEX(VimFrac,0,9*C65+VLOOKUP(C64,PlanetData,3,0)+1),IF(C65,0,1)+MATCH(C62,INDEX(VimFrac,0,9*C65+VLOOKUP(C64,PlanetData,3,0)+1),IF(C65,-1,1)))</f>
        <v>#N/A</v>
      </c>
      <c r="E60" s="293" t="e">
        <f aca="false">D59+D61*INDEX(INDEX(VimFrac,0,9*D65+VLOOKUP(D64,PlanetData,3,0)+1),IF(D65,0,1)+MATCH(D62,INDEX(VimFrac,0,9*D65+VLOOKUP(D64,PlanetData,3,0)+1),IF(D65,-1,1)))</f>
        <v>#N/A</v>
      </c>
      <c r="F60" s="293" t="e">
        <f aca="false">E59+E61*INDEX(INDEX(VimFrac,0,9*E65+VLOOKUP(E64,PlanetData,3,0)+1),IF(E65,0,1)+MATCH(E62,INDEX(VimFrac,0,9*E65+VLOOKUP(E64,PlanetData,3,0)+1),IF(E65,-1,1)))</f>
        <v>#N/A</v>
      </c>
      <c r="G60" s="293" t="e">
        <f aca="false">F59+F61*INDEX(INDEX(VimFrac,0,9*F65+VLOOKUP(F64,PlanetData,3,0)+1),IF(F65,0,1)+MATCH(F62,INDEX(VimFrac,0,9*F65+VLOOKUP(F64,PlanetData,3,0)+1),IF(F65,-1,1)))</f>
        <v>#N/A</v>
      </c>
      <c r="H60" s="293" t="e">
        <f aca="false">G59+G61*INDEX(INDEX(VimFrac,0,9*G65+VLOOKUP(G64,PlanetData,3,0)+1),IF(G65,0,1)+MATCH(G62,INDEX(VimFrac,0,9*G65+VLOOKUP(G64,PlanetData,3,0)+1),IF(G65,-1,1)))</f>
        <v>#N/A</v>
      </c>
      <c r="J60" s="273" t="n">
        <f aca="false">J64</f>
        <v>0</v>
      </c>
      <c r="K60" s="6" t="n">
        <f aca="false">K52+1</f>
        <v>7</v>
      </c>
      <c r="N60" s="275" t="n">
        <f aca="false">JHora!B61</f>
        <v>0</v>
      </c>
      <c r="O60" s="225" t="n">
        <f aca="false">JHora!C61</f>
        <v>0</v>
      </c>
    </row>
    <row r="61" customFormat="false" ht="15" hidden="false" customHeight="false" outlineLevel="0" collapsed="false">
      <c r="A61" s="294" t="s">
        <v>456</v>
      </c>
      <c r="B61" s="295" t="n">
        <f aca="false">120*DaysInYear</f>
        <v>43830.5847222218</v>
      </c>
      <c r="C61" s="296" t="e">
        <f aca="false">C60-C59</f>
        <v>#N/A</v>
      </c>
      <c r="D61" s="296" t="e">
        <f aca="false">D60-D59</f>
        <v>#N/A</v>
      </c>
      <c r="E61" s="296" t="e">
        <f aca="false">E60-E59</f>
        <v>#N/A</v>
      </c>
      <c r="F61" s="296" t="e">
        <f aca="false">F60-F59</f>
        <v>#N/A</v>
      </c>
      <c r="G61" s="296" t="e">
        <f aca="false">G60-G59</f>
        <v>#N/A</v>
      </c>
      <c r="H61" s="296" t="e">
        <f aca="false">H60-H59</f>
        <v>#N/A</v>
      </c>
      <c r="K61" s="6" t="n">
        <f aca="false">K53</f>
        <v>0</v>
      </c>
    </row>
    <row r="62" customFormat="false" ht="15" hidden="false" customHeight="false" outlineLevel="0" collapsed="false">
      <c r="A62" s="294" t="s">
        <v>457</v>
      </c>
      <c r="B62" s="297" t="n">
        <f aca="false">(I64-B59)/(B60-B59)</f>
        <v>-0.51488661258669</v>
      </c>
      <c r="C62" s="298" t="e">
        <f aca="false">(I64-C59)/(C60-C59)</f>
        <v>#N/A</v>
      </c>
      <c r="D62" s="298" t="e">
        <f aca="false">(I64-D59)/(D60-D59)</f>
        <v>#N/A</v>
      </c>
      <c r="E62" s="298" t="e">
        <f aca="false">(I64-E59)/(E60-E59)</f>
        <v>#N/A</v>
      </c>
      <c r="F62" s="298" t="e">
        <f aca="false">(I64-F59)/(F60-F59)</f>
        <v>#N/A</v>
      </c>
      <c r="G62" s="298" t="e">
        <f aca="false">(I64-G59)/(G60-G59)</f>
        <v>#N/A</v>
      </c>
      <c r="H62" s="298" t="e">
        <f aca="false">(I64-H59)/(H60-H59)</f>
        <v>#N/A</v>
      </c>
      <c r="K62" s="6" t="n">
        <f aca="false">K54</f>
        <v>0</v>
      </c>
    </row>
    <row r="63" customFormat="false" ht="15" hidden="false" customHeight="false" outlineLevel="0" collapsed="false">
      <c r="A63" s="294" t="s">
        <v>458</v>
      </c>
      <c r="B63" s="295"/>
      <c r="C63" s="296" t="e">
        <f aca="false">MOD(VLOOKUP(B64,PlanetData,3,0)+MATCH(B62,INDEX(VimFrac,,VLOOKUP(B64,PlanetData,3,0)+1),1)-1,9)</f>
        <v>#N/A</v>
      </c>
      <c r="D63" s="296" t="e">
        <f aca="false">MOD(VLOOKUP(C64,PlanetData,3,0)+MATCH(C62,INDEX(VimFrac,0,9*C65+VLOOKUP(C64,PlanetData,3,0)+1),IF(C65,-1,1))-1,9)</f>
        <v>#N/A</v>
      </c>
      <c r="E63" s="296" t="e">
        <f aca="false">MOD(VLOOKUP(D64,PlanetData,3,0)+MATCH(D62,INDEX(VimFrac,0,9*D65+VLOOKUP(D64,PlanetData,3,0)+1),IF(D65,-1,1))-1,9)</f>
        <v>#N/A</v>
      </c>
      <c r="F63" s="296" t="e">
        <f aca="false">MOD(VLOOKUP(E64,PlanetData,3,0)+MATCH(E62,INDEX(VimFrac,0,9*E65+VLOOKUP(E64,PlanetData,3,0)+1),IF(E65,-1,1))-1,9)</f>
        <v>#N/A</v>
      </c>
      <c r="G63" s="296" t="e">
        <f aca="false">MOD(VLOOKUP(F64,PlanetData,3,0)+MATCH(F62,INDEX(VimFrac,0,9*F65+VLOOKUP(F64,PlanetData,3,0)+1),IF(F65,-1,1))-1,9)</f>
        <v>#N/A</v>
      </c>
      <c r="H63" s="296" t="e">
        <f aca="false">MOD(VLOOKUP(G64,PlanetData,3,0)+MATCH(G62,INDEX(VimFrac,0,9*G65+VLOOKUP(G64,PlanetData,3,0)+1),IF(G65,-1,1))-1,9)</f>
        <v>#N/A</v>
      </c>
      <c r="K63" s="6" t="n">
        <f aca="false">K55</f>
        <v>0</v>
      </c>
    </row>
    <row r="64" customFormat="false" ht="15" hidden="false" customHeight="false" outlineLevel="0" collapsed="false">
      <c r="A64" s="294" t="s">
        <v>459</v>
      </c>
      <c r="B64" s="295" t="str">
        <f aca="false">$B$4</f>
        <v>Moon</v>
      </c>
      <c r="C64" s="296" t="e">
        <f aca="false">INDEX(DasaYears,IF(C63=0,9,C63),1)</f>
        <v>#N/A</v>
      </c>
      <c r="D64" s="296" t="e">
        <f aca="false">INDEX(DasaYears,IF(D63=0,9,D63),1)</f>
        <v>#N/A</v>
      </c>
      <c r="E64" s="296" t="e">
        <f aca="false">INDEX(DasaYears,IF(E63=0,9,E63),1)</f>
        <v>#N/A</v>
      </c>
      <c r="F64" s="296" t="e">
        <f aca="false">INDEX(DasaYears,IF(F63=0,9,F63),1)</f>
        <v>#N/A</v>
      </c>
      <c r="G64" s="296" t="e">
        <f aca="false">INDEX(DasaYears,IF(G63=0,9,G63),1)</f>
        <v>#N/A</v>
      </c>
      <c r="H64" s="296" t="e">
        <f aca="false">INDEX(DasaYears,IF(H63=0,9,H63),1)</f>
        <v>#N/A</v>
      </c>
      <c r="I64" s="275" t="n">
        <f aca="true">INDIRECT("'JHora'!$B$"&amp;($K64))</f>
        <v>0</v>
      </c>
      <c r="J64" s="275" t="n">
        <f aca="true">INDIRECT("'JHora'!$C$"&amp;($K64))</f>
        <v>0</v>
      </c>
      <c r="K64" s="6" t="n">
        <f aca="false">K56+1</f>
        <v>7</v>
      </c>
      <c r="N64" s="275" t="n">
        <f aca="false">JHora!B65</f>
        <v>0</v>
      </c>
      <c r="O64" s="225" t="n">
        <f aca="false">JHora!C65</f>
        <v>0</v>
      </c>
    </row>
    <row r="65" customFormat="false" ht="15" hidden="false" customHeight="false" outlineLevel="0" collapsed="false">
      <c r="A65" s="294" t="s">
        <v>444</v>
      </c>
      <c r="B65" s="295" t="b">
        <f aca="false">$B$7</f>
        <v>1</v>
      </c>
      <c r="C65" s="296" t="e">
        <f aca="false">IF(VLOOKUP(C64,ChartInfo,11,0),1,0)*B65</f>
        <v>#N/A</v>
      </c>
      <c r="D65" s="296" t="e">
        <f aca="false">IF(VLOOKUP(D64,ChartInfo,11,0),1,0)*B65</f>
        <v>#N/A</v>
      </c>
      <c r="E65" s="296" t="e">
        <f aca="false">IF(VLOOKUP(E64,ChartInfo,11,0),1,0)*B65</f>
        <v>#N/A</v>
      </c>
      <c r="F65" s="296" t="e">
        <f aca="false">IF(VLOOKUP(F64,ChartInfo,11,0),1,0)*B65</f>
        <v>#N/A</v>
      </c>
      <c r="G65" s="296" t="e">
        <f aca="false">IF(VLOOKUP(G64,ChartInfo,11,0),1,0)*B65</f>
        <v>#N/A</v>
      </c>
      <c r="H65" s="296" t="e">
        <f aca="false">IF(VLOOKUP(H64,ChartInfo,11,0),1,0)*B65</f>
        <v>#N/A</v>
      </c>
      <c r="K65" s="6" t="n">
        <f aca="false">K57</f>
        <v>0</v>
      </c>
    </row>
    <row r="66" customFormat="false" ht="15" hidden="false" customHeight="false" outlineLevel="0" collapsed="false">
      <c r="K66" s="6" t="n">
        <f aca="false">K58+1</f>
        <v>7</v>
      </c>
      <c r="N66" s="275" t="n">
        <f aca="false">JHora!B67</f>
        <v>0</v>
      </c>
      <c r="O66" s="225" t="n">
        <f aca="false">JHora!C67</f>
        <v>0</v>
      </c>
    </row>
    <row r="67" customFormat="false" ht="15" hidden="false" customHeight="false" outlineLevel="0" collapsed="false">
      <c r="A67" s="291" t="s">
        <v>454</v>
      </c>
      <c r="B67" s="292" t="n">
        <f aca="false">DoB-$E$6*DaysInYear</f>
        <v>22567.7812953187</v>
      </c>
      <c r="C67" s="293" t="e">
        <f aca="false">B67+B69*INDEX(INDEX(VimFrac,,VLOOKUP(B72,PlanetData,3,0)+1),MATCH(B70,INDEX(VimFrac,,VLOOKUP(B72,PlanetData,3,0)+1),1))</f>
        <v>#N/A</v>
      </c>
      <c r="D67" s="293" t="e">
        <f aca="false">C67+C69*INDEX(INDEX(VimFrac,0,9*C73+VLOOKUP(C72,PlanetData,3,0)+1),IF(C73,1,0)+MATCH(C70,INDEX(VimFrac,0,9*C73+VLOOKUP(C72,PlanetData,3,0)+1),IF(C73,-1,1)))</f>
        <v>#N/A</v>
      </c>
      <c r="E67" s="293" t="e">
        <f aca="false">D67+D69*INDEX(INDEX(VimFrac,0,9*D73+VLOOKUP(D72,PlanetData,3,0)+1),IF(D73,1,0)+MATCH(D70,INDEX(VimFrac,0,9*D73+VLOOKUP(D72,PlanetData,3,0)+1),IF(D73,-1,1)))</f>
        <v>#N/A</v>
      </c>
      <c r="F67" s="293" t="e">
        <f aca="false">E67+E69*INDEX(INDEX(VimFrac,0,9*E73+VLOOKUP(E72,PlanetData,3,0)+1),IF(E73,1,0)+MATCH(E70,INDEX(VimFrac,0,9*E73+VLOOKUP(E72,PlanetData,3,0)+1),IF(E73,-1,1)))</f>
        <v>#N/A</v>
      </c>
      <c r="G67" s="293" t="e">
        <f aca="false">F67+F69*INDEX(INDEX(VimFrac,0,9*F73+VLOOKUP(F72,PlanetData,3,0)+1),IF(F73,1,0)+MATCH(F70,INDEX(VimFrac,0,9*F73+VLOOKUP(F72,PlanetData,3,0)+1),IF(F73,-1,1)))</f>
        <v>#N/A</v>
      </c>
      <c r="H67" s="293" t="e">
        <f aca="false">G67+G69*INDEX(INDEX(VimFrac,0,9*G73+VLOOKUP(G72,PlanetData,3,0)+1),IF(G73,1,0)+MATCH(G70,INDEX(VimFrac,0,9*G73+VLOOKUP(G72,PlanetData,3,0)+1),IF(G73,-1,1)))</f>
        <v>#N/A</v>
      </c>
      <c r="J67" s="273" t="n">
        <f aca="false">J72</f>
        <v>0</v>
      </c>
      <c r="K67" s="6" t="n">
        <f aca="false">K59+1</f>
        <v>8</v>
      </c>
      <c r="N67" s="275" t="n">
        <f aca="false">JHora!B68</f>
        <v>0</v>
      </c>
      <c r="O67" s="225" t="n">
        <f aca="false">JHora!C68</f>
        <v>0</v>
      </c>
    </row>
    <row r="68" customFormat="false" ht="15" hidden="false" customHeight="false" outlineLevel="0" collapsed="false">
      <c r="A68" s="291" t="s">
        <v>455</v>
      </c>
      <c r="B68" s="292" t="n">
        <f aca="false">B67+B69</f>
        <v>66398.3660175406</v>
      </c>
      <c r="C68" s="293" t="e">
        <f aca="false">B67+B69*INDEX(INDEX(VimFrac,,VLOOKUP(B72,PlanetData,3,0)+1),MATCH(B70,INDEX(VimFrac,,VLOOKUP(B72,PlanetData,3,0)+1),1)+1)</f>
        <v>#N/A</v>
      </c>
      <c r="D68" s="293" t="e">
        <f aca="false">C67+C69*INDEX(INDEX(VimFrac,0,9*C73+VLOOKUP(C72,PlanetData,3,0)+1),IF(C73,0,1)+MATCH(C70,INDEX(VimFrac,0,9*C73+VLOOKUP(C72,PlanetData,3,0)+1),IF(C73,-1,1)))</f>
        <v>#N/A</v>
      </c>
      <c r="E68" s="293" t="e">
        <f aca="false">D67+D69*INDEX(INDEX(VimFrac,0,9*D73+VLOOKUP(D72,PlanetData,3,0)+1),IF(D73,0,1)+MATCH(D70,INDEX(VimFrac,0,9*D73+VLOOKUP(D72,PlanetData,3,0)+1),IF(D73,-1,1)))</f>
        <v>#N/A</v>
      </c>
      <c r="F68" s="293" t="e">
        <f aca="false">E67+E69*INDEX(INDEX(VimFrac,0,9*E73+VLOOKUP(E72,PlanetData,3,0)+1),IF(E73,0,1)+MATCH(E70,INDEX(VimFrac,0,9*E73+VLOOKUP(E72,PlanetData,3,0)+1),IF(E73,-1,1)))</f>
        <v>#N/A</v>
      </c>
      <c r="G68" s="293" t="e">
        <f aca="false">F67+F69*INDEX(INDEX(VimFrac,0,9*F73+VLOOKUP(F72,PlanetData,3,0)+1),IF(F73,0,1)+MATCH(F70,INDEX(VimFrac,0,9*F73+VLOOKUP(F72,PlanetData,3,0)+1),IF(F73,-1,1)))</f>
        <v>#N/A</v>
      </c>
      <c r="H68" s="293" t="e">
        <f aca="false">G67+G69*INDEX(INDEX(VimFrac,0,9*G73+VLOOKUP(G72,PlanetData,3,0)+1),IF(G73,0,1)+MATCH(G70,INDEX(VimFrac,0,9*G73+VLOOKUP(G72,PlanetData,3,0)+1),IF(G73,-1,1)))</f>
        <v>#N/A</v>
      </c>
      <c r="J68" s="273" t="n">
        <f aca="false">J72</f>
        <v>0</v>
      </c>
      <c r="K68" s="6" t="n">
        <f aca="false">K60+1</f>
        <v>8</v>
      </c>
      <c r="N68" s="275" t="n">
        <f aca="false">JHora!B69</f>
        <v>0</v>
      </c>
      <c r="O68" s="225" t="n">
        <f aca="false">JHora!C69</f>
        <v>0</v>
      </c>
    </row>
    <row r="69" customFormat="false" ht="15" hidden="false" customHeight="false" outlineLevel="0" collapsed="false">
      <c r="A69" s="294" t="s">
        <v>456</v>
      </c>
      <c r="B69" s="295" t="n">
        <f aca="false">120*DaysInYear</f>
        <v>43830.5847222218</v>
      </c>
      <c r="C69" s="296" t="e">
        <f aca="false">C68-C67</f>
        <v>#N/A</v>
      </c>
      <c r="D69" s="296" t="e">
        <f aca="false">D68-D67</f>
        <v>#N/A</v>
      </c>
      <c r="E69" s="296" t="e">
        <f aca="false">E68-E67</f>
        <v>#N/A</v>
      </c>
      <c r="F69" s="296" t="e">
        <f aca="false">F68-F67</f>
        <v>#N/A</v>
      </c>
      <c r="G69" s="296" t="e">
        <f aca="false">G68-G67</f>
        <v>#N/A</v>
      </c>
      <c r="H69" s="296" t="e">
        <f aca="false">H68-H67</f>
        <v>#N/A</v>
      </c>
      <c r="K69" s="6" t="n">
        <f aca="false">K61</f>
        <v>0</v>
      </c>
    </row>
    <row r="70" customFormat="false" ht="15" hidden="false" customHeight="false" outlineLevel="0" collapsed="false">
      <c r="A70" s="294" t="s">
        <v>457</v>
      </c>
      <c r="B70" s="297" t="n">
        <f aca="false">(I72-B67)/(B68-B67)</f>
        <v>-0.51488661258669</v>
      </c>
      <c r="C70" s="298" t="e">
        <f aca="false">(I72-C67)/(C68-C67)</f>
        <v>#N/A</v>
      </c>
      <c r="D70" s="298" t="e">
        <f aca="false">(I72-D67)/(D68-D67)</f>
        <v>#N/A</v>
      </c>
      <c r="E70" s="298" t="e">
        <f aca="false">(I72-E67)/(E68-E67)</f>
        <v>#N/A</v>
      </c>
      <c r="F70" s="298" t="e">
        <f aca="false">(I72-F67)/(F68-F67)</f>
        <v>#N/A</v>
      </c>
      <c r="G70" s="298" t="e">
        <f aca="false">(I72-G67)/(G68-G67)</f>
        <v>#N/A</v>
      </c>
      <c r="H70" s="298" t="e">
        <f aca="false">(I72-H67)/(H68-H67)</f>
        <v>#N/A</v>
      </c>
      <c r="K70" s="6" t="n">
        <f aca="false">K62</f>
        <v>0</v>
      </c>
    </row>
    <row r="71" customFormat="false" ht="15" hidden="false" customHeight="false" outlineLevel="0" collapsed="false">
      <c r="A71" s="294" t="s">
        <v>458</v>
      </c>
      <c r="B71" s="295"/>
      <c r="C71" s="296" t="e">
        <f aca="false">MOD(VLOOKUP(B72,PlanetData,3,0)+MATCH(B70,INDEX(VimFrac,,VLOOKUP(B72,PlanetData,3,0)+1),1)-1,9)</f>
        <v>#N/A</v>
      </c>
      <c r="D71" s="296" t="e">
        <f aca="false">MOD(VLOOKUP(C72,PlanetData,3,0)+MATCH(C70,INDEX(VimFrac,0,9*C73+VLOOKUP(C72,PlanetData,3,0)+1),IF(C73,-1,1))-1,9)</f>
        <v>#N/A</v>
      </c>
      <c r="E71" s="296" t="e">
        <f aca="false">MOD(VLOOKUP(D72,PlanetData,3,0)+MATCH(D70,INDEX(VimFrac,0,9*D73+VLOOKUP(D72,PlanetData,3,0)+1),IF(D73,-1,1))-1,9)</f>
        <v>#N/A</v>
      </c>
      <c r="F71" s="296" t="e">
        <f aca="false">MOD(VLOOKUP(E72,PlanetData,3,0)+MATCH(E70,INDEX(VimFrac,0,9*E73+VLOOKUP(E72,PlanetData,3,0)+1),IF(E73,-1,1))-1,9)</f>
        <v>#N/A</v>
      </c>
      <c r="G71" s="296" t="e">
        <f aca="false">MOD(VLOOKUP(F72,PlanetData,3,0)+MATCH(F70,INDEX(VimFrac,0,9*F73+VLOOKUP(F72,PlanetData,3,0)+1),IF(F73,-1,1))-1,9)</f>
        <v>#N/A</v>
      </c>
      <c r="H71" s="296" t="e">
        <f aca="false">MOD(VLOOKUP(G72,PlanetData,3,0)+MATCH(G70,INDEX(VimFrac,0,9*G73+VLOOKUP(G72,PlanetData,3,0)+1),IF(G73,-1,1))-1,9)</f>
        <v>#N/A</v>
      </c>
      <c r="K71" s="6" t="n">
        <f aca="false">K63</f>
        <v>0</v>
      </c>
    </row>
    <row r="72" customFormat="false" ht="15" hidden="false" customHeight="false" outlineLevel="0" collapsed="false">
      <c r="A72" s="294" t="s">
        <v>459</v>
      </c>
      <c r="B72" s="295" t="str">
        <f aca="false">$B$4</f>
        <v>Moon</v>
      </c>
      <c r="C72" s="296" t="e">
        <f aca="false">INDEX(DasaYears,IF(C71=0,9,C71),1)</f>
        <v>#N/A</v>
      </c>
      <c r="D72" s="296" t="e">
        <f aca="false">INDEX(DasaYears,IF(D71=0,9,D71),1)</f>
        <v>#N/A</v>
      </c>
      <c r="E72" s="296" t="e">
        <f aca="false">INDEX(DasaYears,IF(E71=0,9,E71),1)</f>
        <v>#N/A</v>
      </c>
      <c r="F72" s="296" t="e">
        <f aca="false">INDEX(DasaYears,IF(F71=0,9,F71),1)</f>
        <v>#N/A</v>
      </c>
      <c r="G72" s="296" t="e">
        <f aca="false">INDEX(DasaYears,IF(G71=0,9,G71),1)</f>
        <v>#N/A</v>
      </c>
      <c r="H72" s="296" t="e">
        <f aca="false">INDEX(DasaYears,IF(H71=0,9,H71),1)</f>
        <v>#N/A</v>
      </c>
      <c r="I72" s="275" t="n">
        <f aca="true">INDIRECT("'JHora'!$B$"&amp;($K72))</f>
        <v>0</v>
      </c>
      <c r="J72" s="275" t="n">
        <f aca="true">INDIRECT("'JHora'!$C$"&amp;($K72))</f>
        <v>0</v>
      </c>
      <c r="K72" s="6" t="n">
        <f aca="false">K64+1</f>
        <v>8</v>
      </c>
      <c r="N72" s="275" t="n">
        <f aca="false">JHora!B73</f>
        <v>0</v>
      </c>
      <c r="O72" s="225" t="n">
        <f aca="false">JHora!C73</f>
        <v>0</v>
      </c>
    </row>
    <row r="73" customFormat="false" ht="15" hidden="false" customHeight="false" outlineLevel="0" collapsed="false">
      <c r="A73" s="294" t="s">
        <v>444</v>
      </c>
      <c r="B73" s="295" t="b">
        <f aca="false">$B$7</f>
        <v>1</v>
      </c>
      <c r="C73" s="296" t="e">
        <f aca="false">IF(VLOOKUP(C72,ChartInfo,11,0),1,0)*B73</f>
        <v>#N/A</v>
      </c>
      <c r="D73" s="296" t="e">
        <f aca="false">IF(VLOOKUP(D72,ChartInfo,11,0),1,0)*B73</f>
        <v>#N/A</v>
      </c>
      <c r="E73" s="296" t="e">
        <f aca="false">IF(VLOOKUP(E72,ChartInfo,11,0),1,0)*B73</f>
        <v>#N/A</v>
      </c>
      <c r="F73" s="296" t="e">
        <f aca="false">IF(VLOOKUP(F72,ChartInfo,11,0),1,0)*B73</f>
        <v>#N/A</v>
      </c>
      <c r="G73" s="296" t="e">
        <f aca="false">IF(VLOOKUP(G72,ChartInfo,11,0),1,0)*B73</f>
        <v>#N/A</v>
      </c>
      <c r="H73" s="296" t="e">
        <f aca="false">IF(VLOOKUP(H72,ChartInfo,11,0),1,0)*B73</f>
        <v>#N/A</v>
      </c>
      <c r="K73" s="6" t="n">
        <f aca="false">K65</f>
        <v>0</v>
      </c>
    </row>
    <row r="74" customFormat="false" ht="15" hidden="false" customHeight="false" outlineLevel="0" collapsed="false">
      <c r="K74" s="6" t="n">
        <f aca="false">K66+1</f>
        <v>8</v>
      </c>
      <c r="N74" s="275" t="n">
        <f aca="false">JHora!B75</f>
        <v>0</v>
      </c>
      <c r="O74" s="225" t="n">
        <f aca="false">JHora!C75</f>
        <v>0</v>
      </c>
    </row>
    <row r="75" customFormat="false" ht="15" hidden="false" customHeight="false" outlineLevel="0" collapsed="false">
      <c r="A75" s="291" t="s">
        <v>454</v>
      </c>
      <c r="B75" s="292" t="n">
        <f aca="false">DoB-$E$6*DaysInYear</f>
        <v>22567.7812953187</v>
      </c>
      <c r="C75" s="293" t="e">
        <f aca="false">B75+B77*INDEX(INDEX(VimFrac,,VLOOKUP(B80,PlanetData,3,0)+1),MATCH(B78,INDEX(VimFrac,,VLOOKUP(B80,PlanetData,3,0)+1),1))</f>
        <v>#N/A</v>
      </c>
      <c r="D75" s="293" t="e">
        <f aca="false">C75+C77*INDEX(INDEX(VimFrac,0,9*C81+VLOOKUP(C80,PlanetData,3,0)+1),IF(C81,1,0)+MATCH(C78,INDEX(VimFrac,0,9*C81+VLOOKUP(C80,PlanetData,3,0)+1),IF(C81,-1,1)))</f>
        <v>#N/A</v>
      </c>
      <c r="E75" s="293" t="e">
        <f aca="false">D75+D77*INDEX(INDEX(VimFrac,0,9*D81+VLOOKUP(D80,PlanetData,3,0)+1),IF(D81,1,0)+MATCH(D78,INDEX(VimFrac,0,9*D81+VLOOKUP(D80,PlanetData,3,0)+1),IF(D81,-1,1)))</f>
        <v>#N/A</v>
      </c>
      <c r="F75" s="293" t="e">
        <f aca="false">E75+E77*INDEX(INDEX(VimFrac,0,9*E81+VLOOKUP(E80,PlanetData,3,0)+1),IF(E81,1,0)+MATCH(E78,INDEX(VimFrac,0,9*E81+VLOOKUP(E80,PlanetData,3,0)+1),IF(E81,-1,1)))</f>
        <v>#N/A</v>
      </c>
      <c r="G75" s="293" t="e">
        <f aca="false">F75+F77*INDEX(INDEX(VimFrac,0,9*F81+VLOOKUP(F80,PlanetData,3,0)+1),IF(F81,1,0)+MATCH(F78,INDEX(VimFrac,0,9*F81+VLOOKUP(F80,PlanetData,3,0)+1),IF(F81,-1,1)))</f>
        <v>#N/A</v>
      </c>
      <c r="H75" s="293" t="e">
        <f aca="false">G75+G77*INDEX(INDEX(VimFrac,0,9*G81+VLOOKUP(G80,PlanetData,3,0)+1),IF(G81,1,0)+MATCH(G78,INDEX(VimFrac,0,9*G81+VLOOKUP(G80,PlanetData,3,0)+1),IF(G81,-1,1)))</f>
        <v>#N/A</v>
      </c>
      <c r="J75" s="299" t="n">
        <f aca="false">J80</f>
        <v>0</v>
      </c>
      <c r="K75" s="6" t="n">
        <f aca="false">K67+1</f>
        <v>9</v>
      </c>
      <c r="N75" s="275" t="n">
        <f aca="false">JHora!B76</f>
        <v>0</v>
      </c>
      <c r="O75" s="225" t="n">
        <f aca="false">JHora!C76</f>
        <v>0</v>
      </c>
    </row>
    <row r="76" customFormat="false" ht="15" hidden="false" customHeight="false" outlineLevel="0" collapsed="false">
      <c r="A76" s="291" t="s">
        <v>455</v>
      </c>
      <c r="B76" s="292" t="n">
        <f aca="false">B75+B77</f>
        <v>66398.3660175406</v>
      </c>
      <c r="C76" s="293" t="e">
        <f aca="false">B75+B77*INDEX(INDEX(VimFrac,,VLOOKUP(B80,PlanetData,3,0)+1),MATCH(B78,INDEX(VimFrac,,VLOOKUP(B80,PlanetData,3,0)+1),1)+1)</f>
        <v>#N/A</v>
      </c>
      <c r="D76" s="293" t="e">
        <f aca="false">C75+C77*INDEX(INDEX(VimFrac,0,9*C81+VLOOKUP(C80,PlanetData,3,0)+1),IF(C81,0,1)+MATCH(C78,INDEX(VimFrac,0,9*C81+VLOOKUP(C80,PlanetData,3,0)+1),IF(C81,-1,1)))</f>
        <v>#N/A</v>
      </c>
      <c r="E76" s="293" t="e">
        <f aca="false">D75+D77*INDEX(INDEX(VimFrac,0,9*D81+VLOOKUP(D80,PlanetData,3,0)+1),IF(D81,0,1)+MATCH(D78,INDEX(VimFrac,0,9*D81+VLOOKUP(D80,PlanetData,3,0)+1),IF(D81,-1,1)))</f>
        <v>#N/A</v>
      </c>
      <c r="F76" s="293" t="e">
        <f aca="false">E75+E77*INDEX(INDEX(VimFrac,0,9*E81+VLOOKUP(E80,PlanetData,3,0)+1),IF(E81,0,1)+MATCH(E78,INDEX(VimFrac,0,9*E81+VLOOKUP(E80,PlanetData,3,0)+1),IF(E81,-1,1)))</f>
        <v>#N/A</v>
      </c>
      <c r="G76" s="293" t="e">
        <f aca="false">F75+F77*INDEX(INDEX(VimFrac,0,9*F81+VLOOKUP(F80,PlanetData,3,0)+1),IF(F81,0,1)+MATCH(F78,INDEX(VimFrac,0,9*F81+VLOOKUP(F80,PlanetData,3,0)+1),IF(F81,-1,1)))</f>
        <v>#N/A</v>
      </c>
      <c r="H76" s="293" t="e">
        <f aca="false">G75+G77*INDEX(INDEX(VimFrac,0,9*G81+VLOOKUP(G80,PlanetData,3,0)+1),IF(G81,0,1)+MATCH(G78,INDEX(VimFrac,0,9*G81+VLOOKUP(G80,PlanetData,3,0)+1),IF(G81,-1,1)))</f>
        <v>#N/A</v>
      </c>
      <c r="J76" s="299" t="n">
        <f aca="false">J80</f>
        <v>0</v>
      </c>
      <c r="K76" s="6" t="n">
        <f aca="false">K68+1</f>
        <v>9</v>
      </c>
      <c r="N76" s="275" t="n">
        <f aca="false">JHora!B77</f>
        <v>0</v>
      </c>
      <c r="O76" s="225" t="n">
        <f aca="false">JHora!C77</f>
        <v>0</v>
      </c>
    </row>
    <row r="77" customFormat="false" ht="15" hidden="false" customHeight="false" outlineLevel="0" collapsed="false">
      <c r="A77" s="294" t="s">
        <v>456</v>
      </c>
      <c r="B77" s="295" t="n">
        <f aca="false">120*DaysInYear</f>
        <v>43830.5847222218</v>
      </c>
      <c r="C77" s="296" t="e">
        <f aca="false">C76-C75</f>
        <v>#N/A</v>
      </c>
      <c r="D77" s="296" t="e">
        <f aca="false">D76-D75</f>
        <v>#N/A</v>
      </c>
      <c r="E77" s="296" t="e">
        <f aca="false">E76-E75</f>
        <v>#N/A</v>
      </c>
      <c r="F77" s="296" t="e">
        <f aca="false">F76-F75</f>
        <v>#N/A</v>
      </c>
      <c r="G77" s="296" t="e">
        <f aca="false">G76-G75</f>
        <v>#N/A</v>
      </c>
      <c r="H77" s="296" t="e">
        <f aca="false">H76-H75</f>
        <v>#N/A</v>
      </c>
      <c r="K77" s="6" t="n">
        <f aca="false">K69</f>
        <v>0</v>
      </c>
    </row>
    <row r="78" customFormat="false" ht="15" hidden="false" customHeight="false" outlineLevel="0" collapsed="false">
      <c r="A78" s="294" t="s">
        <v>457</v>
      </c>
      <c r="B78" s="297" t="n">
        <f aca="false">(I80-B75)/(B76-B75)</f>
        <v>-0.51488661258669</v>
      </c>
      <c r="C78" s="298" t="e">
        <f aca="false">(I80-C75)/(C76-C75)</f>
        <v>#N/A</v>
      </c>
      <c r="D78" s="298" t="e">
        <f aca="false">(I80-D75)/(D76-D75)</f>
        <v>#N/A</v>
      </c>
      <c r="E78" s="298" t="e">
        <f aca="false">(I80-E75)/(E76-E75)</f>
        <v>#N/A</v>
      </c>
      <c r="F78" s="298" t="e">
        <f aca="false">(I80-F75)/(F76-F75)</f>
        <v>#N/A</v>
      </c>
      <c r="G78" s="298" t="e">
        <f aca="false">(I80-G75)/(G76-G75)</f>
        <v>#N/A</v>
      </c>
      <c r="H78" s="298" t="e">
        <f aca="false">(I80-H75)/(H76-H75)</f>
        <v>#N/A</v>
      </c>
      <c r="K78" s="6" t="n">
        <f aca="false">K70</f>
        <v>0</v>
      </c>
    </row>
    <row r="79" customFormat="false" ht="15" hidden="false" customHeight="false" outlineLevel="0" collapsed="false">
      <c r="A79" s="294" t="s">
        <v>458</v>
      </c>
      <c r="B79" s="295"/>
      <c r="C79" s="296" t="e">
        <f aca="false">MOD(VLOOKUP(B80,PlanetData,3,0)+MATCH(B78,INDEX(VimFrac,,VLOOKUP(B80,PlanetData,3,0)+1),1)-1,9)</f>
        <v>#N/A</v>
      </c>
      <c r="D79" s="296" t="e">
        <f aca="false">MOD(VLOOKUP(C80,PlanetData,3,0)+MATCH(C78,INDEX(VimFrac,0,9*C81+VLOOKUP(C80,PlanetData,3,0)+1),IF(C81,-1,1))-1,9)</f>
        <v>#N/A</v>
      </c>
      <c r="E79" s="296" t="e">
        <f aca="false">MOD(VLOOKUP(D80,PlanetData,3,0)+MATCH(D78,INDEX(VimFrac,0,9*D81+VLOOKUP(D80,PlanetData,3,0)+1),IF(D81,-1,1))-1,9)</f>
        <v>#N/A</v>
      </c>
      <c r="F79" s="296" t="e">
        <f aca="false">MOD(VLOOKUP(E80,PlanetData,3,0)+MATCH(E78,INDEX(VimFrac,0,9*E81+VLOOKUP(E80,PlanetData,3,0)+1),IF(E81,-1,1))-1,9)</f>
        <v>#N/A</v>
      </c>
      <c r="G79" s="296" t="e">
        <f aca="false">MOD(VLOOKUP(F80,PlanetData,3,0)+MATCH(F78,INDEX(VimFrac,0,9*F81+VLOOKUP(F80,PlanetData,3,0)+1),IF(F81,-1,1))-1,9)</f>
        <v>#N/A</v>
      </c>
      <c r="H79" s="296" t="e">
        <f aca="false">MOD(VLOOKUP(G80,PlanetData,3,0)+MATCH(G78,INDEX(VimFrac,0,9*G81+VLOOKUP(G80,PlanetData,3,0)+1),IF(G81,-1,1))-1,9)</f>
        <v>#N/A</v>
      </c>
      <c r="K79" s="6" t="n">
        <f aca="false">K71</f>
        <v>0</v>
      </c>
    </row>
    <row r="80" customFormat="false" ht="15" hidden="false" customHeight="false" outlineLevel="0" collapsed="false">
      <c r="A80" s="294" t="s">
        <v>459</v>
      </c>
      <c r="B80" s="295" t="str">
        <f aca="false">$B$4</f>
        <v>Moon</v>
      </c>
      <c r="C80" s="296" t="e">
        <f aca="false">INDEX(DasaYears,IF(C79=0,9,C79),1)</f>
        <v>#N/A</v>
      </c>
      <c r="D80" s="296" t="e">
        <f aca="false">INDEX(DasaYears,IF(D79=0,9,D79),1)</f>
        <v>#N/A</v>
      </c>
      <c r="E80" s="296" t="e">
        <f aca="false">INDEX(DasaYears,IF(E79=0,9,E79),1)</f>
        <v>#N/A</v>
      </c>
      <c r="F80" s="296" t="e">
        <f aca="false">INDEX(DasaYears,IF(F79=0,9,F79),1)</f>
        <v>#N/A</v>
      </c>
      <c r="G80" s="296" t="e">
        <f aca="false">INDEX(DasaYears,IF(G79=0,9,G79),1)</f>
        <v>#N/A</v>
      </c>
      <c r="H80" s="296" t="e">
        <f aca="false">INDEX(DasaYears,IF(H79=0,9,H79),1)</f>
        <v>#N/A</v>
      </c>
      <c r="I80" s="275" t="n">
        <f aca="true">INDIRECT("'JHora'!$B$"&amp;($K80))</f>
        <v>0</v>
      </c>
      <c r="J80" s="275" t="n">
        <f aca="true">INDIRECT("'JHora'!$C$"&amp;($K80))</f>
        <v>0</v>
      </c>
      <c r="K80" s="6" t="n">
        <f aca="false">K72+1</f>
        <v>9</v>
      </c>
      <c r="N80" s="275" t="n">
        <f aca="false">JHora!B81</f>
        <v>0</v>
      </c>
      <c r="O80" s="225" t="n">
        <f aca="false">JHora!C81</f>
        <v>0</v>
      </c>
    </row>
    <row r="81" customFormat="false" ht="15" hidden="false" customHeight="false" outlineLevel="0" collapsed="false">
      <c r="A81" s="294" t="s">
        <v>444</v>
      </c>
      <c r="B81" s="295" t="b">
        <f aca="false">$B$7</f>
        <v>1</v>
      </c>
      <c r="C81" s="296" t="e">
        <f aca="false">IF(VLOOKUP(C80,ChartInfo,11,0),1,0)*B81</f>
        <v>#N/A</v>
      </c>
      <c r="D81" s="296" t="e">
        <f aca="false">IF(VLOOKUP(D80,ChartInfo,11,0),1,0)*B81</f>
        <v>#N/A</v>
      </c>
      <c r="E81" s="296" t="e">
        <f aca="false">IF(VLOOKUP(E80,ChartInfo,11,0),1,0)*B81</f>
        <v>#N/A</v>
      </c>
      <c r="F81" s="296" t="e">
        <f aca="false">IF(VLOOKUP(F80,ChartInfo,11,0),1,0)*B81</f>
        <v>#N/A</v>
      </c>
      <c r="G81" s="296" t="e">
        <f aca="false">IF(VLOOKUP(G80,ChartInfo,11,0),1,0)*B81</f>
        <v>#N/A</v>
      </c>
      <c r="H81" s="296" t="e">
        <f aca="false">IF(VLOOKUP(H80,ChartInfo,11,0),1,0)*B81</f>
        <v>#N/A</v>
      </c>
      <c r="K81" s="6" t="n">
        <f aca="false">K73</f>
        <v>0</v>
      </c>
    </row>
    <row r="82" customFormat="false" ht="15" hidden="false" customHeight="false" outlineLevel="0" collapsed="false">
      <c r="K82" s="6" t="n">
        <f aca="false">K74+1</f>
        <v>9</v>
      </c>
      <c r="N82" s="275" t="n">
        <f aca="false">JHora!B83</f>
        <v>0</v>
      </c>
      <c r="O82" s="225" t="n">
        <f aca="false">JHora!C83</f>
        <v>0</v>
      </c>
    </row>
    <row r="83" customFormat="false" ht="15" hidden="false" customHeight="false" outlineLevel="0" collapsed="false">
      <c r="A83" s="291" t="s">
        <v>454</v>
      </c>
      <c r="B83" s="292" t="n">
        <f aca="false">DoB-$E$6*DaysInYear</f>
        <v>22567.7812953187</v>
      </c>
      <c r="C83" s="293" t="e">
        <f aca="false">B83+B85*INDEX(INDEX(VimFrac,,VLOOKUP(B88,PlanetData,3,0)+1),MATCH(B86,INDEX(VimFrac,,VLOOKUP(B88,PlanetData,3,0)+1),1))</f>
        <v>#N/A</v>
      </c>
      <c r="D83" s="293" t="e">
        <f aca="false">C83+C85*INDEX(INDEX(VimFrac,0,9*C89+VLOOKUP(C88,PlanetData,3,0)+1),IF(C89,1,0)+MATCH(C86,INDEX(VimFrac,0,9*C89+VLOOKUP(C88,PlanetData,3,0)+1),IF(C89,-1,1)))</f>
        <v>#N/A</v>
      </c>
      <c r="E83" s="293" t="e">
        <f aca="false">D83+D85*INDEX(INDEX(VimFrac,0,9*D89+VLOOKUP(D88,PlanetData,3,0)+1),IF(D89,1,0)+MATCH(D86,INDEX(VimFrac,0,9*D89+VLOOKUP(D88,PlanetData,3,0)+1),IF(D89,-1,1)))</f>
        <v>#N/A</v>
      </c>
      <c r="F83" s="293" t="e">
        <f aca="false">E83+E85*INDEX(INDEX(VimFrac,0,9*E89+VLOOKUP(E88,PlanetData,3,0)+1),IF(E89,1,0)+MATCH(E86,INDEX(VimFrac,0,9*E89+VLOOKUP(E88,PlanetData,3,0)+1),IF(E89,-1,1)))</f>
        <v>#N/A</v>
      </c>
      <c r="G83" s="293" t="e">
        <f aca="false">F83+F85*INDEX(INDEX(VimFrac,0,9*F89+VLOOKUP(F88,PlanetData,3,0)+1),IF(F89,1,0)+MATCH(F86,INDEX(VimFrac,0,9*F89+VLOOKUP(F88,PlanetData,3,0)+1),IF(F89,-1,1)))</f>
        <v>#N/A</v>
      </c>
      <c r="H83" s="293" t="e">
        <f aca="false">G83+G85*INDEX(INDEX(VimFrac,0,9*G89+VLOOKUP(G88,PlanetData,3,0)+1),IF(G89,1,0)+MATCH(G86,INDEX(VimFrac,0,9*G89+VLOOKUP(G88,PlanetData,3,0)+1),IF(G89,-1,1)))</f>
        <v>#N/A</v>
      </c>
      <c r="J83" s="273" t="n">
        <f aca="false">J88</f>
        <v>0</v>
      </c>
      <c r="K83" s="6" t="n">
        <f aca="false">K75+1</f>
        <v>10</v>
      </c>
      <c r="N83" s="275" t="n">
        <f aca="false">JHora!B84</f>
        <v>0</v>
      </c>
      <c r="O83" s="225" t="n">
        <f aca="false">JHora!C84</f>
        <v>0</v>
      </c>
    </row>
    <row r="84" customFormat="false" ht="15" hidden="false" customHeight="false" outlineLevel="0" collapsed="false">
      <c r="A84" s="291" t="s">
        <v>455</v>
      </c>
      <c r="B84" s="292" t="n">
        <f aca="false">B83+B85</f>
        <v>66398.3660175406</v>
      </c>
      <c r="C84" s="293" t="e">
        <f aca="false">B83+B85*INDEX(INDEX(VimFrac,,VLOOKUP(B88,PlanetData,3,0)+1),MATCH(B86,INDEX(VimFrac,,VLOOKUP(B88,PlanetData,3,0)+1),1)+1)</f>
        <v>#N/A</v>
      </c>
      <c r="D84" s="293" t="e">
        <f aca="false">C83+C85*INDEX(INDEX(VimFrac,0,9*C89+VLOOKUP(C88,PlanetData,3,0)+1),IF(C89,0,1)+MATCH(C86,INDEX(VimFrac,0,9*C89+VLOOKUP(C88,PlanetData,3,0)+1),IF(C89,-1,1)))</f>
        <v>#N/A</v>
      </c>
      <c r="E84" s="293" t="e">
        <f aca="false">D83+D85*INDEX(INDEX(VimFrac,0,9*D89+VLOOKUP(D88,PlanetData,3,0)+1),IF(D89,0,1)+MATCH(D86,INDEX(VimFrac,0,9*D89+VLOOKUP(D88,PlanetData,3,0)+1),IF(D89,-1,1)))</f>
        <v>#N/A</v>
      </c>
      <c r="F84" s="293" t="e">
        <f aca="false">E83+E85*INDEX(INDEX(VimFrac,0,9*E89+VLOOKUP(E88,PlanetData,3,0)+1),IF(E89,0,1)+MATCH(E86,INDEX(VimFrac,0,9*E89+VLOOKUP(E88,PlanetData,3,0)+1),IF(E89,-1,1)))</f>
        <v>#N/A</v>
      </c>
      <c r="G84" s="293" t="e">
        <f aca="false">F83+F85*INDEX(INDEX(VimFrac,0,9*F89+VLOOKUP(F88,PlanetData,3,0)+1),IF(F89,0,1)+MATCH(F86,INDEX(VimFrac,0,9*F89+VLOOKUP(F88,PlanetData,3,0)+1),IF(F89,-1,1)))</f>
        <v>#N/A</v>
      </c>
      <c r="H84" s="293" t="e">
        <f aca="false">G83+G85*INDEX(INDEX(VimFrac,0,9*G89+VLOOKUP(G88,PlanetData,3,0)+1),IF(G89,0,1)+MATCH(G86,INDEX(VimFrac,0,9*G89+VLOOKUP(G88,PlanetData,3,0)+1),IF(G89,-1,1)))</f>
        <v>#N/A</v>
      </c>
      <c r="J84" s="273" t="n">
        <f aca="false">J88</f>
        <v>0</v>
      </c>
      <c r="K84" s="6" t="n">
        <f aca="false">K76+1</f>
        <v>10</v>
      </c>
      <c r="N84" s="275" t="n">
        <f aca="false">JHora!B85</f>
        <v>0</v>
      </c>
      <c r="O84" s="225" t="n">
        <f aca="false">JHora!C85</f>
        <v>0</v>
      </c>
    </row>
    <row r="85" customFormat="false" ht="15" hidden="false" customHeight="false" outlineLevel="0" collapsed="false">
      <c r="A85" s="294" t="s">
        <v>456</v>
      </c>
      <c r="B85" s="295" t="n">
        <f aca="false">120*DaysInYear</f>
        <v>43830.5847222218</v>
      </c>
      <c r="C85" s="296" t="e">
        <f aca="false">C84-C83</f>
        <v>#N/A</v>
      </c>
      <c r="D85" s="296" t="e">
        <f aca="false">D84-D83</f>
        <v>#N/A</v>
      </c>
      <c r="E85" s="296" t="e">
        <f aca="false">E84-E83</f>
        <v>#N/A</v>
      </c>
      <c r="F85" s="296" t="e">
        <f aca="false">F84-F83</f>
        <v>#N/A</v>
      </c>
      <c r="G85" s="296" t="e">
        <f aca="false">G84-G83</f>
        <v>#N/A</v>
      </c>
      <c r="H85" s="296" t="e">
        <f aca="false">H84-H83</f>
        <v>#N/A</v>
      </c>
      <c r="K85" s="6" t="n">
        <f aca="false">K77</f>
        <v>0</v>
      </c>
    </row>
    <row r="86" customFormat="false" ht="15" hidden="false" customHeight="false" outlineLevel="0" collapsed="false">
      <c r="A86" s="294" t="s">
        <v>457</v>
      </c>
      <c r="B86" s="297" t="n">
        <f aca="false">(I88-B83)/(B84-B83)</f>
        <v>-0.51488661258669</v>
      </c>
      <c r="C86" s="298" t="e">
        <f aca="false">(I88-C83)/(C84-C83)</f>
        <v>#N/A</v>
      </c>
      <c r="D86" s="298" t="e">
        <f aca="false">(I88-D83)/(D84-D83)</f>
        <v>#N/A</v>
      </c>
      <c r="E86" s="298" t="e">
        <f aca="false">(I88-E83)/(E84-E83)</f>
        <v>#N/A</v>
      </c>
      <c r="F86" s="298" t="e">
        <f aca="false">(I88-F83)/(F84-F83)</f>
        <v>#N/A</v>
      </c>
      <c r="G86" s="298" t="e">
        <f aca="false">(I88-G83)/(G84-G83)</f>
        <v>#N/A</v>
      </c>
      <c r="H86" s="298" t="e">
        <f aca="false">(I88-H83)/(H84-H83)</f>
        <v>#N/A</v>
      </c>
      <c r="K86" s="6" t="n">
        <f aca="false">K78</f>
        <v>0</v>
      </c>
    </row>
    <row r="87" customFormat="false" ht="15" hidden="false" customHeight="false" outlineLevel="0" collapsed="false">
      <c r="A87" s="294" t="s">
        <v>458</v>
      </c>
      <c r="B87" s="295"/>
      <c r="C87" s="296" t="e">
        <f aca="false">MOD(VLOOKUP(B88,PlanetData,3,0)+MATCH(B86,INDEX(VimFrac,,VLOOKUP(B88,PlanetData,3,0)+1),1)-1,9)</f>
        <v>#N/A</v>
      </c>
      <c r="D87" s="296" t="e">
        <f aca="false">MOD(VLOOKUP(C88,PlanetData,3,0)+MATCH(C86,INDEX(VimFrac,0,9*C89+VLOOKUP(C88,PlanetData,3,0)+1),IF(C89,-1,1))-1,9)</f>
        <v>#N/A</v>
      </c>
      <c r="E87" s="296" t="e">
        <f aca="false">MOD(VLOOKUP(D88,PlanetData,3,0)+MATCH(D86,INDEX(VimFrac,0,9*D89+VLOOKUP(D88,PlanetData,3,0)+1),IF(D89,-1,1))-1,9)</f>
        <v>#N/A</v>
      </c>
      <c r="F87" s="296" t="e">
        <f aca="false">MOD(VLOOKUP(E88,PlanetData,3,0)+MATCH(E86,INDEX(VimFrac,0,9*E89+VLOOKUP(E88,PlanetData,3,0)+1),IF(E89,-1,1))-1,9)</f>
        <v>#N/A</v>
      </c>
      <c r="G87" s="296" t="e">
        <f aca="false">MOD(VLOOKUP(F88,PlanetData,3,0)+MATCH(F86,INDEX(VimFrac,0,9*F89+VLOOKUP(F88,PlanetData,3,0)+1),IF(F89,-1,1))-1,9)</f>
        <v>#N/A</v>
      </c>
      <c r="H87" s="296" t="e">
        <f aca="false">MOD(VLOOKUP(G88,PlanetData,3,0)+MATCH(G86,INDEX(VimFrac,0,9*G89+VLOOKUP(G88,PlanetData,3,0)+1),IF(G89,-1,1))-1,9)</f>
        <v>#N/A</v>
      </c>
      <c r="K87" s="6" t="n">
        <f aca="false">K79</f>
        <v>0</v>
      </c>
    </row>
    <row r="88" customFormat="false" ht="15" hidden="false" customHeight="false" outlineLevel="0" collapsed="false">
      <c r="A88" s="294" t="s">
        <v>459</v>
      </c>
      <c r="B88" s="295" t="str">
        <f aca="false">$B$4</f>
        <v>Moon</v>
      </c>
      <c r="C88" s="296" t="e">
        <f aca="false">INDEX(DasaYears,IF(C87=0,9,C87),1)</f>
        <v>#N/A</v>
      </c>
      <c r="D88" s="296" t="e">
        <f aca="false">INDEX(DasaYears,IF(D87=0,9,D87),1)</f>
        <v>#N/A</v>
      </c>
      <c r="E88" s="296" t="e">
        <f aca="false">INDEX(DasaYears,IF(E87=0,9,E87),1)</f>
        <v>#N/A</v>
      </c>
      <c r="F88" s="296" t="e">
        <f aca="false">INDEX(DasaYears,IF(F87=0,9,F87),1)</f>
        <v>#N/A</v>
      </c>
      <c r="G88" s="296" t="e">
        <f aca="false">INDEX(DasaYears,IF(G87=0,9,G87),1)</f>
        <v>#N/A</v>
      </c>
      <c r="H88" s="296" t="e">
        <f aca="false">INDEX(DasaYears,IF(H87=0,9,H87),1)</f>
        <v>#N/A</v>
      </c>
      <c r="I88" s="275" t="n">
        <f aca="true">INDIRECT("'JHora'!$B$"&amp;($K88))</f>
        <v>0</v>
      </c>
      <c r="J88" s="275" t="n">
        <f aca="true">INDIRECT("'JHora'!$C$"&amp;($K88))</f>
        <v>0</v>
      </c>
      <c r="K88" s="6" t="n">
        <f aca="false">K80+1</f>
        <v>10</v>
      </c>
      <c r="N88" s="275" t="n">
        <f aca="false">JHora!B89</f>
        <v>0</v>
      </c>
      <c r="O88" s="225" t="n">
        <f aca="false">JHora!C89</f>
        <v>0</v>
      </c>
    </row>
    <row r="89" customFormat="false" ht="15" hidden="false" customHeight="false" outlineLevel="0" collapsed="false">
      <c r="A89" s="294" t="s">
        <v>444</v>
      </c>
      <c r="B89" s="295" t="b">
        <f aca="false">$B$7</f>
        <v>1</v>
      </c>
      <c r="C89" s="296" t="e">
        <f aca="false">IF(VLOOKUP(C88,ChartInfo,11,0),1,0)*B89</f>
        <v>#N/A</v>
      </c>
      <c r="D89" s="296" t="e">
        <f aca="false">IF(VLOOKUP(D88,ChartInfo,11,0),1,0)*B89</f>
        <v>#N/A</v>
      </c>
      <c r="E89" s="296" t="e">
        <f aca="false">IF(VLOOKUP(E88,ChartInfo,11,0),1,0)*B89</f>
        <v>#N/A</v>
      </c>
      <c r="F89" s="296" t="e">
        <f aca="false">IF(VLOOKUP(F88,ChartInfo,11,0),1,0)*B89</f>
        <v>#N/A</v>
      </c>
      <c r="G89" s="296" t="e">
        <f aca="false">IF(VLOOKUP(G88,ChartInfo,11,0),1,0)*B89</f>
        <v>#N/A</v>
      </c>
      <c r="H89" s="296" t="e">
        <f aca="false">IF(VLOOKUP(H88,ChartInfo,11,0),1,0)*B89</f>
        <v>#N/A</v>
      </c>
      <c r="K89" s="6" t="n">
        <f aca="false">K81</f>
        <v>0</v>
      </c>
    </row>
    <row r="90" customFormat="false" ht="15" hidden="false" customHeight="false" outlineLevel="0" collapsed="false">
      <c r="K90" s="6" t="n">
        <f aca="false">K82+1</f>
        <v>10</v>
      </c>
      <c r="N90" s="275" t="n">
        <f aca="false">JHora!B91</f>
        <v>0</v>
      </c>
      <c r="O90" s="225" t="n">
        <f aca="false">JHora!C91</f>
        <v>0</v>
      </c>
    </row>
    <row r="91" customFormat="false" ht="15" hidden="false" customHeight="false" outlineLevel="0" collapsed="false">
      <c r="A91" s="291" t="s">
        <v>454</v>
      </c>
      <c r="B91" s="292" t="n">
        <f aca="false">DoB-$E$6*DaysInYear</f>
        <v>22567.7812953187</v>
      </c>
      <c r="C91" s="293" t="e">
        <f aca="false">B91+B93*INDEX(INDEX(VimFrac,,VLOOKUP(B96,PlanetData,3,0)+1),MATCH(B94,INDEX(VimFrac,,VLOOKUP(B96,PlanetData,3,0)+1),1))</f>
        <v>#N/A</v>
      </c>
      <c r="D91" s="293" t="e">
        <f aca="false">C91+C93*INDEX(INDEX(VimFrac,0,9*C97+VLOOKUP(C96,PlanetData,3,0)+1),IF(C97,1,0)+MATCH(C94,INDEX(VimFrac,0,9*C97+VLOOKUP(C96,PlanetData,3,0)+1),IF(C97,-1,1)))</f>
        <v>#N/A</v>
      </c>
      <c r="E91" s="293" t="e">
        <f aca="false">D91+D93*INDEX(INDEX(VimFrac,0,9*D97+VLOOKUP(D96,PlanetData,3,0)+1),IF(D97,1,0)+MATCH(D94,INDEX(VimFrac,0,9*D97+VLOOKUP(D96,PlanetData,3,0)+1),IF(D97,-1,1)))</f>
        <v>#N/A</v>
      </c>
      <c r="F91" s="293" t="e">
        <f aca="false">E91+E93*INDEX(INDEX(VimFrac,0,9*E97+VLOOKUP(E96,PlanetData,3,0)+1),IF(E97,1,0)+MATCH(E94,INDEX(VimFrac,0,9*E97+VLOOKUP(E96,PlanetData,3,0)+1),IF(E97,-1,1)))</f>
        <v>#N/A</v>
      </c>
      <c r="G91" s="293" t="e">
        <f aca="false">F91+F93*INDEX(INDEX(VimFrac,0,9*F97+VLOOKUP(F96,PlanetData,3,0)+1),IF(F97,1,0)+MATCH(F94,INDEX(VimFrac,0,9*F97+VLOOKUP(F96,PlanetData,3,0)+1),IF(F97,-1,1)))</f>
        <v>#N/A</v>
      </c>
      <c r="H91" s="293" t="e">
        <f aca="false">G91+G93*INDEX(INDEX(VimFrac,0,9*G97+VLOOKUP(G96,PlanetData,3,0)+1),IF(G97,1,0)+MATCH(G94,INDEX(VimFrac,0,9*G97+VLOOKUP(G96,PlanetData,3,0)+1),IF(G97,-1,1)))</f>
        <v>#N/A</v>
      </c>
      <c r="J91" s="273" t="n">
        <f aca="false">J96</f>
        <v>0</v>
      </c>
      <c r="K91" s="6" t="n">
        <f aca="false">K83+1</f>
        <v>11</v>
      </c>
      <c r="N91" s="275" t="n">
        <f aca="false">JHora!B92</f>
        <v>0</v>
      </c>
      <c r="O91" s="225" t="n">
        <f aca="false">JHora!C92</f>
        <v>0</v>
      </c>
    </row>
    <row r="92" customFormat="false" ht="15" hidden="false" customHeight="false" outlineLevel="0" collapsed="false">
      <c r="A92" s="291" t="s">
        <v>455</v>
      </c>
      <c r="B92" s="292" t="n">
        <f aca="false">B91+B93</f>
        <v>66398.3660175406</v>
      </c>
      <c r="C92" s="293" t="e">
        <f aca="false">B91+B93*INDEX(INDEX(VimFrac,,VLOOKUP(B96,PlanetData,3,0)+1),MATCH(B94,INDEX(VimFrac,,VLOOKUP(B96,PlanetData,3,0)+1),1)+1)</f>
        <v>#N/A</v>
      </c>
      <c r="D92" s="293" t="e">
        <f aca="false">C91+C93*INDEX(INDEX(VimFrac,0,9*C97+VLOOKUP(C96,PlanetData,3,0)+1),IF(C97,0,1)+MATCH(C94,INDEX(VimFrac,0,9*C97+VLOOKUP(C96,PlanetData,3,0)+1),IF(C97,-1,1)))</f>
        <v>#N/A</v>
      </c>
      <c r="E92" s="293" t="e">
        <f aca="false">D91+D93*INDEX(INDEX(VimFrac,0,9*D97+VLOOKUP(D96,PlanetData,3,0)+1),IF(D97,0,1)+MATCH(D94,INDEX(VimFrac,0,9*D97+VLOOKUP(D96,PlanetData,3,0)+1),IF(D97,-1,1)))</f>
        <v>#N/A</v>
      </c>
      <c r="F92" s="293" t="e">
        <f aca="false">E91+E93*INDEX(INDEX(VimFrac,0,9*E97+VLOOKUP(E96,PlanetData,3,0)+1),IF(E97,0,1)+MATCH(E94,INDEX(VimFrac,0,9*E97+VLOOKUP(E96,PlanetData,3,0)+1),IF(E97,-1,1)))</f>
        <v>#N/A</v>
      </c>
      <c r="G92" s="293" t="e">
        <f aca="false">F91+F93*INDEX(INDEX(VimFrac,0,9*F97+VLOOKUP(F96,PlanetData,3,0)+1),IF(F97,0,1)+MATCH(F94,INDEX(VimFrac,0,9*F97+VLOOKUP(F96,PlanetData,3,0)+1),IF(F97,-1,1)))</f>
        <v>#N/A</v>
      </c>
      <c r="H92" s="293" t="e">
        <f aca="false">G91+G93*INDEX(INDEX(VimFrac,0,9*G97+VLOOKUP(G96,PlanetData,3,0)+1),IF(G97,0,1)+MATCH(G94,INDEX(VimFrac,0,9*G97+VLOOKUP(G96,PlanetData,3,0)+1),IF(G97,-1,1)))</f>
        <v>#N/A</v>
      </c>
      <c r="J92" s="273" t="n">
        <f aca="false">J96</f>
        <v>0</v>
      </c>
      <c r="K92" s="6" t="n">
        <f aca="false">K84+1</f>
        <v>11</v>
      </c>
      <c r="N92" s="275" t="n">
        <f aca="false">JHora!B93</f>
        <v>0</v>
      </c>
      <c r="O92" s="225" t="n">
        <f aca="false">JHora!C93</f>
        <v>0</v>
      </c>
    </row>
    <row r="93" customFormat="false" ht="15" hidden="false" customHeight="false" outlineLevel="0" collapsed="false">
      <c r="A93" s="294" t="s">
        <v>456</v>
      </c>
      <c r="B93" s="295" t="n">
        <f aca="false">120*DaysInYear</f>
        <v>43830.5847222218</v>
      </c>
      <c r="C93" s="296" t="e">
        <f aca="false">C92-C91</f>
        <v>#N/A</v>
      </c>
      <c r="D93" s="296" t="e">
        <f aca="false">D92-D91</f>
        <v>#N/A</v>
      </c>
      <c r="E93" s="296" t="e">
        <f aca="false">E92-E91</f>
        <v>#N/A</v>
      </c>
      <c r="F93" s="296" t="e">
        <f aca="false">F92-F91</f>
        <v>#N/A</v>
      </c>
      <c r="G93" s="296" t="e">
        <f aca="false">G92-G91</f>
        <v>#N/A</v>
      </c>
      <c r="H93" s="296" t="e">
        <f aca="false">H92-H91</f>
        <v>#N/A</v>
      </c>
      <c r="K93" s="6" t="n">
        <f aca="false">K85</f>
        <v>0</v>
      </c>
    </row>
    <row r="94" customFormat="false" ht="15" hidden="false" customHeight="false" outlineLevel="0" collapsed="false">
      <c r="A94" s="294" t="s">
        <v>457</v>
      </c>
      <c r="B94" s="297" t="n">
        <f aca="false">(I96-B91)/(B92-B91)</f>
        <v>-0.51488661258669</v>
      </c>
      <c r="C94" s="298" t="e">
        <f aca="false">(I96-C91)/(C92-C91)</f>
        <v>#N/A</v>
      </c>
      <c r="D94" s="298" t="e">
        <f aca="false">(I96-D91)/(D92-D91)</f>
        <v>#N/A</v>
      </c>
      <c r="E94" s="298" t="e">
        <f aca="false">(I96-E91)/(E92-E91)</f>
        <v>#N/A</v>
      </c>
      <c r="F94" s="298" t="e">
        <f aca="false">(I96-F91)/(F92-F91)</f>
        <v>#N/A</v>
      </c>
      <c r="G94" s="298" t="e">
        <f aca="false">(I96-G91)/(G92-G91)</f>
        <v>#N/A</v>
      </c>
      <c r="H94" s="298" t="e">
        <f aca="false">(I96-H91)/(H92-H91)</f>
        <v>#N/A</v>
      </c>
      <c r="K94" s="6" t="n">
        <f aca="false">K86</f>
        <v>0</v>
      </c>
    </row>
    <row r="95" customFormat="false" ht="15" hidden="false" customHeight="false" outlineLevel="0" collapsed="false">
      <c r="A95" s="294" t="s">
        <v>458</v>
      </c>
      <c r="B95" s="295"/>
      <c r="C95" s="296" t="e">
        <f aca="false">MOD(VLOOKUP(B96,PlanetData,3,0)+MATCH(B94,INDEX(VimFrac,,VLOOKUP(B96,PlanetData,3,0)+1),1)-1,9)</f>
        <v>#N/A</v>
      </c>
      <c r="D95" s="296" t="e">
        <f aca="false">MOD(VLOOKUP(C96,PlanetData,3,0)+MATCH(C94,INDEX(VimFrac,0,9*C97+VLOOKUP(C96,PlanetData,3,0)+1),IF(C97,-1,1))-1,9)</f>
        <v>#N/A</v>
      </c>
      <c r="E95" s="296" t="e">
        <f aca="false">MOD(VLOOKUP(D96,PlanetData,3,0)+MATCH(D94,INDEX(VimFrac,0,9*D97+VLOOKUP(D96,PlanetData,3,0)+1),IF(D97,-1,1))-1,9)</f>
        <v>#N/A</v>
      </c>
      <c r="F95" s="296" t="e">
        <f aca="false">MOD(VLOOKUP(E96,PlanetData,3,0)+MATCH(E94,INDEX(VimFrac,0,9*E97+VLOOKUP(E96,PlanetData,3,0)+1),IF(E97,-1,1))-1,9)</f>
        <v>#N/A</v>
      </c>
      <c r="G95" s="296" t="e">
        <f aca="false">MOD(VLOOKUP(F96,PlanetData,3,0)+MATCH(F94,INDEX(VimFrac,0,9*F97+VLOOKUP(F96,PlanetData,3,0)+1),IF(F97,-1,1))-1,9)</f>
        <v>#N/A</v>
      </c>
      <c r="H95" s="296" t="e">
        <f aca="false">MOD(VLOOKUP(G96,PlanetData,3,0)+MATCH(G94,INDEX(VimFrac,0,9*G97+VLOOKUP(G96,PlanetData,3,0)+1),IF(G97,-1,1))-1,9)</f>
        <v>#N/A</v>
      </c>
      <c r="K95" s="6" t="n">
        <f aca="false">K87</f>
        <v>0</v>
      </c>
    </row>
    <row r="96" customFormat="false" ht="15" hidden="false" customHeight="false" outlineLevel="0" collapsed="false">
      <c r="A96" s="294" t="s">
        <v>459</v>
      </c>
      <c r="B96" s="295" t="str">
        <f aca="false">$B$4</f>
        <v>Moon</v>
      </c>
      <c r="C96" s="296" t="e">
        <f aca="false">INDEX(DasaYears,IF(C95=0,9,C95),1)</f>
        <v>#N/A</v>
      </c>
      <c r="D96" s="296" t="e">
        <f aca="false">INDEX(DasaYears,IF(D95=0,9,D95),1)</f>
        <v>#N/A</v>
      </c>
      <c r="E96" s="296" t="e">
        <f aca="false">INDEX(DasaYears,IF(E95=0,9,E95),1)</f>
        <v>#N/A</v>
      </c>
      <c r="F96" s="296" t="e">
        <f aca="false">INDEX(DasaYears,IF(F95=0,9,F95),1)</f>
        <v>#N/A</v>
      </c>
      <c r="G96" s="296" t="e">
        <f aca="false">INDEX(DasaYears,IF(G95=0,9,G95),1)</f>
        <v>#N/A</v>
      </c>
      <c r="H96" s="296" t="e">
        <f aca="false">INDEX(DasaYears,IF(H95=0,9,H95),1)</f>
        <v>#N/A</v>
      </c>
      <c r="I96" s="275" t="n">
        <f aca="true">INDIRECT("'JHora'!$B$"&amp;($K96))</f>
        <v>0</v>
      </c>
      <c r="J96" s="275" t="n">
        <f aca="true">INDIRECT("'JHora'!$C$"&amp;($K96))</f>
        <v>0</v>
      </c>
      <c r="K96" s="6" t="n">
        <f aca="false">K88+1</f>
        <v>11</v>
      </c>
      <c r="N96" s="275" t="n">
        <f aca="false">JHora!B97</f>
        <v>0</v>
      </c>
      <c r="O96" s="225" t="n">
        <f aca="false">JHora!C97</f>
        <v>0</v>
      </c>
    </row>
    <row r="97" customFormat="false" ht="15" hidden="false" customHeight="false" outlineLevel="0" collapsed="false">
      <c r="A97" s="294" t="s">
        <v>444</v>
      </c>
      <c r="B97" s="295" t="b">
        <f aca="false">$B$7</f>
        <v>1</v>
      </c>
      <c r="C97" s="296" t="e">
        <f aca="false">IF(VLOOKUP(C96,ChartInfo,11,0),1,0)*B97</f>
        <v>#N/A</v>
      </c>
      <c r="D97" s="296" t="e">
        <f aca="false">IF(VLOOKUP(D96,ChartInfo,11,0),1,0)*B97</f>
        <v>#N/A</v>
      </c>
      <c r="E97" s="296" t="e">
        <f aca="false">IF(VLOOKUP(E96,ChartInfo,11,0),1,0)*B97</f>
        <v>#N/A</v>
      </c>
      <c r="F97" s="296" t="e">
        <f aca="false">IF(VLOOKUP(F96,ChartInfo,11,0),1,0)*B97</f>
        <v>#N/A</v>
      </c>
      <c r="G97" s="296" t="e">
        <f aca="false">IF(VLOOKUP(G96,ChartInfo,11,0),1,0)*B97</f>
        <v>#N/A</v>
      </c>
      <c r="H97" s="296" t="e">
        <f aca="false">IF(VLOOKUP(H96,ChartInfo,11,0),1,0)*B97</f>
        <v>#N/A</v>
      </c>
      <c r="K97" s="6" t="n">
        <f aca="false">K89</f>
        <v>0</v>
      </c>
    </row>
    <row r="98" customFormat="false" ht="15" hidden="false" customHeight="false" outlineLevel="0" collapsed="false">
      <c r="K98" s="6" t="n">
        <f aca="false">K90+1</f>
        <v>11</v>
      </c>
      <c r="N98" s="275" t="n">
        <f aca="false">JHora!B99</f>
        <v>0</v>
      </c>
      <c r="O98" s="225" t="n">
        <f aca="false">JHora!C99</f>
        <v>0</v>
      </c>
    </row>
    <row r="99" customFormat="false" ht="15" hidden="false" customHeight="false" outlineLevel="0" collapsed="false">
      <c r="A99" s="291" t="s">
        <v>454</v>
      </c>
      <c r="B99" s="292" t="n">
        <f aca="false">DoB-$E$6*DaysInYear</f>
        <v>22567.7812953187</v>
      </c>
      <c r="C99" s="293" t="e">
        <f aca="false">B99+B101*INDEX(INDEX(VimFrac,,VLOOKUP(B104,PlanetData,3,0)+1),MATCH(B102,INDEX(VimFrac,,VLOOKUP(B104,PlanetData,3,0)+1),1))</f>
        <v>#N/A</v>
      </c>
      <c r="D99" s="293" t="e">
        <f aca="false">C99+C101*INDEX(INDEX(VimFrac,0,9*C105+VLOOKUP(C104,PlanetData,3,0)+1),IF(C105,1,0)+MATCH(C102,INDEX(VimFrac,0,9*C105+VLOOKUP(C104,PlanetData,3,0)+1),IF(C105,-1,1)))</f>
        <v>#N/A</v>
      </c>
      <c r="E99" s="293" t="e">
        <f aca="false">D99+D101*INDEX(INDEX(VimFrac,0,9*D105+VLOOKUP(D104,PlanetData,3,0)+1),IF(D105,1,0)+MATCH(D102,INDEX(VimFrac,0,9*D105+VLOOKUP(D104,PlanetData,3,0)+1),IF(D105,-1,1)))</f>
        <v>#N/A</v>
      </c>
      <c r="F99" s="293" t="e">
        <f aca="false">E99+E101*INDEX(INDEX(VimFrac,0,9*E105+VLOOKUP(E104,PlanetData,3,0)+1),IF(E105,1,0)+MATCH(E102,INDEX(VimFrac,0,9*E105+VLOOKUP(E104,PlanetData,3,0)+1),IF(E105,-1,1)))</f>
        <v>#N/A</v>
      </c>
      <c r="G99" s="293" t="e">
        <f aca="false">F99+F101*INDEX(INDEX(VimFrac,0,9*F105+VLOOKUP(F104,PlanetData,3,0)+1),IF(F105,1,0)+MATCH(F102,INDEX(VimFrac,0,9*F105+VLOOKUP(F104,PlanetData,3,0)+1),IF(F105,-1,1)))</f>
        <v>#N/A</v>
      </c>
      <c r="H99" s="293" t="e">
        <f aca="false">G99+G101*INDEX(INDEX(VimFrac,0,9*G105+VLOOKUP(G104,PlanetData,3,0)+1),IF(G105,1,0)+MATCH(G102,INDEX(VimFrac,0,9*G105+VLOOKUP(G104,PlanetData,3,0)+1),IF(G105,-1,1)))</f>
        <v>#N/A</v>
      </c>
      <c r="J99" s="273" t="n">
        <f aca="false">J104</f>
        <v>0</v>
      </c>
      <c r="K99" s="6" t="n">
        <f aca="false">K91+1</f>
        <v>12</v>
      </c>
      <c r="N99" s="275" t="n">
        <f aca="false">JHora!B100</f>
        <v>0</v>
      </c>
      <c r="O99" s="225" t="n">
        <f aca="false">JHora!C100</f>
        <v>0</v>
      </c>
    </row>
    <row r="100" customFormat="false" ht="15" hidden="false" customHeight="false" outlineLevel="0" collapsed="false">
      <c r="A100" s="291" t="s">
        <v>455</v>
      </c>
      <c r="B100" s="292" t="n">
        <f aca="false">B99+B101</f>
        <v>66398.3660175406</v>
      </c>
      <c r="C100" s="293" t="e">
        <f aca="false">B99+B101*INDEX(INDEX(VimFrac,,VLOOKUP(B104,PlanetData,3,0)+1),MATCH(B102,INDEX(VimFrac,,VLOOKUP(B104,PlanetData,3,0)+1),1)+1)</f>
        <v>#N/A</v>
      </c>
      <c r="D100" s="293" t="e">
        <f aca="false">C99+C101*INDEX(INDEX(VimFrac,0,9*C105+VLOOKUP(C104,PlanetData,3,0)+1),IF(C105,0,1)+MATCH(C102,INDEX(VimFrac,0,9*C105+VLOOKUP(C104,PlanetData,3,0)+1),IF(C105,-1,1)))</f>
        <v>#N/A</v>
      </c>
      <c r="E100" s="293" t="e">
        <f aca="false">D99+D101*INDEX(INDEX(VimFrac,0,9*D105+VLOOKUP(D104,PlanetData,3,0)+1),IF(D105,0,1)+MATCH(D102,INDEX(VimFrac,0,9*D105+VLOOKUP(D104,PlanetData,3,0)+1),IF(D105,-1,1)))</f>
        <v>#N/A</v>
      </c>
      <c r="F100" s="293" t="e">
        <f aca="false">E99+E101*INDEX(INDEX(VimFrac,0,9*E105+VLOOKUP(E104,PlanetData,3,0)+1),IF(E105,0,1)+MATCH(E102,INDEX(VimFrac,0,9*E105+VLOOKUP(E104,PlanetData,3,0)+1),IF(E105,-1,1)))</f>
        <v>#N/A</v>
      </c>
      <c r="G100" s="293" t="e">
        <f aca="false">F99+F101*INDEX(INDEX(VimFrac,0,9*F105+VLOOKUP(F104,PlanetData,3,0)+1),IF(F105,0,1)+MATCH(F102,INDEX(VimFrac,0,9*F105+VLOOKUP(F104,PlanetData,3,0)+1),IF(F105,-1,1)))</f>
        <v>#N/A</v>
      </c>
      <c r="H100" s="293" t="e">
        <f aca="false">G99+G101*INDEX(INDEX(VimFrac,0,9*G105+VLOOKUP(G104,PlanetData,3,0)+1),IF(G105,0,1)+MATCH(G102,INDEX(VimFrac,0,9*G105+VLOOKUP(G104,PlanetData,3,0)+1),IF(G105,-1,1)))</f>
        <v>#N/A</v>
      </c>
      <c r="J100" s="273" t="n">
        <f aca="false">J104</f>
        <v>0</v>
      </c>
      <c r="K100" s="6" t="n">
        <f aca="false">K92+1</f>
        <v>12</v>
      </c>
      <c r="N100" s="275" t="n">
        <f aca="false">JHora!B101</f>
        <v>0</v>
      </c>
      <c r="O100" s="225" t="n">
        <f aca="false">JHora!C101</f>
        <v>0</v>
      </c>
    </row>
    <row r="101" customFormat="false" ht="15" hidden="false" customHeight="false" outlineLevel="0" collapsed="false">
      <c r="A101" s="294" t="s">
        <v>456</v>
      </c>
      <c r="B101" s="295" t="n">
        <f aca="false">120*DaysInYear</f>
        <v>43830.5847222218</v>
      </c>
      <c r="C101" s="296" t="e">
        <f aca="false">C100-C99</f>
        <v>#N/A</v>
      </c>
      <c r="D101" s="296" t="e">
        <f aca="false">D100-D99</f>
        <v>#N/A</v>
      </c>
      <c r="E101" s="296" t="e">
        <f aca="false">E100-E99</f>
        <v>#N/A</v>
      </c>
      <c r="F101" s="296" t="e">
        <f aca="false">F100-F99</f>
        <v>#N/A</v>
      </c>
      <c r="G101" s="296" t="e">
        <f aca="false">G100-G99</f>
        <v>#N/A</v>
      </c>
      <c r="H101" s="296" t="e">
        <f aca="false">H100-H99</f>
        <v>#N/A</v>
      </c>
      <c r="K101" s="6" t="n">
        <f aca="false">K93</f>
        <v>0</v>
      </c>
    </row>
    <row r="102" customFormat="false" ht="15" hidden="false" customHeight="false" outlineLevel="0" collapsed="false">
      <c r="A102" s="294" t="s">
        <v>457</v>
      </c>
      <c r="B102" s="297" t="n">
        <f aca="false">(I104-B99)/(B100-B99)</f>
        <v>-0.51488661258669</v>
      </c>
      <c r="C102" s="298" t="e">
        <f aca="false">(I104-C99)/(C100-C99)</f>
        <v>#N/A</v>
      </c>
      <c r="D102" s="298" t="e">
        <f aca="false">(I104-D99)/(D100-D99)</f>
        <v>#N/A</v>
      </c>
      <c r="E102" s="298" t="e">
        <f aca="false">(I104-E99)/(E100-E99)</f>
        <v>#N/A</v>
      </c>
      <c r="F102" s="298" t="e">
        <f aca="false">(I104-F99)/(F100-F99)</f>
        <v>#N/A</v>
      </c>
      <c r="G102" s="298" t="e">
        <f aca="false">(I104-G99)/(G100-G99)</f>
        <v>#N/A</v>
      </c>
      <c r="H102" s="298" t="e">
        <f aca="false">(I104-H99)/(H100-H99)</f>
        <v>#N/A</v>
      </c>
      <c r="K102" s="6" t="n">
        <f aca="false">K94</f>
        <v>0</v>
      </c>
    </row>
    <row r="103" customFormat="false" ht="15" hidden="false" customHeight="false" outlineLevel="0" collapsed="false">
      <c r="A103" s="294" t="s">
        <v>458</v>
      </c>
      <c r="B103" s="295"/>
      <c r="C103" s="296" t="e">
        <f aca="false">MOD(VLOOKUP(B104,PlanetData,3,0)+MATCH(B102,INDEX(VimFrac,,VLOOKUP(B104,PlanetData,3,0)+1),1)-1,9)</f>
        <v>#N/A</v>
      </c>
      <c r="D103" s="296" t="e">
        <f aca="false">MOD(VLOOKUP(C104,PlanetData,3,0)+MATCH(C102,INDEX(VimFrac,0,9*C105+VLOOKUP(C104,PlanetData,3,0)+1),IF(C105,-1,1))-1,9)</f>
        <v>#N/A</v>
      </c>
      <c r="E103" s="296" t="e">
        <f aca="false">MOD(VLOOKUP(D104,PlanetData,3,0)+MATCH(D102,INDEX(VimFrac,0,9*D105+VLOOKUP(D104,PlanetData,3,0)+1),IF(D105,-1,1))-1,9)</f>
        <v>#N/A</v>
      </c>
      <c r="F103" s="296" t="e">
        <f aca="false">MOD(VLOOKUP(E104,PlanetData,3,0)+MATCH(E102,INDEX(VimFrac,0,9*E105+VLOOKUP(E104,PlanetData,3,0)+1),IF(E105,-1,1))-1,9)</f>
        <v>#N/A</v>
      </c>
      <c r="G103" s="296" t="e">
        <f aca="false">MOD(VLOOKUP(F104,PlanetData,3,0)+MATCH(F102,INDEX(VimFrac,0,9*F105+VLOOKUP(F104,PlanetData,3,0)+1),IF(F105,-1,1))-1,9)</f>
        <v>#N/A</v>
      </c>
      <c r="H103" s="296" t="e">
        <f aca="false">MOD(VLOOKUP(G104,PlanetData,3,0)+MATCH(G102,INDEX(VimFrac,0,9*G105+VLOOKUP(G104,PlanetData,3,0)+1),IF(G105,-1,1))-1,9)</f>
        <v>#N/A</v>
      </c>
      <c r="K103" s="6" t="n">
        <f aca="false">K95</f>
        <v>0</v>
      </c>
    </row>
    <row r="104" customFormat="false" ht="15" hidden="false" customHeight="false" outlineLevel="0" collapsed="false">
      <c r="A104" s="294" t="s">
        <v>459</v>
      </c>
      <c r="B104" s="295" t="str">
        <f aca="false">$B$4</f>
        <v>Moon</v>
      </c>
      <c r="C104" s="296" t="e">
        <f aca="false">INDEX(DasaYears,IF(C103=0,9,C103),1)</f>
        <v>#N/A</v>
      </c>
      <c r="D104" s="296" t="e">
        <f aca="false">INDEX(DasaYears,IF(D103=0,9,D103),1)</f>
        <v>#N/A</v>
      </c>
      <c r="E104" s="296" t="e">
        <f aca="false">INDEX(DasaYears,IF(E103=0,9,E103),1)</f>
        <v>#N/A</v>
      </c>
      <c r="F104" s="296" t="e">
        <f aca="false">INDEX(DasaYears,IF(F103=0,9,F103),1)</f>
        <v>#N/A</v>
      </c>
      <c r="G104" s="296" t="e">
        <f aca="false">INDEX(DasaYears,IF(G103=0,9,G103),1)</f>
        <v>#N/A</v>
      </c>
      <c r="H104" s="296" t="e">
        <f aca="false">INDEX(DasaYears,IF(H103=0,9,H103),1)</f>
        <v>#N/A</v>
      </c>
      <c r="I104" s="275" t="n">
        <f aca="true">INDIRECT("'JHora'!$B$"&amp;($K104))</f>
        <v>0</v>
      </c>
      <c r="J104" s="275" t="n">
        <f aca="true">INDIRECT("'JHora'!$C$"&amp;($K104))</f>
        <v>0</v>
      </c>
      <c r="K104" s="6" t="n">
        <f aca="false">K96+1</f>
        <v>12</v>
      </c>
      <c r="N104" s="275" t="n">
        <f aca="false">JHora!B105</f>
        <v>0</v>
      </c>
      <c r="O104" s="225" t="n">
        <f aca="false">JHora!C105</f>
        <v>0</v>
      </c>
    </row>
    <row r="105" customFormat="false" ht="15" hidden="false" customHeight="false" outlineLevel="0" collapsed="false">
      <c r="A105" s="294" t="s">
        <v>444</v>
      </c>
      <c r="B105" s="295" t="b">
        <f aca="false">$B$7</f>
        <v>1</v>
      </c>
      <c r="C105" s="296" t="e">
        <f aca="false">IF(VLOOKUP(C104,ChartInfo,11,0),1,0)*B105</f>
        <v>#N/A</v>
      </c>
      <c r="D105" s="296" t="e">
        <f aca="false">IF(VLOOKUP(D104,ChartInfo,11,0),1,0)*B105</f>
        <v>#N/A</v>
      </c>
      <c r="E105" s="296" t="e">
        <f aca="false">IF(VLOOKUP(E104,ChartInfo,11,0),1,0)*B105</f>
        <v>#N/A</v>
      </c>
      <c r="F105" s="296" t="e">
        <f aca="false">IF(VLOOKUP(F104,ChartInfo,11,0),1,0)*B105</f>
        <v>#N/A</v>
      </c>
      <c r="G105" s="296" t="e">
        <f aca="false">IF(VLOOKUP(G104,ChartInfo,11,0),1,0)*B105</f>
        <v>#N/A</v>
      </c>
      <c r="H105" s="296" t="e">
        <f aca="false">IF(VLOOKUP(H104,ChartInfo,11,0),1,0)*B105</f>
        <v>#N/A</v>
      </c>
      <c r="K105" s="6" t="n">
        <f aca="false">K97</f>
        <v>0</v>
      </c>
    </row>
    <row r="106" customFormat="false" ht="15" hidden="false" customHeight="false" outlineLevel="0" collapsed="false">
      <c r="K106" s="6" t="n">
        <f aca="false">K98+1</f>
        <v>12</v>
      </c>
      <c r="N106" s="275" t="n">
        <f aca="false">JHora!B107</f>
        <v>0</v>
      </c>
      <c r="O106" s="225" t="n">
        <f aca="false">JHora!C107</f>
        <v>0</v>
      </c>
    </row>
    <row r="107" customFormat="false" ht="15" hidden="false" customHeight="false" outlineLevel="0" collapsed="false">
      <c r="A107" s="291" t="s">
        <v>454</v>
      </c>
      <c r="B107" s="292" t="n">
        <f aca="false">DoB-$E$6*DaysInYear</f>
        <v>22567.7812953187</v>
      </c>
      <c r="C107" s="293" t="e">
        <f aca="false">B107+B109*INDEX(INDEX(VimFrac,,VLOOKUP(B112,PlanetData,3,0)+1),MATCH(B110,INDEX(VimFrac,,VLOOKUP(B112,PlanetData,3,0)+1),1))</f>
        <v>#N/A</v>
      </c>
      <c r="D107" s="293" t="e">
        <f aca="false">C107+C109*INDEX(INDEX(VimFrac,0,9*C113+VLOOKUP(C112,PlanetData,3,0)+1),IF(C113,1,0)+MATCH(C110,INDEX(VimFrac,0,9*C113+VLOOKUP(C112,PlanetData,3,0)+1),IF(C113,-1,1)))</f>
        <v>#N/A</v>
      </c>
      <c r="E107" s="293" t="e">
        <f aca="false">D107+D109*INDEX(INDEX(VimFrac,0,9*D113+VLOOKUP(D112,PlanetData,3,0)+1),IF(D113,1,0)+MATCH(D110,INDEX(VimFrac,0,9*D113+VLOOKUP(D112,PlanetData,3,0)+1),IF(D113,-1,1)))</f>
        <v>#N/A</v>
      </c>
      <c r="F107" s="293" t="e">
        <f aca="false">E107+E109*INDEX(INDEX(VimFrac,0,9*E113+VLOOKUP(E112,PlanetData,3,0)+1),IF(E113,1,0)+MATCH(E110,INDEX(VimFrac,0,9*E113+VLOOKUP(E112,PlanetData,3,0)+1),IF(E113,-1,1)))</f>
        <v>#N/A</v>
      </c>
      <c r="G107" s="293" t="e">
        <f aca="false">F107+F109*INDEX(INDEX(VimFrac,0,9*F113+VLOOKUP(F112,PlanetData,3,0)+1),IF(F113,1,0)+MATCH(F110,INDEX(VimFrac,0,9*F113+VLOOKUP(F112,PlanetData,3,0)+1),IF(F113,-1,1)))</f>
        <v>#N/A</v>
      </c>
      <c r="H107" s="293" t="e">
        <f aca="false">G107+G109*INDEX(INDEX(VimFrac,0,9*G113+VLOOKUP(G112,PlanetData,3,0)+1),IF(G113,1,0)+MATCH(G110,INDEX(VimFrac,0,9*G113+VLOOKUP(G112,PlanetData,3,0)+1),IF(G113,-1,1)))</f>
        <v>#N/A</v>
      </c>
      <c r="J107" s="273" t="n">
        <f aca="false">J112</f>
        <v>0</v>
      </c>
      <c r="K107" s="6" t="n">
        <f aca="false">K99+1</f>
        <v>13</v>
      </c>
      <c r="N107" s="275" t="n">
        <f aca="false">JHora!B108</f>
        <v>0</v>
      </c>
      <c r="O107" s="225" t="n">
        <f aca="false">JHora!C108</f>
        <v>0</v>
      </c>
    </row>
    <row r="108" customFormat="false" ht="15" hidden="false" customHeight="false" outlineLevel="0" collapsed="false">
      <c r="A108" s="291" t="s">
        <v>455</v>
      </c>
      <c r="B108" s="292" t="n">
        <f aca="false">B107+B109</f>
        <v>66398.3660175406</v>
      </c>
      <c r="C108" s="293" t="e">
        <f aca="false">B107+B109*INDEX(INDEX(VimFrac,,VLOOKUP(B112,PlanetData,3,0)+1),MATCH(B110,INDEX(VimFrac,,VLOOKUP(B112,PlanetData,3,0)+1),1)+1)</f>
        <v>#N/A</v>
      </c>
      <c r="D108" s="293" t="e">
        <f aca="false">C107+C109*INDEX(INDEX(VimFrac,0,9*C113+VLOOKUP(C112,PlanetData,3,0)+1),IF(C113,0,1)+MATCH(C110,INDEX(VimFrac,0,9*C113+VLOOKUP(C112,PlanetData,3,0)+1),IF(C113,-1,1)))</f>
        <v>#N/A</v>
      </c>
      <c r="E108" s="293" t="e">
        <f aca="false">D107+D109*INDEX(INDEX(VimFrac,0,9*D113+VLOOKUP(D112,PlanetData,3,0)+1),IF(D113,0,1)+MATCH(D110,INDEX(VimFrac,0,9*D113+VLOOKUP(D112,PlanetData,3,0)+1),IF(D113,-1,1)))</f>
        <v>#N/A</v>
      </c>
      <c r="F108" s="293" t="e">
        <f aca="false">E107+E109*INDEX(INDEX(VimFrac,0,9*E113+VLOOKUP(E112,PlanetData,3,0)+1),IF(E113,0,1)+MATCH(E110,INDEX(VimFrac,0,9*E113+VLOOKUP(E112,PlanetData,3,0)+1),IF(E113,-1,1)))</f>
        <v>#N/A</v>
      </c>
      <c r="G108" s="293" t="e">
        <f aca="false">F107+F109*INDEX(INDEX(VimFrac,0,9*F113+VLOOKUP(F112,PlanetData,3,0)+1),IF(F113,0,1)+MATCH(F110,INDEX(VimFrac,0,9*F113+VLOOKUP(F112,PlanetData,3,0)+1),IF(F113,-1,1)))</f>
        <v>#N/A</v>
      </c>
      <c r="H108" s="293" t="e">
        <f aca="false">G107+G109*INDEX(INDEX(VimFrac,0,9*G113+VLOOKUP(G112,PlanetData,3,0)+1),IF(G113,0,1)+MATCH(G110,INDEX(VimFrac,0,9*G113+VLOOKUP(G112,PlanetData,3,0)+1),IF(G113,-1,1)))</f>
        <v>#N/A</v>
      </c>
      <c r="J108" s="273" t="n">
        <f aca="false">J112</f>
        <v>0</v>
      </c>
      <c r="K108" s="6" t="n">
        <f aca="false">K100+1</f>
        <v>13</v>
      </c>
      <c r="N108" s="275" t="n">
        <f aca="false">JHora!B109</f>
        <v>0</v>
      </c>
      <c r="O108" s="225" t="n">
        <f aca="false">JHora!C109</f>
        <v>0</v>
      </c>
    </row>
    <row r="109" customFormat="false" ht="15" hidden="false" customHeight="false" outlineLevel="0" collapsed="false">
      <c r="A109" s="294" t="s">
        <v>456</v>
      </c>
      <c r="B109" s="295" t="n">
        <f aca="false">120*DaysInYear</f>
        <v>43830.5847222218</v>
      </c>
      <c r="C109" s="296" t="e">
        <f aca="false">C108-C107</f>
        <v>#N/A</v>
      </c>
      <c r="D109" s="296" t="e">
        <f aca="false">D108-D107</f>
        <v>#N/A</v>
      </c>
      <c r="E109" s="296" t="e">
        <f aca="false">E108-E107</f>
        <v>#N/A</v>
      </c>
      <c r="F109" s="296" t="e">
        <f aca="false">F108-F107</f>
        <v>#N/A</v>
      </c>
      <c r="G109" s="296" t="e">
        <f aca="false">G108-G107</f>
        <v>#N/A</v>
      </c>
      <c r="H109" s="296" t="e">
        <f aca="false">H108-H107</f>
        <v>#N/A</v>
      </c>
      <c r="K109" s="6" t="n">
        <f aca="false">K101</f>
        <v>0</v>
      </c>
    </row>
    <row r="110" customFormat="false" ht="15" hidden="false" customHeight="false" outlineLevel="0" collapsed="false">
      <c r="A110" s="294" t="s">
        <v>457</v>
      </c>
      <c r="B110" s="297" t="n">
        <f aca="false">(I112-B107)/(B108-B107)</f>
        <v>-0.51488661258669</v>
      </c>
      <c r="C110" s="298" t="e">
        <f aca="false">(I112-C107)/(C108-C107)</f>
        <v>#N/A</v>
      </c>
      <c r="D110" s="298" t="e">
        <f aca="false">(I112-D107)/(D108-D107)</f>
        <v>#N/A</v>
      </c>
      <c r="E110" s="298" t="e">
        <f aca="false">(I112-E107)/(E108-E107)</f>
        <v>#N/A</v>
      </c>
      <c r="F110" s="298" t="e">
        <f aca="false">(I112-F107)/(F108-F107)</f>
        <v>#N/A</v>
      </c>
      <c r="G110" s="298" t="e">
        <f aca="false">(I112-G107)/(G108-G107)</f>
        <v>#N/A</v>
      </c>
      <c r="H110" s="298" t="e">
        <f aca="false">(I112-H107)/(H108-H107)</f>
        <v>#N/A</v>
      </c>
      <c r="K110" s="6" t="n">
        <f aca="false">K102</f>
        <v>0</v>
      </c>
    </row>
    <row r="111" customFormat="false" ht="15" hidden="false" customHeight="false" outlineLevel="0" collapsed="false">
      <c r="A111" s="294" t="s">
        <v>458</v>
      </c>
      <c r="B111" s="295"/>
      <c r="C111" s="296" t="e">
        <f aca="false">MOD(VLOOKUP(B112,PlanetData,3,0)+MATCH(B110,INDEX(VimFrac,,VLOOKUP(B112,PlanetData,3,0)+1),1)-1,9)</f>
        <v>#N/A</v>
      </c>
      <c r="D111" s="296" t="e">
        <f aca="false">MOD(VLOOKUP(C112,PlanetData,3,0)+MATCH(C110,INDEX(VimFrac,0,9*C113+VLOOKUP(C112,PlanetData,3,0)+1),IF(C113,-1,1))-1,9)</f>
        <v>#N/A</v>
      </c>
      <c r="E111" s="296" t="e">
        <f aca="false">MOD(VLOOKUP(D112,PlanetData,3,0)+MATCH(D110,INDEX(VimFrac,0,9*D113+VLOOKUP(D112,PlanetData,3,0)+1),IF(D113,-1,1))-1,9)</f>
        <v>#N/A</v>
      </c>
      <c r="F111" s="296" t="e">
        <f aca="false">MOD(VLOOKUP(E112,PlanetData,3,0)+MATCH(E110,INDEX(VimFrac,0,9*E113+VLOOKUP(E112,PlanetData,3,0)+1),IF(E113,-1,1))-1,9)</f>
        <v>#N/A</v>
      </c>
      <c r="G111" s="296" t="e">
        <f aca="false">MOD(VLOOKUP(F112,PlanetData,3,0)+MATCH(F110,INDEX(VimFrac,0,9*F113+VLOOKUP(F112,PlanetData,3,0)+1),IF(F113,-1,1))-1,9)</f>
        <v>#N/A</v>
      </c>
      <c r="H111" s="296" t="e">
        <f aca="false">MOD(VLOOKUP(G112,PlanetData,3,0)+MATCH(G110,INDEX(VimFrac,0,9*G113+VLOOKUP(G112,PlanetData,3,0)+1),IF(G113,-1,1))-1,9)</f>
        <v>#N/A</v>
      </c>
      <c r="K111" s="6" t="n">
        <f aca="false">K103</f>
        <v>0</v>
      </c>
    </row>
    <row r="112" customFormat="false" ht="15" hidden="false" customHeight="false" outlineLevel="0" collapsed="false">
      <c r="A112" s="294" t="s">
        <v>459</v>
      </c>
      <c r="B112" s="295" t="str">
        <f aca="false">$B$4</f>
        <v>Moon</v>
      </c>
      <c r="C112" s="296" t="e">
        <f aca="false">INDEX(DasaYears,IF(C111=0,9,C111),1)</f>
        <v>#N/A</v>
      </c>
      <c r="D112" s="296" t="e">
        <f aca="false">INDEX(DasaYears,IF(D111=0,9,D111),1)</f>
        <v>#N/A</v>
      </c>
      <c r="E112" s="296" t="e">
        <f aca="false">INDEX(DasaYears,IF(E111=0,9,E111),1)</f>
        <v>#N/A</v>
      </c>
      <c r="F112" s="296" t="e">
        <f aca="false">INDEX(DasaYears,IF(F111=0,9,F111),1)</f>
        <v>#N/A</v>
      </c>
      <c r="G112" s="296" t="e">
        <f aca="false">INDEX(DasaYears,IF(G111=0,9,G111),1)</f>
        <v>#N/A</v>
      </c>
      <c r="H112" s="296" t="e">
        <f aca="false">INDEX(DasaYears,IF(H111=0,9,H111),1)</f>
        <v>#N/A</v>
      </c>
      <c r="I112" s="275" t="n">
        <f aca="true">INDIRECT("'JHora'!$B$"&amp;($K112))</f>
        <v>0</v>
      </c>
      <c r="J112" s="275" t="n">
        <f aca="true">INDIRECT("'JHora'!$C$"&amp;($K112))</f>
        <v>0</v>
      </c>
      <c r="K112" s="6" t="n">
        <f aca="false">K104+1</f>
        <v>13</v>
      </c>
      <c r="N112" s="275" t="n">
        <f aca="false">JHora!B113</f>
        <v>0</v>
      </c>
      <c r="O112" s="6" t="n">
        <f aca="false">JHora!C113</f>
        <v>0</v>
      </c>
    </row>
    <row r="113" customFormat="false" ht="15" hidden="false" customHeight="false" outlineLevel="0" collapsed="false">
      <c r="A113" s="294" t="s">
        <v>444</v>
      </c>
      <c r="B113" s="295" t="b">
        <f aca="false">$B$7</f>
        <v>1</v>
      </c>
      <c r="C113" s="296" t="e">
        <f aca="false">IF(VLOOKUP(C112,ChartInfo,11,0),1,0)*B113</f>
        <v>#N/A</v>
      </c>
      <c r="D113" s="296" t="e">
        <f aca="false">IF(VLOOKUP(D112,ChartInfo,11,0),1,0)*B113</f>
        <v>#N/A</v>
      </c>
      <c r="E113" s="296" t="e">
        <f aca="false">IF(VLOOKUP(E112,ChartInfo,11,0),1,0)*B113</f>
        <v>#N/A</v>
      </c>
      <c r="F113" s="296" t="e">
        <f aca="false">IF(VLOOKUP(F112,ChartInfo,11,0),1,0)*B113</f>
        <v>#N/A</v>
      </c>
      <c r="G113" s="296" t="e">
        <f aca="false">IF(VLOOKUP(G112,ChartInfo,11,0),1,0)*B113</f>
        <v>#N/A</v>
      </c>
      <c r="H113" s="296" t="e">
        <f aca="false">IF(VLOOKUP(H112,ChartInfo,11,0),1,0)*B113</f>
        <v>#N/A</v>
      </c>
      <c r="K113" s="6" t="n">
        <f aca="false">K105</f>
        <v>0</v>
      </c>
    </row>
    <row r="114" customFormat="false" ht="15" hidden="false" customHeight="false" outlineLevel="0" collapsed="false">
      <c r="K114" s="6" t="n">
        <f aca="false">K106+1</f>
        <v>13</v>
      </c>
      <c r="N114" s="275" t="n">
        <f aca="false">JHora!B115</f>
        <v>0</v>
      </c>
      <c r="O114" s="6" t="n">
        <f aca="false">JHora!C115</f>
        <v>0</v>
      </c>
    </row>
    <row r="115" customFormat="false" ht="15" hidden="false" customHeight="false" outlineLevel="0" collapsed="false">
      <c r="A115" s="291" t="s">
        <v>454</v>
      </c>
      <c r="B115" s="292" t="n">
        <f aca="false">DoB-$E$6*DaysInYear</f>
        <v>22567.7812953187</v>
      </c>
      <c r="C115" s="293" t="e">
        <f aca="false">B115+B117*INDEX(INDEX(VimFrac,,VLOOKUP(B120,PlanetData,3,0)+1),MATCH(B118,INDEX(VimFrac,,VLOOKUP(B120,PlanetData,3,0)+1),1))</f>
        <v>#N/A</v>
      </c>
      <c r="D115" s="293" t="e">
        <f aca="false">C115+C117*INDEX(INDEX(VimFrac,0,9*C121+VLOOKUP(C120,PlanetData,3,0)+1),IF(C121,1,0)+MATCH(C118,INDEX(VimFrac,0,9*C121+VLOOKUP(C120,PlanetData,3,0)+1),IF(C121,-1,1)))</f>
        <v>#N/A</v>
      </c>
      <c r="E115" s="293" t="e">
        <f aca="false">D115+D117*INDEX(INDEX(VimFrac,0,9*D121+VLOOKUP(D120,PlanetData,3,0)+1),IF(D121,1,0)+MATCH(D118,INDEX(VimFrac,0,9*D121+VLOOKUP(D120,PlanetData,3,0)+1),IF(D121,-1,1)))</f>
        <v>#N/A</v>
      </c>
      <c r="F115" s="293" t="e">
        <f aca="false">E115+E117*INDEX(INDEX(VimFrac,0,9*E121+VLOOKUP(E120,PlanetData,3,0)+1),IF(E121,1,0)+MATCH(E118,INDEX(VimFrac,0,9*E121+VLOOKUP(E120,PlanetData,3,0)+1),IF(E121,-1,1)))</f>
        <v>#N/A</v>
      </c>
      <c r="G115" s="293" t="e">
        <f aca="false">F115+F117*INDEX(INDEX(VimFrac,0,9*F121+VLOOKUP(F120,PlanetData,3,0)+1),IF(F121,1,0)+MATCH(F118,INDEX(VimFrac,0,9*F121+VLOOKUP(F120,PlanetData,3,0)+1),IF(F121,-1,1)))</f>
        <v>#N/A</v>
      </c>
      <c r="H115" s="293" t="e">
        <f aca="false">G115+G117*INDEX(INDEX(VimFrac,0,9*G121+VLOOKUP(G120,PlanetData,3,0)+1),IF(G121,1,0)+MATCH(G118,INDEX(VimFrac,0,9*G121+VLOOKUP(G120,PlanetData,3,0)+1),IF(G121,-1,1)))</f>
        <v>#N/A</v>
      </c>
      <c r="J115" s="273" t="n">
        <f aca="false">J120</f>
        <v>0</v>
      </c>
      <c r="K115" s="6" t="n">
        <f aca="false">K107+1</f>
        <v>14</v>
      </c>
      <c r="N115" s="275" t="n">
        <f aca="false">JHora!B116</f>
        <v>0</v>
      </c>
      <c r="O115" s="6" t="n">
        <f aca="false">JHora!C116</f>
        <v>0</v>
      </c>
    </row>
    <row r="116" customFormat="false" ht="15" hidden="false" customHeight="false" outlineLevel="0" collapsed="false">
      <c r="A116" s="291" t="s">
        <v>455</v>
      </c>
      <c r="B116" s="292" t="n">
        <f aca="false">B115+B117</f>
        <v>66398.3660175406</v>
      </c>
      <c r="C116" s="293" t="e">
        <f aca="false">B115+B117*INDEX(INDEX(VimFrac,,VLOOKUP(B120,PlanetData,3,0)+1),MATCH(B118,INDEX(VimFrac,,VLOOKUP(B120,PlanetData,3,0)+1),1)+1)</f>
        <v>#N/A</v>
      </c>
      <c r="D116" s="293" t="e">
        <f aca="false">C115+C117*INDEX(INDEX(VimFrac,0,9*C121+VLOOKUP(C120,PlanetData,3,0)+1),IF(C121,0,1)+MATCH(C118,INDEX(VimFrac,0,9*C121+VLOOKUP(C120,PlanetData,3,0)+1),IF(C121,-1,1)))</f>
        <v>#N/A</v>
      </c>
      <c r="E116" s="293" t="e">
        <f aca="false">D115+D117*INDEX(INDEX(VimFrac,0,9*D121+VLOOKUP(D120,PlanetData,3,0)+1),IF(D121,0,1)+MATCH(D118,INDEX(VimFrac,0,9*D121+VLOOKUP(D120,PlanetData,3,0)+1),IF(D121,-1,1)))</f>
        <v>#N/A</v>
      </c>
      <c r="F116" s="293" t="e">
        <f aca="false">E115+E117*INDEX(INDEX(VimFrac,0,9*E121+VLOOKUP(E120,PlanetData,3,0)+1),IF(E121,0,1)+MATCH(E118,INDEX(VimFrac,0,9*E121+VLOOKUP(E120,PlanetData,3,0)+1),IF(E121,-1,1)))</f>
        <v>#N/A</v>
      </c>
      <c r="G116" s="293" t="e">
        <f aca="false">F115+F117*INDEX(INDEX(VimFrac,0,9*F121+VLOOKUP(F120,PlanetData,3,0)+1),IF(F121,0,1)+MATCH(F118,INDEX(VimFrac,0,9*F121+VLOOKUP(F120,PlanetData,3,0)+1),IF(F121,-1,1)))</f>
        <v>#N/A</v>
      </c>
      <c r="H116" s="293" t="e">
        <f aca="false">G115+G117*INDEX(INDEX(VimFrac,0,9*G121+VLOOKUP(G120,PlanetData,3,0)+1),IF(G121,0,1)+MATCH(G118,INDEX(VimFrac,0,9*G121+VLOOKUP(G120,PlanetData,3,0)+1),IF(G121,-1,1)))</f>
        <v>#N/A</v>
      </c>
      <c r="J116" s="273" t="n">
        <f aca="false">J120</f>
        <v>0</v>
      </c>
      <c r="K116" s="6" t="n">
        <f aca="false">K108+1</f>
        <v>14</v>
      </c>
      <c r="N116" s="275" t="n">
        <f aca="false">JHora!B117</f>
        <v>0</v>
      </c>
      <c r="O116" s="6" t="n">
        <f aca="false">JHora!C117</f>
        <v>0</v>
      </c>
    </row>
    <row r="117" customFormat="false" ht="15" hidden="false" customHeight="false" outlineLevel="0" collapsed="false">
      <c r="A117" s="294" t="s">
        <v>456</v>
      </c>
      <c r="B117" s="295" t="n">
        <f aca="false">120*DaysInYear</f>
        <v>43830.5847222218</v>
      </c>
      <c r="C117" s="296" t="e">
        <f aca="false">C116-C115</f>
        <v>#N/A</v>
      </c>
      <c r="D117" s="296" t="e">
        <f aca="false">D116-D115</f>
        <v>#N/A</v>
      </c>
      <c r="E117" s="296" t="e">
        <f aca="false">E116-E115</f>
        <v>#N/A</v>
      </c>
      <c r="F117" s="296" t="e">
        <f aca="false">F116-F115</f>
        <v>#N/A</v>
      </c>
      <c r="G117" s="296" t="e">
        <f aca="false">G116-G115</f>
        <v>#N/A</v>
      </c>
      <c r="H117" s="296" t="e">
        <f aca="false">H116-H115</f>
        <v>#N/A</v>
      </c>
      <c r="K117" s="6" t="n">
        <f aca="false">K109</f>
        <v>0</v>
      </c>
    </row>
    <row r="118" customFormat="false" ht="15" hidden="false" customHeight="false" outlineLevel="0" collapsed="false">
      <c r="A118" s="294" t="s">
        <v>457</v>
      </c>
      <c r="B118" s="297" t="n">
        <f aca="false">(I120-B115)/(B116-B115)</f>
        <v>-0.51488661258669</v>
      </c>
      <c r="C118" s="298" t="e">
        <f aca="false">(I120-C115)/(C116-C115)</f>
        <v>#N/A</v>
      </c>
      <c r="D118" s="298" t="e">
        <f aca="false">(I120-D115)/(D116-D115)</f>
        <v>#N/A</v>
      </c>
      <c r="E118" s="298" t="e">
        <f aca="false">(I120-E115)/(E116-E115)</f>
        <v>#N/A</v>
      </c>
      <c r="F118" s="298" t="e">
        <f aca="false">(I120-F115)/(F116-F115)</f>
        <v>#N/A</v>
      </c>
      <c r="G118" s="298" t="e">
        <f aca="false">(I120-G115)/(G116-G115)</f>
        <v>#N/A</v>
      </c>
      <c r="H118" s="298" t="e">
        <f aca="false">(I120-H115)/(H116-H115)</f>
        <v>#N/A</v>
      </c>
      <c r="K118" s="6" t="n">
        <f aca="false">K110</f>
        <v>0</v>
      </c>
    </row>
    <row r="119" customFormat="false" ht="15" hidden="false" customHeight="false" outlineLevel="0" collapsed="false">
      <c r="A119" s="294" t="s">
        <v>458</v>
      </c>
      <c r="B119" s="295"/>
      <c r="C119" s="296" t="e">
        <f aca="false">MOD(VLOOKUP(B120,PlanetData,3,0)+MATCH(B118,INDEX(VimFrac,,VLOOKUP(B120,PlanetData,3,0)+1),1)-1,9)</f>
        <v>#N/A</v>
      </c>
      <c r="D119" s="296" t="e">
        <f aca="false">MOD(VLOOKUP(C120,PlanetData,3,0)+MATCH(C118,INDEX(VimFrac,0,9*C121+VLOOKUP(C120,PlanetData,3,0)+1),IF(C121,-1,1))-1,9)</f>
        <v>#N/A</v>
      </c>
      <c r="E119" s="296" t="e">
        <f aca="false">MOD(VLOOKUP(D120,PlanetData,3,0)+MATCH(D118,INDEX(VimFrac,0,9*D121+VLOOKUP(D120,PlanetData,3,0)+1),IF(D121,-1,1))-1,9)</f>
        <v>#N/A</v>
      </c>
      <c r="F119" s="296" t="e">
        <f aca="false">MOD(VLOOKUP(E120,PlanetData,3,0)+MATCH(E118,INDEX(VimFrac,0,9*E121+VLOOKUP(E120,PlanetData,3,0)+1),IF(E121,-1,1))-1,9)</f>
        <v>#N/A</v>
      </c>
      <c r="G119" s="296" t="e">
        <f aca="false">MOD(VLOOKUP(F120,PlanetData,3,0)+MATCH(F118,INDEX(VimFrac,0,9*F121+VLOOKUP(F120,PlanetData,3,0)+1),IF(F121,-1,1))-1,9)</f>
        <v>#N/A</v>
      </c>
      <c r="H119" s="296" t="e">
        <f aca="false">MOD(VLOOKUP(G120,PlanetData,3,0)+MATCH(G118,INDEX(VimFrac,0,9*G121+VLOOKUP(G120,PlanetData,3,0)+1),IF(G121,-1,1))-1,9)</f>
        <v>#N/A</v>
      </c>
      <c r="K119" s="6" t="n">
        <f aca="false">K111</f>
        <v>0</v>
      </c>
    </row>
    <row r="120" customFormat="false" ht="15" hidden="false" customHeight="false" outlineLevel="0" collapsed="false">
      <c r="A120" s="294" t="s">
        <v>459</v>
      </c>
      <c r="B120" s="295" t="str">
        <f aca="false">$B$4</f>
        <v>Moon</v>
      </c>
      <c r="C120" s="296" t="e">
        <f aca="false">INDEX(DasaYears,IF(C119=0,9,C119),1)</f>
        <v>#N/A</v>
      </c>
      <c r="D120" s="296" t="e">
        <f aca="false">INDEX(DasaYears,IF(D119=0,9,D119),1)</f>
        <v>#N/A</v>
      </c>
      <c r="E120" s="296" t="e">
        <f aca="false">INDEX(DasaYears,IF(E119=0,9,E119),1)</f>
        <v>#N/A</v>
      </c>
      <c r="F120" s="296" t="e">
        <f aca="false">INDEX(DasaYears,IF(F119=0,9,F119),1)</f>
        <v>#N/A</v>
      </c>
      <c r="G120" s="296" t="e">
        <f aca="false">INDEX(DasaYears,IF(G119=0,9,G119),1)</f>
        <v>#N/A</v>
      </c>
      <c r="H120" s="296" t="e">
        <f aca="false">INDEX(DasaYears,IF(H119=0,9,H119),1)</f>
        <v>#N/A</v>
      </c>
      <c r="I120" s="275" t="n">
        <f aca="true">INDIRECT("'JHora'!$B$"&amp;($K120))</f>
        <v>0</v>
      </c>
      <c r="J120" s="275" t="n">
        <f aca="true">INDIRECT("'JHora'!$C$"&amp;($K120))</f>
        <v>0</v>
      </c>
      <c r="K120" s="6" t="n">
        <f aca="false">K112+1</f>
        <v>14</v>
      </c>
      <c r="N120" s="275" t="n">
        <f aca="false">JHora!B121</f>
        <v>0</v>
      </c>
      <c r="O120" s="6" t="n">
        <f aca="false">JHora!C121</f>
        <v>0</v>
      </c>
    </row>
    <row r="121" customFormat="false" ht="15" hidden="false" customHeight="false" outlineLevel="0" collapsed="false">
      <c r="A121" s="294" t="s">
        <v>444</v>
      </c>
      <c r="B121" s="295" t="b">
        <f aca="false">$B$7</f>
        <v>1</v>
      </c>
      <c r="C121" s="296" t="e">
        <f aca="false">IF(VLOOKUP(C120,ChartInfo,11,0),1,0)*B121</f>
        <v>#N/A</v>
      </c>
      <c r="D121" s="296" t="e">
        <f aca="false">IF(VLOOKUP(D120,ChartInfo,11,0),1,0)*B121</f>
        <v>#N/A</v>
      </c>
      <c r="E121" s="296" t="e">
        <f aca="false">IF(VLOOKUP(E120,ChartInfo,11,0),1,0)*B121</f>
        <v>#N/A</v>
      </c>
      <c r="F121" s="296" t="e">
        <f aca="false">IF(VLOOKUP(F120,ChartInfo,11,0),1,0)*B121</f>
        <v>#N/A</v>
      </c>
      <c r="G121" s="296" t="e">
        <f aca="false">IF(VLOOKUP(G120,ChartInfo,11,0),1,0)*B121</f>
        <v>#N/A</v>
      </c>
      <c r="H121" s="296" t="e">
        <f aca="false">IF(VLOOKUP(H120,ChartInfo,11,0),1,0)*B121</f>
        <v>#N/A</v>
      </c>
      <c r="K121" s="6" t="n">
        <f aca="false">K113</f>
        <v>0</v>
      </c>
    </row>
    <row r="122" customFormat="false" ht="15" hidden="false" customHeight="false" outlineLevel="0" collapsed="false">
      <c r="K122" s="6" t="n">
        <f aca="false">K114+1</f>
        <v>14</v>
      </c>
      <c r="N122" s="275" t="n">
        <f aca="false">JHora!B123</f>
        <v>0</v>
      </c>
      <c r="O122" s="6" t="n">
        <f aca="false">JHora!C123</f>
        <v>0</v>
      </c>
    </row>
    <row r="123" customFormat="false" ht="15" hidden="false" customHeight="false" outlineLevel="0" collapsed="false">
      <c r="A123" s="291" t="s">
        <v>454</v>
      </c>
      <c r="B123" s="292" t="n">
        <f aca="false">DoB-$E$6*DaysInYear</f>
        <v>22567.7812953187</v>
      </c>
      <c r="C123" s="293" t="e">
        <f aca="false">B123+B125*INDEX(INDEX(VimFrac,,VLOOKUP(B128,PlanetData,3,0)+1),MATCH(B126,INDEX(VimFrac,,VLOOKUP(B128,PlanetData,3,0)+1),1))</f>
        <v>#N/A</v>
      </c>
      <c r="D123" s="293" t="e">
        <f aca="false">C123+C125*INDEX(INDEX(VimFrac,0,9*C129+VLOOKUP(C128,PlanetData,3,0)+1),IF(C129,1,0)+MATCH(C126,INDEX(VimFrac,0,9*C129+VLOOKUP(C128,PlanetData,3,0)+1),IF(C129,-1,1)))</f>
        <v>#N/A</v>
      </c>
      <c r="E123" s="293" t="e">
        <f aca="false">D123+D125*INDEX(INDEX(VimFrac,0,9*D129+VLOOKUP(D128,PlanetData,3,0)+1),IF(D129,1,0)+MATCH(D126,INDEX(VimFrac,0,9*D129+VLOOKUP(D128,PlanetData,3,0)+1),IF(D129,-1,1)))</f>
        <v>#N/A</v>
      </c>
      <c r="F123" s="293" t="e">
        <f aca="false">E123+E125*INDEX(INDEX(VimFrac,0,9*E129+VLOOKUP(E128,PlanetData,3,0)+1),IF(E129,1,0)+MATCH(E126,INDEX(VimFrac,0,9*E129+VLOOKUP(E128,PlanetData,3,0)+1),IF(E129,-1,1)))</f>
        <v>#N/A</v>
      </c>
      <c r="G123" s="293" t="e">
        <f aca="false">F123+F125*INDEX(INDEX(VimFrac,0,9*F129+VLOOKUP(F128,PlanetData,3,0)+1),IF(F129,1,0)+MATCH(F126,INDEX(VimFrac,0,9*F129+VLOOKUP(F128,PlanetData,3,0)+1),IF(F129,-1,1)))</f>
        <v>#N/A</v>
      </c>
      <c r="H123" s="293" t="e">
        <f aca="false">G123+G125*INDEX(INDEX(VimFrac,0,9*G129+VLOOKUP(G128,PlanetData,3,0)+1),IF(G129,1,0)+MATCH(G126,INDEX(VimFrac,0,9*G129+VLOOKUP(G128,PlanetData,3,0)+1),IF(G129,-1,1)))</f>
        <v>#N/A</v>
      </c>
      <c r="J123" s="273" t="n">
        <f aca="false">J128</f>
        <v>0</v>
      </c>
      <c r="K123" s="6" t="n">
        <f aca="false">K115+1</f>
        <v>15</v>
      </c>
      <c r="N123" s="275" t="n">
        <f aca="false">JHora!B124</f>
        <v>0</v>
      </c>
      <c r="O123" s="6" t="n">
        <f aca="false">JHora!C124</f>
        <v>0</v>
      </c>
    </row>
    <row r="124" customFormat="false" ht="15" hidden="false" customHeight="false" outlineLevel="0" collapsed="false">
      <c r="A124" s="291" t="s">
        <v>455</v>
      </c>
      <c r="B124" s="292" t="n">
        <f aca="false">B123+B125</f>
        <v>66398.3660175406</v>
      </c>
      <c r="C124" s="293" t="e">
        <f aca="false">B123+B125*INDEX(INDEX(VimFrac,,VLOOKUP(B128,PlanetData,3,0)+1),MATCH(B126,INDEX(VimFrac,,VLOOKUP(B128,PlanetData,3,0)+1),1)+1)</f>
        <v>#N/A</v>
      </c>
      <c r="D124" s="293" t="e">
        <f aca="false">C123+C125*INDEX(INDEX(VimFrac,0,9*C129+VLOOKUP(C128,PlanetData,3,0)+1),IF(C129,0,1)+MATCH(C126,INDEX(VimFrac,0,9*C129+VLOOKUP(C128,PlanetData,3,0)+1),IF(C129,-1,1)))</f>
        <v>#N/A</v>
      </c>
      <c r="E124" s="293" t="e">
        <f aca="false">D123+D125*INDEX(INDEX(VimFrac,0,9*D129+VLOOKUP(D128,PlanetData,3,0)+1),IF(D129,0,1)+MATCH(D126,INDEX(VimFrac,0,9*D129+VLOOKUP(D128,PlanetData,3,0)+1),IF(D129,-1,1)))</f>
        <v>#N/A</v>
      </c>
      <c r="F124" s="293" t="e">
        <f aca="false">E123+E125*INDEX(INDEX(VimFrac,0,9*E129+VLOOKUP(E128,PlanetData,3,0)+1),IF(E129,0,1)+MATCH(E126,INDEX(VimFrac,0,9*E129+VLOOKUP(E128,PlanetData,3,0)+1),IF(E129,-1,1)))</f>
        <v>#N/A</v>
      </c>
      <c r="G124" s="293" t="e">
        <f aca="false">F123+F125*INDEX(INDEX(VimFrac,0,9*F129+VLOOKUP(F128,PlanetData,3,0)+1),IF(F129,0,1)+MATCH(F126,INDEX(VimFrac,0,9*F129+VLOOKUP(F128,PlanetData,3,0)+1),IF(F129,-1,1)))</f>
        <v>#N/A</v>
      </c>
      <c r="H124" s="293" t="e">
        <f aca="false">G123+G125*INDEX(INDEX(VimFrac,0,9*G129+VLOOKUP(G128,PlanetData,3,0)+1),IF(G129,0,1)+MATCH(G126,INDEX(VimFrac,0,9*G129+VLOOKUP(G128,PlanetData,3,0)+1),IF(G129,-1,1)))</f>
        <v>#N/A</v>
      </c>
      <c r="J124" s="273" t="n">
        <f aca="false">J128</f>
        <v>0</v>
      </c>
      <c r="K124" s="6" t="n">
        <f aca="false">K116+1</f>
        <v>15</v>
      </c>
      <c r="N124" s="275" t="n">
        <f aca="false">JHora!B125</f>
        <v>0</v>
      </c>
      <c r="O124" s="6" t="n">
        <f aca="false">JHora!C125</f>
        <v>0</v>
      </c>
    </row>
    <row r="125" customFormat="false" ht="15" hidden="false" customHeight="false" outlineLevel="0" collapsed="false">
      <c r="A125" s="294" t="s">
        <v>456</v>
      </c>
      <c r="B125" s="295" t="n">
        <f aca="false">120*DaysInYear</f>
        <v>43830.5847222218</v>
      </c>
      <c r="C125" s="296" t="e">
        <f aca="false">C124-C123</f>
        <v>#N/A</v>
      </c>
      <c r="D125" s="296" t="e">
        <f aca="false">D124-D123</f>
        <v>#N/A</v>
      </c>
      <c r="E125" s="296" t="e">
        <f aca="false">E124-E123</f>
        <v>#N/A</v>
      </c>
      <c r="F125" s="296" t="e">
        <f aca="false">F124-F123</f>
        <v>#N/A</v>
      </c>
      <c r="G125" s="296" t="e">
        <f aca="false">G124-G123</f>
        <v>#N/A</v>
      </c>
      <c r="H125" s="296" t="e">
        <f aca="false">H124-H123</f>
        <v>#N/A</v>
      </c>
      <c r="K125" s="6" t="n">
        <f aca="false">K117</f>
        <v>0</v>
      </c>
    </row>
    <row r="126" customFormat="false" ht="15" hidden="false" customHeight="false" outlineLevel="0" collapsed="false">
      <c r="A126" s="294" t="s">
        <v>457</v>
      </c>
      <c r="B126" s="297" t="n">
        <f aca="false">(I128-B123)/(B124-B123)</f>
        <v>-0.51488661258669</v>
      </c>
      <c r="C126" s="298" t="e">
        <f aca="false">(I128-C123)/(C124-C123)</f>
        <v>#N/A</v>
      </c>
      <c r="D126" s="298" t="e">
        <f aca="false">(I128-D123)/(D124-D123)</f>
        <v>#N/A</v>
      </c>
      <c r="E126" s="298" t="e">
        <f aca="false">(I128-E123)/(E124-E123)</f>
        <v>#N/A</v>
      </c>
      <c r="F126" s="298" t="e">
        <f aca="false">(I128-F123)/(F124-F123)</f>
        <v>#N/A</v>
      </c>
      <c r="G126" s="298" t="e">
        <f aca="false">(I128-G123)/(G124-G123)</f>
        <v>#N/A</v>
      </c>
      <c r="H126" s="298" t="e">
        <f aca="false">(I128-H123)/(H124-H123)</f>
        <v>#N/A</v>
      </c>
      <c r="K126" s="6" t="n">
        <f aca="false">K118</f>
        <v>0</v>
      </c>
    </row>
    <row r="127" customFormat="false" ht="15" hidden="false" customHeight="false" outlineLevel="0" collapsed="false">
      <c r="A127" s="294" t="s">
        <v>458</v>
      </c>
      <c r="B127" s="295"/>
      <c r="C127" s="296" t="e">
        <f aca="false">MOD(VLOOKUP(B128,PlanetData,3,0)+MATCH(B126,INDEX(VimFrac,,VLOOKUP(B128,PlanetData,3,0)+1),1)-1,9)</f>
        <v>#N/A</v>
      </c>
      <c r="D127" s="296" t="e">
        <f aca="false">MOD(VLOOKUP(C128,PlanetData,3,0)+MATCH(C126,INDEX(VimFrac,0,9*C129+VLOOKUP(C128,PlanetData,3,0)+1),IF(C129,-1,1))-1,9)</f>
        <v>#N/A</v>
      </c>
      <c r="E127" s="296" t="e">
        <f aca="false">MOD(VLOOKUP(D128,PlanetData,3,0)+MATCH(D126,INDEX(VimFrac,0,9*D129+VLOOKUP(D128,PlanetData,3,0)+1),IF(D129,-1,1))-1,9)</f>
        <v>#N/A</v>
      </c>
      <c r="F127" s="296" t="e">
        <f aca="false">MOD(VLOOKUP(E128,PlanetData,3,0)+MATCH(E126,INDEX(VimFrac,0,9*E129+VLOOKUP(E128,PlanetData,3,0)+1),IF(E129,-1,1))-1,9)</f>
        <v>#N/A</v>
      </c>
      <c r="G127" s="296" t="e">
        <f aca="false">MOD(VLOOKUP(F128,PlanetData,3,0)+MATCH(F126,INDEX(VimFrac,0,9*F129+VLOOKUP(F128,PlanetData,3,0)+1),IF(F129,-1,1))-1,9)</f>
        <v>#N/A</v>
      </c>
      <c r="H127" s="296" t="e">
        <f aca="false">MOD(VLOOKUP(G128,PlanetData,3,0)+MATCH(G126,INDEX(VimFrac,0,9*G129+VLOOKUP(G128,PlanetData,3,0)+1),IF(G129,-1,1))-1,9)</f>
        <v>#N/A</v>
      </c>
      <c r="K127" s="6" t="n">
        <f aca="false">K119</f>
        <v>0</v>
      </c>
    </row>
    <row r="128" customFormat="false" ht="15" hidden="false" customHeight="false" outlineLevel="0" collapsed="false">
      <c r="A128" s="294" t="s">
        <v>459</v>
      </c>
      <c r="B128" s="295" t="str">
        <f aca="false">$B$4</f>
        <v>Moon</v>
      </c>
      <c r="C128" s="296" t="e">
        <f aca="false">INDEX(DasaYears,IF(C127=0,9,C127),1)</f>
        <v>#N/A</v>
      </c>
      <c r="D128" s="296" t="e">
        <f aca="false">INDEX(DasaYears,IF(D127=0,9,D127),1)</f>
        <v>#N/A</v>
      </c>
      <c r="E128" s="296" t="e">
        <f aca="false">INDEX(DasaYears,IF(E127=0,9,E127),1)</f>
        <v>#N/A</v>
      </c>
      <c r="F128" s="296" t="e">
        <f aca="false">INDEX(DasaYears,IF(F127=0,9,F127),1)</f>
        <v>#N/A</v>
      </c>
      <c r="G128" s="296" t="e">
        <f aca="false">INDEX(DasaYears,IF(G127=0,9,G127),1)</f>
        <v>#N/A</v>
      </c>
      <c r="H128" s="296" t="e">
        <f aca="false">INDEX(DasaYears,IF(H127=0,9,H127),1)</f>
        <v>#N/A</v>
      </c>
      <c r="I128" s="275" t="n">
        <f aca="true">INDIRECT("'JHora'!$B$"&amp;($K128))</f>
        <v>0</v>
      </c>
      <c r="J128" s="275" t="n">
        <f aca="true">INDIRECT("'JHora'!$C$"&amp;($K128))</f>
        <v>0</v>
      </c>
      <c r="K128" s="6" t="n">
        <f aca="false">K120+1</f>
        <v>15</v>
      </c>
      <c r="N128" s="275" t="n">
        <f aca="false">JHora!B129</f>
        <v>0</v>
      </c>
      <c r="O128" s="6" t="n">
        <f aca="false">JHora!C129</f>
        <v>0</v>
      </c>
    </row>
    <row r="129" customFormat="false" ht="15" hidden="false" customHeight="false" outlineLevel="0" collapsed="false">
      <c r="A129" s="294" t="s">
        <v>444</v>
      </c>
      <c r="B129" s="295" t="b">
        <f aca="false">$B$7</f>
        <v>1</v>
      </c>
      <c r="C129" s="296" t="e">
        <f aca="false">IF(VLOOKUP(C128,ChartInfo,11,0),1,0)*B129</f>
        <v>#N/A</v>
      </c>
      <c r="D129" s="296" t="e">
        <f aca="false">IF(VLOOKUP(D128,ChartInfo,11,0),1,0)*B129</f>
        <v>#N/A</v>
      </c>
      <c r="E129" s="296" t="e">
        <f aca="false">IF(VLOOKUP(E128,ChartInfo,11,0),1,0)*B129</f>
        <v>#N/A</v>
      </c>
      <c r="F129" s="296" t="e">
        <f aca="false">IF(VLOOKUP(F128,ChartInfo,11,0),1,0)*B129</f>
        <v>#N/A</v>
      </c>
      <c r="G129" s="296" t="e">
        <f aca="false">IF(VLOOKUP(G128,ChartInfo,11,0),1,0)*B129</f>
        <v>#N/A</v>
      </c>
      <c r="H129" s="296" t="e">
        <f aca="false">IF(VLOOKUP(H128,ChartInfo,11,0),1,0)*B129</f>
        <v>#N/A</v>
      </c>
      <c r="K129" s="6" t="n">
        <f aca="false">K121</f>
        <v>0</v>
      </c>
    </row>
    <row r="130" customFormat="false" ht="15" hidden="false" customHeight="false" outlineLevel="0" collapsed="false">
      <c r="K130" s="6" t="n">
        <f aca="false">K122+1</f>
        <v>15</v>
      </c>
      <c r="N130" s="275" t="n">
        <f aca="false">JHora!B131</f>
        <v>0</v>
      </c>
      <c r="O130" s="6" t="n">
        <f aca="false">JHora!C131</f>
        <v>0</v>
      </c>
    </row>
    <row r="131" customFormat="false" ht="15" hidden="false" customHeight="false" outlineLevel="0" collapsed="false">
      <c r="A131" s="291" t="s">
        <v>454</v>
      </c>
      <c r="B131" s="292" t="n">
        <f aca="false">DoB-$E$6*DaysInYear</f>
        <v>22567.7812953187</v>
      </c>
      <c r="C131" s="293" t="e">
        <f aca="false">B131+B133*INDEX(INDEX(VimFrac,,VLOOKUP(B136,PlanetData,3,0)+1),MATCH(B134,INDEX(VimFrac,,VLOOKUP(B136,PlanetData,3,0)+1),1))</f>
        <v>#N/A</v>
      </c>
      <c r="D131" s="293" t="e">
        <f aca="false">C131+C133*INDEX(INDEX(VimFrac,0,9*C137+VLOOKUP(C136,PlanetData,3,0)+1),IF(C137,1,0)+MATCH(C134,INDEX(VimFrac,0,9*C137+VLOOKUP(C136,PlanetData,3,0)+1),IF(C137,-1,1)))</f>
        <v>#N/A</v>
      </c>
      <c r="E131" s="293" t="e">
        <f aca="false">D131+D133*INDEX(INDEX(VimFrac,0,9*D137+VLOOKUP(D136,PlanetData,3,0)+1),IF(D137,1,0)+MATCH(D134,INDEX(VimFrac,0,9*D137+VLOOKUP(D136,PlanetData,3,0)+1),IF(D137,-1,1)))</f>
        <v>#N/A</v>
      </c>
      <c r="F131" s="293" t="e">
        <f aca="false">E131+E133*INDEX(INDEX(VimFrac,0,9*E137+VLOOKUP(E136,PlanetData,3,0)+1),IF(E137,1,0)+MATCH(E134,INDEX(VimFrac,0,9*E137+VLOOKUP(E136,PlanetData,3,0)+1),IF(E137,-1,1)))</f>
        <v>#N/A</v>
      </c>
      <c r="G131" s="293" t="e">
        <f aca="false">F131+F133*INDEX(INDEX(VimFrac,0,9*F137+VLOOKUP(F136,PlanetData,3,0)+1),IF(F137,1,0)+MATCH(F134,INDEX(VimFrac,0,9*F137+VLOOKUP(F136,PlanetData,3,0)+1),IF(F137,-1,1)))</f>
        <v>#N/A</v>
      </c>
      <c r="H131" s="293" t="e">
        <f aca="false">G131+G133*INDEX(INDEX(VimFrac,0,9*G137+VLOOKUP(G136,PlanetData,3,0)+1),IF(G137,1,0)+MATCH(G134,INDEX(VimFrac,0,9*G137+VLOOKUP(G136,PlanetData,3,0)+1),IF(G137,-1,1)))</f>
        <v>#N/A</v>
      </c>
      <c r="J131" s="273" t="n">
        <f aca="false">J136</f>
        <v>0</v>
      </c>
      <c r="K131" s="6" t="n">
        <f aca="false">K123+1</f>
        <v>16</v>
      </c>
      <c r="N131" s="275" t="n">
        <f aca="false">JHora!B132</f>
        <v>0</v>
      </c>
      <c r="O131" s="6" t="n">
        <f aca="false">JHora!C132</f>
        <v>0</v>
      </c>
    </row>
    <row r="132" customFormat="false" ht="15" hidden="false" customHeight="false" outlineLevel="0" collapsed="false">
      <c r="A132" s="291" t="s">
        <v>455</v>
      </c>
      <c r="B132" s="292" t="n">
        <f aca="false">B131+B133</f>
        <v>66398.3660175406</v>
      </c>
      <c r="C132" s="293" t="e">
        <f aca="false">B131+B133*INDEX(INDEX(VimFrac,,VLOOKUP(B136,PlanetData,3,0)+1),MATCH(B134,INDEX(VimFrac,,VLOOKUP(B136,PlanetData,3,0)+1),1)+1)</f>
        <v>#N/A</v>
      </c>
      <c r="D132" s="293" t="e">
        <f aca="false">C131+C133*INDEX(INDEX(VimFrac,0,9*C137+VLOOKUP(C136,PlanetData,3,0)+1),IF(C137,0,1)+MATCH(C134,INDEX(VimFrac,0,9*C137+VLOOKUP(C136,PlanetData,3,0)+1),IF(C137,-1,1)))</f>
        <v>#N/A</v>
      </c>
      <c r="E132" s="293" t="e">
        <f aca="false">D131+D133*INDEX(INDEX(VimFrac,0,9*D137+VLOOKUP(D136,PlanetData,3,0)+1),IF(D137,0,1)+MATCH(D134,INDEX(VimFrac,0,9*D137+VLOOKUP(D136,PlanetData,3,0)+1),IF(D137,-1,1)))</f>
        <v>#N/A</v>
      </c>
      <c r="F132" s="293" t="e">
        <f aca="false">E131+E133*INDEX(INDEX(VimFrac,0,9*E137+VLOOKUP(E136,PlanetData,3,0)+1),IF(E137,0,1)+MATCH(E134,INDEX(VimFrac,0,9*E137+VLOOKUP(E136,PlanetData,3,0)+1),IF(E137,-1,1)))</f>
        <v>#N/A</v>
      </c>
      <c r="G132" s="293" t="e">
        <f aca="false">F131+F133*INDEX(INDEX(VimFrac,0,9*F137+VLOOKUP(F136,PlanetData,3,0)+1),IF(F137,0,1)+MATCH(F134,INDEX(VimFrac,0,9*F137+VLOOKUP(F136,PlanetData,3,0)+1),IF(F137,-1,1)))</f>
        <v>#N/A</v>
      </c>
      <c r="H132" s="293" t="e">
        <f aca="false">G131+G133*INDEX(INDEX(VimFrac,0,9*G137+VLOOKUP(G136,PlanetData,3,0)+1),IF(G137,0,1)+MATCH(G134,INDEX(VimFrac,0,9*G137+VLOOKUP(G136,PlanetData,3,0)+1),IF(G137,-1,1)))</f>
        <v>#N/A</v>
      </c>
      <c r="J132" s="273" t="n">
        <f aca="false">J136</f>
        <v>0</v>
      </c>
      <c r="K132" s="6" t="n">
        <f aca="false">K124+1</f>
        <v>16</v>
      </c>
      <c r="N132" s="275" t="n">
        <f aca="false">JHora!B133</f>
        <v>0</v>
      </c>
      <c r="O132" s="6" t="n">
        <f aca="false">JHora!C133</f>
        <v>0</v>
      </c>
    </row>
    <row r="133" customFormat="false" ht="15" hidden="false" customHeight="false" outlineLevel="0" collapsed="false">
      <c r="A133" s="294" t="s">
        <v>456</v>
      </c>
      <c r="B133" s="295" t="n">
        <f aca="false">120*DaysInYear</f>
        <v>43830.5847222218</v>
      </c>
      <c r="C133" s="296" t="e">
        <f aca="false">C132-C131</f>
        <v>#N/A</v>
      </c>
      <c r="D133" s="296" t="e">
        <f aca="false">D132-D131</f>
        <v>#N/A</v>
      </c>
      <c r="E133" s="296" t="e">
        <f aca="false">E132-E131</f>
        <v>#N/A</v>
      </c>
      <c r="F133" s="296" t="e">
        <f aca="false">F132-F131</f>
        <v>#N/A</v>
      </c>
      <c r="G133" s="296" t="e">
        <f aca="false">G132-G131</f>
        <v>#N/A</v>
      </c>
      <c r="H133" s="296" t="e">
        <f aca="false">H132-H131</f>
        <v>#N/A</v>
      </c>
      <c r="K133" s="6" t="n">
        <f aca="false">K125</f>
        <v>0</v>
      </c>
    </row>
    <row r="134" customFormat="false" ht="15" hidden="false" customHeight="false" outlineLevel="0" collapsed="false">
      <c r="A134" s="294" t="s">
        <v>457</v>
      </c>
      <c r="B134" s="297" t="n">
        <f aca="false">(I136-B131)/(B132-B131)</f>
        <v>-0.51488661258669</v>
      </c>
      <c r="C134" s="298" t="e">
        <f aca="false">(I136-C131)/(C132-C131)</f>
        <v>#N/A</v>
      </c>
      <c r="D134" s="298" t="e">
        <f aca="false">(I136-D131)/(D132-D131)</f>
        <v>#N/A</v>
      </c>
      <c r="E134" s="298" t="e">
        <f aca="false">(I136-E131)/(E132-E131)</f>
        <v>#N/A</v>
      </c>
      <c r="F134" s="298" t="e">
        <f aca="false">(I136-F131)/(F132-F131)</f>
        <v>#N/A</v>
      </c>
      <c r="G134" s="298" t="e">
        <f aca="false">(I136-G131)/(G132-G131)</f>
        <v>#N/A</v>
      </c>
      <c r="H134" s="298" t="e">
        <f aca="false">(I136-H131)/(H132-H131)</f>
        <v>#N/A</v>
      </c>
      <c r="K134" s="6" t="n">
        <f aca="false">K126</f>
        <v>0</v>
      </c>
    </row>
    <row r="135" customFormat="false" ht="15" hidden="false" customHeight="false" outlineLevel="0" collapsed="false">
      <c r="A135" s="294" t="s">
        <v>458</v>
      </c>
      <c r="B135" s="295"/>
      <c r="C135" s="296" t="e">
        <f aca="false">MOD(VLOOKUP(B136,PlanetData,3,0)+MATCH(B134,INDEX(VimFrac,,VLOOKUP(B136,PlanetData,3,0)+1),1)-1,9)</f>
        <v>#N/A</v>
      </c>
      <c r="D135" s="296" t="e">
        <f aca="false">MOD(VLOOKUP(C136,PlanetData,3,0)+MATCH(C134,INDEX(VimFrac,0,9*C137+VLOOKUP(C136,PlanetData,3,0)+1),IF(C137,-1,1))-1,9)</f>
        <v>#N/A</v>
      </c>
      <c r="E135" s="296" t="e">
        <f aca="false">MOD(VLOOKUP(D136,PlanetData,3,0)+MATCH(D134,INDEX(VimFrac,0,9*D137+VLOOKUP(D136,PlanetData,3,0)+1),IF(D137,-1,1))-1,9)</f>
        <v>#N/A</v>
      </c>
      <c r="F135" s="296" t="e">
        <f aca="false">MOD(VLOOKUP(E136,PlanetData,3,0)+MATCH(E134,INDEX(VimFrac,0,9*E137+VLOOKUP(E136,PlanetData,3,0)+1),IF(E137,-1,1))-1,9)</f>
        <v>#N/A</v>
      </c>
      <c r="G135" s="296" t="e">
        <f aca="false">MOD(VLOOKUP(F136,PlanetData,3,0)+MATCH(F134,INDEX(VimFrac,0,9*F137+VLOOKUP(F136,PlanetData,3,0)+1),IF(F137,-1,1))-1,9)</f>
        <v>#N/A</v>
      </c>
      <c r="H135" s="296" t="e">
        <f aca="false">MOD(VLOOKUP(G136,PlanetData,3,0)+MATCH(G134,INDEX(VimFrac,0,9*G137+VLOOKUP(G136,PlanetData,3,0)+1),IF(G137,-1,1))-1,9)</f>
        <v>#N/A</v>
      </c>
      <c r="K135" s="6" t="n">
        <f aca="false">K127</f>
        <v>0</v>
      </c>
    </row>
    <row r="136" customFormat="false" ht="15" hidden="false" customHeight="false" outlineLevel="0" collapsed="false">
      <c r="A136" s="294" t="s">
        <v>459</v>
      </c>
      <c r="B136" s="295" t="str">
        <f aca="false">$B$4</f>
        <v>Moon</v>
      </c>
      <c r="C136" s="296" t="e">
        <f aca="false">INDEX(DasaYears,IF(C135=0,9,C135),1)</f>
        <v>#N/A</v>
      </c>
      <c r="D136" s="296" t="e">
        <f aca="false">INDEX(DasaYears,IF(D135=0,9,D135),1)</f>
        <v>#N/A</v>
      </c>
      <c r="E136" s="296" t="e">
        <f aca="false">INDEX(DasaYears,IF(E135=0,9,E135),1)</f>
        <v>#N/A</v>
      </c>
      <c r="F136" s="296" t="e">
        <f aca="false">INDEX(DasaYears,IF(F135=0,9,F135),1)</f>
        <v>#N/A</v>
      </c>
      <c r="G136" s="296" t="e">
        <f aca="false">INDEX(DasaYears,IF(G135=0,9,G135),1)</f>
        <v>#N/A</v>
      </c>
      <c r="H136" s="296" t="e">
        <f aca="false">INDEX(DasaYears,IF(H135=0,9,H135),1)</f>
        <v>#N/A</v>
      </c>
      <c r="I136" s="275" t="n">
        <f aca="true">INDIRECT("'JHora'!$B$"&amp;($K136))</f>
        <v>0</v>
      </c>
      <c r="J136" s="275" t="n">
        <f aca="true">INDIRECT("'JHora'!$C$"&amp;($K136))</f>
        <v>0</v>
      </c>
      <c r="K136" s="6" t="n">
        <f aca="false">K128+1</f>
        <v>16</v>
      </c>
      <c r="N136" s="275" t="n">
        <f aca="false">JHora!B137</f>
        <v>0</v>
      </c>
      <c r="O136" s="6" t="n">
        <f aca="false">JHora!C137</f>
        <v>0</v>
      </c>
    </row>
    <row r="137" customFormat="false" ht="15" hidden="false" customHeight="false" outlineLevel="0" collapsed="false">
      <c r="A137" s="294" t="s">
        <v>444</v>
      </c>
      <c r="B137" s="295" t="b">
        <f aca="false">$B$7</f>
        <v>1</v>
      </c>
      <c r="C137" s="296" t="e">
        <f aca="false">IF(VLOOKUP(C136,ChartInfo,11,0),1,0)*B137</f>
        <v>#N/A</v>
      </c>
      <c r="D137" s="296" t="e">
        <f aca="false">IF(VLOOKUP(D136,ChartInfo,11,0),1,0)*B137</f>
        <v>#N/A</v>
      </c>
      <c r="E137" s="296" t="e">
        <f aca="false">IF(VLOOKUP(E136,ChartInfo,11,0),1,0)*B137</f>
        <v>#N/A</v>
      </c>
      <c r="F137" s="296" t="e">
        <f aca="false">IF(VLOOKUP(F136,ChartInfo,11,0),1,0)*B137</f>
        <v>#N/A</v>
      </c>
      <c r="G137" s="296" t="e">
        <f aca="false">IF(VLOOKUP(G136,ChartInfo,11,0),1,0)*B137</f>
        <v>#N/A</v>
      </c>
      <c r="H137" s="296" t="e">
        <f aca="false">IF(VLOOKUP(H136,ChartInfo,11,0),1,0)*B137</f>
        <v>#N/A</v>
      </c>
      <c r="K137" s="6" t="n">
        <f aca="false">K129</f>
        <v>0</v>
      </c>
    </row>
    <row r="138" customFormat="false" ht="15" hidden="false" customHeight="false" outlineLevel="0" collapsed="false">
      <c r="K138" s="6" t="n">
        <f aca="false">K130+1</f>
        <v>16</v>
      </c>
    </row>
    <row r="139" customFormat="false" ht="15" hidden="false" customHeight="false" outlineLevel="0" collapsed="false">
      <c r="A139" s="291" t="s">
        <v>454</v>
      </c>
      <c r="B139" s="292" t="n">
        <f aca="false">DoB-$E$6*DaysInYear</f>
        <v>22567.7812953187</v>
      </c>
      <c r="C139" s="293" t="e">
        <f aca="false">B139+B141*INDEX(INDEX(VimFrac,,VLOOKUP(B144,PlanetData,3,0)+1),MATCH(B142,INDEX(VimFrac,,VLOOKUP(B144,PlanetData,3,0)+1),1))</f>
        <v>#N/A</v>
      </c>
      <c r="D139" s="293" t="e">
        <f aca="false">C139+C141*INDEX(INDEX(VimFrac,0,9*C145+VLOOKUP(C144,PlanetData,3,0)+1),IF(C145,1,0)+MATCH(C142,INDEX(VimFrac,0,9*C145+VLOOKUP(C144,PlanetData,3,0)+1),IF(C145,-1,1)))</f>
        <v>#N/A</v>
      </c>
      <c r="E139" s="293" t="e">
        <f aca="false">D139+D141*INDEX(INDEX(VimFrac,0,9*D145+VLOOKUP(D144,PlanetData,3,0)+1),IF(D145,1,0)+MATCH(D142,INDEX(VimFrac,0,9*D145+VLOOKUP(D144,PlanetData,3,0)+1),IF(D145,-1,1)))</f>
        <v>#N/A</v>
      </c>
      <c r="F139" s="293" t="e">
        <f aca="false">E139+E141*INDEX(INDEX(VimFrac,0,9*E145+VLOOKUP(E144,PlanetData,3,0)+1),IF(E145,1,0)+MATCH(E142,INDEX(VimFrac,0,9*E145+VLOOKUP(E144,PlanetData,3,0)+1),IF(E145,-1,1)))</f>
        <v>#N/A</v>
      </c>
      <c r="G139" s="293" t="e">
        <f aca="false">F139+F141*INDEX(INDEX(VimFrac,0,9*F145+VLOOKUP(F144,PlanetData,3,0)+1),IF(F145,1,0)+MATCH(F142,INDEX(VimFrac,0,9*F145+VLOOKUP(F144,PlanetData,3,0)+1),IF(F145,-1,1)))</f>
        <v>#N/A</v>
      </c>
      <c r="H139" s="293" t="e">
        <f aca="false">G139+G141*INDEX(INDEX(VimFrac,0,9*G145+VLOOKUP(G144,PlanetData,3,0)+1),IF(G145,1,0)+MATCH(G142,INDEX(VimFrac,0,9*G145+VLOOKUP(G144,PlanetData,3,0)+1),IF(G145,-1,1)))</f>
        <v>#N/A</v>
      </c>
      <c r="J139" s="273" t="n">
        <f aca="false">J144</f>
        <v>0</v>
      </c>
      <c r="K139" s="6" t="n">
        <f aca="false">K131+1</f>
        <v>17</v>
      </c>
    </row>
    <row r="140" customFormat="false" ht="15" hidden="false" customHeight="false" outlineLevel="0" collapsed="false">
      <c r="A140" s="291" t="s">
        <v>455</v>
      </c>
      <c r="B140" s="292" t="n">
        <f aca="false">B139+B141</f>
        <v>66398.3660175406</v>
      </c>
      <c r="C140" s="293" t="e">
        <f aca="false">B139+B141*INDEX(INDEX(VimFrac,,VLOOKUP(B144,PlanetData,3,0)+1),MATCH(B142,INDEX(VimFrac,,VLOOKUP(B144,PlanetData,3,0)+1),1)+1)</f>
        <v>#N/A</v>
      </c>
      <c r="D140" s="293" t="e">
        <f aca="false">C139+C141*INDEX(INDEX(VimFrac,0,9*C145+VLOOKUP(C144,PlanetData,3,0)+1),IF(C145,0,1)+MATCH(C142,INDEX(VimFrac,0,9*C145+VLOOKUP(C144,PlanetData,3,0)+1),IF(C145,-1,1)))</f>
        <v>#N/A</v>
      </c>
      <c r="E140" s="293" t="e">
        <f aca="false">D139+D141*INDEX(INDEX(VimFrac,0,9*D145+VLOOKUP(D144,PlanetData,3,0)+1),IF(D145,0,1)+MATCH(D142,INDEX(VimFrac,0,9*D145+VLOOKUP(D144,PlanetData,3,0)+1),IF(D145,-1,1)))</f>
        <v>#N/A</v>
      </c>
      <c r="F140" s="293" t="e">
        <f aca="false">E139+E141*INDEX(INDEX(VimFrac,0,9*E145+VLOOKUP(E144,PlanetData,3,0)+1),IF(E145,0,1)+MATCH(E142,INDEX(VimFrac,0,9*E145+VLOOKUP(E144,PlanetData,3,0)+1),IF(E145,-1,1)))</f>
        <v>#N/A</v>
      </c>
      <c r="G140" s="293" t="e">
        <f aca="false">F139+F141*INDEX(INDEX(VimFrac,0,9*F145+VLOOKUP(F144,PlanetData,3,0)+1),IF(F145,0,1)+MATCH(F142,INDEX(VimFrac,0,9*F145+VLOOKUP(F144,PlanetData,3,0)+1),IF(F145,-1,1)))</f>
        <v>#N/A</v>
      </c>
      <c r="H140" s="293" t="e">
        <f aca="false">G139+G141*INDEX(INDEX(VimFrac,0,9*G145+VLOOKUP(G144,PlanetData,3,0)+1),IF(G145,0,1)+MATCH(G142,INDEX(VimFrac,0,9*G145+VLOOKUP(G144,PlanetData,3,0)+1),IF(G145,-1,1)))</f>
        <v>#N/A</v>
      </c>
      <c r="J140" s="273" t="n">
        <f aca="false">J144</f>
        <v>0</v>
      </c>
      <c r="K140" s="6" t="n">
        <f aca="false">K132+1</f>
        <v>17</v>
      </c>
    </row>
    <row r="141" customFormat="false" ht="15" hidden="false" customHeight="false" outlineLevel="0" collapsed="false">
      <c r="A141" s="294" t="s">
        <v>456</v>
      </c>
      <c r="B141" s="295" t="n">
        <f aca="false">120*DaysInYear</f>
        <v>43830.5847222218</v>
      </c>
      <c r="C141" s="296" t="e">
        <f aca="false">C140-C139</f>
        <v>#N/A</v>
      </c>
      <c r="D141" s="296" t="e">
        <f aca="false">D140-D139</f>
        <v>#N/A</v>
      </c>
      <c r="E141" s="296" t="e">
        <f aca="false">E140-E139</f>
        <v>#N/A</v>
      </c>
      <c r="F141" s="296" t="e">
        <f aca="false">F140-F139</f>
        <v>#N/A</v>
      </c>
      <c r="G141" s="296" t="e">
        <f aca="false">G140-G139</f>
        <v>#N/A</v>
      </c>
      <c r="H141" s="296" t="e">
        <f aca="false">H140-H139</f>
        <v>#N/A</v>
      </c>
      <c r="K141" s="6" t="n">
        <f aca="false">K133</f>
        <v>0</v>
      </c>
    </row>
    <row r="142" customFormat="false" ht="15" hidden="false" customHeight="false" outlineLevel="0" collapsed="false">
      <c r="A142" s="294" t="s">
        <v>457</v>
      </c>
      <c r="B142" s="297" t="n">
        <f aca="false">(I144-B139)/(B140-B139)</f>
        <v>-0.51488661258669</v>
      </c>
      <c r="C142" s="298" t="e">
        <f aca="false">(I144-C139)/(C140-C139)</f>
        <v>#N/A</v>
      </c>
      <c r="D142" s="298" t="e">
        <f aca="false">(I144-D139)/(D140-D139)</f>
        <v>#N/A</v>
      </c>
      <c r="E142" s="298" t="e">
        <f aca="false">(I144-E139)/(E140-E139)</f>
        <v>#N/A</v>
      </c>
      <c r="F142" s="298" t="e">
        <f aca="false">(I144-F139)/(F140-F139)</f>
        <v>#N/A</v>
      </c>
      <c r="G142" s="298" t="e">
        <f aca="false">(I144-G139)/(G140-G139)</f>
        <v>#N/A</v>
      </c>
      <c r="H142" s="298" t="e">
        <f aca="false">(I144-H139)/(H140-H139)</f>
        <v>#N/A</v>
      </c>
      <c r="K142" s="6" t="n">
        <f aca="false">K134</f>
        <v>0</v>
      </c>
    </row>
    <row r="143" customFormat="false" ht="15" hidden="false" customHeight="false" outlineLevel="0" collapsed="false">
      <c r="A143" s="294" t="s">
        <v>458</v>
      </c>
      <c r="B143" s="295"/>
      <c r="C143" s="296" t="e">
        <f aca="false">MOD(VLOOKUP(B144,PlanetData,3,0)+MATCH(B142,INDEX(VimFrac,,VLOOKUP(B144,PlanetData,3,0)+1),1)-1,9)</f>
        <v>#N/A</v>
      </c>
      <c r="D143" s="296" t="e">
        <f aca="false">MOD(VLOOKUP(C144,PlanetData,3,0)+MATCH(C142,INDEX(VimFrac,0,9*C145+VLOOKUP(C144,PlanetData,3,0)+1),IF(C145,-1,1))-1,9)</f>
        <v>#N/A</v>
      </c>
      <c r="E143" s="296" t="e">
        <f aca="false">MOD(VLOOKUP(D144,PlanetData,3,0)+MATCH(D142,INDEX(VimFrac,0,9*D145+VLOOKUP(D144,PlanetData,3,0)+1),IF(D145,-1,1))-1,9)</f>
        <v>#N/A</v>
      </c>
      <c r="F143" s="296" t="e">
        <f aca="false">MOD(VLOOKUP(E144,PlanetData,3,0)+MATCH(E142,INDEX(VimFrac,0,9*E145+VLOOKUP(E144,PlanetData,3,0)+1),IF(E145,-1,1))-1,9)</f>
        <v>#N/A</v>
      </c>
      <c r="G143" s="296" t="e">
        <f aca="false">MOD(VLOOKUP(F144,PlanetData,3,0)+MATCH(F142,INDEX(VimFrac,0,9*F145+VLOOKUP(F144,PlanetData,3,0)+1),IF(F145,-1,1))-1,9)</f>
        <v>#N/A</v>
      </c>
      <c r="H143" s="296" t="e">
        <f aca="false">MOD(VLOOKUP(G144,PlanetData,3,0)+MATCH(G142,INDEX(VimFrac,0,9*G145+VLOOKUP(G144,PlanetData,3,0)+1),IF(G145,-1,1))-1,9)</f>
        <v>#N/A</v>
      </c>
      <c r="K143" s="6" t="n">
        <f aca="false">K135</f>
        <v>0</v>
      </c>
    </row>
    <row r="144" customFormat="false" ht="15" hidden="false" customHeight="false" outlineLevel="0" collapsed="false">
      <c r="A144" s="294" t="s">
        <v>459</v>
      </c>
      <c r="B144" s="295" t="str">
        <f aca="false">$B$4</f>
        <v>Moon</v>
      </c>
      <c r="C144" s="296" t="e">
        <f aca="false">INDEX(DasaYears,IF(C143=0,9,C143),1)</f>
        <v>#N/A</v>
      </c>
      <c r="D144" s="296" t="e">
        <f aca="false">INDEX(DasaYears,IF(D143=0,9,D143),1)</f>
        <v>#N/A</v>
      </c>
      <c r="E144" s="296" t="e">
        <f aca="false">INDEX(DasaYears,IF(E143=0,9,E143),1)</f>
        <v>#N/A</v>
      </c>
      <c r="F144" s="296" t="e">
        <f aca="false">INDEX(DasaYears,IF(F143=0,9,F143),1)</f>
        <v>#N/A</v>
      </c>
      <c r="G144" s="296" t="e">
        <f aca="false">INDEX(DasaYears,IF(G143=0,9,G143),1)</f>
        <v>#N/A</v>
      </c>
      <c r="H144" s="296" t="e">
        <f aca="false">INDEX(DasaYears,IF(H143=0,9,H143),1)</f>
        <v>#N/A</v>
      </c>
      <c r="I144" s="275" t="n">
        <f aca="true">INDIRECT("'JHora'!$B$"&amp;($K144))</f>
        <v>0</v>
      </c>
      <c r="J144" s="275" t="n">
        <f aca="true">INDIRECT("'JHora'!$C$"&amp;($K144))</f>
        <v>0</v>
      </c>
      <c r="K144" s="6" t="n">
        <f aca="false">K136+1</f>
        <v>17</v>
      </c>
    </row>
    <row r="145" customFormat="false" ht="15" hidden="false" customHeight="false" outlineLevel="0" collapsed="false">
      <c r="A145" s="294" t="s">
        <v>444</v>
      </c>
      <c r="B145" s="295" t="b">
        <f aca="false">$B$7</f>
        <v>1</v>
      </c>
      <c r="C145" s="296" t="e">
        <f aca="false">IF(VLOOKUP(C144,ChartInfo,11,0),1,0)*B145</f>
        <v>#N/A</v>
      </c>
      <c r="D145" s="296" t="e">
        <f aca="false">IF(VLOOKUP(D144,ChartInfo,11,0),1,0)*B145</f>
        <v>#N/A</v>
      </c>
      <c r="E145" s="296" t="e">
        <f aca="false">IF(VLOOKUP(E144,ChartInfo,11,0),1,0)*B145</f>
        <v>#N/A</v>
      </c>
      <c r="F145" s="296" t="e">
        <f aca="false">IF(VLOOKUP(F144,ChartInfo,11,0),1,0)*B145</f>
        <v>#N/A</v>
      </c>
      <c r="G145" s="296" t="e">
        <f aca="false">IF(VLOOKUP(G144,ChartInfo,11,0),1,0)*B145</f>
        <v>#N/A</v>
      </c>
      <c r="H145" s="296" t="e">
        <f aca="false">IF(VLOOKUP(H144,ChartInfo,11,0),1,0)*B145</f>
        <v>#N/A</v>
      </c>
      <c r="K145" s="6" t="n">
        <f aca="false">K137</f>
        <v>0</v>
      </c>
    </row>
    <row r="146" customFormat="false" ht="15" hidden="false" customHeight="false" outlineLevel="0" collapsed="false">
      <c r="K146" s="6" t="n">
        <f aca="false">K138+1</f>
        <v>17</v>
      </c>
    </row>
    <row r="147" customFormat="false" ht="15" hidden="false" customHeight="false" outlineLevel="0" collapsed="false">
      <c r="A147" s="291" t="s">
        <v>454</v>
      </c>
      <c r="B147" s="292" t="n">
        <f aca="false">DoB-$E$6*DaysInYear</f>
        <v>22567.7812953187</v>
      </c>
      <c r="C147" s="293" t="e">
        <f aca="false">B147+B149*INDEX(INDEX(VimFrac,,VLOOKUP(B152,PlanetData,3,0)+1),MATCH(B150,INDEX(VimFrac,,VLOOKUP(B152,PlanetData,3,0)+1),1))</f>
        <v>#N/A</v>
      </c>
      <c r="D147" s="293" t="e">
        <f aca="false">C147+C149*INDEX(INDEX(VimFrac,0,9*C153+VLOOKUP(C152,PlanetData,3,0)+1),IF(C153,1,0)+MATCH(C150,INDEX(VimFrac,0,9*C153+VLOOKUP(C152,PlanetData,3,0)+1),IF(C153,-1,1)))</f>
        <v>#N/A</v>
      </c>
      <c r="E147" s="293" t="e">
        <f aca="false">D147+D149*INDEX(INDEX(VimFrac,0,9*D153+VLOOKUP(D152,PlanetData,3,0)+1),IF(D153,1,0)+MATCH(D150,INDEX(VimFrac,0,9*D153+VLOOKUP(D152,PlanetData,3,0)+1),IF(D153,-1,1)))</f>
        <v>#N/A</v>
      </c>
      <c r="F147" s="293" t="e">
        <f aca="false">E147+E149*INDEX(INDEX(VimFrac,0,9*E153+VLOOKUP(E152,PlanetData,3,0)+1),IF(E153,1,0)+MATCH(E150,INDEX(VimFrac,0,9*E153+VLOOKUP(E152,PlanetData,3,0)+1),IF(E153,-1,1)))</f>
        <v>#N/A</v>
      </c>
      <c r="G147" s="293" t="e">
        <f aca="false">F147+F149*INDEX(INDEX(VimFrac,0,9*F153+VLOOKUP(F152,PlanetData,3,0)+1),IF(F153,1,0)+MATCH(F150,INDEX(VimFrac,0,9*F153+VLOOKUP(F152,PlanetData,3,0)+1),IF(F153,-1,1)))</f>
        <v>#N/A</v>
      </c>
      <c r="H147" s="293" t="e">
        <f aca="false">G147+G149*INDEX(INDEX(VimFrac,0,9*G153+VLOOKUP(G152,PlanetData,3,0)+1),IF(G153,1,0)+MATCH(G150,INDEX(VimFrac,0,9*G153+VLOOKUP(G152,PlanetData,3,0)+1),IF(G153,-1,1)))</f>
        <v>#N/A</v>
      </c>
      <c r="J147" s="273" t="n">
        <f aca="false">J152</f>
        <v>0</v>
      </c>
      <c r="K147" s="6" t="n">
        <f aca="false">K139+1</f>
        <v>18</v>
      </c>
    </row>
    <row r="148" customFormat="false" ht="15" hidden="false" customHeight="false" outlineLevel="0" collapsed="false">
      <c r="A148" s="291" t="s">
        <v>455</v>
      </c>
      <c r="B148" s="292" t="n">
        <f aca="false">B147+B149</f>
        <v>66398.3660175406</v>
      </c>
      <c r="C148" s="293" t="e">
        <f aca="false">B147+B149*INDEX(INDEX(VimFrac,,VLOOKUP(B152,PlanetData,3,0)+1),MATCH(B150,INDEX(VimFrac,,VLOOKUP(B152,PlanetData,3,0)+1),1)+1)</f>
        <v>#N/A</v>
      </c>
      <c r="D148" s="293" t="e">
        <f aca="false">C147+C149*INDEX(INDEX(VimFrac,0,9*C153+VLOOKUP(C152,PlanetData,3,0)+1),IF(C153,0,1)+MATCH(C150,INDEX(VimFrac,0,9*C153+VLOOKUP(C152,PlanetData,3,0)+1),IF(C153,-1,1)))</f>
        <v>#N/A</v>
      </c>
      <c r="E148" s="293" t="e">
        <f aca="false">D147+D149*INDEX(INDEX(VimFrac,0,9*D153+VLOOKUP(D152,PlanetData,3,0)+1),IF(D153,0,1)+MATCH(D150,INDEX(VimFrac,0,9*D153+VLOOKUP(D152,PlanetData,3,0)+1),IF(D153,-1,1)))</f>
        <v>#N/A</v>
      </c>
      <c r="F148" s="293" t="e">
        <f aca="false">E147+E149*INDEX(INDEX(VimFrac,0,9*E153+VLOOKUP(E152,PlanetData,3,0)+1),IF(E153,0,1)+MATCH(E150,INDEX(VimFrac,0,9*E153+VLOOKUP(E152,PlanetData,3,0)+1),IF(E153,-1,1)))</f>
        <v>#N/A</v>
      </c>
      <c r="G148" s="293" t="e">
        <f aca="false">F147+F149*INDEX(INDEX(VimFrac,0,9*F153+VLOOKUP(F152,PlanetData,3,0)+1),IF(F153,0,1)+MATCH(F150,INDEX(VimFrac,0,9*F153+VLOOKUP(F152,PlanetData,3,0)+1),IF(F153,-1,1)))</f>
        <v>#N/A</v>
      </c>
      <c r="H148" s="293" t="e">
        <f aca="false">G147+G149*INDEX(INDEX(VimFrac,0,9*G153+VLOOKUP(G152,PlanetData,3,0)+1),IF(G153,0,1)+MATCH(G150,INDEX(VimFrac,0,9*G153+VLOOKUP(G152,PlanetData,3,0)+1),IF(G153,-1,1)))</f>
        <v>#N/A</v>
      </c>
      <c r="J148" s="273" t="n">
        <f aca="false">J152</f>
        <v>0</v>
      </c>
      <c r="K148" s="6" t="n">
        <f aca="false">K140+1</f>
        <v>18</v>
      </c>
    </row>
    <row r="149" customFormat="false" ht="15" hidden="false" customHeight="false" outlineLevel="0" collapsed="false">
      <c r="A149" s="294" t="s">
        <v>456</v>
      </c>
      <c r="B149" s="295" t="n">
        <f aca="false">120*DaysInYear</f>
        <v>43830.5847222218</v>
      </c>
      <c r="C149" s="296" t="e">
        <f aca="false">C148-C147</f>
        <v>#N/A</v>
      </c>
      <c r="D149" s="296" t="e">
        <f aca="false">D148-D147</f>
        <v>#N/A</v>
      </c>
      <c r="E149" s="296" t="e">
        <f aca="false">E148-E147</f>
        <v>#N/A</v>
      </c>
      <c r="F149" s="296" t="e">
        <f aca="false">F148-F147</f>
        <v>#N/A</v>
      </c>
      <c r="G149" s="296" t="e">
        <f aca="false">G148-G147</f>
        <v>#N/A</v>
      </c>
      <c r="H149" s="296" t="e">
        <f aca="false">H148-H147</f>
        <v>#N/A</v>
      </c>
      <c r="K149" s="6" t="n">
        <f aca="false">K141</f>
        <v>0</v>
      </c>
    </row>
    <row r="150" customFormat="false" ht="15" hidden="false" customHeight="false" outlineLevel="0" collapsed="false">
      <c r="A150" s="294" t="s">
        <v>457</v>
      </c>
      <c r="B150" s="297" t="n">
        <f aca="false">(I152-B147)/(B148-B147)</f>
        <v>-0.51488661258669</v>
      </c>
      <c r="C150" s="298" t="e">
        <f aca="false">(I152-C147)/(C148-C147)</f>
        <v>#N/A</v>
      </c>
      <c r="D150" s="298" t="e">
        <f aca="false">(I152-D147)/(D148-D147)</f>
        <v>#N/A</v>
      </c>
      <c r="E150" s="298" t="e">
        <f aca="false">(I152-E147)/(E148-E147)</f>
        <v>#N/A</v>
      </c>
      <c r="F150" s="298" t="e">
        <f aca="false">(I152-F147)/(F148-F147)</f>
        <v>#N/A</v>
      </c>
      <c r="G150" s="298" t="e">
        <f aca="false">(I152-G147)/(G148-G147)</f>
        <v>#N/A</v>
      </c>
      <c r="H150" s="298" t="e">
        <f aca="false">(I152-H147)/(H148-H147)</f>
        <v>#N/A</v>
      </c>
      <c r="K150" s="6" t="n">
        <f aca="false">K142</f>
        <v>0</v>
      </c>
    </row>
    <row r="151" customFormat="false" ht="15" hidden="false" customHeight="false" outlineLevel="0" collapsed="false">
      <c r="A151" s="294" t="s">
        <v>458</v>
      </c>
      <c r="B151" s="295"/>
      <c r="C151" s="296" t="e">
        <f aca="false">MOD(VLOOKUP(B152,PlanetData,3,0)+MATCH(B150,INDEX(VimFrac,,VLOOKUP(B152,PlanetData,3,0)+1),1)-1,9)</f>
        <v>#N/A</v>
      </c>
      <c r="D151" s="296" t="e">
        <f aca="false">MOD(VLOOKUP(C152,PlanetData,3,0)+MATCH(C150,INDEX(VimFrac,0,9*C153+VLOOKUP(C152,PlanetData,3,0)+1),IF(C153,-1,1))-1,9)</f>
        <v>#N/A</v>
      </c>
      <c r="E151" s="296" t="e">
        <f aca="false">MOD(VLOOKUP(D152,PlanetData,3,0)+MATCH(D150,INDEX(VimFrac,0,9*D153+VLOOKUP(D152,PlanetData,3,0)+1),IF(D153,-1,1))-1,9)</f>
        <v>#N/A</v>
      </c>
      <c r="F151" s="296" t="e">
        <f aca="false">MOD(VLOOKUP(E152,PlanetData,3,0)+MATCH(E150,INDEX(VimFrac,0,9*E153+VLOOKUP(E152,PlanetData,3,0)+1),IF(E153,-1,1))-1,9)</f>
        <v>#N/A</v>
      </c>
      <c r="G151" s="296" t="e">
        <f aca="false">MOD(VLOOKUP(F152,PlanetData,3,0)+MATCH(F150,INDEX(VimFrac,0,9*F153+VLOOKUP(F152,PlanetData,3,0)+1),IF(F153,-1,1))-1,9)</f>
        <v>#N/A</v>
      </c>
      <c r="H151" s="296" t="e">
        <f aca="false">MOD(VLOOKUP(G152,PlanetData,3,0)+MATCH(G150,INDEX(VimFrac,0,9*G153+VLOOKUP(G152,PlanetData,3,0)+1),IF(G153,-1,1))-1,9)</f>
        <v>#N/A</v>
      </c>
      <c r="K151" s="6" t="n">
        <f aca="false">K143</f>
        <v>0</v>
      </c>
    </row>
    <row r="152" customFormat="false" ht="15" hidden="false" customHeight="false" outlineLevel="0" collapsed="false">
      <c r="A152" s="294" t="s">
        <v>459</v>
      </c>
      <c r="B152" s="295" t="str">
        <f aca="false">$B$4</f>
        <v>Moon</v>
      </c>
      <c r="C152" s="296" t="e">
        <f aca="false">INDEX(DasaYears,IF(C151=0,9,C151),1)</f>
        <v>#N/A</v>
      </c>
      <c r="D152" s="296" t="e">
        <f aca="false">INDEX(DasaYears,IF(D151=0,9,D151),1)</f>
        <v>#N/A</v>
      </c>
      <c r="E152" s="296" t="e">
        <f aca="false">INDEX(DasaYears,IF(E151=0,9,E151),1)</f>
        <v>#N/A</v>
      </c>
      <c r="F152" s="296" t="e">
        <f aca="false">INDEX(DasaYears,IF(F151=0,9,F151),1)</f>
        <v>#N/A</v>
      </c>
      <c r="G152" s="296" t="e">
        <f aca="false">INDEX(DasaYears,IF(G151=0,9,G151),1)</f>
        <v>#N/A</v>
      </c>
      <c r="H152" s="296" t="e">
        <f aca="false">INDEX(DasaYears,IF(H151=0,9,H151),1)</f>
        <v>#N/A</v>
      </c>
      <c r="I152" s="275" t="n">
        <f aca="true">INDIRECT("'JHora'!$B$"&amp;($K152))</f>
        <v>0</v>
      </c>
      <c r="J152" s="275" t="n">
        <f aca="true">INDIRECT("'JHora'!$C$"&amp;($K152))</f>
        <v>0</v>
      </c>
      <c r="K152" s="6" t="n">
        <f aca="false">K144+1</f>
        <v>18</v>
      </c>
    </row>
    <row r="153" customFormat="false" ht="15" hidden="false" customHeight="false" outlineLevel="0" collapsed="false">
      <c r="A153" s="294" t="s">
        <v>444</v>
      </c>
      <c r="B153" s="295" t="b">
        <f aca="false">$B$7</f>
        <v>1</v>
      </c>
      <c r="C153" s="296" t="e">
        <f aca="false">IF(VLOOKUP(C152,ChartInfo,11,0),1,0)*B153</f>
        <v>#N/A</v>
      </c>
      <c r="D153" s="296" t="e">
        <f aca="false">IF(VLOOKUP(D152,ChartInfo,11,0),1,0)*B153</f>
        <v>#N/A</v>
      </c>
      <c r="E153" s="296" t="e">
        <f aca="false">IF(VLOOKUP(E152,ChartInfo,11,0),1,0)*B153</f>
        <v>#N/A</v>
      </c>
      <c r="F153" s="296" t="e">
        <f aca="false">IF(VLOOKUP(F152,ChartInfo,11,0),1,0)*B153</f>
        <v>#N/A</v>
      </c>
      <c r="G153" s="296" t="e">
        <f aca="false">IF(VLOOKUP(G152,ChartInfo,11,0),1,0)*B153</f>
        <v>#N/A</v>
      </c>
      <c r="H153" s="296" t="e">
        <f aca="false">IF(VLOOKUP(H152,ChartInfo,11,0),1,0)*B153</f>
        <v>#N/A</v>
      </c>
      <c r="K153" s="6" t="n">
        <f aca="false">K145</f>
        <v>0</v>
      </c>
    </row>
    <row r="154" customFormat="false" ht="15" hidden="false" customHeight="false" outlineLevel="0" collapsed="false">
      <c r="K154" s="6" t="n">
        <f aca="false">K146+1</f>
        <v>18</v>
      </c>
    </row>
    <row r="155" customFormat="false" ht="15" hidden="false" customHeight="false" outlineLevel="0" collapsed="false">
      <c r="A155" s="291" t="s">
        <v>454</v>
      </c>
      <c r="B155" s="292" t="n">
        <f aca="false">DoB-$E$6*DaysInYear</f>
        <v>22567.7812953187</v>
      </c>
      <c r="C155" s="293" t="e">
        <f aca="false">B155+B157*INDEX(INDEX(VimFrac,,VLOOKUP(B160,PlanetData,3,0)+1),MATCH(B158,INDEX(VimFrac,,VLOOKUP(B160,PlanetData,3,0)+1),1))</f>
        <v>#N/A</v>
      </c>
      <c r="D155" s="293" t="e">
        <f aca="false">C155+C157*INDEX(INDEX(VimFrac,0,9*C161+VLOOKUP(C160,PlanetData,3,0)+1),IF(C161,1,0)+MATCH(C158,INDEX(VimFrac,0,9*C161+VLOOKUP(C160,PlanetData,3,0)+1),IF(C161,-1,1)))</f>
        <v>#N/A</v>
      </c>
      <c r="E155" s="293" t="e">
        <f aca="false">D155+D157*INDEX(INDEX(VimFrac,0,9*D161+VLOOKUP(D160,PlanetData,3,0)+1),IF(D161,1,0)+MATCH(D158,INDEX(VimFrac,0,9*D161+VLOOKUP(D160,PlanetData,3,0)+1),IF(D161,-1,1)))</f>
        <v>#N/A</v>
      </c>
      <c r="F155" s="293" t="e">
        <f aca="false">E155+E157*INDEX(INDEX(VimFrac,0,9*E161+VLOOKUP(E160,PlanetData,3,0)+1),IF(E161,1,0)+MATCH(E158,INDEX(VimFrac,0,9*E161+VLOOKUP(E160,PlanetData,3,0)+1),IF(E161,-1,1)))</f>
        <v>#N/A</v>
      </c>
      <c r="G155" s="293" t="e">
        <f aca="false">F155+F157*INDEX(INDEX(VimFrac,0,9*F161+VLOOKUP(F160,PlanetData,3,0)+1),IF(F161,1,0)+MATCH(F158,INDEX(VimFrac,0,9*F161+VLOOKUP(F160,PlanetData,3,0)+1),IF(F161,-1,1)))</f>
        <v>#N/A</v>
      </c>
      <c r="H155" s="293" t="e">
        <f aca="false">G155+G157*INDEX(INDEX(VimFrac,0,9*G161+VLOOKUP(G160,PlanetData,3,0)+1),IF(G161,1,0)+MATCH(G158,INDEX(VimFrac,0,9*G161+VLOOKUP(G160,PlanetData,3,0)+1),IF(G161,-1,1)))</f>
        <v>#N/A</v>
      </c>
      <c r="J155" s="273" t="n">
        <f aca="false">J160</f>
        <v>0</v>
      </c>
      <c r="K155" s="6" t="n">
        <f aca="false">K147+1</f>
        <v>19</v>
      </c>
    </row>
    <row r="156" customFormat="false" ht="15" hidden="false" customHeight="false" outlineLevel="0" collapsed="false">
      <c r="A156" s="291" t="s">
        <v>455</v>
      </c>
      <c r="B156" s="292" t="n">
        <f aca="false">B155+B157</f>
        <v>66398.3660175406</v>
      </c>
      <c r="C156" s="293" t="e">
        <f aca="false">B155+B157*INDEX(INDEX(VimFrac,,VLOOKUP(B160,PlanetData,3,0)+1),MATCH(B158,INDEX(VimFrac,,VLOOKUP(B160,PlanetData,3,0)+1),1)+1)</f>
        <v>#N/A</v>
      </c>
      <c r="D156" s="293" t="e">
        <f aca="false">C155+C157*INDEX(INDEX(VimFrac,0,9*C161+VLOOKUP(C160,PlanetData,3,0)+1),IF(C161,0,1)+MATCH(C158,INDEX(VimFrac,0,9*C161+VLOOKUP(C160,PlanetData,3,0)+1),IF(C161,-1,1)))</f>
        <v>#N/A</v>
      </c>
      <c r="E156" s="293" t="e">
        <f aca="false">D155+D157*INDEX(INDEX(VimFrac,0,9*D161+VLOOKUP(D160,PlanetData,3,0)+1),IF(D161,0,1)+MATCH(D158,INDEX(VimFrac,0,9*D161+VLOOKUP(D160,PlanetData,3,0)+1),IF(D161,-1,1)))</f>
        <v>#N/A</v>
      </c>
      <c r="F156" s="293" t="e">
        <f aca="false">E155+E157*INDEX(INDEX(VimFrac,0,9*E161+VLOOKUP(E160,PlanetData,3,0)+1),IF(E161,0,1)+MATCH(E158,INDEX(VimFrac,0,9*E161+VLOOKUP(E160,PlanetData,3,0)+1),IF(E161,-1,1)))</f>
        <v>#N/A</v>
      </c>
      <c r="G156" s="293" t="e">
        <f aca="false">F155+F157*INDEX(INDEX(VimFrac,0,9*F161+VLOOKUP(F160,PlanetData,3,0)+1),IF(F161,0,1)+MATCH(F158,INDEX(VimFrac,0,9*F161+VLOOKUP(F160,PlanetData,3,0)+1),IF(F161,-1,1)))</f>
        <v>#N/A</v>
      </c>
      <c r="H156" s="293" t="e">
        <f aca="false">G155+G157*INDEX(INDEX(VimFrac,0,9*G161+VLOOKUP(G160,PlanetData,3,0)+1),IF(G161,0,1)+MATCH(G158,INDEX(VimFrac,0,9*G161+VLOOKUP(G160,PlanetData,3,0)+1),IF(G161,-1,1)))</f>
        <v>#N/A</v>
      </c>
      <c r="J156" s="273" t="n">
        <f aca="false">J160</f>
        <v>0</v>
      </c>
      <c r="K156" s="6" t="n">
        <f aca="false">K148+1</f>
        <v>19</v>
      </c>
    </row>
    <row r="157" customFormat="false" ht="15" hidden="false" customHeight="false" outlineLevel="0" collapsed="false">
      <c r="A157" s="294" t="s">
        <v>456</v>
      </c>
      <c r="B157" s="295" t="n">
        <f aca="false">120*DaysInYear</f>
        <v>43830.5847222218</v>
      </c>
      <c r="C157" s="296" t="e">
        <f aca="false">C156-C155</f>
        <v>#N/A</v>
      </c>
      <c r="D157" s="296" t="e">
        <f aca="false">D156-D155</f>
        <v>#N/A</v>
      </c>
      <c r="E157" s="296" t="e">
        <f aca="false">E156-E155</f>
        <v>#N/A</v>
      </c>
      <c r="F157" s="296" t="e">
        <f aca="false">F156-F155</f>
        <v>#N/A</v>
      </c>
      <c r="G157" s="296" t="e">
        <f aca="false">G156-G155</f>
        <v>#N/A</v>
      </c>
      <c r="H157" s="296" t="e">
        <f aca="false">H156-H155</f>
        <v>#N/A</v>
      </c>
      <c r="K157" s="6" t="n">
        <f aca="false">K149</f>
        <v>0</v>
      </c>
    </row>
    <row r="158" customFormat="false" ht="15" hidden="false" customHeight="false" outlineLevel="0" collapsed="false">
      <c r="A158" s="294" t="s">
        <v>457</v>
      </c>
      <c r="B158" s="297" t="n">
        <f aca="false">(I160-B155)/(B156-B155)</f>
        <v>-0.51488661258669</v>
      </c>
      <c r="C158" s="298" t="e">
        <f aca="false">(I160-C155)/(C156-C155)</f>
        <v>#N/A</v>
      </c>
      <c r="D158" s="298" t="e">
        <f aca="false">(I160-D155)/(D156-D155)</f>
        <v>#N/A</v>
      </c>
      <c r="E158" s="298" t="e">
        <f aca="false">(I160-E155)/(E156-E155)</f>
        <v>#N/A</v>
      </c>
      <c r="F158" s="298" t="e">
        <f aca="false">(I160-F155)/(F156-F155)</f>
        <v>#N/A</v>
      </c>
      <c r="G158" s="298" t="e">
        <f aca="false">(I160-G155)/(G156-G155)</f>
        <v>#N/A</v>
      </c>
      <c r="H158" s="298" t="e">
        <f aca="false">(I160-H155)/(H156-H155)</f>
        <v>#N/A</v>
      </c>
      <c r="K158" s="6" t="n">
        <f aca="false">K150</f>
        <v>0</v>
      </c>
    </row>
    <row r="159" customFormat="false" ht="15" hidden="false" customHeight="false" outlineLevel="0" collapsed="false">
      <c r="A159" s="294" t="s">
        <v>458</v>
      </c>
      <c r="B159" s="295"/>
      <c r="C159" s="296" t="e">
        <f aca="false">MOD(VLOOKUP(B160,PlanetData,3,0)+MATCH(B158,INDEX(VimFrac,,VLOOKUP(B160,PlanetData,3,0)+1),1)-1,9)</f>
        <v>#N/A</v>
      </c>
      <c r="D159" s="296" t="e">
        <f aca="false">MOD(VLOOKUP(C160,PlanetData,3,0)+MATCH(C158,INDEX(VimFrac,0,9*C161+VLOOKUP(C160,PlanetData,3,0)+1),IF(C161,-1,1))-1,9)</f>
        <v>#N/A</v>
      </c>
      <c r="E159" s="296" t="e">
        <f aca="false">MOD(VLOOKUP(D160,PlanetData,3,0)+MATCH(D158,INDEX(VimFrac,0,9*D161+VLOOKUP(D160,PlanetData,3,0)+1),IF(D161,-1,1))-1,9)</f>
        <v>#N/A</v>
      </c>
      <c r="F159" s="296" t="e">
        <f aca="false">MOD(VLOOKUP(E160,PlanetData,3,0)+MATCH(E158,INDEX(VimFrac,0,9*E161+VLOOKUP(E160,PlanetData,3,0)+1),IF(E161,-1,1))-1,9)</f>
        <v>#N/A</v>
      </c>
      <c r="G159" s="296" t="e">
        <f aca="false">MOD(VLOOKUP(F160,PlanetData,3,0)+MATCH(F158,INDEX(VimFrac,0,9*F161+VLOOKUP(F160,PlanetData,3,0)+1),IF(F161,-1,1))-1,9)</f>
        <v>#N/A</v>
      </c>
      <c r="H159" s="296" t="e">
        <f aca="false">MOD(VLOOKUP(G160,PlanetData,3,0)+MATCH(G158,INDEX(VimFrac,0,9*G161+VLOOKUP(G160,PlanetData,3,0)+1),IF(G161,-1,1))-1,9)</f>
        <v>#N/A</v>
      </c>
      <c r="K159" s="6" t="n">
        <f aca="false">K151</f>
        <v>0</v>
      </c>
    </row>
    <row r="160" customFormat="false" ht="15" hidden="false" customHeight="false" outlineLevel="0" collapsed="false">
      <c r="A160" s="294" t="s">
        <v>459</v>
      </c>
      <c r="B160" s="295" t="str">
        <f aca="false">$B$4</f>
        <v>Moon</v>
      </c>
      <c r="C160" s="296" t="e">
        <f aca="false">INDEX(DasaYears,IF(C159=0,9,C159),1)</f>
        <v>#N/A</v>
      </c>
      <c r="D160" s="296" t="e">
        <f aca="false">INDEX(DasaYears,IF(D159=0,9,D159),1)</f>
        <v>#N/A</v>
      </c>
      <c r="E160" s="296" t="e">
        <f aca="false">INDEX(DasaYears,IF(E159=0,9,E159),1)</f>
        <v>#N/A</v>
      </c>
      <c r="F160" s="296" t="e">
        <f aca="false">INDEX(DasaYears,IF(F159=0,9,F159),1)</f>
        <v>#N/A</v>
      </c>
      <c r="G160" s="296" t="e">
        <f aca="false">INDEX(DasaYears,IF(G159=0,9,G159),1)</f>
        <v>#N/A</v>
      </c>
      <c r="H160" s="296" t="e">
        <f aca="false">INDEX(DasaYears,IF(H159=0,9,H159),1)</f>
        <v>#N/A</v>
      </c>
      <c r="I160" s="275" t="n">
        <f aca="true">INDIRECT("'JHora'!$B$"&amp;($K160))</f>
        <v>0</v>
      </c>
      <c r="J160" s="275" t="n">
        <f aca="true">INDIRECT("'JHora'!$C$"&amp;($K160))</f>
        <v>0</v>
      </c>
      <c r="K160" s="6" t="n">
        <f aca="false">K152+1</f>
        <v>19</v>
      </c>
    </row>
    <row r="161" customFormat="false" ht="15" hidden="false" customHeight="false" outlineLevel="0" collapsed="false">
      <c r="A161" s="294" t="s">
        <v>444</v>
      </c>
      <c r="B161" s="295" t="b">
        <f aca="false">$B$7</f>
        <v>1</v>
      </c>
      <c r="C161" s="296" t="e">
        <f aca="false">IF(VLOOKUP(C160,ChartInfo,11,0),1,0)*B161</f>
        <v>#N/A</v>
      </c>
      <c r="D161" s="296" t="e">
        <f aca="false">IF(VLOOKUP(D160,ChartInfo,11,0),1,0)*B161</f>
        <v>#N/A</v>
      </c>
      <c r="E161" s="296" t="e">
        <f aca="false">IF(VLOOKUP(E160,ChartInfo,11,0),1,0)*B161</f>
        <v>#N/A</v>
      </c>
      <c r="F161" s="296" t="e">
        <f aca="false">IF(VLOOKUP(F160,ChartInfo,11,0),1,0)*B161</f>
        <v>#N/A</v>
      </c>
      <c r="G161" s="296" t="e">
        <f aca="false">IF(VLOOKUP(G160,ChartInfo,11,0),1,0)*B161</f>
        <v>#N/A</v>
      </c>
      <c r="H161" s="296" t="e">
        <f aca="false">IF(VLOOKUP(H160,ChartInfo,11,0),1,0)*B161</f>
        <v>#N/A</v>
      </c>
      <c r="K161" s="6" t="n">
        <f aca="false">K153</f>
        <v>0</v>
      </c>
    </row>
    <row r="162" customFormat="false" ht="15" hidden="false" customHeight="false" outlineLevel="0" collapsed="false">
      <c r="K162" s="6" t="n">
        <f aca="false">K154+1</f>
        <v>19</v>
      </c>
    </row>
    <row r="163" customFormat="false" ht="15" hidden="false" customHeight="false" outlineLevel="0" collapsed="false">
      <c r="A163" s="291" t="s">
        <v>454</v>
      </c>
      <c r="B163" s="292" t="n">
        <f aca="false">DoB-$E$6*DaysInYear</f>
        <v>22567.7812953187</v>
      </c>
      <c r="C163" s="293" t="e">
        <f aca="false">B163+B165*INDEX(INDEX(VimFrac,,VLOOKUP(B168,PlanetData,3,0)+1),MATCH(B166,INDEX(VimFrac,,VLOOKUP(B168,PlanetData,3,0)+1),1))</f>
        <v>#N/A</v>
      </c>
      <c r="D163" s="293" t="e">
        <f aca="false">C163+C165*INDEX(INDEX(VimFrac,0,9*C169+VLOOKUP(C168,PlanetData,3,0)+1),IF(C169,1,0)+MATCH(C166,INDEX(VimFrac,0,9*C169+VLOOKUP(C168,PlanetData,3,0)+1),IF(C169,-1,1)))</f>
        <v>#N/A</v>
      </c>
      <c r="E163" s="293" t="e">
        <f aca="false">D163+D165*INDEX(INDEX(VimFrac,0,9*D169+VLOOKUP(D168,PlanetData,3,0)+1),IF(D169,1,0)+MATCH(D166,INDEX(VimFrac,0,9*D169+VLOOKUP(D168,PlanetData,3,0)+1),IF(D169,-1,1)))</f>
        <v>#N/A</v>
      </c>
      <c r="F163" s="293" t="e">
        <f aca="false">E163+E165*INDEX(INDEX(VimFrac,0,9*E169+VLOOKUP(E168,PlanetData,3,0)+1),IF(E169,1,0)+MATCH(E166,INDEX(VimFrac,0,9*E169+VLOOKUP(E168,PlanetData,3,0)+1),IF(E169,-1,1)))</f>
        <v>#N/A</v>
      </c>
      <c r="G163" s="293" t="e">
        <f aca="false">F163+F165*INDEX(INDEX(VimFrac,0,9*F169+VLOOKUP(F168,PlanetData,3,0)+1),IF(F169,1,0)+MATCH(F166,INDEX(VimFrac,0,9*F169+VLOOKUP(F168,PlanetData,3,0)+1),IF(F169,-1,1)))</f>
        <v>#N/A</v>
      </c>
      <c r="H163" s="293" t="e">
        <f aca="false">G163+G165*INDEX(INDEX(VimFrac,0,9*G169+VLOOKUP(G168,PlanetData,3,0)+1),IF(G169,1,0)+MATCH(G166,INDEX(VimFrac,0,9*G169+VLOOKUP(G168,PlanetData,3,0)+1),IF(G169,-1,1)))</f>
        <v>#N/A</v>
      </c>
      <c r="J163" s="273" t="n">
        <f aca="false">J168</f>
        <v>0</v>
      </c>
      <c r="K163" s="6" t="n">
        <f aca="false">K155+1</f>
        <v>20</v>
      </c>
    </row>
    <row r="164" customFormat="false" ht="15" hidden="false" customHeight="false" outlineLevel="0" collapsed="false">
      <c r="A164" s="291" t="s">
        <v>455</v>
      </c>
      <c r="B164" s="292" t="n">
        <f aca="false">B163+B165</f>
        <v>66398.3660175406</v>
      </c>
      <c r="C164" s="293" t="e">
        <f aca="false">B163+B165*INDEX(INDEX(VimFrac,,VLOOKUP(B168,PlanetData,3,0)+1),MATCH(B166,INDEX(VimFrac,,VLOOKUP(B168,PlanetData,3,0)+1),1)+1)</f>
        <v>#N/A</v>
      </c>
      <c r="D164" s="293" t="e">
        <f aca="false">C163+C165*INDEX(INDEX(VimFrac,0,9*C169+VLOOKUP(C168,PlanetData,3,0)+1),IF(C169,0,1)+MATCH(C166,INDEX(VimFrac,0,9*C169+VLOOKUP(C168,PlanetData,3,0)+1),IF(C169,-1,1)))</f>
        <v>#N/A</v>
      </c>
      <c r="E164" s="293" t="e">
        <f aca="false">D163+D165*INDEX(INDEX(VimFrac,0,9*D169+VLOOKUP(D168,PlanetData,3,0)+1),IF(D169,0,1)+MATCH(D166,INDEX(VimFrac,0,9*D169+VLOOKUP(D168,PlanetData,3,0)+1),IF(D169,-1,1)))</f>
        <v>#N/A</v>
      </c>
      <c r="F164" s="293" t="e">
        <f aca="false">E163+E165*INDEX(INDEX(VimFrac,0,9*E169+VLOOKUP(E168,PlanetData,3,0)+1),IF(E169,0,1)+MATCH(E166,INDEX(VimFrac,0,9*E169+VLOOKUP(E168,PlanetData,3,0)+1),IF(E169,-1,1)))</f>
        <v>#N/A</v>
      </c>
      <c r="G164" s="293" t="e">
        <f aca="false">F163+F165*INDEX(INDEX(VimFrac,0,9*F169+VLOOKUP(F168,PlanetData,3,0)+1),IF(F169,0,1)+MATCH(F166,INDEX(VimFrac,0,9*F169+VLOOKUP(F168,PlanetData,3,0)+1),IF(F169,-1,1)))</f>
        <v>#N/A</v>
      </c>
      <c r="H164" s="293" t="e">
        <f aca="false">G163+G165*INDEX(INDEX(VimFrac,0,9*G169+VLOOKUP(G168,PlanetData,3,0)+1),IF(G169,0,1)+MATCH(G166,INDEX(VimFrac,0,9*G169+VLOOKUP(G168,PlanetData,3,0)+1),IF(G169,-1,1)))</f>
        <v>#N/A</v>
      </c>
      <c r="J164" s="273" t="n">
        <f aca="false">J168</f>
        <v>0</v>
      </c>
      <c r="K164" s="6" t="n">
        <f aca="false">K156+1</f>
        <v>20</v>
      </c>
    </row>
    <row r="165" customFormat="false" ht="15" hidden="false" customHeight="false" outlineLevel="0" collapsed="false">
      <c r="A165" s="294" t="s">
        <v>456</v>
      </c>
      <c r="B165" s="295" t="n">
        <f aca="false">120*DaysInYear</f>
        <v>43830.5847222218</v>
      </c>
      <c r="C165" s="296" t="e">
        <f aca="false">C164-C163</f>
        <v>#N/A</v>
      </c>
      <c r="D165" s="296" t="e">
        <f aca="false">D164-D163</f>
        <v>#N/A</v>
      </c>
      <c r="E165" s="296" t="e">
        <f aca="false">E164-E163</f>
        <v>#N/A</v>
      </c>
      <c r="F165" s="296" t="e">
        <f aca="false">F164-F163</f>
        <v>#N/A</v>
      </c>
      <c r="G165" s="296" t="e">
        <f aca="false">G164-G163</f>
        <v>#N/A</v>
      </c>
      <c r="H165" s="296" t="e">
        <f aca="false">H164-H163</f>
        <v>#N/A</v>
      </c>
      <c r="K165" s="6" t="n">
        <f aca="false">K157</f>
        <v>0</v>
      </c>
    </row>
    <row r="166" customFormat="false" ht="15" hidden="false" customHeight="false" outlineLevel="0" collapsed="false">
      <c r="A166" s="294" t="s">
        <v>457</v>
      </c>
      <c r="B166" s="297" t="n">
        <f aca="false">(I168-B163)/(B164-B163)</f>
        <v>-0.51488661258669</v>
      </c>
      <c r="C166" s="298" t="e">
        <f aca="false">(I168-C163)/(C164-C163)</f>
        <v>#N/A</v>
      </c>
      <c r="D166" s="298" t="e">
        <f aca="false">(I168-D163)/(D164-D163)</f>
        <v>#N/A</v>
      </c>
      <c r="E166" s="298" t="e">
        <f aca="false">(I168-E163)/(E164-E163)</f>
        <v>#N/A</v>
      </c>
      <c r="F166" s="298" t="e">
        <f aca="false">(I168-F163)/(F164-F163)</f>
        <v>#N/A</v>
      </c>
      <c r="G166" s="298" t="e">
        <f aca="false">(I168-G163)/(G164-G163)</f>
        <v>#N/A</v>
      </c>
      <c r="H166" s="298" t="e">
        <f aca="false">(I168-H163)/(H164-H163)</f>
        <v>#N/A</v>
      </c>
      <c r="K166" s="6" t="n">
        <f aca="false">K158</f>
        <v>0</v>
      </c>
    </row>
    <row r="167" customFormat="false" ht="15" hidden="false" customHeight="false" outlineLevel="0" collapsed="false">
      <c r="A167" s="294" t="s">
        <v>458</v>
      </c>
      <c r="B167" s="295"/>
      <c r="C167" s="296" t="e">
        <f aca="false">MOD(VLOOKUP(B168,PlanetData,3,0)+MATCH(B166,INDEX(VimFrac,,VLOOKUP(B168,PlanetData,3,0)+1),1)-1,9)</f>
        <v>#N/A</v>
      </c>
      <c r="D167" s="296" t="e">
        <f aca="false">MOD(VLOOKUP(C168,PlanetData,3,0)+MATCH(C166,INDEX(VimFrac,0,9*C169+VLOOKUP(C168,PlanetData,3,0)+1),IF(C169,-1,1))-1,9)</f>
        <v>#N/A</v>
      </c>
      <c r="E167" s="296" t="e">
        <f aca="false">MOD(VLOOKUP(D168,PlanetData,3,0)+MATCH(D166,INDEX(VimFrac,0,9*D169+VLOOKUP(D168,PlanetData,3,0)+1),IF(D169,-1,1))-1,9)</f>
        <v>#N/A</v>
      </c>
      <c r="F167" s="296" t="e">
        <f aca="false">MOD(VLOOKUP(E168,PlanetData,3,0)+MATCH(E166,INDEX(VimFrac,0,9*E169+VLOOKUP(E168,PlanetData,3,0)+1),IF(E169,-1,1))-1,9)</f>
        <v>#N/A</v>
      </c>
      <c r="G167" s="296" t="e">
        <f aca="false">MOD(VLOOKUP(F168,PlanetData,3,0)+MATCH(F166,INDEX(VimFrac,0,9*F169+VLOOKUP(F168,PlanetData,3,0)+1),IF(F169,-1,1))-1,9)</f>
        <v>#N/A</v>
      </c>
      <c r="H167" s="296" t="e">
        <f aca="false">MOD(VLOOKUP(G168,PlanetData,3,0)+MATCH(G166,INDEX(VimFrac,0,9*G169+VLOOKUP(G168,PlanetData,3,0)+1),IF(G169,-1,1))-1,9)</f>
        <v>#N/A</v>
      </c>
      <c r="K167" s="6" t="n">
        <f aca="false">K159</f>
        <v>0</v>
      </c>
    </row>
    <row r="168" customFormat="false" ht="15" hidden="false" customHeight="false" outlineLevel="0" collapsed="false">
      <c r="A168" s="294" t="s">
        <v>459</v>
      </c>
      <c r="B168" s="295" t="str">
        <f aca="false">$B$4</f>
        <v>Moon</v>
      </c>
      <c r="C168" s="296" t="e">
        <f aca="false">INDEX(DasaYears,IF(C167=0,9,C167),1)</f>
        <v>#N/A</v>
      </c>
      <c r="D168" s="296" t="e">
        <f aca="false">INDEX(DasaYears,IF(D167=0,9,D167),1)</f>
        <v>#N/A</v>
      </c>
      <c r="E168" s="296" t="e">
        <f aca="false">INDEX(DasaYears,IF(E167=0,9,E167),1)</f>
        <v>#N/A</v>
      </c>
      <c r="F168" s="296" t="e">
        <f aca="false">INDEX(DasaYears,IF(F167=0,9,F167),1)</f>
        <v>#N/A</v>
      </c>
      <c r="G168" s="296" t="e">
        <f aca="false">INDEX(DasaYears,IF(G167=0,9,G167),1)</f>
        <v>#N/A</v>
      </c>
      <c r="H168" s="296" t="e">
        <f aca="false">INDEX(DasaYears,IF(H167=0,9,H167),1)</f>
        <v>#N/A</v>
      </c>
      <c r="I168" s="275" t="n">
        <f aca="true">INDIRECT("'JHora'!$B$"&amp;($K168))</f>
        <v>0</v>
      </c>
      <c r="J168" s="275" t="n">
        <f aca="true">INDIRECT("'JHora'!$C$"&amp;($K168))</f>
        <v>0</v>
      </c>
      <c r="K168" s="6" t="n">
        <f aca="false">K160+1</f>
        <v>20</v>
      </c>
    </row>
    <row r="169" customFormat="false" ht="15" hidden="false" customHeight="false" outlineLevel="0" collapsed="false">
      <c r="A169" s="294" t="s">
        <v>444</v>
      </c>
      <c r="B169" s="295" t="b">
        <f aca="false">$B$7</f>
        <v>1</v>
      </c>
      <c r="C169" s="296" t="e">
        <f aca="false">IF(VLOOKUP(C168,ChartInfo,11,0),1,0)*B169</f>
        <v>#N/A</v>
      </c>
      <c r="D169" s="296" t="e">
        <f aca="false">IF(VLOOKUP(D168,ChartInfo,11,0),1,0)*B169</f>
        <v>#N/A</v>
      </c>
      <c r="E169" s="296" t="e">
        <f aca="false">IF(VLOOKUP(E168,ChartInfo,11,0),1,0)*B169</f>
        <v>#N/A</v>
      </c>
      <c r="F169" s="296" t="e">
        <f aca="false">IF(VLOOKUP(F168,ChartInfo,11,0),1,0)*B169</f>
        <v>#N/A</v>
      </c>
      <c r="G169" s="296" t="e">
        <f aca="false">IF(VLOOKUP(G168,ChartInfo,11,0),1,0)*B169</f>
        <v>#N/A</v>
      </c>
      <c r="H169" s="296" t="e">
        <f aca="false">IF(VLOOKUP(H168,ChartInfo,11,0),1,0)*B169</f>
        <v>#N/A</v>
      </c>
      <c r="K169" s="6" t="n">
        <f aca="false">K161</f>
        <v>0</v>
      </c>
    </row>
    <row r="170" customFormat="false" ht="15" hidden="false" customHeight="false" outlineLevel="0" collapsed="false">
      <c r="K170" s="6" t="n">
        <f aca="false">K162+1</f>
        <v>20</v>
      </c>
    </row>
    <row r="171" customFormat="false" ht="15" hidden="false" customHeight="false" outlineLevel="0" collapsed="false">
      <c r="A171" s="291" t="s">
        <v>454</v>
      </c>
      <c r="B171" s="292" t="n">
        <f aca="false">DoB-$E$6*DaysInYear</f>
        <v>22567.7812953187</v>
      </c>
      <c r="C171" s="293" t="e">
        <f aca="false">B171+B173*INDEX(INDEX(VimFrac,,VLOOKUP(B176,PlanetData,3,0)+1),MATCH(B174,INDEX(VimFrac,,VLOOKUP(B176,PlanetData,3,0)+1),1))</f>
        <v>#N/A</v>
      </c>
      <c r="D171" s="293" t="e">
        <f aca="false">C171+C173*INDEX(INDEX(VimFrac,0,9*C177+VLOOKUP(C176,PlanetData,3,0)+1),IF(C177,1,0)+MATCH(C174,INDEX(VimFrac,0,9*C177+VLOOKUP(C176,PlanetData,3,0)+1),IF(C177,-1,1)))</f>
        <v>#N/A</v>
      </c>
      <c r="E171" s="293" t="e">
        <f aca="false">D171+D173*INDEX(INDEX(VimFrac,0,9*D177+VLOOKUP(D176,PlanetData,3,0)+1),IF(D177,1,0)+MATCH(D174,INDEX(VimFrac,0,9*D177+VLOOKUP(D176,PlanetData,3,0)+1),IF(D177,-1,1)))</f>
        <v>#N/A</v>
      </c>
      <c r="F171" s="293" t="e">
        <f aca="false">E171+E173*INDEX(INDEX(VimFrac,0,9*E177+VLOOKUP(E176,PlanetData,3,0)+1),IF(E177,1,0)+MATCH(E174,INDEX(VimFrac,0,9*E177+VLOOKUP(E176,PlanetData,3,0)+1),IF(E177,-1,1)))</f>
        <v>#N/A</v>
      </c>
      <c r="G171" s="293" t="e">
        <f aca="false">F171+F173*INDEX(INDEX(VimFrac,0,9*F177+VLOOKUP(F176,PlanetData,3,0)+1),IF(F177,1,0)+MATCH(F174,INDEX(VimFrac,0,9*F177+VLOOKUP(F176,PlanetData,3,0)+1),IF(F177,-1,1)))</f>
        <v>#N/A</v>
      </c>
      <c r="H171" s="293" t="e">
        <f aca="false">G171+G173*INDEX(INDEX(VimFrac,0,9*G177+VLOOKUP(G176,PlanetData,3,0)+1),IF(G177,1,0)+MATCH(G174,INDEX(VimFrac,0,9*G177+VLOOKUP(G176,PlanetData,3,0)+1),IF(G177,-1,1)))</f>
        <v>#N/A</v>
      </c>
      <c r="J171" s="273" t="n">
        <f aca="false">J176</f>
        <v>0</v>
      </c>
      <c r="K171" s="6" t="n">
        <f aca="false">K163+1</f>
        <v>21</v>
      </c>
    </row>
    <row r="172" customFormat="false" ht="15" hidden="false" customHeight="false" outlineLevel="0" collapsed="false">
      <c r="A172" s="291" t="s">
        <v>455</v>
      </c>
      <c r="B172" s="292" t="n">
        <f aca="false">B171+B173</f>
        <v>66398.3660175406</v>
      </c>
      <c r="C172" s="293" t="e">
        <f aca="false">B171+B173*INDEX(INDEX(VimFrac,,VLOOKUP(B176,PlanetData,3,0)+1),MATCH(B174,INDEX(VimFrac,,VLOOKUP(B176,PlanetData,3,0)+1),1)+1)</f>
        <v>#N/A</v>
      </c>
      <c r="D172" s="293" t="e">
        <f aca="false">C171+C173*INDEX(INDEX(VimFrac,0,9*C177+VLOOKUP(C176,PlanetData,3,0)+1),IF(C177,0,1)+MATCH(C174,INDEX(VimFrac,0,9*C177+VLOOKUP(C176,PlanetData,3,0)+1),IF(C177,-1,1)))</f>
        <v>#N/A</v>
      </c>
      <c r="E172" s="293" t="e">
        <f aca="false">D171+D173*INDEX(INDEX(VimFrac,0,9*D177+VLOOKUP(D176,PlanetData,3,0)+1),IF(D177,0,1)+MATCH(D174,INDEX(VimFrac,0,9*D177+VLOOKUP(D176,PlanetData,3,0)+1),IF(D177,-1,1)))</f>
        <v>#N/A</v>
      </c>
      <c r="F172" s="293" t="e">
        <f aca="false">E171+E173*INDEX(INDEX(VimFrac,0,9*E177+VLOOKUP(E176,PlanetData,3,0)+1),IF(E177,0,1)+MATCH(E174,INDEX(VimFrac,0,9*E177+VLOOKUP(E176,PlanetData,3,0)+1),IF(E177,-1,1)))</f>
        <v>#N/A</v>
      </c>
      <c r="G172" s="293" t="e">
        <f aca="false">F171+F173*INDEX(INDEX(VimFrac,0,9*F177+VLOOKUP(F176,PlanetData,3,0)+1),IF(F177,0,1)+MATCH(F174,INDEX(VimFrac,0,9*F177+VLOOKUP(F176,PlanetData,3,0)+1),IF(F177,-1,1)))</f>
        <v>#N/A</v>
      </c>
      <c r="H172" s="293" t="e">
        <f aca="false">G171+G173*INDEX(INDEX(VimFrac,0,9*G177+VLOOKUP(G176,PlanetData,3,0)+1),IF(G177,0,1)+MATCH(G174,INDEX(VimFrac,0,9*G177+VLOOKUP(G176,PlanetData,3,0)+1),IF(G177,-1,1)))</f>
        <v>#N/A</v>
      </c>
      <c r="J172" s="273" t="n">
        <f aca="false">J176</f>
        <v>0</v>
      </c>
      <c r="K172" s="6" t="n">
        <f aca="false">K164+1</f>
        <v>21</v>
      </c>
    </row>
    <row r="173" customFormat="false" ht="15" hidden="false" customHeight="false" outlineLevel="0" collapsed="false">
      <c r="A173" s="294" t="s">
        <v>456</v>
      </c>
      <c r="B173" s="295" t="n">
        <f aca="false">120*DaysInYear</f>
        <v>43830.5847222218</v>
      </c>
      <c r="C173" s="296" t="e">
        <f aca="false">C172-C171</f>
        <v>#N/A</v>
      </c>
      <c r="D173" s="296" t="e">
        <f aca="false">D172-D171</f>
        <v>#N/A</v>
      </c>
      <c r="E173" s="296" t="e">
        <f aca="false">E172-E171</f>
        <v>#N/A</v>
      </c>
      <c r="F173" s="296" t="e">
        <f aca="false">F172-F171</f>
        <v>#N/A</v>
      </c>
      <c r="G173" s="296" t="e">
        <f aca="false">G172-G171</f>
        <v>#N/A</v>
      </c>
      <c r="H173" s="296" t="e">
        <f aca="false">H172-H171</f>
        <v>#N/A</v>
      </c>
      <c r="K173" s="6" t="n">
        <f aca="false">K165</f>
        <v>0</v>
      </c>
    </row>
    <row r="174" customFormat="false" ht="15" hidden="false" customHeight="false" outlineLevel="0" collapsed="false">
      <c r="A174" s="294" t="s">
        <v>457</v>
      </c>
      <c r="B174" s="297" t="n">
        <f aca="false">(I176-B171)/(B172-B171)</f>
        <v>-0.51488661258669</v>
      </c>
      <c r="C174" s="298" t="e">
        <f aca="false">(I176-C171)/(C172-C171)</f>
        <v>#N/A</v>
      </c>
      <c r="D174" s="298" t="e">
        <f aca="false">(I176-D171)/(D172-D171)</f>
        <v>#N/A</v>
      </c>
      <c r="E174" s="298" t="e">
        <f aca="false">(I176-E171)/(E172-E171)</f>
        <v>#N/A</v>
      </c>
      <c r="F174" s="298" t="e">
        <f aca="false">(I176-F171)/(F172-F171)</f>
        <v>#N/A</v>
      </c>
      <c r="G174" s="298" t="e">
        <f aca="false">(I176-G171)/(G172-G171)</f>
        <v>#N/A</v>
      </c>
      <c r="H174" s="298" t="e">
        <f aca="false">(I176-H171)/(H172-H171)</f>
        <v>#N/A</v>
      </c>
      <c r="K174" s="6" t="n">
        <f aca="false">K166</f>
        <v>0</v>
      </c>
    </row>
    <row r="175" customFormat="false" ht="15" hidden="false" customHeight="false" outlineLevel="0" collapsed="false">
      <c r="A175" s="294" t="s">
        <v>458</v>
      </c>
      <c r="B175" s="295"/>
      <c r="C175" s="296" t="e">
        <f aca="false">MOD(VLOOKUP(B176,PlanetData,3,0)+MATCH(B174,INDEX(VimFrac,,VLOOKUP(B176,PlanetData,3,0)+1),1)-1,9)</f>
        <v>#N/A</v>
      </c>
      <c r="D175" s="296" t="e">
        <f aca="false">MOD(VLOOKUP(C176,PlanetData,3,0)+MATCH(C174,INDEX(VimFrac,0,9*C177+VLOOKUP(C176,PlanetData,3,0)+1),IF(C177,-1,1))-1,9)</f>
        <v>#N/A</v>
      </c>
      <c r="E175" s="296" t="e">
        <f aca="false">MOD(VLOOKUP(D176,PlanetData,3,0)+MATCH(D174,INDEX(VimFrac,0,9*D177+VLOOKUP(D176,PlanetData,3,0)+1),IF(D177,-1,1))-1,9)</f>
        <v>#N/A</v>
      </c>
      <c r="F175" s="296" t="e">
        <f aca="false">MOD(VLOOKUP(E176,PlanetData,3,0)+MATCH(E174,INDEX(VimFrac,0,9*E177+VLOOKUP(E176,PlanetData,3,0)+1),IF(E177,-1,1))-1,9)</f>
        <v>#N/A</v>
      </c>
      <c r="G175" s="296" t="e">
        <f aca="false">MOD(VLOOKUP(F176,PlanetData,3,0)+MATCH(F174,INDEX(VimFrac,0,9*F177+VLOOKUP(F176,PlanetData,3,0)+1),IF(F177,-1,1))-1,9)</f>
        <v>#N/A</v>
      </c>
      <c r="H175" s="296" t="e">
        <f aca="false">MOD(VLOOKUP(G176,PlanetData,3,0)+MATCH(G174,INDEX(VimFrac,0,9*G177+VLOOKUP(G176,PlanetData,3,0)+1),IF(G177,-1,1))-1,9)</f>
        <v>#N/A</v>
      </c>
      <c r="K175" s="6" t="n">
        <f aca="false">K167</f>
        <v>0</v>
      </c>
    </row>
    <row r="176" customFormat="false" ht="15" hidden="false" customHeight="false" outlineLevel="0" collapsed="false">
      <c r="A176" s="294" t="s">
        <v>459</v>
      </c>
      <c r="B176" s="295" t="str">
        <f aca="false">$B$4</f>
        <v>Moon</v>
      </c>
      <c r="C176" s="296" t="e">
        <f aca="false">INDEX(DasaYears,IF(C175=0,9,C175),1)</f>
        <v>#N/A</v>
      </c>
      <c r="D176" s="296" t="e">
        <f aca="false">INDEX(DasaYears,IF(D175=0,9,D175),1)</f>
        <v>#N/A</v>
      </c>
      <c r="E176" s="296" t="e">
        <f aca="false">INDEX(DasaYears,IF(E175=0,9,E175),1)</f>
        <v>#N/A</v>
      </c>
      <c r="F176" s="296" t="e">
        <f aca="false">INDEX(DasaYears,IF(F175=0,9,F175),1)</f>
        <v>#N/A</v>
      </c>
      <c r="G176" s="296" t="e">
        <f aca="false">INDEX(DasaYears,IF(G175=0,9,G175),1)</f>
        <v>#N/A</v>
      </c>
      <c r="H176" s="296" t="e">
        <f aca="false">INDEX(DasaYears,IF(H175=0,9,H175),1)</f>
        <v>#N/A</v>
      </c>
      <c r="I176" s="275" t="n">
        <f aca="true">INDIRECT("'JHora'!$B$"&amp;($K176))</f>
        <v>0</v>
      </c>
      <c r="J176" s="275" t="n">
        <f aca="true">INDIRECT("'JHora'!$C$"&amp;($K176))</f>
        <v>0</v>
      </c>
      <c r="K176" s="6" t="n">
        <f aca="false">K168+1</f>
        <v>21</v>
      </c>
    </row>
    <row r="177" customFormat="false" ht="15" hidden="false" customHeight="false" outlineLevel="0" collapsed="false">
      <c r="A177" s="294" t="s">
        <v>444</v>
      </c>
      <c r="B177" s="295" t="b">
        <f aca="false">$B$7</f>
        <v>1</v>
      </c>
      <c r="C177" s="296" t="e">
        <f aca="false">IF(VLOOKUP(C176,ChartInfo,11,0),1,0)*B177</f>
        <v>#N/A</v>
      </c>
      <c r="D177" s="296" t="e">
        <f aca="false">IF(VLOOKUP(D176,ChartInfo,11,0),1,0)*B177</f>
        <v>#N/A</v>
      </c>
      <c r="E177" s="296" t="e">
        <f aca="false">IF(VLOOKUP(E176,ChartInfo,11,0),1,0)*B177</f>
        <v>#N/A</v>
      </c>
      <c r="F177" s="296" t="e">
        <f aca="false">IF(VLOOKUP(F176,ChartInfo,11,0),1,0)*B177</f>
        <v>#N/A</v>
      </c>
      <c r="G177" s="296" t="e">
        <f aca="false">IF(VLOOKUP(G176,ChartInfo,11,0),1,0)*B177</f>
        <v>#N/A</v>
      </c>
      <c r="H177" s="296" t="e">
        <f aca="false">IF(VLOOKUP(H176,ChartInfo,11,0),1,0)*B177</f>
        <v>#N/A</v>
      </c>
      <c r="K177" s="6" t="n">
        <f aca="false">K169</f>
        <v>0</v>
      </c>
    </row>
    <row r="178" customFormat="false" ht="15" hidden="false" customHeight="false" outlineLevel="0" collapsed="false">
      <c r="K178" s="6" t="n">
        <f aca="false">K170+1</f>
        <v>21</v>
      </c>
    </row>
    <row r="179" customFormat="false" ht="15" hidden="false" customHeight="false" outlineLevel="0" collapsed="false">
      <c r="A179" s="291" t="s">
        <v>454</v>
      </c>
      <c r="B179" s="292" t="n">
        <f aca="false">DoB-$E$6*DaysInYear</f>
        <v>22567.7812953187</v>
      </c>
      <c r="C179" s="293" t="e">
        <f aca="false">B179+B181*INDEX(INDEX(VimFrac,,VLOOKUP(B184,PlanetData,3,0)+1),MATCH(B182,INDEX(VimFrac,,VLOOKUP(B184,PlanetData,3,0)+1),1))</f>
        <v>#N/A</v>
      </c>
      <c r="D179" s="293" t="e">
        <f aca="false">C179+C181*INDEX(INDEX(VimFrac,0,9*C185+VLOOKUP(C184,PlanetData,3,0)+1),IF(C185,1,0)+MATCH(C182,INDEX(VimFrac,0,9*C185+VLOOKUP(C184,PlanetData,3,0)+1),IF(C185,-1,1)))</f>
        <v>#N/A</v>
      </c>
      <c r="E179" s="293" t="e">
        <f aca="false">D179+D181*INDEX(INDEX(VimFrac,0,9*D185+VLOOKUP(D184,PlanetData,3,0)+1),IF(D185,1,0)+MATCH(D182,INDEX(VimFrac,0,9*D185+VLOOKUP(D184,PlanetData,3,0)+1),IF(D185,-1,1)))</f>
        <v>#N/A</v>
      </c>
      <c r="F179" s="293" t="e">
        <f aca="false">E179+E181*INDEX(INDEX(VimFrac,0,9*E185+VLOOKUP(E184,PlanetData,3,0)+1),IF(E185,1,0)+MATCH(E182,INDEX(VimFrac,0,9*E185+VLOOKUP(E184,PlanetData,3,0)+1),IF(E185,-1,1)))</f>
        <v>#N/A</v>
      </c>
      <c r="G179" s="293" t="e">
        <f aca="false">F179+F181*INDEX(INDEX(VimFrac,0,9*F185+VLOOKUP(F184,PlanetData,3,0)+1),IF(F185,1,0)+MATCH(F182,INDEX(VimFrac,0,9*F185+VLOOKUP(F184,PlanetData,3,0)+1),IF(F185,-1,1)))</f>
        <v>#N/A</v>
      </c>
      <c r="H179" s="293" t="e">
        <f aca="false">G179+G181*INDEX(INDEX(VimFrac,0,9*G185+VLOOKUP(G184,PlanetData,3,0)+1),IF(G185,1,0)+MATCH(G182,INDEX(VimFrac,0,9*G185+VLOOKUP(G184,PlanetData,3,0)+1),IF(G185,-1,1)))</f>
        <v>#N/A</v>
      </c>
      <c r="J179" s="273" t="n">
        <f aca="false">J184</f>
        <v>0</v>
      </c>
      <c r="K179" s="6" t="n">
        <f aca="false">K171+1</f>
        <v>22</v>
      </c>
    </row>
    <row r="180" customFormat="false" ht="15" hidden="false" customHeight="false" outlineLevel="0" collapsed="false">
      <c r="A180" s="291" t="s">
        <v>455</v>
      </c>
      <c r="B180" s="292" t="n">
        <f aca="false">B179+B181</f>
        <v>66398.3660175406</v>
      </c>
      <c r="C180" s="293" t="e">
        <f aca="false">B179+B181*INDEX(INDEX(VimFrac,,VLOOKUP(B184,PlanetData,3,0)+1),MATCH(B182,INDEX(VimFrac,,VLOOKUP(B184,PlanetData,3,0)+1),1)+1)</f>
        <v>#N/A</v>
      </c>
      <c r="D180" s="293" t="e">
        <f aca="false">C179+C181*INDEX(INDEX(VimFrac,0,9*C185+VLOOKUP(C184,PlanetData,3,0)+1),IF(C185,0,1)+MATCH(C182,INDEX(VimFrac,0,9*C185+VLOOKUP(C184,PlanetData,3,0)+1),IF(C185,-1,1)))</f>
        <v>#N/A</v>
      </c>
      <c r="E180" s="293" t="e">
        <f aca="false">D179+D181*INDEX(INDEX(VimFrac,0,9*D185+VLOOKUP(D184,PlanetData,3,0)+1),IF(D185,0,1)+MATCH(D182,INDEX(VimFrac,0,9*D185+VLOOKUP(D184,PlanetData,3,0)+1),IF(D185,-1,1)))</f>
        <v>#N/A</v>
      </c>
      <c r="F180" s="293" t="e">
        <f aca="false">E179+E181*INDEX(INDEX(VimFrac,0,9*E185+VLOOKUP(E184,PlanetData,3,0)+1),IF(E185,0,1)+MATCH(E182,INDEX(VimFrac,0,9*E185+VLOOKUP(E184,PlanetData,3,0)+1),IF(E185,-1,1)))</f>
        <v>#N/A</v>
      </c>
      <c r="G180" s="293" t="e">
        <f aca="false">F179+F181*INDEX(INDEX(VimFrac,0,9*F185+VLOOKUP(F184,PlanetData,3,0)+1),IF(F185,0,1)+MATCH(F182,INDEX(VimFrac,0,9*F185+VLOOKUP(F184,PlanetData,3,0)+1),IF(F185,-1,1)))</f>
        <v>#N/A</v>
      </c>
      <c r="H180" s="293" t="e">
        <f aca="false">G179+G181*INDEX(INDEX(VimFrac,0,9*G185+VLOOKUP(G184,PlanetData,3,0)+1),IF(G185,0,1)+MATCH(G182,INDEX(VimFrac,0,9*G185+VLOOKUP(G184,PlanetData,3,0)+1),IF(G185,-1,1)))</f>
        <v>#N/A</v>
      </c>
      <c r="J180" s="273" t="n">
        <f aca="false">J184</f>
        <v>0</v>
      </c>
      <c r="K180" s="6" t="n">
        <f aca="false">K172+1</f>
        <v>22</v>
      </c>
    </row>
    <row r="181" customFormat="false" ht="15" hidden="false" customHeight="false" outlineLevel="0" collapsed="false">
      <c r="A181" s="294" t="s">
        <v>456</v>
      </c>
      <c r="B181" s="295" t="n">
        <f aca="false">120*DaysInYear</f>
        <v>43830.5847222218</v>
      </c>
      <c r="C181" s="296" t="e">
        <f aca="false">C180-C179</f>
        <v>#N/A</v>
      </c>
      <c r="D181" s="296" t="e">
        <f aca="false">D180-D179</f>
        <v>#N/A</v>
      </c>
      <c r="E181" s="296" t="e">
        <f aca="false">E180-E179</f>
        <v>#N/A</v>
      </c>
      <c r="F181" s="296" t="e">
        <f aca="false">F180-F179</f>
        <v>#N/A</v>
      </c>
      <c r="G181" s="296" t="e">
        <f aca="false">G180-G179</f>
        <v>#N/A</v>
      </c>
      <c r="H181" s="296" t="e">
        <f aca="false">H180-H179</f>
        <v>#N/A</v>
      </c>
      <c r="K181" s="6" t="n">
        <f aca="false">K173</f>
        <v>0</v>
      </c>
    </row>
    <row r="182" customFormat="false" ht="15" hidden="false" customHeight="false" outlineLevel="0" collapsed="false">
      <c r="A182" s="294" t="s">
        <v>457</v>
      </c>
      <c r="B182" s="297" t="n">
        <f aca="false">(I184-B179)/(B180-B179)</f>
        <v>-0.51488661258669</v>
      </c>
      <c r="C182" s="298" t="e">
        <f aca="false">(I184-C179)/(C180-C179)</f>
        <v>#N/A</v>
      </c>
      <c r="D182" s="298" t="e">
        <f aca="false">(I184-D179)/(D180-D179)</f>
        <v>#N/A</v>
      </c>
      <c r="E182" s="298" t="e">
        <f aca="false">(I184-E179)/(E180-E179)</f>
        <v>#N/A</v>
      </c>
      <c r="F182" s="298" t="e">
        <f aca="false">(I184-F179)/(F180-F179)</f>
        <v>#N/A</v>
      </c>
      <c r="G182" s="298" t="e">
        <f aca="false">(I184-G179)/(G180-G179)</f>
        <v>#N/A</v>
      </c>
      <c r="H182" s="298" t="e">
        <f aca="false">(I184-H179)/(H180-H179)</f>
        <v>#N/A</v>
      </c>
      <c r="K182" s="6" t="n">
        <f aca="false">K174</f>
        <v>0</v>
      </c>
    </row>
    <row r="183" customFormat="false" ht="15" hidden="false" customHeight="false" outlineLevel="0" collapsed="false">
      <c r="A183" s="294" t="s">
        <v>458</v>
      </c>
      <c r="B183" s="295"/>
      <c r="C183" s="296" t="e">
        <f aca="false">MOD(VLOOKUP(B184,PlanetData,3,0)+MATCH(B182,INDEX(VimFrac,,VLOOKUP(B184,PlanetData,3,0)+1),1)-1,9)</f>
        <v>#N/A</v>
      </c>
      <c r="D183" s="296" t="e">
        <f aca="false">MOD(VLOOKUP(C184,PlanetData,3,0)+MATCH(C182,INDEX(VimFrac,0,9*C185+VLOOKUP(C184,PlanetData,3,0)+1),IF(C185,-1,1))-1,9)</f>
        <v>#N/A</v>
      </c>
      <c r="E183" s="296" t="e">
        <f aca="false">MOD(VLOOKUP(D184,PlanetData,3,0)+MATCH(D182,INDEX(VimFrac,0,9*D185+VLOOKUP(D184,PlanetData,3,0)+1),IF(D185,-1,1))-1,9)</f>
        <v>#N/A</v>
      </c>
      <c r="F183" s="296" t="e">
        <f aca="false">MOD(VLOOKUP(E184,PlanetData,3,0)+MATCH(E182,INDEX(VimFrac,0,9*E185+VLOOKUP(E184,PlanetData,3,0)+1),IF(E185,-1,1))-1,9)</f>
        <v>#N/A</v>
      </c>
      <c r="G183" s="296" t="e">
        <f aca="false">MOD(VLOOKUP(F184,PlanetData,3,0)+MATCH(F182,INDEX(VimFrac,0,9*F185+VLOOKUP(F184,PlanetData,3,0)+1),IF(F185,-1,1))-1,9)</f>
        <v>#N/A</v>
      </c>
      <c r="H183" s="296" t="e">
        <f aca="false">MOD(VLOOKUP(G184,PlanetData,3,0)+MATCH(G182,INDEX(VimFrac,0,9*G185+VLOOKUP(G184,PlanetData,3,0)+1),IF(G185,-1,1))-1,9)</f>
        <v>#N/A</v>
      </c>
      <c r="K183" s="6" t="n">
        <f aca="false">K175</f>
        <v>0</v>
      </c>
    </row>
    <row r="184" customFormat="false" ht="15" hidden="false" customHeight="false" outlineLevel="0" collapsed="false">
      <c r="A184" s="294" t="s">
        <v>459</v>
      </c>
      <c r="B184" s="295" t="str">
        <f aca="false">$B$4</f>
        <v>Moon</v>
      </c>
      <c r="C184" s="296" t="e">
        <f aca="false">INDEX(DasaYears,IF(C183=0,9,C183),1)</f>
        <v>#N/A</v>
      </c>
      <c r="D184" s="296" t="e">
        <f aca="false">INDEX(DasaYears,IF(D183=0,9,D183),1)</f>
        <v>#N/A</v>
      </c>
      <c r="E184" s="296" t="e">
        <f aca="false">INDEX(DasaYears,IF(E183=0,9,E183),1)</f>
        <v>#N/A</v>
      </c>
      <c r="F184" s="296" t="e">
        <f aca="false">INDEX(DasaYears,IF(F183=0,9,F183),1)</f>
        <v>#N/A</v>
      </c>
      <c r="G184" s="296" t="e">
        <f aca="false">INDEX(DasaYears,IF(G183=0,9,G183),1)</f>
        <v>#N/A</v>
      </c>
      <c r="H184" s="296" t="e">
        <f aca="false">INDEX(DasaYears,IF(H183=0,9,H183),1)</f>
        <v>#N/A</v>
      </c>
      <c r="I184" s="275" t="n">
        <f aca="true">INDIRECT("'JHora'!$B$"&amp;($K184))</f>
        <v>0</v>
      </c>
      <c r="J184" s="275" t="n">
        <f aca="true">INDIRECT("'JHora'!$C$"&amp;($K184))</f>
        <v>0</v>
      </c>
      <c r="K184" s="6" t="n">
        <f aca="false">K176+1</f>
        <v>22</v>
      </c>
    </row>
    <row r="185" customFormat="false" ht="15" hidden="false" customHeight="false" outlineLevel="0" collapsed="false">
      <c r="A185" s="294" t="s">
        <v>444</v>
      </c>
      <c r="B185" s="295" t="b">
        <f aca="false">$B$7</f>
        <v>1</v>
      </c>
      <c r="C185" s="296" t="e">
        <f aca="false">IF(VLOOKUP(C184,ChartInfo,11,0),1,0)*B185</f>
        <v>#N/A</v>
      </c>
      <c r="D185" s="296" t="e">
        <f aca="false">IF(VLOOKUP(D184,ChartInfo,11,0),1,0)*B185</f>
        <v>#N/A</v>
      </c>
      <c r="E185" s="296" t="e">
        <f aca="false">IF(VLOOKUP(E184,ChartInfo,11,0),1,0)*B185</f>
        <v>#N/A</v>
      </c>
      <c r="F185" s="296" t="e">
        <f aca="false">IF(VLOOKUP(F184,ChartInfo,11,0),1,0)*B185</f>
        <v>#N/A</v>
      </c>
      <c r="G185" s="296" t="e">
        <f aca="false">IF(VLOOKUP(G184,ChartInfo,11,0),1,0)*B185</f>
        <v>#N/A</v>
      </c>
      <c r="H185" s="296" t="e">
        <f aca="false">IF(VLOOKUP(H184,ChartInfo,11,0),1,0)*B185</f>
        <v>#N/A</v>
      </c>
      <c r="K185" s="6" t="n">
        <f aca="false">K177</f>
        <v>0</v>
      </c>
    </row>
    <row r="186" customFormat="false" ht="15" hidden="false" customHeight="false" outlineLevel="0" collapsed="false">
      <c r="K186" s="6" t="n">
        <f aca="false">K178+1</f>
        <v>22</v>
      </c>
    </row>
    <row r="187" customFormat="false" ht="15" hidden="false" customHeight="false" outlineLevel="0" collapsed="false">
      <c r="A187" s="291" t="s">
        <v>454</v>
      </c>
      <c r="B187" s="292" t="n">
        <f aca="false">DoB-$E$6*DaysInYear</f>
        <v>22567.7812953187</v>
      </c>
      <c r="C187" s="293" t="e">
        <f aca="false">B187+B189*INDEX(INDEX(VimFrac,,VLOOKUP(B192,PlanetData,3,0)+1),MATCH(B190,INDEX(VimFrac,,VLOOKUP(B192,PlanetData,3,0)+1),1))</f>
        <v>#N/A</v>
      </c>
      <c r="D187" s="293" t="e">
        <f aca="false">C187+C189*INDEX(INDEX(VimFrac,0,9*C193+VLOOKUP(C192,PlanetData,3,0)+1),IF(C193,1,0)+MATCH(C190,INDEX(VimFrac,0,9*C193+VLOOKUP(C192,PlanetData,3,0)+1),IF(C193,-1,1)))</f>
        <v>#N/A</v>
      </c>
      <c r="E187" s="293" t="e">
        <f aca="false">D187+D189*INDEX(INDEX(VimFrac,0,9*D193+VLOOKUP(D192,PlanetData,3,0)+1),IF(D193,1,0)+MATCH(D190,INDEX(VimFrac,0,9*D193+VLOOKUP(D192,PlanetData,3,0)+1),IF(D193,-1,1)))</f>
        <v>#N/A</v>
      </c>
      <c r="F187" s="293" t="e">
        <f aca="false">E187+E189*INDEX(INDEX(VimFrac,0,9*E193+VLOOKUP(E192,PlanetData,3,0)+1),IF(E193,1,0)+MATCH(E190,INDEX(VimFrac,0,9*E193+VLOOKUP(E192,PlanetData,3,0)+1),IF(E193,-1,1)))</f>
        <v>#N/A</v>
      </c>
      <c r="G187" s="293" t="e">
        <f aca="false">F187+F189*INDEX(INDEX(VimFrac,0,9*F193+VLOOKUP(F192,PlanetData,3,0)+1),IF(F193,1,0)+MATCH(F190,INDEX(VimFrac,0,9*F193+VLOOKUP(F192,PlanetData,3,0)+1),IF(F193,-1,1)))</f>
        <v>#N/A</v>
      </c>
      <c r="H187" s="293" t="e">
        <f aca="false">G187+G189*INDEX(INDEX(VimFrac,0,9*G193+VLOOKUP(G192,PlanetData,3,0)+1),IF(G193,1,0)+MATCH(G190,INDEX(VimFrac,0,9*G193+VLOOKUP(G192,PlanetData,3,0)+1),IF(G193,-1,1)))</f>
        <v>#N/A</v>
      </c>
      <c r="J187" s="273" t="n">
        <f aca="false">J192</f>
        <v>0</v>
      </c>
      <c r="K187" s="6" t="n">
        <f aca="false">K179+1</f>
        <v>23</v>
      </c>
    </row>
    <row r="188" customFormat="false" ht="15" hidden="false" customHeight="false" outlineLevel="0" collapsed="false">
      <c r="A188" s="291" t="s">
        <v>455</v>
      </c>
      <c r="B188" s="292" t="n">
        <f aca="false">B187+B189</f>
        <v>66398.3660175406</v>
      </c>
      <c r="C188" s="293" t="e">
        <f aca="false">B187+B189*INDEX(INDEX(VimFrac,,VLOOKUP(B192,PlanetData,3,0)+1),MATCH(B190,INDEX(VimFrac,,VLOOKUP(B192,PlanetData,3,0)+1),1)+1)</f>
        <v>#N/A</v>
      </c>
      <c r="D188" s="293" t="e">
        <f aca="false">C187+C189*INDEX(INDEX(VimFrac,0,9*C193+VLOOKUP(C192,PlanetData,3,0)+1),IF(C193,0,1)+MATCH(C190,INDEX(VimFrac,0,9*C193+VLOOKUP(C192,PlanetData,3,0)+1),IF(C193,-1,1)))</f>
        <v>#N/A</v>
      </c>
      <c r="E188" s="293" t="e">
        <f aca="false">D187+D189*INDEX(INDEX(VimFrac,0,9*D193+VLOOKUP(D192,PlanetData,3,0)+1),IF(D193,0,1)+MATCH(D190,INDEX(VimFrac,0,9*D193+VLOOKUP(D192,PlanetData,3,0)+1),IF(D193,-1,1)))</f>
        <v>#N/A</v>
      </c>
      <c r="F188" s="293" t="e">
        <f aca="false">E187+E189*INDEX(INDEX(VimFrac,0,9*E193+VLOOKUP(E192,PlanetData,3,0)+1),IF(E193,0,1)+MATCH(E190,INDEX(VimFrac,0,9*E193+VLOOKUP(E192,PlanetData,3,0)+1),IF(E193,-1,1)))</f>
        <v>#N/A</v>
      </c>
      <c r="G188" s="293" t="e">
        <f aca="false">F187+F189*INDEX(INDEX(VimFrac,0,9*F193+VLOOKUP(F192,PlanetData,3,0)+1),IF(F193,0,1)+MATCH(F190,INDEX(VimFrac,0,9*F193+VLOOKUP(F192,PlanetData,3,0)+1),IF(F193,-1,1)))</f>
        <v>#N/A</v>
      </c>
      <c r="H188" s="293" t="e">
        <f aca="false">G187+G189*INDEX(INDEX(VimFrac,0,9*G193+VLOOKUP(G192,PlanetData,3,0)+1),IF(G193,0,1)+MATCH(G190,INDEX(VimFrac,0,9*G193+VLOOKUP(G192,PlanetData,3,0)+1),IF(G193,-1,1)))</f>
        <v>#N/A</v>
      </c>
      <c r="J188" s="273" t="n">
        <f aca="false">J192</f>
        <v>0</v>
      </c>
      <c r="K188" s="6" t="n">
        <f aca="false">K180+1</f>
        <v>23</v>
      </c>
    </row>
    <row r="189" customFormat="false" ht="15" hidden="false" customHeight="false" outlineLevel="0" collapsed="false">
      <c r="A189" s="294" t="s">
        <v>456</v>
      </c>
      <c r="B189" s="295" t="n">
        <f aca="false">120*DaysInYear</f>
        <v>43830.5847222218</v>
      </c>
      <c r="C189" s="296" t="e">
        <f aca="false">C188-C187</f>
        <v>#N/A</v>
      </c>
      <c r="D189" s="296" t="e">
        <f aca="false">D188-D187</f>
        <v>#N/A</v>
      </c>
      <c r="E189" s="296" t="e">
        <f aca="false">E188-E187</f>
        <v>#N/A</v>
      </c>
      <c r="F189" s="296" t="e">
        <f aca="false">F188-F187</f>
        <v>#N/A</v>
      </c>
      <c r="G189" s="296" t="e">
        <f aca="false">G188-G187</f>
        <v>#N/A</v>
      </c>
      <c r="H189" s="296" t="e">
        <f aca="false">H188-H187</f>
        <v>#N/A</v>
      </c>
      <c r="K189" s="6" t="n">
        <f aca="false">K181</f>
        <v>0</v>
      </c>
    </row>
    <row r="190" customFormat="false" ht="15" hidden="false" customHeight="false" outlineLevel="0" collapsed="false">
      <c r="A190" s="294" t="s">
        <v>457</v>
      </c>
      <c r="B190" s="297" t="n">
        <f aca="false">(I192-B187)/(B188-B187)</f>
        <v>-0.51488661258669</v>
      </c>
      <c r="C190" s="298" t="e">
        <f aca="false">(I192-C187)/(C188-C187)</f>
        <v>#N/A</v>
      </c>
      <c r="D190" s="298" t="e">
        <f aca="false">(I192-D187)/(D188-D187)</f>
        <v>#N/A</v>
      </c>
      <c r="E190" s="298" t="e">
        <f aca="false">(I192-E187)/(E188-E187)</f>
        <v>#N/A</v>
      </c>
      <c r="F190" s="298" t="e">
        <f aca="false">(I192-F187)/(F188-F187)</f>
        <v>#N/A</v>
      </c>
      <c r="G190" s="298" t="e">
        <f aca="false">(I192-G187)/(G188-G187)</f>
        <v>#N/A</v>
      </c>
      <c r="H190" s="298" t="e">
        <f aca="false">(I192-H187)/(H188-H187)</f>
        <v>#N/A</v>
      </c>
      <c r="K190" s="6" t="n">
        <f aca="false">K182</f>
        <v>0</v>
      </c>
    </row>
    <row r="191" customFormat="false" ht="15" hidden="false" customHeight="false" outlineLevel="0" collapsed="false">
      <c r="A191" s="294" t="s">
        <v>458</v>
      </c>
      <c r="B191" s="295"/>
      <c r="C191" s="296" t="e">
        <f aca="false">MOD(VLOOKUP(B192,PlanetData,3,0)+MATCH(B190,INDEX(VimFrac,,VLOOKUP(B192,PlanetData,3,0)+1),1)-1,9)</f>
        <v>#N/A</v>
      </c>
      <c r="D191" s="296" t="e">
        <f aca="false">MOD(VLOOKUP(C192,PlanetData,3,0)+MATCH(C190,INDEX(VimFrac,0,9*C193+VLOOKUP(C192,PlanetData,3,0)+1),IF(C193,-1,1))-1,9)</f>
        <v>#N/A</v>
      </c>
      <c r="E191" s="296" t="e">
        <f aca="false">MOD(VLOOKUP(D192,PlanetData,3,0)+MATCH(D190,INDEX(VimFrac,0,9*D193+VLOOKUP(D192,PlanetData,3,0)+1),IF(D193,-1,1))-1,9)</f>
        <v>#N/A</v>
      </c>
      <c r="F191" s="296" t="e">
        <f aca="false">MOD(VLOOKUP(E192,PlanetData,3,0)+MATCH(E190,INDEX(VimFrac,0,9*E193+VLOOKUP(E192,PlanetData,3,0)+1),IF(E193,-1,1))-1,9)</f>
        <v>#N/A</v>
      </c>
      <c r="G191" s="296" t="e">
        <f aca="false">MOD(VLOOKUP(F192,PlanetData,3,0)+MATCH(F190,INDEX(VimFrac,0,9*F193+VLOOKUP(F192,PlanetData,3,0)+1),IF(F193,-1,1))-1,9)</f>
        <v>#N/A</v>
      </c>
      <c r="H191" s="296" t="e">
        <f aca="false">MOD(VLOOKUP(G192,PlanetData,3,0)+MATCH(G190,INDEX(VimFrac,0,9*G193+VLOOKUP(G192,PlanetData,3,0)+1),IF(G193,-1,1))-1,9)</f>
        <v>#N/A</v>
      </c>
      <c r="K191" s="6" t="n">
        <f aca="false">K183</f>
        <v>0</v>
      </c>
    </row>
    <row r="192" customFormat="false" ht="15" hidden="false" customHeight="false" outlineLevel="0" collapsed="false">
      <c r="A192" s="294" t="s">
        <v>459</v>
      </c>
      <c r="B192" s="295" t="str">
        <f aca="false">$B$4</f>
        <v>Moon</v>
      </c>
      <c r="C192" s="296" t="e">
        <f aca="false">INDEX(DasaYears,IF(C191=0,9,C191),1)</f>
        <v>#N/A</v>
      </c>
      <c r="D192" s="296" t="e">
        <f aca="false">INDEX(DasaYears,IF(D191=0,9,D191),1)</f>
        <v>#N/A</v>
      </c>
      <c r="E192" s="296" t="e">
        <f aca="false">INDEX(DasaYears,IF(E191=0,9,E191),1)</f>
        <v>#N/A</v>
      </c>
      <c r="F192" s="296" t="e">
        <f aca="false">INDEX(DasaYears,IF(F191=0,9,F191),1)</f>
        <v>#N/A</v>
      </c>
      <c r="G192" s="296" t="e">
        <f aca="false">INDEX(DasaYears,IF(G191=0,9,G191),1)</f>
        <v>#N/A</v>
      </c>
      <c r="H192" s="296" t="e">
        <f aca="false">INDEX(DasaYears,IF(H191=0,9,H191),1)</f>
        <v>#N/A</v>
      </c>
      <c r="I192" s="275" t="n">
        <f aca="true">INDIRECT("'JHora'!$B$"&amp;($K192))</f>
        <v>0</v>
      </c>
      <c r="J192" s="275" t="n">
        <f aca="true">INDIRECT("'JHora'!$C$"&amp;($K192))</f>
        <v>0</v>
      </c>
      <c r="K192" s="6" t="n">
        <f aca="false">K184+1</f>
        <v>23</v>
      </c>
    </row>
    <row r="193" customFormat="false" ht="15" hidden="false" customHeight="false" outlineLevel="0" collapsed="false">
      <c r="A193" s="294" t="s">
        <v>444</v>
      </c>
      <c r="B193" s="295" t="b">
        <f aca="false">$B$7</f>
        <v>1</v>
      </c>
      <c r="C193" s="296" t="e">
        <f aca="false">IF(VLOOKUP(C192,ChartInfo,11,0),1,0)*B193</f>
        <v>#N/A</v>
      </c>
      <c r="D193" s="296" t="e">
        <f aca="false">IF(VLOOKUP(D192,ChartInfo,11,0),1,0)*B193</f>
        <v>#N/A</v>
      </c>
      <c r="E193" s="296" t="e">
        <f aca="false">IF(VLOOKUP(E192,ChartInfo,11,0),1,0)*B193</f>
        <v>#N/A</v>
      </c>
      <c r="F193" s="296" t="e">
        <f aca="false">IF(VLOOKUP(F192,ChartInfo,11,0),1,0)*B193</f>
        <v>#N/A</v>
      </c>
      <c r="G193" s="296" t="e">
        <f aca="false">IF(VLOOKUP(G192,ChartInfo,11,0),1,0)*B193</f>
        <v>#N/A</v>
      </c>
      <c r="H193" s="296" t="e">
        <f aca="false">IF(VLOOKUP(H192,ChartInfo,11,0),1,0)*B193</f>
        <v>#N/A</v>
      </c>
      <c r="K193" s="6" t="n">
        <f aca="false">K185</f>
        <v>0</v>
      </c>
    </row>
    <row r="194" customFormat="false" ht="15" hidden="false" customHeight="false" outlineLevel="0" collapsed="false">
      <c r="K194" s="6" t="n">
        <f aca="false">K186+1</f>
        <v>23</v>
      </c>
    </row>
    <row r="195" customFormat="false" ht="15" hidden="false" customHeight="false" outlineLevel="0" collapsed="false">
      <c r="A195" s="291" t="s">
        <v>454</v>
      </c>
      <c r="B195" s="292" t="n">
        <f aca="false">DoB-$E$6*DaysInYear</f>
        <v>22567.7812953187</v>
      </c>
      <c r="C195" s="293" t="e">
        <f aca="false">B195+B197*INDEX(INDEX(VimFrac,,VLOOKUP(B200,PlanetData,3,0)+1),MATCH(B198,INDEX(VimFrac,,VLOOKUP(B200,PlanetData,3,0)+1),1))</f>
        <v>#N/A</v>
      </c>
      <c r="D195" s="293" t="e">
        <f aca="false">C195+C197*INDEX(INDEX(VimFrac,0,9*C201+VLOOKUP(C200,PlanetData,3,0)+1),IF(C201,1,0)+MATCH(C198,INDEX(VimFrac,0,9*C201+VLOOKUP(C200,PlanetData,3,0)+1),IF(C201,-1,1)))</f>
        <v>#N/A</v>
      </c>
      <c r="E195" s="293" t="e">
        <f aca="false">D195+D197*INDEX(INDEX(VimFrac,0,9*D201+VLOOKUP(D200,PlanetData,3,0)+1),IF(D201,1,0)+MATCH(D198,INDEX(VimFrac,0,9*D201+VLOOKUP(D200,PlanetData,3,0)+1),IF(D201,-1,1)))</f>
        <v>#N/A</v>
      </c>
      <c r="F195" s="293" t="e">
        <f aca="false">E195+E197*INDEX(INDEX(VimFrac,0,9*E201+VLOOKUP(E200,PlanetData,3,0)+1),IF(E201,1,0)+MATCH(E198,INDEX(VimFrac,0,9*E201+VLOOKUP(E200,PlanetData,3,0)+1),IF(E201,-1,1)))</f>
        <v>#N/A</v>
      </c>
      <c r="G195" s="293" t="e">
        <f aca="false">F195+F197*INDEX(INDEX(VimFrac,0,9*F201+VLOOKUP(F200,PlanetData,3,0)+1),IF(F201,1,0)+MATCH(F198,INDEX(VimFrac,0,9*F201+VLOOKUP(F200,PlanetData,3,0)+1),IF(F201,-1,1)))</f>
        <v>#N/A</v>
      </c>
      <c r="H195" s="293" t="e">
        <f aca="false">G195+G197*INDEX(INDEX(VimFrac,0,9*G201+VLOOKUP(G200,PlanetData,3,0)+1),IF(G201,1,0)+MATCH(G198,INDEX(VimFrac,0,9*G201+VLOOKUP(G200,PlanetData,3,0)+1),IF(G201,-1,1)))</f>
        <v>#N/A</v>
      </c>
      <c r="J195" s="273" t="n">
        <f aca="false">J200</f>
        <v>0</v>
      </c>
      <c r="K195" s="6" t="n">
        <f aca="false">K187+1</f>
        <v>24</v>
      </c>
    </row>
    <row r="196" customFormat="false" ht="15" hidden="false" customHeight="false" outlineLevel="0" collapsed="false">
      <c r="A196" s="291" t="s">
        <v>455</v>
      </c>
      <c r="B196" s="292" t="n">
        <f aca="false">B195+B197</f>
        <v>66398.3660175406</v>
      </c>
      <c r="C196" s="293" t="e">
        <f aca="false">B195+B197*INDEX(INDEX(VimFrac,,VLOOKUP(B200,PlanetData,3,0)+1),MATCH(B198,INDEX(VimFrac,,VLOOKUP(B200,PlanetData,3,0)+1),1)+1)</f>
        <v>#N/A</v>
      </c>
      <c r="D196" s="293" t="e">
        <f aca="false">C195+C197*INDEX(INDEX(VimFrac,0,9*C201+VLOOKUP(C200,PlanetData,3,0)+1),IF(C201,0,1)+MATCH(C198,INDEX(VimFrac,0,9*C201+VLOOKUP(C200,PlanetData,3,0)+1),IF(C201,-1,1)))</f>
        <v>#N/A</v>
      </c>
      <c r="E196" s="293" t="e">
        <f aca="false">D195+D197*INDEX(INDEX(VimFrac,0,9*D201+VLOOKUP(D200,PlanetData,3,0)+1),IF(D201,0,1)+MATCH(D198,INDEX(VimFrac,0,9*D201+VLOOKUP(D200,PlanetData,3,0)+1),IF(D201,-1,1)))</f>
        <v>#N/A</v>
      </c>
      <c r="F196" s="293" t="e">
        <f aca="false">E195+E197*INDEX(INDEX(VimFrac,0,9*E201+VLOOKUP(E200,PlanetData,3,0)+1),IF(E201,0,1)+MATCH(E198,INDEX(VimFrac,0,9*E201+VLOOKUP(E200,PlanetData,3,0)+1),IF(E201,-1,1)))</f>
        <v>#N/A</v>
      </c>
      <c r="G196" s="293" t="e">
        <f aca="false">F195+F197*INDEX(INDEX(VimFrac,0,9*F201+VLOOKUP(F200,PlanetData,3,0)+1),IF(F201,0,1)+MATCH(F198,INDEX(VimFrac,0,9*F201+VLOOKUP(F200,PlanetData,3,0)+1),IF(F201,-1,1)))</f>
        <v>#N/A</v>
      </c>
      <c r="H196" s="293" t="e">
        <f aca="false">G195+G197*INDEX(INDEX(VimFrac,0,9*G201+VLOOKUP(G200,PlanetData,3,0)+1),IF(G201,0,1)+MATCH(G198,INDEX(VimFrac,0,9*G201+VLOOKUP(G200,PlanetData,3,0)+1),IF(G201,-1,1)))</f>
        <v>#N/A</v>
      </c>
      <c r="J196" s="273" t="n">
        <f aca="false">J200</f>
        <v>0</v>
      </c>
      <c r="K196" s="6" t="n">
        <f aca="false">K188+1</f>
        <v>24</v>
      </c>
    </row>
    <row r="197" customFormat="false" ht="15" hidden="false" customHeight="false" outlineLevel="0" collapsed="false">
      <c r="A197" s="294" t="s">
        <v>456</v>
      </c>
      <c r="B197" s="295" t="n">
        <f aca="false">120*DaysInYear</f>
        <v>43830.5847222218</v>
      </c>
      <c r="C197" s="296" t="e">
        <f aca="false">C196-C195</f>
        <v>#N/A</v>
      </c>
      <c r="D197" s="296" t="e">
        <f aca="false">D196-D195</f>
        <v>#N/A</v>
      </c>
      <c r="E197" s="296" t="e">
        <f aca="false">E196-E195</f>
        <v>#N/A</v>
      </c>
      <c r="F197" s="296" t="e">
        <f aca="false">F196-F195</f>
        <v>#N/A</v>
      </c>
      <c r="G197" s="296" t="e">
        <f aca="false">G196-G195</f>
        <v>#N/A</v>
      </c>
      <c r="H197" s="296" t="e">
        <f aca="false">H196-H195</f>
        <v>#N/A</v>
      </c>
      <c r="K197" s="6" t="n">
        <f aca="false">K189</f>
        <v>0</v>
      </c>
    </row>
    <row r="198" customFormat="false" ht="15" hidden="false" customHeight="false" outlineLevel="0" collapsed="false">
      <c r="A198" s="294" t="s">
        <v>457</v>
      </c>
      <c r="B198" s="297" t="n">
        <f aca="false">(I200-B195)/(B196-B195)</f>
        <v>-0.51488661258669</v>
      </c>
      <c r="C198" s="298" t="e">
        <f aca="false">(I200-C195)/(C196-C195)</f>
        <v>#N/A</v>
      </c>
      <c r="D198" s="298" t="e">
        <f aca="false">(I200-D195)/(D196-D195)</f>
        <v>#N/A</v>
      </c>
      <c r="E198" s="298" t="e">
        <f aca="false">(I200-E195)/(E196-E195)</f>
        <v>#N/A</v>
      </c>
      <c r="F198" s="298" t="e">
        <f aca="false">(I200-F195)/(F196-F195)</f>
        <v>#N/A</v>
      </c>
      <c r="G198" s="298" t="e">
        <f aca="false">(I200-G195)/(G196-G195)</f>
        <v>#N/A</v>
      </c>
      <c r="H198" s="298" t="e">
        <f aca="false">(I200-H195)/(H196-H195)</f>
        <v>#N/A</v>
      </c>
      <c r="K198" s="6" t="n">
        <f aca="false">K190</f>
        <v>0</v>
      </c>
    </row>
    <row r="199" customFormat="false" ht="15" hidden="false" customHeight="false" outlineLevel="0" collapsed="false">
      <c r="A199" s="294" t="s">
        <v>458</v>
      </c>
      <c r="B199" s="295"/>
      <c r="C199" s="296" t="e">
        <f aca="false">MOD(VLOOKUP(B200,PlanetData,3,0)+MATCH(B198,INDEX(VimFrac,,VLOOKUP(B200,PlanetData,3,0)+1),1)-1,9)</f>
        <v>#N/A</v>
      </c>
      <c r="D199" s="296" t="e">
        <f aca="false">MOD(VLOOKUP(C200,PlanetData,3,0)+MATCH(C198,INDEX(VimFrac,0,9*C201+VLOOKUP(C200,PlanetData,3,0)+1),IF(C201,-1,1))-1,9)</f>
        <v>#N/A</v>
      </c>
      <c r="E199" s="296" t="e">
        <f aca="false">MOD(VLOOKUP(D200,PlanetData,3,0)+MATCH(D198,INDEX(VimFrac,0,9*D201+VLOOKUP(D200,PlanetData,3,0)+1),IF(D201,-1,1))-1,9)</f>
        <v>#N/A</v>
      </c>
      <c r="F199" s="296" t="e">
        <f aca="false">MOD(VLOOKUP(E200,PlanetData,3,0)+MATCH(E198,INDEX(VimFrac,0,9*E201+VLOOKUP(E200,PlanetData,3,0)+1),IF(E201,-1,1))-1,9)</f>
        <v>#N/A</v>
      </c>
      <c r="G199" s="296" t="e">
        <f aca="false">MOD(VLOOKUP(F200,PlanetData,3,0)+MATCH(F198,INDEX(VimFrac,0,9*F201+VLOOKUP(F200,PlanetData,3,0)+1),IF(F201,-1,1))-1,9)</f>
        <v>#N/A</v>
      </c>
      <c r="H199" s="296" t="e">
        <f aca="false">MOD(VLOOKUP(G200,PlanetData,3,0)+MATCH(G198,INDEX(VimFrac,0,9*G201+VLOOKUP(G200,PlanetData,3,0)+1),IF(G201,-1,1))-1,9)</f>
        <v>#N/A</v>
      </c>
      <c r="K199" s="6" t="n">
        <f aca="false">K191</f>
        <v>0</v>
      </c>
    </row>
    <row r="200" customFormat="false" ht="15" hidden="false" customHeight="false" outlineLevel="0" collapsed="false">
      <c r="A200" s="294" t="s">
        <v>459</v>
      </c>
      <c r="B200" s="295" t="str">
        <f aca="false">$B$4</f>
        <v>Moon</v>
      </c>
      <c r="C200" s="296" t="e">
        <f aca="false">INDEX(DasaYears,IF(C199=0,9,C199),1)</f>
        <v>#N/A</v>
      </c>
      <c r="D200" s="296" t="e">
        <f aca="false">INDEX(DasaYears,IF(D199=0,9,D199),1)</f>
        <v>#N/A</v>
      </c>
      <c r="E200" s="296" t="e">
        <f aca="false">INDEX(DasaYears,IF(E199=0,9,E199),1)</f>
        <v>#N/A</v>
      </c>
      <c r="F200" s="296" t="e">
        <f aca="false">INDEX(DasaYears,IF(F199=0,9,F199),1)</f>
        <v>#N/A</v>
      </c>
      <c r="G200" s="296" t="e">
        <f aca="false">INDEX(DasaYears,IF(G199=0,9,G199),1)</f>
        <v>#N/A</v>
      </c>
      <c r="H200" s="296" t="e">
        <f aca="false">INDEX(DasaYears,IF(H199=0,9,H199),1)</f>
        <v>#N/A</v>
      </c>
      <c r="I200" s="275" t="n">
        <f aca="true">INDIRECT("'JHora'!$B$"&amp;($K200))</f>
        <v>0</v>
      </c>
      <c r="J200" s="275" t="n">
        <f aca="true">INDIRECT("'JHora'!$C$"&amp;($K200))</f>
        <v>0</v>
      </c>
      <c r="K200" s="6" t="n">
        <f aca="false">K192+1</f>
        <v>24</v>
      </c>
    </row>
    <row r="201" customFormat="false" ht="15" hidden="false" customHeight="false" outlineLevel="0" collapsed="false">
      <c r="A201" s="294" t="s">
        <v>444</v>
      </c>
      <c r="B201" s="295" t="b">
        <f aca="false">$B$7</f>
        <v>1</v>
      </c>
      <c r="C201" s="296" t="e">
        <f aca="false">IF(VLOOKUP(C200,ChartInfo,11,0),1,0)*B201</f>
        <v>#N/A</v>
      </c>
      <c r="D201" s="296" t="e">
        <f aca="false">IF(VLOOKUP(D200,ChartInfo,11,0),1,0)*B201</f>
        <v>#N/A</v>
      </c>
      <c r="E201" s="296" t="e">
        <f aca="false">IF(VLOOKUP(E200,ChartInfo,11,0),1,0)*B201</f>
        <v>#N/A</v>
      </c>
      <c r="F201" s="296" t="e">
        <f aca="false">IF(VLOOKUP(F200,ChartInfo,11,0),1,0)*B201</f>
        <v>#N/A</v>
      </c>
      <c r="G201" s="296" t="e">
        <f aca="false">IF(VLOOKUP(G200,ChartInfo,11,0),1,0)*B201</f>
        <v>#N/A</v>
      </c>
      <c r="H201" s="296" t="e">
        <f aca="false">IF(VLOOKUP(H200,ChartInfo,11,0),1,0)*B201</f>
        <v>#N/A</v>
      </c>
      <c r="K201" s="6" t="n">
        <f aca="false">K193</f>
        <v>0</v>
      </c>
    </row>
    <row r="202" customFormat="false" ht="15" hidden="false" customHeight="false" outlineLevel="0" collapsed="false">
      <c r="K202" s="6" t="n">
        <f aca="false">K194+1</f>
        <v>24</v>
      </c>
    </row>
    <row r="203" customFormat="false" ht="15" hidden="false" customHeight="false" outlineLevel="0" collapsed="false">
      <c r="A203" s="291" t="s">
        <v>454</v>
      </c>
      <c r="B203" s="292" t="n">
        <f aca="false">DoB-$E$6*DaysInYear</f>
        <v>22567.7812953187</v>
      </c>
      <c r="C203" s="293" t="e">
        <f aca="false">B203+B205*INDEX(INDEX(VimFrac,,VLOOKUP(B208,PlanetData,3,0)+1),MATCH(B206,INDEX(VimFrac,,VLOOKUP(B208,PlanetData,3,0)+1),1))</f>
        <v>#N/A</v>
      </c>
      <c r="D203" s="293" t="e">
        <f aca="false">C203+C205*INDEX(INDEX(VimFrac,0,9*C209+VLOOKUP(C208,PlanetData,3,0)+1),IF(C209,1,0)+MATCH(C206,INDEX(VimFrac,0,9*C209+VLOOKUP(C208,PlanetData,3,0)+1),IF(C209,-1,1)))</f>
        <v>#N/A</v>
      </c>
      <c r="E203" s="293" t="e">
        <f aca="false">D203+D205*INDEX(INDEX(VimFrac,0,9*D209+VLOOKUP(D208,PlanetData,3,0)+1),IF(D209,1,0)+MATCH(D206,INDEX(VimFrac,0,9*D209+VLOOKUP(D208,PlanetData,3,0)+1),IF(D209,-1,1)))</f>
        <v>#N/A</v>
      </c>
      <c r="F203" s="293" t="e">
        <f aca="false">E203+E205*INDEX(INDEX(VimFrac,0,9*E209+VLOOKUP(E208,PlanetData,3,0)+1),IF(E209,1,0)+MATCH(E206,INDEX(VimFrac,0,9*E209+VLOOKUP(E208,PlanetData,3,0)+1),IF(E209,-1,1)))</f>
        <v>#N/A</v>
      </c>
      <c r="G203" s="293" t="e">
        <f aca="false">F203+F205*INDEX(INDEX(VimFrac,0,9*F209+VLOOKUP(F208,PlanetData,3,0)+1),IF(F209,1,0)+MATCH(F206,INDEX(VimFrac,0,9*F209+VLOOKUP(F208,PlanetData,3,0)+1),IF(F209,-1,1)))</f>
        <v>#N/A</v>
      </c>
      <c r="H203" s="293" t="e">
        <f aca="false">G203+G205*INDEX(INDEX(VimFrac,0,9*G209+VLOOKUP(G208,PlanetData,3,0)+1),IF(G209,1,0)+MATCH(G206,INDEX(VimFrac,0,9*G209+VLOOKUP(G208,PlanetData,3,0)+1),IF(G209,-1,1)))</f>
        <v>#N/A</v>
      </c>
      <c r="J203" s="273" t="n">
        <f aca="false">J208</f>
        <v>0</v>
      </c>
      <c r="K203" s="6" t="n">
        <f aca="false">K195+1</f>
        <v>25</v>
      </c>
    </row>
    <row r="204" customFormat="false" ht="15" hidden="false" customHeight="false" outlineLevel="0" collapsed="false">
      <c r="A204" s="291" t="s">
        <v>455</v>
      </c>
      <c r="B204" s="292" t="n">
        <f aca="false">B203+B205</f>
        <v>66398.3660175406</v>
      </c>
      <c r="C204" s="293" t="e">
        <f aca="false">B203+B205*INDEX(INDEX(VimFrac,,VLOOKUP(B208,PlanetData,3,0)+1),MATCH(B206,INDEX(VimFrac,,VLOOKUP(B208,PlanetData,3,0)+1),1)+1)</f>
        <v>#N/A</v>
      </c>
      <c r="D204" s="293" t="e">
        <f aca="false">C203+C205*INDEX(INDEX(VimFrac,0,9*C209+VLOOKUP(C208,PlanetData,3,0)+1),IF(C209,0,1)+MATCH(C206,INDEX(VimFrac,0,9*C209+VLOOKUP(C208,PlanetData,3,0)+1),IF(C209,-1,1)))</f>
        <v>#N/A</v>
      </c>
      <c r="E204" s="293" t="e">
        <f aca="false">D203+D205*INDEX(INDEX(VimFrac,0,9*D209+VLOOKUP(D208,PlanetData,3,0)+1),IF(D209,0,1)+MATCH(D206,INDEX(VimFrac,0,9*D209+VLOOKUP(D208,PlanetData,3,0)+1),IF(D209,-1,1)))</f>
        <v>#N/A</v>
      </c>
      <c r="F204" s="293" t="e">
        <f aca="false">E203+E205*INDEX(INDEX(VimFrac,0,9*E209+VLOOKUP(E208,PlanetData,3,0)+1),IF(E209,0,1)+MATCH(E206,INDEX(VimFrac,0,9*E209+VLOOKUP(E208,PlanetData,3,0)+1),IF(E209,-1,1)))</f>
        <v>#N/A</v>
      </c>
      <c r="G204" s="293" t="e">
        <f aca="false">F203+F205*INDEX(INDEX(VimFrac,0,9*F209+VLOOKUP(F208,PlanetData,3,0)+1),IF(F209,0,1)+MATCH(F206,INDEX(VimFrac,0,9*F209+VLOOKUP(F208,PlanetData,3,0)+1),IF(F209,-1,1)))</f>
        <v>#N/A</v>
      </c>
      <c r="H204" s="293" t="e">
        <f aca="false">G203+G205*INDEX(INDEX(VimFrac,0,9*G209+VLOOKUP(G208,PlanetData,3,0)+1),IF(G209,0,1)+MATCH(G206,INDEX(VimFrac,0,9*G209+VLOOKUP(G208,PlanetData,3,0)+1),IF(G209,-1,1)))</f>
        <v>#N/A</v>
      </c>
      <c r="J204" s="273" t="n">
        <f aca="false">J208</f>
        <v>0</v>
      </c>
      <c r="K204" s="6" t="n">
        <f aca="false">K196+1</f>
        <v>25</v>
      </c>
    </row>
    <row r="205" customFormat="false" ht="15" hidden="false" customHeight="false" outlineLevel="0" collapsed="false">
      <c r="A205" s="294" t="s">
        <v>456</v>
      </c>
      <c r="B205" s="295" t="n">
        <f aca="false">120*DaysInYear</f>
        <v>43830.5847222218</v>
      </c>
      <c r="C205" s="296" t="e">
        <f aca="false">C204-C203</f>
        <v>#N/A</v>
      </c>
      <c r="D205" s="296" t="e">
        <f aca="false">D204-D203</f>
        <v>#N/A</v>
      </c>
      <c r="E205" s="296" t="e">
        <f aca="false">E204-E203</f>
        <v>#N/A</v>
      </c>
      <c r="F205" s="296" t="e">
        <f aca="false">F204-F203</f>
        <v>#N/A</v>
      </c>
      <c r="G205" s="296" t="e">
        <f aca="false">G204-G203</f>
        <v>#N/A</v>
      </c>
      <c r="H205" s="296" t="e">
        <f aca="false">H204-H203</f>
        <v>#N/A</v>
      </c>
      <c r="K205" s="6" t="n">
        <f aca="false">K197</f>
        <v>0</v>
      </c>
    </row>
    <row r="206" customFormat="false" ht="15" hidden="false" customHeight="false" outlineLevel="0" collapsed="false">
      <c r="A206" s="294" t="s">
        <v>457</v>
      </c>
      <c r="B206" s="297" t="n">
        <f aca="false">(I208-B203)/(B204-B203)</f>
        <v>-0.51488661258669</v>
      </c>
      <c r="C206" s="298" t="e">
        <f aca="false">(I208-C203)/(C204-C203)</f>
        <v>#N/A</v>
      </c>
      <c r="D206" s="298" t="e">
        <f aca="false">(I208-D203)/(D204-D203)</f>
        <v>#N/A</v>
      </c>
      <c r="E206" s="298" t="e">
        <f aca="false">(I208-E203)/(E204-E203)</f>
        <v>#N/A</v>
      </c>
      <c r="F206" s="298" t="e">
        <f aca="false">(I208-F203)/(F204-F203)</f>
        <v>#N/A</v>
      </c>
      <c r="G206" s="298" t="e">
        <f aca="false">(I208-G203)/(G204-G203)</f>
        <v>#N/A</v>
      </c>
      <c r="H206" s="298" t="e">
        <f aca="false">(I208-H203)/(H204-H203)</f>
        <v>#N/A</v>
      </c>
      <c r="K206" s="6" t="n">
        <f aca="false">K198</f>
        <v>0</v>
      </c>
    </row>
    <row r="207" customFormat="false" ht="15" hidden="false" customHeight="false" outlineLevel="0" collapsed="false">
      <c r="A207" s="294" t="s">
        <v>458</v>
      </c>
      <c r="B207" s="295"/>
      <c r="C207" s="296" t="e">
        <f aca="false">MOD(VLOOKUP(B208,PlanetData,3,0)+MATCH(B206,INDEX(VimFrac,,VLOOKUP(B208,PlanetData,3,0)+1),1)-1,9)</f>
        <v>#N/A</v>
      </c>
      <c r="D207" s="296" t="e">
        <f aca="false">MOD(VLOOKUP(C208,PlanetData,3,0)+MATCH(C206,INDEX(VimFrac,0,9*C209+VLOOKUP(C208,PlanetData,3,0)+1),IF(C209,-1,1))-1,9)</f>
        <v>#N/A</v>
      </c>
      <c r="E207" s="296" t="e">
        <f aca="false">MOD(VLOOKUP(D208,PlanetData,3,0)+MATCH(D206,INDEX(VimFrac,0,9*D209+VLOOKUP(D208,PlanetData,3,0)+1),IF(D209,-1,1))-1,9)</f>
        <v>#N/A</v>
      </c>
      <c r="F207" s="296" t="e">
        <f aca="false">MOD(VLOOKUP(E208,PlanetData,3,0)+MATCH(E206,INDEX(VimFrac,0,9*E209+VLOOKUP(E208,PlanetData,3,0)+1),IF(E209,-1,1))-1,9)</f>
        <v>#N/A</v>
      </c>
      <c r="G207" s="296" t="e">
        <f aca="false">MOD(VLOOKUP(F208,PlanetData,3,0)+MATCH(F206,INDEX(VimFrac,0,9*F209+VLOOKUP(F208,PlanetData,3,0)+1),IF(F209,-1,1))-1,9)</f>
        <v>#N/A</v>
      </c>
      <c r="H207" s="296" t="e">
        <f aca="false">MOD(VLOOKUP(G208,PlanetData,3,0)+MATCH(G206,INDEX(VimFrac,0,9*G209+VLOOKUP(G208,PlanetData,3,0)+1),IF(G209,-1,1))-1,9)</f>
        <v>#N/A</v>
      </c>
      <c r="K207" s="6" t="n">
        <f aca="false">K199</f>
        <v>0</v>
      </c>
    </row>
    <row r="208" customFormat="false" ht="15" hidden="false" customHeight="false" outlineLevel="0" collapsed="false">
      <c r="A208" s="294" t="s">
        <v>459</v>
      </c>
      <c r="B208" s="295" t="str">
        <f aca="false">$B$4</f>
        <v>Moon</v>
      </c>
      <c r="C208" s="296" t="e">
        <f aca="false">INDEX(DasaYears,IF(C207=0,9,C207),1)</f>
        <v>#N/A</v>
      </c>
      <c r="D208" s="296" t="e">
        <f aca="false">INDEX(DasaYears,IF(D207=0,9,D207),1)</f>
        <v>#N/A</v>
      </c>
      <c r="E208" s="296" t="e">
        <f aca="false">INDEX(DasaYears,IF(E207=0,9,E207),1)</f>
        <v>#N/A</v>
      </c>
      <c r="F208" s="296" t="e">
        <f aca="false">INDEX(DasaYears,IF(F207=0,9,F207),1)</f>
        <v>#N/A</v>
      </c>
      <c r="G208" s="296" t="e">
        <f aca="false">INDEX(DasaYears,IF(G207=0,9,G207),1)</f>
        <v>#N/A</v>
      </c>
      <c r="H208" s="296" t="e">
        <f aca="false">INDEX(DasaYears,IF(H207=0,9,H207),1)</f>
        <v>#N/A</v>
      </c>
      <c r="I208" s="275" t="n">
        <f aca="true">INDIRECT("'JHora'!$B$"&amp;($K208))</f>
        <v>0</v>
      </c>
      <c r="J208" s="275" t="n">
        <f aca="true">INDIRECT("'JHora'!$C$"&amp;($K208))</f>
        <v>0</v>
      </c>
      <c r="K208" s="6" t="n">
        <f aca="false">K200+1</f>
        <v>25</v>
      </c>
    </row>
    <row r="209" customFormat="false" ht="15" hidden="false" customHeight="false" outlineLevel="0" collapsed="false">
      <c r="A209" s="294" t="s">
        <v>444</v>
      </c>
      <c r="B209" s="295" t="b">
        <f aca="false">$B$7</f>
        <v>1</v>
      </c>
      <c r="C209" s="296" t="e">
        <f aca="false">IF(VLOOKUP(C208,ChartInfo,11,0),1,0)*B209</f>
        <v>#N/A</v>
      </c>
      <c r="D209" s="296" t="e">
        <f aca="false">IF(VLOOKUP(D208,ChartInfo,11,0),1,0)*B209</f>
        <v>#N/A</v>
      </c>
      <c r="E209" s="296" t="e">
        <f aca="false">IF(VLOOKUP(E208,ChartInfo,11,0),1,0)*B209</f>
        <v>#N/A</v>
      </c>
      <c r="F209" s="296" t="e">
        <f aca="false">IF(VLOOKUP(F208,ChartInfo,11,0),1,0)*B209</f>
        <v>#N/A</v>
      </c>
      <c r="G209" s="296" t="e">
        <f aca="false">IF(VLOOKUP(G208,ChartInfo,11,0),1,0)*B209</f>
        <v>#N/A</v>
      </c>
      <c r="H209" s="296" t="e">
        <f aca="false">IF(VLOOKUP(H208,ChartInfo,11,0),1,0)*B209</f>
        <v>#N/A</v>
      </c>
      <c r="K209" s="6" t="n">
        <f aca="false">K201</f>
        <v>0</v>
      </c>
    </row>
    <row r="210" customFormat="false" ht="15" hidden="false" customHeight="false" outlineLevel="0" collapsed="false">
      <c r="K210" s="6" t="n">
        <f aca="false">K202+1</f>
        <v>25</v>
      </c>
    </row>
    <row r="211" customFormat="false" ht="15" hidden="false" customHeight="false" outlineLevel="0" collapsed="false">
      <c r="A211" s="291" t="s">
        <v>454</v>
      </c>
      <c r="B211" s="292" t="n">
        <f aca="false">DoB-$E$6*DaysInYear</f>
        <v>22567.7812953187</v>
      </c>
      <c r="C211" s="293" t="e">
        <f aca="false">B211+B213*INDEX(INDEX(VimFrac,,VLOOKUP(B216,PlanetData,3,0)+1),MATCH(B214,INDEX(VimFrac,,VLOOKUP(B216,PlanetData,3,0)+1),1))</f>
        <v>#N/A</v>
      </c>
      <c r="D211" s="293" t="e">
        <f aca="false">C211+C213*INDEX(INDEX(VimFrac,0,9*C217+VLOOKUP(C216,PlanetData,3,0)+1),IF(C217,1,0)+MATCH(C214,INDEX(VimFrac,0,9*C217+VLOOKUP(C216,PlanetData,3,0)+1),IF(C217,-1,1)))</f>
        <v>#N/A</v>
      </c>
      <c r="E211" s="293" t="e">
        <f aca="false">D211+D213*INDEX(INDEX(VimFrac,0,9*D217+VLOOKUP(D216,PlanetData,3,0)+1),IF(D217,1,0)+MATCH(D214,INDEX(VimFrac,0,9*D217+VLOOKUP(D216,PlanetData,3,0)+1),IF(D217,-1,1)))</f>
        <v>#N/A</v>
      </c>
      <c r="F211" s="293" t="e">
        <f aca="false">E211+E213*INDEX(INDEX(VimFrac,0,9*E217+VLOOKUP(E216,PlanetData,3,0)+1),IF(E217,1,0)+MATCH(E214,INDEX(VimFrac,0,9*E217+VLOOKUP(E216,PlanetData,3,0)+1),IF(E217,-1,1)))</f>
        <v>#N/A</v>
      </c>
      <c r="G211" s="293" t="e">
        <f aca="false">F211+F213*INDEX(INDEX(VimFrac,0,9*F217+VLOOKUP(F216,PlanetData,3,0)+1),IF(F217,1,0)+MATCH(F214,INDEX(VimFrac,0,9*F217+VLOOKUP(F216,PlanetData,3,0)+1),IF(F217,-1,1)))</f>
        <v>#N/A</v>
      </c>
      <c r="H211" s="293" t="e">
        <f aca="false">G211+G213*INDEX(INDEX(VimFrac,0,9*G217+VLOOKUP(G216,PlanetData,3,0)+1),IF(G217,1,0)+MATCH(G214,INDEX(VimFrac,0,9*G217+VLOOKUP(G216,PlanetData,3,0)+1),IF(G217,-1,1)))</f>
        <v>#N/A</v>
      </c>
      <c r="J211" s="273" t="n">
        <f aca="false">J216</f>
        <v>0</v>
      </c>
      <c r="K211" s="6" t="n">
        <f aca="false">K203+1</f>
        <v>26</v>
      </c>
    </row>
    <row r="212" customFormat="false" ht="15" hidden="false" customHeight="false" outlineLevel="0" collapsed="false">
      <c r="A212" s="291" t="s">
        <v>455</v>
      </c>
      <c r="B212" s="292" t="n">
        <f aca="false">B211+B213</f>
        <v>66398.3660175406</v>
      </c>
      <c r="C212" s="293" t="e">
        <f aca="false">B211+B213*INDEX(INDEX(VimFrac,,VLOOKUP(B216,PlanetData,3,0)+1),MATCH(B214,INDEX(VimFrac,,VLOOKUP(B216,PlanetData,3,0)+1),1)+1)</f>
        <v>#N/A</v>
      </c>
      <c r="D212" s="293" t="e">
        <f aca="false">C211+C213*INDEX(INDEX(VimFrac,0,9*C217+VLOOKUP(C216,PlanetData,3,0)+1),IF(C217,0,1)+MATCH(C214,INDEX(VimFrac,0,9*C217+VLOOKUP(C216,PlanetData,3,0)+1),IF(C217,-1,1)))</f>
        <v>#N/A</v>
      </c>
      <c r="E212" s="293" t="e">
        <f aca="false">D211+D213*INDEX(INDEX(VimFrac,0,9*D217+VLOOKUP(D216,PlanetData,3,0)+1),IF(D217,0,1)+MATCH(D214,INDEX(VimFrac,0,9*D217+VLOOKUP(D216,PlanetData,3,0)+1),IF(D217,-1,1)))</f>
        <v>#N/A</v>
      </c>
      <c r="F212" s="293" t="e">
        <f aca="false">E211+E213*INDEX(INDEX(VimFrac,0,9*E217+VLOOKUP(E216,PlanetData,3,0)+1),IF(E217,0,1)+MATCH(E214,INDEX(VimFrac,0,9*E217+VLOOKUP(E216,PlanetData,3,0)+1),IF(E217,-1,1)))</f>
        <v>#N/A</v>
      </c>
      <c r="G212" s="293" t="e">
        <f aca="false">F211+F213*INDEX(INDEX(VimFrac,0,9*F217+VLOOKUP(F216,PlanetData,3,0)+1),IF(F217,0,1)+MATCH(F214,INDEX(VimFrac,0,9*F217+VLOOKUP(F216,PlanetData,3,0)+1),IF(F217,-1,1)))</f>
        <v>#N/A</v>
      </c>
      <c r="H212" s="293" t="e">
        <f aca="false">G211+G213*INDEX(INDEX(VimFrac,0,9*G217+VLOOKUP(G216,PlanetData,3,0)+1),IF(G217,0,1)+MATCH(G214,INDEX(VimFrac,0,9*G217+VLOOKUP(G216,PlanetData,3,0)+1),IF(G217,-1,1)))</f>
        <v>#N/A</v>
      </c>
      <c r="J212" s="273" t="n">
        <f aca="false">J216</f>
        <v>0</v>
      </c>
      <c r="K212" s="6" t="n">
        <f aca="false">K204+1</f>
        <v>26</v>
      </c>
    </row>
    <row r="213" customFormat="false" ht="15" hidden="false" customHeight="false" outlineLevel="0" collapsed="false">
      <c r="A213" s="294" t="s">
        <v>456</v>
      </c>
      <c r="B213" s="295" t="n">
        <f aca="false">120*DaysInYear</f>
        <v>43830.5847222218</v>
      </c>
      <c r="C213" s="296" t="e">
        <f aca="false">C212-C211</f>
        <v>#N/A</v>
      </c>
      <c r="D213" s="296" t="e">
        <f aca="false">D212-D211</f>
        <v>#N/A</v>
      </c>
      <c r="E213" s="296" t="e">
        <f aca="false">E212-E211</f>
        <v>#N/A</v>
      </c>
      <c r="F213" s="296" t="e">
        <f aca="false">F212-F211</f>
        <v>#N/A</v>
      </c>
      <c r="G213" s="296" t="e">
        <f aca="false">G212-G211</f>
        <v>#N/A</v>
      </c>
      <c r="H213" s="296" t="e">
        <f aca="false">H212-H211</f>
        <v>#N/A</v>
      </c>
      <c r="K213" s="6" t="n">
        <f aca="false">K205</f>
        <v>0</v>
      </c>
    </row>
    <row r="214" customFormat="false" ht="15" hidden="false" customHeight="false" outlineLevel="0" collapsed="false">
      <c r="A214" s="294" t="s">
        <v>457</v>
      </c>
      <c r="B214" s="297" t="n">
        <f aca="false">(I216-B211)/(B212-B211)</f>
        <v>-0.51488661258669</v>
      </c>
      <c r="C214" s="298" t="e">
        <f aca="false">(I216-C211)/(C212-C211)</f>
        <v>#N/A</v>
      </c>
      <c r="D214" s="298" t="e">
        <f aca="false">(I216-D211)/(D212-D211)</f>
        <v>#N/A</v>
      </c>
      <c r="E214" s="298" t="e">
        <f aca="false">(I216-E211)/(E212-E211)</f>
        <v>#N/A</v>
      </c>
      <c r="F214" s="298" t="e">
        <f aca="false">(I216-F211)/(F212-F211)</f>
        <v>#N/A</v>
      </c>
      <c r="G214" s="298" t="e">
        <f aca="false">(I216-G211)/(G212-G211)</f>
        <v>#N/A</v>
      </c>
      <c r="H214" s="298" t="e">
        <f aca="false">(I216-H211)/(H212-H211)</f>
        <v>#N/A</v>
      </c>
      <c r="K214" s="6" t="n">
        <f aca="false">K206</f>
        <v>0</v>
      </c>
    </row>
    <row r="215" customFormat="false" ht="15" hidden="false" customHeight="false" outlineLevel="0" collapsed="false">
      <c r="A215" s="294" t="s">
        <v>458</v>
      </c>
      <c r="B215" s="295"/>
      <c r="C215" s="296" t="e">
        <f aca="false">MOD(VLOOKUP(B216,PlanetData,3,0)+MATCH(B214,INDEX(VimFrac,,VLOOKUP(B216,PlanetData,3,0)+1),1)-1,9)</f>
        <v>#N/A</v>
      </c>
      <c r="D215" s="296" t="e">
        <f aca="false">MOD(VLOOKUP(C216,PlanetData,3,0)+MATCH(C214,INDEX(VimFrac,0,9*C217+VLOOKUP(C216,PlanetData,3,0)+1),IF(C217,-1,1))-1,9)</f>
        <v>#N/A</v>
      </c>
      <c r="E215" s="296" t="e">
        <f aca="false">MOD(VLOOKUP(D216,PlanetData,3,0)+MATCH(D214,INDEX(VimFrac,0,9*D217+VLOOKUP(D216,PlanetData,3,0)+1),IF(D217,-1,1))-1,9)</f>
        <v>#N/A</v>
      </c>
      <c r="F215" s="296" t="e">
        <f aca="false">MOD(VLOOKUP(E216,PlanetData,3,0)+MATCH(E214,INDEX(VimFrac,0,9*E217+VLOOKUP(E216,PlanetData,3,0)+1),IF(E217,-1,1))-1,9)</f>
        <v>#N/A</v>
      </c>
      <c r="G215" s="296" t="e">
        <f aca="false">MOD(VLOOKUP(F216,PlanetData,3,0)+MATCH(F214,INDEX(VimFrac,0,9*F217+VLOOKUP(F216,PlanetData,3,0)+1),IF(F217,-1,1))-1,9)</f>
        <v>#N/A</v>
      </c>
      <c r="H215" s="296" t="e">
        <f aca="false">MOD(VLOOKUP(G216,PlanetData,3,0)+MATCH(G214,INDEX(VimFrac,0,9*G217+VLOOKUP(G216,PlanetData,3,0)+1),IF(G217,-1,1))-1,9)</f>
        <v>#N/A</v>
      </c>
      <c r="K215" s="6" t="n">
        <f aca="false">K207</f>
        <v>0</v>
      </c>
    </row>
    <row r="216" customFormat="false" ht="15" hidden="false" customHeight="false" outlineLevel="0" collapsed="false">
      <c r="A216" s="294" t="s">
        <v>459</v>
      </c>
      <c r="B216" s="295" t="str">
        <f aca="false">$B$4</f>
        <v>Moon</v>
      </c>
      <c r="C216" s="296" t="e">
        <f aca="false">INDEX(DasaYears,IF(C215=0,9,C215),1)</f>
        <v>#N/A</v>
      </c>
      <c r="D216" s="296" t="e">
        <f aca="false">INDEX(DasaYears,IF(D215=0,9,D215),1)</f>
        <v>#N/A</v>
      </c>
      <c r="E216" s="296" t="e">
        <f aca="false">INDEX(DasaYears,IF(E215=0,9,E215),1)</f>
        <v>#N/A</v>
      </c>
      <c r="F216" s="296" t="e">
        <f aca="false">INDEX(DasaYears,IF(F215=0,9,F215),1)</f>
        <v>#N/A</v>
      </c>
      <c r="G216" s="296" t="e">
        <f aca="false">INDEX(DasaYears,IF(G215=0,9,G215),1)</f>
        <v>#N/A</v>
      </c>
      <c r="H216" s="296" t="e">
        <f aca="false">INDEX(DasaYears,IF(H215=0,9,H215),1)</f>
        <v>#N/A</v>
      </c>
      <c r="I216" s="275" t="n">
        <f aca="true">INDIRECT("'JHora'!$B$"&amp;($K216))</f>
        <v>0</v>
      </c>
      <c r="J216" s="275" t="n">
        <f aca="true">INDIRECT("'JHora'!$C$"&amp;($K216))</f>
        <v>0</v>
      </c>
      <c r="K216" s="6" t="n">
        <f aca="false">K208+1</f>
        <v>26</v>
      </c>
    </row>
    <row r="217" customFormat="false" ht="15" hidden="false" customHeight="false" outlineLevel="0" collapsed="false">
      <c r="A217" s="294" t="s">
        <v>444</v>
      </c>
      <c r="B217" s="295" t="b">
        <f aca="false">FALSE()</f>
        <v>0</v>
      </c>
      <c r="C217" s="296" t="e">
        <f aca="false">IF(VLOOKUP(C216,ChartInfo,11,0),1,0)*B217</f>
        <v>#N/A</v>
      </c>
      <c r="D217" s="296" t="e">
        <f aca="false">IF(VLOOKUP(D216,ChartInfo,11,0),1,0)*B217</f>
        <v>#N/A</v>
      </c>
      <c r="E217" s="296" t="e">
        <f aca="false">IF(VLOOKUP(E216,ChartInfo,11,0),1,0)*B217</f>
        <v>#N/A</v>
      </c>
      <c r="F217" s="296" t="e">
        <f aca="false">IF(VLOOKUP(F216,ChartInfo,11,0),1,0)*B217</f>
        <v>#N/A</v>
      </c>
      <c r="G217" s="296" t="e">
        <f aca="false">IF(VLOOKUP(G216,ChartInfo,11,0),1,0)*B217</f>
        <v>#N/A</v>
      </c>
      <c r="H217" s="296" t="e">
        <f aca="false">IF(VLOOKUP(H216,ChartInfo,11,0),1,0)*B217</f>
        <v>#N/A</v>
      </c>
      <c r="K217" s="6" t="n">
        <f aca="false">K209</f>
        <v>0</v>
      </c>
    </row>
    <row r="218" customFormat="false" ht="15" hidden="false" customHeight="false" outlineLevel="0" collapsed="false">
      <c r="K218" s="6" t="n">
        <f aca="false">K210+1</f>
        <v>26</v>
      </c>
    </row>
    <row r="219" customFormat="false" ht="15" hidden="false" customHeight="false" outlineLevel="0" collapsed="false">
      <c r="A219" s="291" t="s">
        <v>454</v>
      </c>
      <c r="B219" s="292" t="n">
        <f aca="false">DoB-$E$6*DaysInYear</f>
        <v>22567.7812953187</v>
      </c>
      <c r="C219" s="293" t="e">
        <f aca="false">B219+B221*INDEX(INDEX(VimFrac,,VLOOKUP(B224,PlanetData,3,0)+1),MATCH(B222,INDEX(VimFrac,,VLOOKUP(B224,PlanetData,3,0)+1),1))</f>
        <v>#N/A</v>
      </c>
      <c r="D219" s="293" t="e">
        <f aca="false">C219+C221*INDEX(INDEX(VimFrac,0,9*C225+VLOOKUP(C224,PlanetData,3,0)+1),IF(C225,1,0)+MATCH(C222,INDEX(VimFrac,0,9*C225+VLOOKUP(C224,PlanetData,3,0)+1),IF(C225,-1,1)))</f>
        <v>#N/A</v>
      </c>
      <c r="E219" s="293" t="e">
        <f aca="false">D219+D221*INDEX(INDEX(VimFrac,0,9*D225+VLOOKUP(D224,PlanetData,3,0)+1),IF(D225,1,0)+MATCH(D222,INDEX(VimFrac,0,9*D225+VLOOKUP(D224,PlanetData,3,0)+1),IF(D225,-1,1)))</f>
        <v>#N/A</v>
      </c>
      <c r="F219" s="293" t="e">
        <f aca="false">E219+E221*INDEX(INDEX(VimFrac,0,9*E225+VLOOKUP(E224,PlanetData,3,0)+1),IF(E225,1,0)+MATCH(E222,INDEX(VimFrac,0,9*E225+VLOOKUP(E224,PlanetData,3,0)+1),IF(E225,-1,1)))</f>
        <v>#N/A</v>
      </c>
      <c r="G219" s="293" t="e">
        <f aca="false">F219+F221*INDEX(INDEX(VimFrac,0,9*F225+VLOOKUP(F224,PlanetData,3,0)+1),IF(F225,1,0)+MATCH(F222,INDEX(VimFrac,0,9*F225+VLOOKUP(F224,PlanetData,3,0)+1),IF(F225,-1,1)))</f>
        <v>#N/A</v>
      </c>
      <c r="H219" s="293" t="e">
        <f aca="false">G219+G221*INDEX(INDEX(VimFrac,0,9*G225+VLOOKUP(G224,PlanetData,3,0)+1),IF(G225,1,0)+MATCH(G222,INDEX(VimFrac,0,9*G225+VLOOKUP(G224,PlanetData,3,0)+1),IF(G225,-1,1)))</f>
        <v>#N/A</v>
      </c>
      <c r="J219" s="273" t="n">
        <f aca="false">J224</f>
        <v>0</v>
      </c>
      <c r="K219" s="6" t="n">
        <f aca="false">K211+1</f>
        <v>27</v>
      </c>
    </row>
    <row r="220" customFormat="false" ht="15" hidden="false" customHeight="false" outlineLevel="0" collapsed="false">
      <c r="A220" s="291" t="s">
        <v>455</v>
      </c>
      <c r="B220" s="292" t="n">
        <f aca="false">B219+B221</f>
        <v>66398.3660175406</v>
      </c>
      <c r="C220" s="293" t="e">
        <f aca="false">B219+B221*INDEX(INDEX(VimFrac,,VLOOKUP(B224,PlanetData,3,0)+1),MATCH(B222,INDEX(VimFrac,,VLOOKUP(B224,PlanetData,3,0)+1),1)+1)</f>
        <v>#N/A</v>
      </c>
      <c r="D220" s="293" t="e">
        <f aca="false">C219+C221*INDEX(INDEX(VimFrac,0,9*C225+VLOOKUP(C224,PlanetData,3,0)+1),IF(C225,0,1)+MATCH(C222,INDEX(VimFrac,0,9*C225+VLOOKUP(C224,PlanetData,3,0)+1),IF(C225,-1,1)))</f>
        <v>#N/A</v>
      </c>
      <c r="E220" s="293" t="e">
        <f aca="false">D219+D221*INDEX(INDEX(VimFrac,0,9*D225+VLOOKUP(D224,PlanetData,3,0)+1),IF(D225,0,1)+MATCH(D222,INDEX(VimFrac,0,9*D225+VLOOKUP(D224,PlanetData,3,0)+1),IF(D225,-1,1)))</f>
        <v>#N/A</v>
      </c>
      <c r="F220" s="293" t="e">
        <f aca="false">E219+E221*INDEX(INDEX(VimFrac,0,9*E225+VLOOKUP(E224,PlanetData,3,0)+1),IF(E225,0,1)+MATCH(E222,INDEX(VimFrac,0,9*E225+VLOOKUP(E224,PlanetData,3,0)+1),IF(E225,-1,1)))</f>
        <v>#N/A</v>
      </c>
      <c r="G220" s="293" t="e">
        <f aca="false">F219+F221*INDEX(INDEX(VimFrac,0,9*F225+VLOOKUP(F224,PlanetData,3,0)+1),IF(F225,0,1)+MATCH(F222,INDEX(VimFrac,0,9*F225+VLOOKUP(F224,PlanetData,3,0)+1),IF(F225,-1,1)))</f>
        <v>#N/A</v>
      </c>
      <c r="H220" s="293" t="e">
        <f aca="false">G219+G221*INDEX(INDEX(VimFrac,0,9*G225+VLOOKUP(G224,PlanetData,3,0)+1),IF(G225,0,1)+MATCH(G222,INDEX(VimFrac,0,9*G225+VLOOKUP(G224,PlanetData,3,0)+1),IF(G225,-1,1)))</f>
        <v>#N/A</v>
      </c>
      <c r="J220" s="273" t="n">
        <f aca="false">J224</f>
        <v>0</v>
      </c>
      <c r="K220" s="6" t="n">
        <f aca="false">K212+1</f>
        <v>27</v>
      </c>
    </row>
    <row r="221" customFormat="false" ht="15" hidden="false" customHeight="false" outlineLevel="0" collapsed="false">
      <c r="A221" s="294" t="s">
        <v>456</v>
      </c>
      <c r="B221" s="295" t="n">
        <f aca="false">120*DaysInYear</f>
        <v>43830.5847222218</v>
      </c>
      <c r="C221" s="296" t="e">
        <f aca="false">C220-C219</f>
        <v>#N/A</v>
      </c>
      <c r="D221" s="296" t="e">
        <f aca="false">D220-D219</f>
        <v>#N/A</v>
      </c>
      <c r="E221" s="296" t="e">
        <f aca="false">E220-E219</f>
        <v>#N/A</v>
      </c>
      <c r="F221" s="296" t="e">
        <f aca="false">F220-F219</f>
        <v>#N/A</v>
      </c>
      <c r="G221" s="296" t="e">
        <f aca="false">G220-G219</f>
        <v>#N/A</v>
      </c>
      <c r="H221" s="296" t="e">
        <f aca="false">H220-H219</f>
        <v>#N/A</v>
      </c>
      <c r="K221" s="6" t="n">
        <f aca="false">K213</f>
        <v>0</v>
      </c>
    </row>
    <row r="222" customFormat="false" ht="15" hidden="false" customHeight="false" outlineLevel="0" collapsed="false">
      <c r="A222" s="294" t="s">
        <v>457</v>
      </c>
      <c r="B222" s="297" t="n">
        <f aca="false">(I224-B219)/(B220-B219)</f>
        <v>-0.51488661258669</v>
      </c>
      <c r="C222" s="298" t="e">
        <f aca="false">(I224-C219)/(C220-C219)</f>
        <v>#N/A</v>
      </c>
      <c r="D222" s="298" t="e">
        <f aca="false">(I224-D219)/(D220-D219)</f>
        <v>#N/A</v>
      </c>
      <c r="E222" s="298" t="e">
        <f aca="false">(I224-E219)/(E220-E219)</f>
        <v>#N/A</v>
      </c>
      <c r="F222" s="298" t="e">
        <f aca="false">(I224-F219)/(F220-F219)</f>
        <v>#N/A</v>
      </c>
      <c r="G222" s="298" t="e">
        <f aca="false">(I224-G219)/(G220-G219)</f>
        <v>#N/A</v>
      </c>
      <c r="H222" s="298" t="e">
        <f aca="false">(I224-H219)/(H220-H219)</f>
        <v>#N/A</v>
      </c>
      <c r="K222" s="6" t="n">
        <f aca="false">K214</f>
        <v>0</v>
      </c>
    </row>
    <row r="223" customFormat="false" ht="15" hidden="false" customHeight="false" outlineLevel="0" collapsed="false">
      <c r="A223" s="294" t="s">
        <v>458</v>
      </c>
      <c r="B223" s="295"/>
      <c r="C223" s="296" t="e">
        <f aca="false">MOD(VLOOKUP(B224,PlanetData,3,0)+MATCH(B222,INDEX(VimFrac,,VLOOKUP(B224,PlanetData,3,0)+1),1)-1,9)</f>
        <v>#N/A</v>
      </c>
      <c r="D223" s="296" t="e">
        <f aca="false">MOD(VLOOKUP(C224,PlanetData,3,0)+MATCH(C222,INDEX(VimFrac,0,9*C225+VLOOKUP(C224,PlanetData,3,0)+1),IF(C225,-1,1))-1,9)</f>
        <v>#N/A</v>
      </c>
      <c r="E223" s="296" t="e">
        <f aca="false">MOD(VLOOKUP(D224,PlanetData,3,0)+MATCH(D222,INDEX(VimFrac,0,9*D225+VLOOKUP(D224,PlanetData,3,0)+1),IF(D225,-1,1))-1,9)</f>
        <v>#N/A</v>
      </c>
      <c r="F223" s="296" t="e">
        <f aca="false">MOD(VLOOKUP(E224,PlanetData,3,0)+MATCH(E222,INDEX(VimFrac,0,9*E225+VLOOKUP(E224,PlanetData,3,0)+1),IF(E225,-1,1))-1,9)</f>
        <v>#N/A</v>
      </c>
      <c r="G223" s="296" t="e">
        <f aca="false">MOD(VLOOKUP(F224,PlanetData,3,0)+MATCH(F222,INDEX(VimFrac,0,9*F225+VLOOKUP(F224,PlanetData,3,0)+1),IF(F225,-1,1))-1,9)</f>
        <v>#N/A</v>
      </c>
      <c r="H223" s="296" t="e">
        <f aca="false">MOD(VLOOKUP(G224,PlanetData,3,0)+MATCH(G222,INDEX(VimFrac,0,9*G225+VLOOKUP(G224,PlanetData,3,0)+1),IF(G225,-1,1))-1,9)</f>
        <v>#N/A</v>
      </c>
      <c r="K223" s="6" t="n">
        <f aca="false">K215</f>
        <v>0</v>
      </c>
    </row>
    <row r="224" customFormat="false" ht="15" hidden="false" customHeight="false" outlineLevel="0" collapsed="false">
      <c r="A224" s="294" t="s">
        <v>459</v>
      </c>
      <c r="B224" s="295" t="str">
        <f aca="false">$B$4</f>
        <v>Moon</v>
      </c>
      <c r="C224" s="296" t="e">
        <f aca="false">INDEX(DasaYears,IF(C223=0,9,C223),1)</f>
        <v>#N/A</v>
      </c>
      <c r="D224" s="296" t="e">
        <f aca="false">INDEX(DasaYears,IF(D223=0,9,D223),1)</f>
        <v>#N/A</v>
      </c>
      <c r="E224" s="296" t="e">
        <f aca="false">INDEX(DasaYears,IF(E223=0,9,E223),1)</f>
        <v>#N/A</v>
      </c>
      <c r="F224" s="296" t="e">
        <f aca="false">INDEX(DasaYears,IF(F223=0,9,F223),1)</f>
        <v>#N/A</v>
      </c>
      <c r="G224" s="296" t="e">
        <f aca="false">INDEX(DasaYears,IF(G223=0,9,G223),1)</f>
        <v>#N/A</v>
      </c>
      <c r="H224" s="296" t="e">
        <f aca="false">INDEX(DasaYears,IF(H223=0,9,H223),1)</f>
        <v>#N/A</v>
      </c>
      <c r="I224" s="275" t="n">
        <f aca="true">INDIRECT("'JHora'!$B$"&amp;($K224))</f>
        <v>0</v>
      </c>
      <c r="J224" s="275" t="n">
        <f aca="true">INDIRECT("'JHora'!$C$"&amp;($K224))</f>
        <v>0</v>
      </c>
      <c r="K224" s="6" t="n">
        <f aca="false">K216+1</f>
        <v>27</v>
      </c>
    </row>
    <row r="225" customFormat="false" ht="15" hidden="false" customHeight="false" outlineLevel="0" collapsed="false">
      <c r="A225" s="294" t="s">
        <v>444</v>
      </c>
      <c r="B225" s="295" t="b">
        <f aca="false">$B$7</f>
        <v>1</v>
      </c>
      <c r="C225" s="296" t="e">
        <f aca="false">IF(VLOOKUP(C224,ChartInfo,11,0),1,0)*B225</f>
        <v>#N/A</v>
      </c>
      <c r="D225" s="296" t="e">
        <f aca="false">IF(VLOOKUP(D224,ChartInfo,11,0),1,0)*B225</f>
        <v>#N/A</v>
      </c>
      <c r="E225" s="296" t="e">
        <f aca="false">IF(VLOOKUP(E224,ChartInfo,11,0),1,0)*B225</f>
        <v>#N/A</v>
      </c>
      <c r="F225" s="296" t="e">
        <f aca="false">IF(VLOOKUP(F224,ChartInfo,11,0),1,0)*B225</f>
        <v>#N/A</v>
      </c>
      <c r="G225" s="296" t="e">
        <f aca="false">IF(VLOOKUP(G224,ChartInfo,11,0),1,0)*B225</f>
        <v>#N/A</v>
      </c>
      <c r="H225" s="296" t="e">
        <f aca="false">IF(VLOOKUP(H224,ChartInfo,11,0),1,0)*B225</f>
        <v>#N/A</v>
      </c>
      <c r="I225" s="151" t="n">
        <f aca="true">NOW()-I224</f>
        <v>45951.461687479</v>
      </c>
      <c r="K225" s="6" t="n">
        <f aca="false">K217</f>
        <v>0</v>
      </c>
    </row>
    <row r="226" customFormat="false" ht="15" hidden="false" customHeight="false" outlineLevel="0" collapsed="false">
      <c r="K226" s="6" t="n">
        <f aca="false">K218+1</f>
        <v>27</v>
      </c>
    </row>
    <row r="227" customFormat="false" ht="15" hidden="false" customHeight="false" outlineLevel="0" collapsed="false">
      <c r="A227" s="291" t="s">
        <v>454</v>
      </c>
      <c r="B227" s="292" t="n">
        <f aca="false">DoB-$E$6*DaysInYear</f>
        <v>22567.7812953187</v>
      </c>
      <c r="C227" s="293" t="e">
        <f aca="false">B227+B229*INDEX(INDEX(VimFrac,,VLOOKUP(B232,PlanetData,3,0)+1),MATCH(B230,INDEX(VimFrac,,VLOOKUP(B232,PlanetData,3,0)+1),1))</f>
        <v>#N/A</v>
      </c>
      <c r="D227" s="293" t="e">
        <f aca="false">C227+C229*INDEX(INDEX(VimFrac,0,9*C233+VLOOKUP(C232,PlanetData,3,0)+1),IF(C233,1,0)+MATCH(C230,INDEX(VimFrac,0,9*C233+VLOOKUP(C232,PlanetData,3,0)+1),IF(C233,-1,1)))</f>
        <v>#N/A</v>
      </c>
      <c r="E227" s="293" t="e">
        <f aca="false">D227+D229*INDEX(INDEX(VimFrac,0,9*D233+VLOOKUP(D232,PlanetData,3,0)+1),IF(D233,1,0)+MATCH(D230,INDEX(VimFrac,0,9*D233+VLOOKUP(D232,PlanetData,3,0)+1),IF(D233,-1,1)))</f>
        <v>#N/A</v>
      </c>
      <c r="F227" s="293" t="e">
        <f aca="false">E227+E229*INDEX(INDEX(VimFrac,0,9*E233+VLOOKUP(E232,PlanetData,3,0)+1),IF(E233,1,0)+MATCH(E230,INDEX(VimFrac,0,9*E233+VLOOKUP(E232,PlanetData,3,0)+1),IF(E233,-1,1)))</f>
        <v>#N/A</v>
      </c>
      <c r="G227" s="293" t="e">
        <f aca="false">F227+F229*INDEX(INDEX(VimFrac,0,9*F233+VLOOKUP(F232,PlanetData,3,0)+1),IF(F233,1,0)+MATCH(F230,INDEX(VimFrac,0,9*F233+VLOOKUP(F232,PlanetData,3,0)+1),IF(F233,-1,1)))</f>
        <v>#N/A</v>
      </c>
      <c r="H227" s="293" t="e">
        <f aca="false">G227+G229*INDEX(INDEX(VimFrac,0,9*G233+VLOOKUP(G232,PlanetData,3,0)+1),IF(G233,1,0)+MATCH(G230,INDEX(VimFrac,0,9*G233+VLOOKUP(G232,PlanetData,3,0)+1),IF(G233,-1,1)))</f>
        <v>#N/A</v>
      </c>
      <c r="J227" s="273" t="n">
        <f aca="false">J232</f>
        <v>0</v>
      </c>
      <c r="K227" s="6" t="n">
        <f aca="false">K219+1</f>
        <v>28</v>
      </c>
    </row>
    <row r="228" customFormat="false" ht="15" hidden="false" customHeight="false" outlineLevel="0" collapsed="false">
      <c r="A228" s="291" t="s">
        <v>455</v>
      </c>
      <c r="B228" s="292" t="n">
        <f aca="false">B227+B229</f>
        <v>66398.3660175406</v>
      </c>
      <c r="C228" s="293" t="e">
        <f aca="false">B227+B229*INDEX(INDEX(VimFrac,,VLOOKUP(B232,PlanetData,3,0)+1),MATCH(B230,INDEX(VimFrac,,VLOOKUP(B232,PlanetData,3,0)+1),1)+1)</f>
        <v>#N/A</v>
      </c>
      <c r="D228" s="293" t="e">
        <f aca="false">C227+C229*INDEX(INDEX(VimFrac,0,9*C233+VLOOKUP(C232,PlanetData,3,0)+1),IF(C233,0,1)+MATCH(C230,INDEX(VimFrac,0,9*C233+VLOOKUP(C232,PlanetData,3,0)+1),IF(C233,-1,1)))</f>
        <v>#N/A</v>
      </c>
      <c r="E228" s="293" t="e">
        <f aca="false">D227+D229*INDEX(INDEX(VimFrac,0,9*D233+VLOOKUP(D232,PlanetData,3,0)+1),IF(D233,0,1)+MATCH(D230,INDEX(VimFrac,0,9*D233+VLOOKUP(D232,PlanetData,3,0)+1),IF(D233,-1,1)))</f>
        <v>#N/A</v>
      </c>
      <c r="F228" s="293" t="e">
        <f aca="false">E227+E229*INDEX(INDEX(VimFrac,0,9*E233+VLOOKUP(E232,PlanetData,3,0)+1),IF(E233,0,1)+MATCH(E230,INDEX(VimFrac,0,9*E233+VLOOKUP(E232,PlanetData,3,0)+1),IF(E233,-1,1)))</f>
        <v>#N/A</v>
      </c>
      <c r="G228" s="293" t="e">
        <f aca="false">F227+F229*INDEX(INDEX(VimFrac,0,9*F233+VLOOKUP(F232,PlanetData,3,0)+1),IF(F233,0,1)+MATCH(F230,INDEX(VimFrac,0,9*F233+VLOOKUP(F232,PlanetData,3,0)+1),IF(F233,-1,1)))</f>
        <v>#N/A</v>
      </c>
      <c r="H228" s="293" t="e">
        <f aca="false">G227+G229*INDEX(INDEX(VimFrac,0,9*G233+VLOOKUP(G232,PlanetData,3,0)+1),IF(G233,0,1)+MATCH(G230,INDEX(VimFrac,0,9*G233+VLOOKUP(G232,PlanetData,3,0)+1),IF(G233,-1,1)))</f>
        <v>#N/A</v>
      </c>
      <c r="J228" s="273" t="n">
        <f aca="false">J232</f>
        <v>0</v>
      </c>
      <c r="K228" s="6" t="n">
        <f aca="false">K220+1</f>
        <v>28</v>
      </c>
    </row>
    <row r="229" customFormat="false" ht="15" hidden="false" customHeight="false" outlineLevel="0" collapsed="false">
      <c r="A229" s="294" t="s">
        <v>456</v>
      </c>
      <c r="B229" s="295" t="n">
        <f aca="false">120*DaysInYear</f>
        <v>43830.5847222218</v>
      </c>
      <c r="C229" s="296" t="e">
        <f aca="false">C228-C227</f>
        <v>#N/A</v>
      </c>
      <c r="D229" s="296" t="e">
        <f aca="false">D228-D227</f>
        <v>#N/A</v>
      </c>
      <c r="E229" s="296" t="e">
        <f aca="false">E228-E227</f>
        <v>#N/A</v>
      </c>
      <c r="F229" s="296" t="e">
        <f aca="false">F228-F227</f>
        <v>#N/A</v>
      </c>
      <c r="G229" s="296" t="e">
        <f aca="false">G228-G227</f>
        <v>#N/A</v>
      </c>
      <c r="H229" s="296" t="e">
        <f aca="false">H228-H227</f>
        <v>#N/A</v>
      </c>
      <c r="K229" s="6" t="n">
        <f aca="false">K221</f>
        <v>0</v>
      </c>
    </row>
    <row r="230" customFormat="false" ht="15" hidden="false" customHeight="false" outlineLevel="0" collapsed="false">
      <c r="A230" s="294" t="s">
        <v>457</v>
      </c>
      <c r="B230" s="297" t="n">
        <f aca="false">(I232-B227)/(B228-B227)</f>
        <v>-0.51488661258669</v>
      </c>
      <c r="C230" s="298" t="e">
        <f aca="false">(I232-C227)/(C228-C227)</f>
        <v>#N/A</v>
      </c>
      <c r="D230" s="298" t="e">
        <f aca="false">(I232-D227)/(D228-D227)</f>
        <v>#N/A</v>
      </c>
      <c r="E230" s="298" t="e">
        <f aca="false">(I232-E227)/(E228-E227)</f>
        <v>#N/A</v>
      </c>
      <c r="F230" s="298" t="e">
        <f aca="false">(I232-F227)/(F228-F227)</f>
        <v>#N/A</v>
      </c>
      <c r="G230" s="298" t="e">
        <f aca="false">(I232-G227)/(G228-G227)</f>
        <v>#N/A</v>
      </c>
      <c r="H230" s="298" t="e">
        <f aca="false">(I232-H227)/(H228-H227)</f>
        <v>#N/A</v>
      </c>
      <c r="K230" s="6" t="n">
        <f aca="false">K222</f>
        <v>0</v>
      </c>
    </row>
    <row r="231" customFormat="false" ht="15" hidden="false" customHeight="false" outlineLevel="0" collapsed="false">
      <c r="A231" s="294" t="s">
        <v>458</v>
      </c>
      <c r="B231" s="295"/>
      <c r="C231" s="296" t="e">
        <f aca="false">MOD(VLOOKUP(B232,PlanetData,3,0)+MATCH(B230,INDEX(VimFrac,,VLOOKUP(B232,PlanetData,3,0)+1),1)-1,9)</f>
        <v>#N/A</v>
      </c>
      <c r="D231" s="296" t="e">
        <f aca="false">MOD(VLOOKUP(C232,PlanetData,3,0)+MATCH(C230,INDEX(VimFrac,0,9*C233+VLOOKUP(C232,PlanetData,3,0)+1),IF(C233,-1,1))-1,9)</f>
        <v>#N/A</v>
      </c>
      <c r="E231" s="296" t="e">
        <f aca="false">MOD(VLOOKUP(D232,PlanetData,3,0)+MATCH(D230,INDEX(VimFrac,0,9*D233+VLOOKUP(D232,PlanetData,3,0)+1),IF(D233,-1,1))-1,9)</f>
        <v>#N/A</v>
      </c>
      <c r="F231" s="296" t="e">
        <f aca="false">MOD(VLOOKUP(E232,PlanetData,3,0)+MATCH(E230,INDEX(VimFrac,0,9*E233+VLOOKUP(E232,PlanetData,3,0)+1),IF(E233,-1,1))-1,9)</f>
        <v>#N/A</v>
      </c>
      <c r="G231" s="296" t="e">
        <f aca="false">MOD(VLOOKUP(F232,PlanetData,3,0)+MATCH(F230,INDEX(VimFrac,0,9*F233+VLOOKUP(F232,PlanetData,3,0)+1),IF(F233,-1,1))-1,9)</f>
        <v>#N/A</v>
      </c>
      <c r="H231" s="296" t="e">
        <f aca="false">MOD(VLOOKUP(G232,PlanetData,3,0)+MATCH(G230,INDEX(VimFrac,0,9*G233+VLOOKUP(G232,PlanetData,3,0)+1),IF(G233,-1,1))-1,9)</f>
        <v>#N/A</v>
      </c>
      <c r="K231" s="6" t="n">
        <f aca="false">K223</f>
        <v>0</v>
      </c>
    </row>
    <row r="232" customFormat="false" ht="15" hidden="false" customHeight="false" outlineLevel="0" collapsed="false">
      <c r="A232" s="294" t="s">
        <v>459</v>
      </c>
      <c r="B232" s="295" t="str">
        <f aca="false">$B$4</f>
        <v>Moon</v>
      </c>
      <c r="C232" s="296" t="e">
        <f aca="false">INDEX(DasaYears,IF(C231=0,9,C231),1)</f>
        <v>#N/A</v>
      </c>
      <c r="D232" s="296" t="e">
        <f aca="false">INDEX(DasaYears,IF(D231=0,9,D231),1)</f>
        <v>#N/A</v>
      </c>
      <c r="E232" s="296" t="e">
        <f aca="false">INDEX(DasaYears,IF(E231=0,9,E231),1)</f>
        <v>#N/A</v>
      </c>
      <c r="F232" s="296" t="e">
        <f aca="false">INDEX(DasaYears,IF(F231=0,9,F231),1)</f>
        <v>#N/A</v>
      </c>
      <c r="G232" s="296" t="e">
        <f aca="false">INDEX(DasaYears,IF(G231=0,9,G231),1)</f>
        <v>#N/A</v>
      </c>
      <c r="H232" s="296" t="e">
        <f aca="false">INDEX(DasaYears,IF(H231=0,9,H231),1)</f>
        <v>#N/A</v>
      </c>
      <c r="I232" s="275" t="n">
        <f aca="true">INDIRECT("'JHora'!$B$"&amp;($K232))</f>
        <v>0</v>
      </c>
      <c r="J232" s="275" t="n">
        <f aca="true">INDIRECT("'JHora'!$C$"&amp;($K232))</f>
        <v>0</v>
      </c>
      <c r="K232" s="6" t="n">
        <f aca="false">K224+1</f>
        <v>28</v>
      </c>
    </row>
    <row r="233" customFormat="false" ht="15" hidden="false" customHeight="false" outlineLevel="0" collapsed="false">
      <c r="A233" s="294" t="s">
        <v>444</v>
      </c>
      <c r="B233" s="295" t="b">
        <f aca="false">$B$7</f>
        <v>1</v>
      </c>
      <c r="C233" s="296" t="e">
        <f aca="false">IF(VLOOKUP(C232,ChartInfo,11,0),1,0)*B233</f>
        <v>#N/A</v>
      </c>
      <c r="D233" s="296" t="e">
        <f aca="false">IF(VLOOKUP(D232,ChartInfo,11,0),1,0)*B233</f>
        <v>#N/A</v>
      </c>
      <c r="E233" s="296" t="e">
        <f aca="false">IF(VLOOKUP(E232,ChartInfo,11,0),1,0)*B233</f>
        <v>#N/A</v>
      </c>
      <c r="F233" s="296" t="e">
        <f aca="false">IF(VLOOKUP(F232,ChartInfo,11,0),1,0)*B233</f>
        <v>#N/A</v>
      </c>
      <c r="G233" s="296" t="e">
        <f aca="false">IF(VLOOKUP(G232,ChartInfo,11,0),1,0)*B233</f>
        <v>#N/A</v>
      </c>
      <c r="H233" s="296" t="e">
        <f aca="false">IF(VLOOKUP(H232,ChartInfo,11,0),1,0)*B233</f>
        <v>#N/A</v>
      </c>
      <c r="I233" s="151"/>
      <c r="K233" s="6" t="n">
        <f aca="false">K225</f>
        <v>0</v>
      </c>
    </row>
    <row r="234" customFormat="false" ht="15" hidden="false" customHeight="false" outlineLevel="0" collapsed="false">
      <c r="K234" s="6" t="n">
        <f aca="false">K226+1</f>
        <v>28</v>
      </c>
    </row>
    <row r="235" customFormat="false" ht="15" hidden="false" customHeight="false" outlineLevel="0" collapsed="false">
      <c r="A235" s="291" t="s">
        <v>454</v>
      </c>
      <c r="B235" s="292" t="n">
        <f aca="false">DoB-$E$6*DaysInYear</f>
        <v>22567.7812953187</v>
      </c>
      <c r="C235" s="293" t="e">
        <f aca="false">B235+B237*INDEX(INDEX(VimFrac,,VLOOKUP(B240,PlanetData,3,0)+1),MATCH(B238,INDEX(VimFrac,,VLOOKUP(B240,PlanetData,3,0)+1),1))</f>
        <v>#N/A</v>
      </c>
      <c r="D235" s="293" t="e">
        <f aca="false">C235+C237*INDEX(INDEX(VimFrac,0,9*C241+VLOOKUP(C240,PlanetData,3,0)+1),IF(C241,1,0)+MATCH(C238,INDEX(VimFrac,0,9*C241+VLOOKUP(C240,PlanetData,3,0)+1),IF(C241,-1,1)))</f>
        <v>#N/A</v>
      </c>
      <c r="E235" s="293" t="e">
        <f aca="false">D235+D237*INDEX(INDEX(VimFrac,0,9*D241+VLOOKUP(D240,PlanetData,3,0)+1),IF(D241,1,0)+MATCH(D238,INDEX(VimFrac,0,9*D241+VLOOKUP(D240,PlanetData,3,0)+1),IF(D241,-1,1)))</f>
        <v>#N/A</v>
      </c>
      <c r="F235" s="293" t="e">
        <f aca="false">E235+E237*INDEX(INDEX(VimFrac,0,9*E241+VLOOKUP(E240,PlanetData,3,0)+1),IF(E241,1,0)+MATCH(E238,INDEX(VimFrac,0,9*E241+VLOOKUP(E240,PlanetData,3,0)+1),IF(E241,-1,1)))</f>
        <v>#N/A</v>
      </c>
      <c r="G235" s="293" t="e">
        <f aca="false">F235+F237*INDEX(INDEX(VimFrac,0,9*F241+VLOOKUP(F240,PlanetData,3,0)+1),IF(F241,1,0)+MATCH(F238,INDEX(VimFrac,0,9*F241+VLOOKUP(F240,PlanetData,3,0)+1),IF(F241,-1,1)))</f>
        <v>#N/A</v>
      </c>
      <c r="H235" s="293" t="e">
        <f aca="false">G235+G237*INDEX(INDEX(VimFrac,0,9*G241+VLOOKUP(G240,PlanetData,3,0)+1),IF(G241,1,0)+MATCH(G238,INDEX(VimFrac,0,9*G241+VLOOKUP(G240,PlanetData,3,0)+1),IF(G241,-1,1)))</f>
        <v>#N/A</v>
      </c>
      <c r="J235" s="273" t="n">
        <f aca="false">J240</f>
        <v>0</v>
      </c>
      <c r="K235" s="6" t="n">
        <f aca="false">K227+1</f>
        <v>29</v>
      </c>
    </row>
    <row r="236" customFormat="false" ht="15" hidden="false" customHeight="false" outlineLevel="0" collapsed="false">
      <c r="A236" s="291" t="s">
        <v>455</v>
      </c>
      <c r="B236" s="292" t="n">
        <f aca="false">B235+B237</f>
        <v>66398.3660175406</v>
      </c>
      <c r="C236" s="293" t="e">
        <f aca="false">B235+B237*INDEX(INDEX(VimFrac,,VLOOKUP(B240,PlanetData,3,0)+1),MATCH(B238,INDEX(VimFrac,,VLOOKUP(B240,PlanetData,3,0)+1),1)+1)</f>
        <v>#N/A</v>
      </c>
      <c r="D236" s="293" t="e">
        <f aca="false">C235+C237*INDEX(INDEX(VimFrac,0,9*C241+VLOOKUP(C240,PlanetData,3,0)+1),IF(C241,0,1)+MATCH(C238,INDEX(VimFrac,0,9*C241+VLOOKUP(C240,PlanetData,3,0)+1),IF(C241,-1,1)))</f>
        <v>#N/A</v>
      </c>
      <c r="E236" s="293" t="e">
        <f aca="false">D235+D237*INDEX(INDEX(VimFrac,0,9*D241+VLOOKUP(D240,PlanetData,3,0)+1),IF(D241,0,1)+MATCH(D238,INDEX(VimFrac,0,9*D241+VLOOKUP(D240,PlanetData,3,0)+1),IF(D241,-1,1)))</f>
        <v>#N/A</v>
      </c>
      <c r="F236" s="293" t="e">
        <f aca="false">E235+E237*INDEX(INDEX(VimFrac,0,9*E241+VLOOKUP(E240,PlanetData,3,0)+1),IF(E241,0,1)+MATCH(E238,INDEX(VimFrac,0,9*E241+VLOOKUP(E240,PlanetData,3,0)+1),IF(E241,-1,1)))</f>
        <v>#N/A</v>
      </c>
      <c r="G236" s="293" t="e">
        <f aca="false">F235+F237*INDEX(INDEX(VimFrac,0,9*F241+VLOOKUP(F240,PlanetData,3,0)+1),IF(F241,0,1)+MATCH(F238,INDEX(VimFrac,0,9*F241+VLOOKUP(F240,PlanetData,3,0)+1),IF(F241,-1,1)))</f>
        <v>#N/A</v>
      </c>
      <c r="H236" s="293" t="e">
        <f aca="false">G235+G237*INDEX(INDEX(VimFrac,0,9*G241+VLOOKUP(G240,PlanetData,3,0)+1),IF(G241,0,1)+MATCH(G238,INDEX(VimFrac,0,9*G241+VLOOKUP(G240,PlanetData,3,0)+1),IF(G241,-1,1)))</f>
        <v>#N/A</v>
      </c>
      <c r="J236" s="273" t="n">
        <f aca="false">J240</f>
        <v>0</v>
      </c>
      <c r="K236" s="6" t="n">
        <f aca="false">K228+1</f>
        <v>29</v>
      </c>
    </row>
    <row r="237" customFormat="false" ht="15" hidden="false" customHeight="false" outlineLevel="0" collapsed="false">
      <c r="A237" s="294" t="s">
        <v>456</v>
      </c>
      <c r="B237" s="295" t="n">
        <f aca="false">120*DaysInYear</f>
        <v>43830.5847222218</v>
      </c>
      <c r="C237" s="296" t="e">
        <f aca="false">C236-C235</f>
        <v>#N/A</v>
      </c>
      <c r="D237" s="296" t="e">
        <f aca="false">D236-D235</f>
        <v>#N/A</v>
      </c>
      <c r="E237" s="296" t="e">
        <f aca="false">E236-E235</f>
        <v>#N/A</v>
      </c>
      <c r="F237" s="296" t="e">
        <f aca="false">F236-F235</f>
        <v>#N/A</v>
      </c>
      <c r="G237" s="296" t="e">
        <f aca="false">G236-G235</f>
        <v>#N/A</v>
      </c>
      <c r="H237" s="296" t="e">
        <f aca="false">H236-H235</f>
        <v>#N/A</v>
      </c>
      <c r="K237" s="6" t="n">
        <f aca="false">K229</f>
        <v>0</v>
      </c>
    </row>
    <row r="238" customFormat="false" ht="15" hidden="false" customHeight="false" outlineLevel="0" collapsed="false">
      <c r="A238" s="294" t="s">
        <v>457</v>
      </c>
      <c r="B238" s="297" t="n">
        <f aca="false">(I240-B235)/(B236-B235)</f>
        <v>-0.51488661258669</v>
      </c>
      <c r="C238" s="298" t="e">
        <f aca="false">(I240-C235)/(C236-C235)</f>
        <v>#N/A</v>
      </c>
      <c r="D238" s="298" t="e">
        <f aca="false">(I240-D235)/(D236-D235)</f>
        <v>#N/A</v>
      </c>
      <c r="E238" s="298" t="e">
        <f aca="false">(I240-E235)/(E236-E235)</f>
        <v>#N/A</v>
      </c>
      <c r="F238" s="298" t="e">
        <f aca="false">(I240-F235)/(F236-F235)</f>
        <v>#N/A</v>
      </c>
      <c r="G238" s="298" t="e">
        <f aca="false">(I240-G235)/(G236-G235)</f>
        <v>#N/A</v>
      </c>
      <c r="H238" s="298" t="e">
        <f aca="false">(I240-H235)/(H236-H235)</f>
        <v>#N/A</v>
      </c>
      <c r="K238" s="6" t="n">
        <f aca="false">K230</f>
        <v>0</v>
      </c>
    </row>
    <row r="239" customFormat="false" ht="15" hidden="false" customHeight="false" outlineLevel="0" collapsed="false">
      <c r="A239" s="294" t="s">
        <v>458</v>
      </c>
      <c r="B239" s="295"/>
      <c r="C239" s="296" t="e">
        <f aca="false">MOD(VLOOKUP(B240,PlanetData,3,0)+MATCH(B238,INDEX(VimFrac,,VLOOKUP(B240,PlanetData,3,0)+1),1)-1,9)</f>
        <v>#N/A</v>
      </c>
      <c r="D239" s="296" t="e">
        <f aca="false">MOD(VLOOKUP(C240,PlanetData,3,0)+MATCH(C238,INDEX(VimFrac,0,9*C241+VLOOKUP(C240,PlanetData,3,0)+1),IF(C241,-1,1))-1,9)</f>
        <v>#N/A</v>
      </c>
      <c r="E239" s="296" t="e">
        <f aca="false">MOD(VLOOKUP(D240,PlanetData,3,0)+MATCH(D238,INDEX(VimFrac,0,9*D241+VLOOKUP(D240,PlanetData,3,0)+1),IF(D241,-1,1))-1,9)</f>
        <v>#N/A</v>
      </c>
      <c r="F239" s="296" t="e">
        <f aca="false">MOD(VLOOKUP(E240,PlanetData,3,0)+MATCH(E238,INDEX(VimFrac,0,9*E241+VLOOKUP(E240,PlanetData,3,0)+1),IF(E241,-1,1))-1,9)</f>
        <v>#N/A</v>
      </c>
      <c r="G239" s="296" t="e">
        <f aca="false">MOD(VLOOKUP(F240,PlanetData,3,0)+MATCH(F238,INDEX(VimFrac,0,9*F241+VLOOKUP(F240,PlanetData,3,0)+1),IF(F241,-1,1))-1,9)</f>
        <v>#N/A</v>
      </c>
      <c r="H239" s="296" t="e">
        <f aca="false">MOD(VLOOKUP(G240,PlanetData,3,0)+MATCH(G238,INDEX(VimFrac,0,9*G241+VLOOKUP(G240,PlanetData,3,0)+1),IF(G241,-1,1))-1,9)</f>
        <v>#N/A</v>
      </c>
      <c r="K239" s="6" t="n">
        <f aca="false">K231</f>
        <v>0</v>
      </c>
    </row>
    <row r="240" customFormat="false" ht="15" hidden="false" customHeight="false" outlineLevel="0" collapsed="false">
      <c r="A240" s="294" t="s">
        <v>459</v>
      </c>
      <c r="B240" s="295" t="str">
        <f aca="false">$B$4</f>
        <v>Moon</v>
      </c>
      <c r="C240" s="296" t="e">
        <f aca="false">INDEX(DasaYears,IF(C239=0,9,C239),1)</f>
        <v>#N/A</v>
      </c>
      <c r="D240" s="296" t="e">
        <f aca="false">INDEX(DasaYears,IF(D239=0,9,D239),1)</f>
        <v>#N/A</v>
      </c>
      <c r="E240" s="296" t="e">
        <f aca="false">INDEX(DasaYears,IF(E239=0,9,E239),1)</f>
        <v>#N/A</v>
      </c>
      <c r="F240" s="296" t="e">
        <f aca="false">INDEX(DasaYears,IF(F239=0,9,F239),1)</f>
        <v>#N/A</v>
      </c>
      <c r="G240" s="296" t="e">
        <f aca="false">INDEX(DasaYears,IF(G239=0,9,G239),1)</f>
        <v>#N/A</v>
      </c>
      <c r="H240" s="296" t="e">
        <f aca="false">INDEX(DasaYears,IF(H239=0,9,H239),1)</f>
        <v>#N/A</v>
      </c>
      <c r="I240" s="275" t="n">
        <f aca="true">INDIRECT("'JHora'!$B$"&amp;($K240))</f>
        <v>0</v>
      </c>
      <c r="J240" s="275" t="n">
        <f aca="true">INDIRECT("'JHora'!$C$"&amp;($K240))</f>
        <v>0</v>
      </c>
      <c r="K240" s="6" t="n">
        <f aca="false">K232+1</f>
        <v>29</v>
      </c>
    </row>
    <row r="241" customFormat="false" ht="15" hidden="false" customHeight="false" outlineLevel="0" collapsed="false">
      <c r="A241" s="294" t="s">
        <v>444</v>
      </c>
      <c r="B241" s="295" t="b">
        <f aca="false">$B$7</f>
        <v>1</v>
      </c>
      <c r="C241" s="296" t="e">
        <f aca="false">IF(VLOOKUP(C240,ChartInfo,11,0),1,0)*B241</f>
        <v>#N/A</v>
      </c>
      <c r="D241" s="296" t="e">
        <f aca="false">IF(VLOOKUP(D240,ChartInfo,11,0),1,0)*B241</f>
        <v>#N/A</v>
      </c>
      <c r="E241" s="296" t="e">
        <f aca="false">IF(VLOOKUP(E240,ChartInfo,11,0),1,0)*B241</f>
        <v>#N/A</v>
      </c>
      <c r="F241" s="296" t="e">
        <f aca="false">IF(VLOOKUP(F240,ChartInfo,11,0),1,0)*B241</f>
        <v>#N/A</v>
      </c>
      <c r="G241" s="296" t="e">
        <f aca="false">IF(VLOOKUP(G240,ChartInfo,11,0),1,0)*B241</f>
        <v>#N/A</v>
      </c>
      <c r="H241" s="296" t="e">
        <f aca="false">IF(VLOOKUP(H240,ChartInfo,11,0),1,0)*B241</f>
        <v>#N/A</v>
      </c>
      <c r="I241" s="151"/>
      <c r="K241" s="6" t="n">
        <f aca="false">K233</f>
        <v>0</v>
      </c>
    </row>
    <row r="242" customFormat="false" ht="15" hidden="false" customHeight="false" outlineLevel="0" collapsed="false">
      <c r="K242" s="6" t="n">
        <f aca="false">K234+1</f>
        <v>29</v>
      </c>
    </row>
    <row r="243" customFormat="false" ht="15" hidden="false" customHeight="false" outlineLevel="0" collapsed="false">
      <c r="A243" s="291" t="s">
        <v>454</v>
      </c>
      <c r="B243" s="292" t="n">
        <f aca="false">DoB-$E$6*DaysInYear</f>
        <v>22567.7812953187</v>
      </c>
      <c r="C243" s="293" t="e">
        <f aca="false">B243+B245*INDEX(INDEX(VimFrac,,VLOOKUP(B248,PlanetData,3,0)+1),MATCH(B246,INDEX(VimFrac,,VLOOKUP(B248,PlanetData,3,0)+1),1))</f>
        <v>#N/A</v>
      </c>
      <c r="D243" s="293" t="e">
        <f aca="false">C243+C245*INDEX(INDEX(VimFrac,0,9*C249+VLOOKUP(C248,PlanetData,3,0)+1),IF(C249,1,0)+MATCH(C246,INDEX(VimFrac,0,9*C249+VLOOKUP(C248,PlanetData,3,0)+1),IF(C249,-1,1)))</f>
        <v>#N/A</v>
      </c>
      <c r="E243" s="293" t="e">
        <f aca="false">D243+D245*INDEX(INDEX(VimFrac,0,9*D249+VLOOKUP(D248,PlanetData,3,0)+1),IF(D249,1,0)+MATCH(D246,INDEX(VimFrac,0,9*D249+VLOOKUP(D248,PlanetData,3,0)+1),IF(D249,-1,1)))</f>
        <v>#N/A</v>
      </c>
      <c r="F243" s="293" t="e">
        <f aca="false">E243+E245*INDEX(INDEX(VimFrac,0,9*E249+VLOOKUP(E248,PlanetData,3,0)+1),IF(E249,1,0)+MATCH(E246,INDEX(VimFrac,0,9*E249+VLOOKUP(E248,PlanetData,3,0)+1),IF(E249,-1,1)))</f>
        <v>#N/A</v>
      </c>
      <c r="G243" s="293" t="e">
        <f aca="false">F243+F245*INDEX(INDEX(VimFrac,0,9*F249+VLOOKUP(F248,PlanetData,3,0)+1),IF(F249,1,0)+MATCH(F246,INDEX(VimFrac,0,9*F249+VLOOKUP(F248,PlanetData,3,0)+1),IF(F249,-1,1)))</f>
        <v>#N/A</v>
      </c>
      <c r="H243" s="293" t="e">
        <f aca="false">G243+G245*INDEX(INDEX(VimFrac,0,9*G249+VLOOKUP(G248,PlanetData,3,0)+1),IF(G249,1,0)+MATCH(G246,INDEX(VimFrac,0,9*G249+VLOOKUP(G248,PlanetData,3,0)+1),IF(G249,-1,1)))</f>
        <v>#N/A</v>
      </c>
      <c r="J243" s="273" t="n">
        <f aca="false">J248</f>
        <v>0</v>
      </c>
      <c r="K243" s="6" t="n">
        <f aca="false">K235+1</f>
        <v>30</v>
      </c>
    </row>
    <row r="244" customFormat="false" ht="15" hidden="false" customHeight="false" outlineLevel="0" collapsed="false">
      <c r="A244" s="291" t="s">
        <v>455</v>
      </c>
      <c r="B244" s="292" t="n">
        <f aca="false">B243+B245</f>
        <v>66398.3660175406</v>
      </c>
      <c r="C244" s="293" t="e">
        <f aca="false">B243+B245*INDEX(INDEX(VimFrac,,VLOOKUP(B248,PlanetData,3,0)+1),MATCH(B246,INDEX(VimFrac,,VLOOKUP(B248,PlanetData,3,0)+1),1)+1)</f>
        <v>#N/A</v>
      </c>
      <c r="D244" s="293" t="e">
        <f aca="false">C243+C245*INDEX(INDEX(VimFrac,0,9*C249+VLOOKUP(C248,PlanetData,3,0)+1),IF(C249,0,1)+MATCH(C246,INDEX(VimFrac,0,9*C249+VLOOKUP(C248,PlanetData,3,0)+1),IF(C249,-1,1)))</f>
        <v>#N/A</v>
      </c>
      <c r="E244" s="293" t="e">
        <f aca="false">D243+D245*INDEX(INDEX(VimFrac,0,9*D249+VLOOKUP(D248,PlanetData,3,0)+1),IF(D249,0,1)+MATCH(D246,INDEX(VimFrac,0,9*D249+VLOOKUP(D248,PlanetData,3,0)+1),IF(D249,-1,1)))</f>
        <v>#N/A</v>
      </c>
      <c r="F244" s="293" t="e">
        <f aca="false">E243+E245*INDEX(INDEX(VimFrac,0,9*E249+VLOOKUP(E248,PlanetData,3,0)+1),IF(E249,0,1)+MATCH(E246,INDEX(VimFrac,0,9*E249+VLOOKUP(E248,PlanetData,3,0)+1),IF(E249,-1,1)))</f>
        <v>#N/A</v>
      </c>
      <c r="G244" s="293" t="e">
        <f aca="false">F243+F245*INDEX(INDEX(VimFrac,0,9*F249+VLOOKUP(F248,PlanetData,3,0)+1),IF(F249,0,1)+MATCH(F246,INDEX(VimFrac,0,9*F249+VLOOKUP(F248,PlanetData,3,0)+1),IF(F249,-1,1)))</f>
        <v>#N/A</v>
      </c>
      <c r="H244" s="293" t="e">
        <f aca="false">G243+G245*INDEX(INDEX(VimFrac,0,9*G249+VLOOKUP(G248,PlanetData,3,0)+1),IF(G249,0,1)+MATCH(G246,INDEX(VimFrac,0,9*G249+VLOOKUP(G248,PlanetData,3,0)+1),IF(G249,-1,1)))</f>
        <v>#N/A</v>
      </c>
      <c r="J244" s="273" t="n">
        <f aca="false">J248</f>
        <v>0</v>
      </c>
      <c r="K244" s="6" t="n">
        <f aca="false">K236+1</f>
        <v>30</v>
      </c>
    </row>
    <row r="245" customFormat="false" ht="15" hidden="false" customHeight="false" outlineLevel="0" collapsed="false">
      <c r="A245" s="294" t="s">
        <v>456</v>
      </c>
      <c r="B245" s="295" t="n">
        <f aca="false">120*DaysInYear</f>
        <v>43830.5847222218</v>
      </c>
      <c r="C245" s="296" t="e">
        <f aca="false">C244-C243</f>
        <v>#N/A</v>
      </c>
      <c r="D245" s="296" t="e">
        <f aca="false">D244-D243</f>
        <v>#N/A</v>
      </c>
      <c r="E245" s="296" t="e">
        <f aca="false">E244-E243</f>
        <v>#N/A</v>
      </c>
      <c r="F245" s="296" t="e">
        <f aca="false">F244-F243</f>
        <v>#N/A</v>
      </c>
      <c r="G245" s="296" t="e">
        <f aca="false">G244-G243</f>
        <v>#N/A</v>
      </c>
      <c r="H245" s="296" t="e">
        <f aca="false">H244-H243</f>
        <v>#N/A</v>
      </c>
      <c r="K245" s="6" t="n">
        <f aca="false">K237</f>
        <v>0</v>
      </c>
    </row>
    <row r="246" customFormat="false" ht="15" hidden="false" customHeight="false" outlineLevel="0" collapsed="false">
      <c r="A246" s="294" t="s">
        <v>457</v>
      </c>
      <c r="B246" s="297" t="n">
        <f aca="false">(I248-B243)/(B244-B243)</f>
        <v>-0.51488661258669</v>
      </c>
      <c r="C246" s="298" t="e">
        <f aca="false">(I248-C243)/(C244-C243)</f>
        <v>#N/A</v>
      </c>
      <c r="D246" s="298" t="e">
        <f aca="false">(I248-D243)/(D244-D243)</f>
        <v>#N/A</v>
      </c>
      <c r="E246" s="298" t="e">
        <f aca="false">(I248-E243)/(E244-E243)</f>
        <v>#N/A</v>
      </c>
      <c r="F246" s="298" t="e">
        <f aca="false">(I248-F243)/(F244-F243)</f>
        <v>#N/A</v>
      </c>
      <c r="G246" s="298" t="e">
        <f aca="false">(I248-G243)/(G244-G243)</f>
        <v>#N/A</v>
      </c>
      <c r="H246" s="298" t="e">
        <f aca="false">(I248-H243)/(H244-H243)</f>
        <v>#N/A</v>
      </c>
      <c r="K246" s="6" t="n">
        <f aca="false">K238</f>
        <v>0</v>
      </c>
    </row>
    <row r="247" customFormat="false" ht="15" hidden="false" customHeight="false" outlineLevel="0" collapsed="false">
      <c r="A247" s="294" t="s">
        <v>458</v>
      </c>
      <c r="B247" s="295"/>
      <c r="C247" s="296" t="e">
        <f aca="false">MOD(VLOOKUP(B248,PlanetData,3,0)+MATCH(B246,INDEX(VimFrac,,VLOOKUP(B248,PlanetData,3,0)+1),1)-1,9)</f>
        <v>#N/A</v>
      </c>
      <c r="D247" s="296" t="e">
        <f aca="false">MOD(VLOOKUP(C248,PlanetData,3,0)+MATCH(C246,INDEX(VimFrac,0,9*C249+VLOOKUP(C248,PlanetData,3,0)+1),IF(C249,-1,1))-1,9)</f>
        <v>#N/A</v>
      </c>
      <c r="E247" s="296" t="e">
        <f aca="false">MOD(VLOOKUP(D248,PlanetData,3,0)+MATCH(D246,INDEX(VimFrac,0,9*D249+VLOOKUP(D248,PlanetData,3,0)+1),IF(D249,-1,1))-1,9)</f>
        <v>#N/A</v>
      </c>
      <c r="F247" s="296" t="e">
        <f aca="false">MOD(VLOOKUP(E248,PlanetData,3,0)+MATCH(E246,INDEX(VimFrac,0,9*E249+VLOOKUP(E248,PlanetData,3,0)+1),IF(E249,-1,1))-1,9)</f>
        <v>#N/A</v>
      </c>
      <c r="G247" s="296" t="e">
        <f aca="false">MOD(VLOOKUP(F248,PlanetData,3,0)+MATCH(F246,INDEX(VimFrac,0,9*F249+VLOOKUP(F248,PlanetData,3,0)+1),IF(F249,-1,1))-1,9)</f>
        <v>#N/A</v>
      </c>
      <c r="H247" s="296" t="e">
        <f aca="false">MOD(VLOOKUP(G248,PlanetData,3,0)+MATCH(G246,INDEX(VimFrac,0,9*G249+VLOOKUP(G248,PlanetData,3,0)+1),IF(G249,-1,1))-1,9)</f>
        <v>#N/A</v>
      </c>
      <c r="K247" s="6" t="n">
        <f aca="false">K239</f>
        <v>0</v>
      </c>
    </row>
    <row r="248" customFormat="false" ht="15" hidden="false" customHeight="false" outlineLevel="0" collapsed="false">
      <c r="A248" s="294" t="s">
        <v>459</v>
      </c>
      <c r="B248" s="295" t="str">
        <f aca="false">$B$4</f>
        <v>Moon</v>
      </c>
      <c r="C248" s="296" t="e">
        <f aca="false">INDEX(DasaYears,IF(C247=0,9,C247),1)</f>
        <v>#N/A</v>
      </c>
      <c r="D248" s="296" t="e">
        <f aca="false">INDEX(DasaYears,IF(D247=0,9,D247),1)</f>
        <v>#N/A</v>
      </c>
      <c r="E248" s="296" t="e">
        <f aca="false">INDEX(DasaYears,IF(E247=0,9,E247),1)</f>
        <v>#N/A</v>
      </c>
      <c r="F248" s="296" t="e">
        <f aca="false">INDEX(DasaYears,IF(F247=0,9,F247),1)</f>
        <v>#N/A</v>
      </c>
      <c r="G248" s="296" t="e">
        <f aca="false">INDEX(DasaYears,IF(G247=0,9,G247),1)</f>
        <v>#N/A</v>
      </c>
      <c r="H248" s="296" t="e">
        <f aca="false">INDEX(DasaYears,IF(H247=0,9,H247),1)</f>
        <v>#N/A</v>
      </c>
      <c r="I248" s="275" t="n">
        <f aca="true">INDIRECT("'JHora'!$B$"&amp;($K248))</f>
        <v>0</v>
      </c>
      <c r="J248" s="275" t="n">
        <f aca="true">INDIRECT("'JHora'!$C$"&amp;($K248))</f>
        <v>0</v>
      </c>
      <c r="K248" s="6" t="n">
        <f aca="false">K240+1</f>
        <v>30</v>
      </c>
    </row>
    <row r="249" customFormat="false" ht="15" hidden="false" customHeight="false" outlineLevel="0" collapsed="false">
      <c r="A249" s="294" t="s">
        <v>444</v>
      </c>
      <c r="B249" s="295" t="b">
        <f aca="false">$B$7</f>
        <v>1</v>
      </c>
      <c r="C249" s="296" t="e">
        <f aca="false">IF(VLOOKUP(C248,ChartInfo,11,0),1,0)*B249</f>
        <v>#N/A</v>
      </c>
      <c r="D249" s="296" t="e">
        <f aca="false">IF(VLOOKUP(D248,ChartInfo,11,0),1,0)*B249</f>
        <v>#N/A</v>
      </c>
      <c r="E249" s="296" t="e">
        <f aca="false">IF(VLOOKUP(E248,ChartInfo,11,0),1,0)*B249</f>
        <v>#N/A</v>
      </c>
      <c r="F249" s="296" t="e">
        <f aca="false">IF(VLOOKUP(F248,ChartInfo,11,0),1,0)*B249</f>
        <v>#N/A</v>
      </c>
      <c r="G249" s="296" t="e">
        <f aca="false">IF(VLOOKUP(G248,ChartInfo,11,0),1,0)*B249</f>
        <v>#N/A</v>
      </c>
      <c r="H249" s="296" t="e">
        <f aca="false">IF(VLOOKUP(H248,ChartInfo,11,0),1,0)*B249</f>
        <v>#N/A</v>
      </c>
      <c r="I249" s="151"/>
      <c r="K249" s="6" t="n">
        <f aca="false">K241</f>
        <v>0</v>
      </c>
    </row>
    <row r="250" customFormat="false" ht="15" hidden="false" customHeight="false" outlineLevel="0" collapsed="false">
      <c r="K250" s="6" t="n">
        <f aca="false">K242+1</f>
        <v>30</v>
      </c>
    </row>
    <row r="251" customFormat="false" ht="15" hidden="false" customHeight="false" outlineLevel="0" collapsed="false">
      <c r="A251" s="291" t="s">
        <v>454</v>
      </c>
      <c r="B251" s="292" t="n">
        <f aca="false">DoB-$E$6*DaysInYear</f>
        <v>22567.7812953187</v>
      </c>
      <c r="C251" s="293" t="e">
        <f aca="false">B251+B253*INDEX(INDEX(VimFrac,,VLOOKUP(B256,PlanetData,3,0)+1),MATCH(B254,INDEX(VimFrac,,VLOOKUP(B256,PlanetData,3,0)+1),1))</f>
        <v>#N/A</v>
      </c>
      <c r="D251" s="293" t="e">
        <f aca="false">C251+C253*INDEX(INDEX(VimFrac,0,9*C257+VLOOKUP(C256,PlanetData,3,0)+1),IF(C257,1,0)+MATCH(C254,INDEX(VimFrac,0,9*C257+VLOOKUP(C256,PlanetData,3,0)+1),IF(C257,-1,1)))</f>
        <v>#N/A</v>
      </c>
      <c r="E251" s="293" t="e">
        <f aca="false">D251+D253*INDEX(INDEX(VimFrac,0,9*D257+VLOOKUP(D256,PlanetData,3,0)+1),IF(D257,1,0)+MATCH(D254,INDEX(VimFrac,0,9*D257+VLOOKUP(D256,PlanetData,3,0)+1),IF(D257,-1,1)))</f>
        <v>#N/A</v>
      </c>
      <c r="F251" s="293" t="e">
        <f aca="false">E251+E253*INDEX(INDEX(VimFrac,0,9*E257+VLOOKUP(E256,PlanetData,3,0)+1),IF(E257,1,0)+MATCH(E254,INDEX(VimFrac,0,9*E257+VLOOKUP(E256,PlanetData,3,0)+1),IF(E257,-1,1)))</f>
        <v>#N/A</v>
      </c>
      <c r="G251" s="293" t="e">
        <f aca="false">F251+F253*INDEX(INDEX(VimFrac,0,9*F257+VLOOKUP(F256,PlanetData,3,0)+1),IF(F257,1,0)+MATCH(F254,INDEX(VimFrac,0,9*F257+VLOOKUP(F256,PlanetData,3,0)+1),IF(F257,-1,1)))</f>
        <v>#N/A</v>
      </c>
      <c r="H251" s="293" t="e">
        <f aca="false">G251+G253*INDEX(INDEX(VimFrac,0,9*G257+VLOOKUP(G256,PlanetData,3,0)+1),IF(G257,1,0)+MATCH(G254,INDEX(VimFrac,0,9*G257+VLOOKUP(G256,PlanetData,3,0)+1),IF(G257,-1,1)))</f>
        <v>#N/A</v>
      </c>
      <c r="J251" s="273" t="n">
        <f aca="false">J256</f>
        <v>0</v>
      </c>
      <c r="K251" s="6" t="n">
        <f aca="false">K243+1</f>
        <v>31</v>
      </c>
    </row>
    <row r="252" customFormat="false" ht="15" hidden="false" customHeight="false" outlineLevel="0" collapsed="false">
      <c r="A252" s="291" t="s">
        <v>455</v>
      </c>
      <c r="B252" s="292" t="n">
        <f aca="false">B251+B253</f>
        <v>66398.3660175406</v>
      </c>
      <c r="C252" s="293" t="e">
        <f aca="false">B251+B253*INDEX(INDEX(VimFrac,,VLOOKUP(B256,PlanetData,3,0)+1),MATCH(B254,INDEX(VimFrac,,VLOOKUP(B256,PlanetData,3,0)+1),1)+1)</f>
        <v>#N/A</v>
      </c>
      <c r="D252" s="293" t="e">
        <f aca="false">C251+C253*INDEX(INDEX(VimFrac,0,9*C257+VLOOKUP(C256,PlanetData,3,0)+1),IF(C257,0,1)+MATCH(C254,INDEX(VimFrac,0,9*C257+VLOOKUP(C256,PlanetData,3,0)+1),IF(C257,-1,1)))</f>
        <v>#N/A</v>
      </c>
      <c r="E252" s="293" t="e">
        <f aca="false">D251+D253*INDEX(INDEX(VimFrac,0,9*D257+VLOOKUP(D256,PlanetData,3,0)+1),IF(D257,0,1)+MATCH(D254,INDEX(VimFrac,0,9*D257+VLOOKUP(D256,PlanetData,3,0)+1),IF(D257,-1,1)))</f>
        <v>#N/A</v>
      </c>
      <c r="F252" s="293" t="e">
        <f aca="false">E251+E253*INDEX(INDEX(VimFrac,0,9*E257+VLOOKUP(E256,PlanetData,3,0)+1),IF(E257,0,1)+MATCH(E254,INDEX(VimFrac,0,9*E257+VLOOKUP(E256,PlanetData,3,0)+1),IF(E257,-1,1)))</f>
        <v>#N/A</v>
      </c>
      <c r="G252" s="293" t="e">
        <f aca="false">F251+F253*INDEX(INDEX(VimFrac,0,9*F257+VLOOKUP(F256,PlanetData,3,0)+1),IF(F257,0,1)+MATCH(F254,INDEX(VimFrac,0,9*F257+VLOOKUP(F256,PlanetData,3,0)+1),IF(F257,-1,1)))</f>
        <v>#N/A</v>
      </c>
      <c r="H252" s="293" t="e">
        <f aca="false">G251+G253*INDEX(INDEX(VimFrac,0,9*G257+VLOOKUP(G256,PlanetData,3,0)+1),IF(G257,0,1)+MATCH(G254,INDEX(VimFrac,0,9*G257+VLOOKUP(G256,PlanetData,3,0)+1),IF(G257,-1,1)))</f>
        <v>#N/A</v>
      </c>
      <c r="J252" s="273" t="n">
        <f aca="false">J256</f>
        <v>0</v>
      </c>
      <c r="K252" s="6" t="n">
        <f aca="false">K244+1</f>
        <v>31</v>
      </c>
    </row>
    <row r="253" customFormat="false" ht="15" hidden="false" customHeight="false" outlineLevel="0" collapsed="false">
      <c r="A253" s="294" t="s">
        <v>456</v>
      </c>
      <c r="B253" s="295" t="n">
        <f aca="false">120*DaysInYear</f>
        <v>43830.5847222218</v>
      </c>
      <c r="C253" s="296" t="e">
        <f aca="false">C252-C251</f>
        <v>#N/A</v>
      </c>
      <c r="D253" s="296" t="e">
        <f aca="false">D252-D251</f>
        <v>#N/A</v>
      </c>
      <c r="E253" s="296" t="e">
        <f aca="false">E252-E251</f>
        <v>#N/A</v>
      </c>
      <c r="F253" s="296" t="e">
        <f aca="false">F252-F251</f>
        <v>#N/A</v>
      </c>
      <c r="G253" s="296" t="e">
        <f aca="false">G252-G251</f>
        <v>#N/A</v>
      </c>
      <c r="H253" s="296" t="e">
        <f aca="false">H252-H251</f>
        <v>#N/A</v>
      </c>
      <c r="K253" s="6" t="n">
        <f aca="false">K245</f>
        <v>0</v>
      </c>
    </row>
    <row r="254" customFormat="false" ht="15" hidden="false" customHeight="false" outlineLevel="0" collapsed="false">
      <c r="A254" s="294" t="s">
        <v>457</v>
      </c>
      <c r="B254" s="297" t="n">
        <f aca="false">(I256-B251)/(B252-B251)</f>
        <v>-0.51488661258669</v>
      </c>
      <c r="C254" s="298" t="e">
        <f aca="false">(I256-C251)/(C252-C251)</f>
        <v>#N/A</v>
      </c>
      <c r="D254" s="298" t="e">
        <f aca="false">(I256-D251)/(D252-D251)</f>
        <v>#N/A</v>
      </c>
      <c r="E254" s="298" t="e">
        <f aca="false">(I256-E251)/(E252-E251)</f>
        <v>#N/A</v>
      </c>
      <c r="F254" s="298" t="e">
        <f aca="false">(I256-F251)/(F252-F251)</f>
        <v>#N/A</v>
      </c>
      <c r="G254" s="298" t="e">
        <f aca="false">(I256-G251)/(G252-G251)</f>
        <v>#N/A</v>
      </c>
      <c r="H254" s="298" t="e">
        <f aca="false">(I256-H251)/(H252-H251)</f>
        <v>#N/A</v>
      </c>
      <c r="K254" s="6" t="n">
        <f aca="false">K246</f>
        <v>0</v>
      </c>
    </row>
    <row r="255" customFormat="false" ht="15" hidden="false" customHeight="false" outlineLevel="0" collapsed="false">
      <c r="A255" s="294" t="s">
        <v>458</v>
      </c>
      <c r="B255" s="295"/>
      <c r="C255" s="296" t="e">
        <f aca="false">MOD(VLOOKUP(B256,PlanetData,3,0)+MATCH(B254,INDEX(VimFrac,,VLOOKUP(B256,PlanetData,3,0)+1),1)-1,9)</f>
        <v>#N/A</v>
      </c>
      <c r="D255" s="296" t="e">
        <f aca="false">MOD(VLOOKUP(C256,PlanetData,3,0)+MATCH(C254,INDEX(VimFrac,0,9*C257+VLOOKUP(C256,PlanetData,3,0)+1),IF(C257,-1,1))-1,9)</f>
        <v>#N/A</v>
      </c>
      <c r="E255" s="296" t="e">
        <f aca="false">MOD(VLOOKUP(D256,PlanetData,3,0)+MATCH(D254,INDEX(VimFrac,0,9*D257+VLOOKUP(D256,PlanetData,3,0)+1),IF(D257,-1,1))-1,9)</f>
        <v>#N/A</v>
      </c>
      <c r="F255" s="296" t="e">
        <f aca="false">MOD(VLOOKUP(E256,PlanetData,3,0)+MATCH(E254,INDEX(VimFrac,0,9*E257+VLOOKUP(E256,PlanetData,3,0)+1),IF(E257,-1,1))-1,9)</f>
        <v>#N/A</v>
      </c>
      <c r="G255" s="296" t="e">
        <f aca="false">MOD(VLOOKUP(F256,PlanetData,3,0)+MATCH(F254,INDEX(VimFrac,0,9*F257+VLOOKUP(F256,PlanetData,3,0)+1),IF(F257,-1,1))-1,9)</f>
        <v>#N/A</v>
      </c>
      <c r="H255" s="296" t="e">
        <f aca="false">MOD(VLOOKUP(G256,PlanetData,3,0)+MATCH(G254,INDEX(VimFrac,0,9*G257+VLOOKUP(G256,PlanetData,3,0)+1),IF(G257,-1,1))-1,9)</f>
        <v>#N/A</v>
      </c>
      <c r="K255" s="6" t="n">
        <f aca="false">K247</f>
        <v>0</v>
      </c>
    </row>
    <row r="256" customFormat="false" ht="15" hidden="false" customHeight="false" outlineLevel="0" collapsed="false">
      <c r="A256" s="294" t="s">
        <v>459</v>
      </c>
      <c r="B256" s="295" t="str">
        <f aca="false">$B$4</f>
        <v>Moon</v>
      </c>
      <c r="C256" s="296" t="e">
        <f aca="false">INDEX(DasaYears,IF(C255=0,9,C255),1)</f>
        <v>#N/A</v>
      </c>
      <c r="D256" s="296" t="e">
        <f aca="false">INDEX(DasaYears,IF(D255=0,9,D255),1)</f>
        <v>#N/A</v>
      </c>
      <c r="E256" s="296" t="e">
        <f aca="false">INDEX(DasaYears,IF(E255=0,9,E255),1)</f>
        <v>#N/A</v>
      </c>
      <c r="F256" s="296" t="e">
        <f aca="false">INDEX(DasaYears,IF(F255=0,9,F255),1)</f>
        <v>#N/A</v>
      </c>
      <c r="G256" s="296" t="e">
        <f aca="false">INDEX(DasaYears,IF(G255=0,9,G255),1)</f>
        <v>#N/A</v>
      </c>
      <c r="H256" s="296" t="e">
        <f aca="false">INDEX(DasaYears,IF(H255=0,9,H255),1)</f>
        <v>#N/A</v>
      </c>
      <c r="I256" s="275" t="n">
        <f aca="true">INDIRECT("'JHora'!$B$"&amp;($K256))</f>
        <v>0</v>
      </c>
      <c r="J256" s="275" t="n">
        <f aca="true">INDIRECT("'JHora'!$C$"&amp;($K256))</f>
        <v>0</v>
      </c>
      <c r="K256" s="6" t="n">
        <f aca="false">K248+1</f>
        <v>31</v>
      </c>
    </row>
    <row r="257" customFormat="false" ht="15" hidden="false" customHeight="false" outlineLevel="0" collapsed="false">
      <c r="A257" s="294" t="s">
        <v>444</v>
      </c>
      <c r="B257" s="295" t="b">
        <f aca="false">$B$7</f>
        <v>1</v>
      </c>
      <c r="C257" s="296" t="e">
        <f aca="false">IF(VLOOKUP(C256,ChartInfo,11,0),1,0)*B257</f>
        <v>#N/A</v>
      </c>
      <c r="D257" s="296" t="e">
        <f aca="false">IF(VLOOKUP(D256,ChartInfo,11,0),1,0)*B257</f>
        <v>#N/A</v>
      </c>
      <c r="E257" s="296" t="e">
        <f aca="false">IF(VLOOKUP(E256,ChartInfo,11,0),1,0)*B257</f>
        <v>#N/A</v>
      </c>
      <c r="F257" s="296" t="e">
        <f aca="false">IF(VLOOKUP(F256,ChartInfo,11,0),1,0)*B257</f>
        <v>#N/A</v>
      </c>
      <c r="G257" s="296" t="e">
        <f aca="false">IF(VLOOKUP(G256,ChartInfo,11,0),1,0)*B257</f>
        <v>#N/A</v>
      </c>
      <c r="H257" s="296" t="e">
        <f aca="false">IF(VLOOKUP(H256,ChartInfo,11,0),1,0)*B257</f>
        <v>#N/A</v>
      </c>
      <c r="I257" s="151"/>
      <c r="K257" s="6" t="n">
        <f aca="false">K249</f>
        <v>0</v>
      </c>
    </row>
    <row r="258" customFormat="false" ht="15" hidden="false" customHeight="false" outlineLevel="0" collapsed="false">
      <c r="K258" s="6" t="n">
        <f aca="false">K250+1</f>
        <v>31</v>
      </c>
    </row>
    <row r="259" customFormat="false" ht="15" hidden="false" customHeight="false" outlineLevel="0" collapsed="false">
      <c r="A259" s="291" t="s">
        <v>454</v>
      </c>
      <c r="B259" s="292" t="n">
        <f aca="false">DoB-$E$6*DaysInYear</f>
        <v>22567.7812953187</v>
      </c>
      <c r="C259" s="293" t="e">
        <f aca="false">B259+B261*INDEX(INDEX(VimFrac,,VLOOKUP(B264,PlanetData,3,0)+1),MATCH(B262,INDEX(VimFrac,,VLOOKUP(B264,PlanetData,3,0)+1),1))</f>
        <v>#N/A</v>
      </c>
      <c r="D259" s="293" t="e">
        <f aca="false">C259+C261*INDEX(INDEX(VimFrac,0,9*C265+VLOOKUP(C264,PlanetData,3,0)+1),IF(C265,1,0)+MATCH(C262,INDEX(VimFrac,0,9*C265+VLOOKUP(C264,PlanetData,3,0)+1),IF(C265,-1,1)))</f>
        <v>#N/A</v>
      </c>
      <c r="E259" s="293" t="e">
        <f aca="false">D259+D261*INDEX(INDEX(VimFrac,0,9*D265+VLOOKUP(D264,PlanetData,3,0)+1),IF(D265,1,0)+MATCH(D262,INDEX(VimFrac,0,9*D265+VLOOKUP(D264,PlanetData,3,0)+1),IF(D265,-1,1)))</f>
        <v>#N/A</v>
      </c>
      <c r="F259" s="293" t="e">
        <f aca="false">E259+E261*INDEX(INDEX(VimFrac,0,9*E265+VLOOKUP(E264,PlanetData,3,0)+1),IF(E265,1,0)+MATCH(E262,INDEX(VimFrac,0,9*E265+VLOOKUP(E264,PlanetData,3,0)+1),IF(E265,-1,1)))</f>
        <v>#N/A</v>
      </c>
      <c r="G259" s="293" t="e">
        <f aca="false">F259+F261*INDEX(INDEX(VimFrac,0,9*F265+VLOOKUP(F264,PlanetData,3,0)+1),IF(F265,1,0)+MATCH(F262,INDEX(VimFrac,0,9*F265+VLOOKUP(F264,PlanetData,3,0)+1),IF(F265,-1,1)))</f>
        <v>#N/A</v>
      </c>
      <c r="H259" s="293" t="e">
        <f aca="false">G259+G261*INDEX(INDEX(VimFrac,0,9*G265+VLOOKUP(G264,PlanetData,3,0)+1),IF(G265,1,0)+MATCH(G262,INDEX(VimFrac,0,9*G265+VLOOKUP(G264,PlanetData,3,0)+1),IF(G265,-1,1)))</f>
        <v>#N/A</v>
      </c>
      <c r="J259" s="273" t="n">
        <f aca="false">J264</f>
        <v>0</v>
      </c>
      <c r="K259" s="6" t="n">
        <f aca="false">K251+1</f>
        <v>32</v>
      </c>
    </row>
    <row r="260" customFormat="false" ht="15" hidden="false" customHeight="false" outlineLevel="0" collapsed="false">
      <c r="A260" s="291" t="s">
        <v>455</v>
      </c>
      <c r="B260" s="292" t="n">
        <f aca="false">B259+B261</f>
        <v>66398.3660175406</v>
      </c>
      <c r="C260" s="293" t="e">
        <f aca="false">B259+B261*INDEX(INDEX(VimFrac,,VLOOKUP(B264,PlanetData,3,0)+1),MATCH(B262,INDEX(VimFrac,,VLOOKUP(B264,PlanetData,3,0)+1),1)+1)</f>
        <v>#N/A</v>
      </c>
      <c r="D260" s="293" t="e">
        <f aca="false">C259+C261*INDEX(INDEX(VimFrac,0,9*C265+VLOOKUP(C264,PlanetData,3,0)+1),IF(C265,0,1)+MATCH(C262,INDEX(VimFrac,0,9*C265+VLOOKUP(C264,PlanetData,3,0)+1),IF(C265,-1,1)))</f>
        <v>#N/A</v>
      </c>
      <c r="E260" s="293" t="e">
        <f aca="false">D259+D261*INDEX(INDEX(VimFrac,0,9*D265+VLOOKUP(D264,PlanetData,3,0)+1),IF(D265,0,1)+MATCH(D262,INDEX(VimFrac,0,9*D265+VLOOKUP(D264,PlanetData,3,0)+1),IF(D265,-1,1)))</f>
        <v>#N/A</v>
      </c>
      <c r="F260" s="293" t="e">
        <f aca="false">E259+E261*INDEX(INDEX(VimFrac,0,9*E265+VLOOKUP(E264,PlanetData,3,0)+1),IF(E265,0,1)+MATCH(E262,INDEX(VimFrac,0,9*E265+VLOOKUP(E264,PlanetData,3,0)+1),IF(E265,-1,1)))</f>
        <v>#N/A</v>
      </c>
      <c r="G260" s="293" t="e">
        <f aca="false">F259+F261*INDEX(INDEX(VimFrac,0,9*F265+VLOOKUP(F264,PlanetData,3,0)+1),IF(F265,0,1)+MATCH(F262,INDEX(VimFrac,0,9*F265+VLOOKUP(F264,PlanetData,3,0)+1),IF(F265,-1,1)))</f>
        <v>#N/A</v>
      </c>
      <c r="H260" s="293" t="e">
        <f aca="false">G259+G261*INDEX(INDEX(VimFrac,0,9*G265+VLOOKUP(G264,PlanetData,3,0)+1),IF(G265,0,1)+MATCH(G262,INDEX(VimFrac,0,9*G265+VLOOKUP(G264,PlanetData,3,0)+1),IF(G265,-1,1)))</f>
        <v>#N/A</v>
      </c>
      <c r="J260" s="273" t="n">
        <f aca="false">J264</f>
        <v>0</v>
      </c>
      <c r="K260" s="6" t="n">
        <f aca="false">K252+1</f>
        <v>32</v>
      </c>
    </row>
    <row r="261" customFormat="false" ht="15" hidden="false" customHeight="false" outlineLevel="0" collapsed="false">
      <c r="A261" s="294" t="s">
        <v>456</v>
      </c>
      <c r="B261" s="295" t="n">
        <f aca="false">120*DaysInYear</f>
        <v>43830.5847222218</v>
      </c>
      <c r="C261" s="296" t="e">
        <f aca="false">C260-C259</f>
        <v>#N/A</v>
      </c>
      <c r="D261" s="296" t="e">
        <f aca="false">D260-D259</f>
        <v>#N/A</v>
      </c>
      <c r="E261" s="296" t="e">
        <f aca="false">E260-E259</f>
        <v>#N/A</v>
      </c>
      <c r="F261" s="296" t="e">
        <f aca="false">F260-F259</f>
        <v>#N/A</v>
      </c>
      <c r="G261" s="296" t="e">
        <f aca="false">G260-G259</f>
        <v>#N/A</v>
      </c>
      <c r="H261" s="296" t="e">
        <f aca="false">H260-H259</f>
        <v>#N/A</v>
      </c>
      <c r="K261" s="6" t="n">
        <f aca="false">K253</f>
        <v>0</v>
      </c>
    </row>
    <row r="262" customFormat="false" ht="15" hidden="false" customHeight="false" outlineLevel="0" collapsed="false">
      <c r="A262" s="294" t="s">
        <v>457</v>
      </c>
      <c r="B262" s="297" t="n">
        <f aca="false">(I264-B259)/(B260-B259)</f>
        <v>-0.51488661258669</v>
      </c>
      <c r="C262" s="298" t="e">
        <f aca="false">(I264-C259)/(C260-C259)</f>
        <v>#N/A</v>
      </c>
      <c r="D262" s="298" t="e">
        <f aca="false">(I264-D259)/(D260-D259)</f>
        <v>#N/A</v>
      </c>
      <c r="E262" s="298" t="e">
        <f aca="false">(I264-E259)/(E260-E259)</f>
        <v>#N/A</v>
      </c>
      <c r="F262" s="298" t="e">
        <f aca="false">(I264-F259)/(F260-F259)</f>
        <v>#N/A</v>
      </c>
      <c r="G262" s="298" t="e">
        <f aca="false">(I264-G259)/(G260-G259)</f>
        <v>#N/A</v>
      </c>
      <c r="H262" s="298" t="e">
        <f aca="false">(I264-H259)/(H260-H259)</f>
        <v>#N/A</v>
      </c>
      <c r="K262" s="6" t="n">
        <f aca="false">K254</f>
        <v>0</v>
      </c>
    </row>
    <row r="263" customFormat="false" ht="15" hidden="false" customHeight="false" outlineLevel="0" collapsed="false">
      <c r="A263" s="294" t="s">
        <v>458</v>
      </c>
      <c r="B263" s="295"/>
      <c r="C263" s="296" t="e">
        <f aca="false">MOD(VLOOKUP(B264,PlanetData,3,0)+MATCH(B262,INDEX(VimFrac,,VLOOKUP(B264,PlanetData,3,0)+1),1)-1,9)</f>
        <v>#N/A</v>
      </c>
      <c r="D263" s="296" t="e">
        <f aca="false">MOD(VLOOKUP(C264,PlanetData,3,0)+MATCH(C262,INDEX(VimFrac,0,9*C265+VLOOKUP(C264,PlanetData,3,0)+1),IF(C265,-1,1))-1,9)</f>
        <v>#N/A</v>
      </c>
      <c r="E263" s="296" t="e">
        <f aca="false">MOD(VLOOKUP(D264,PlanetData,3,0)+MATCH(D262,INDEX(VimFrac,0,9*D265+VLOOKUP(D264,PlanetData,3,0)+1),IF(D265,-1,1))-1,9)</f>
        <v>#N/A</v>
      </c>
      <c r="F263" s="296" t="e">
        <f aca="false">MOD(VLOOKUP(E264,PlanetData,3,0)+MATCH(E262,INDEX(VimFrac,0,9*E265+VLOOKUP(E264,PlanetData,3,0)+1),IF(E265,-1,1))-1,9)</f>
        <v>#N/A</v>
      </c>
      <c r="G263" s="296" t="e">
        <f aca="false">MOD(VLOOKUP(F264,PlanetData,3,0)+MATCH(F262,INDEX(VimFrac,0,9*F265+VLOOKUP(F264,PlanetData,3,0)+1),IF(F265,-1,1))-1,9)</f>
        <v>#N/A</v>
      </c>
      <c r="H263" s="296" t="e">
        <f aca="false">MOD(VLOOKUP(G264,PlanetData,3,0)+MATCH(G262,INDEX(VimFrac,0,9*G265+VLOOKUP(G264,PlanetData,3,0)+1),IF(G265,-1,1))-1,9)</f>
        <v>#N/A</v>
      </c>
      <c r="K263" s="6" t="n">
        <f aca="false">K255</f>
        <v>0</v>
      </c>
    </row>
    <row r="264" customFormat="false" ht="15" hidden="false" customHeight="false" outlineLevel="0" collapsed="false">
      <c r="A264" s="294" t="s">
        <v>459</v>
      </c>
      <c r="B264" s="295" t="str">
        <f aca="false">$B$4</f>
        <v>Moon</v>
      </c>
      <c r="C264" s="296" t="e">
        <f aca="false">INDEX(DasaYears,IF(C263=0,9,C263),1)</f>
        <v>#N/A</v>
      </c>
      <c r="D264" s="296" t="e">
        <f aca="false">INDEX(DasaYears,IF(D263=0,9,D263),1)</f>
        <v>#N/A</v>
      </c>
      <c r="E264" s="296" t="e">
        <f aca="false">INDEX(DasaYears,IF(E263=0,9,E263),1)</f>
        <v>#N/A</v>
      </c>
      <c r="F264" s="296" t="e">
        <f aca="false">INDEX(DasaYears,IF(F263=0,9,F263),1)</f>
        <v>#N/A</v>
      </c>
      <c r="G264" s="296" t="e">
        <f aca="false">INDEX(DasaYears,IF(G263=0,9,G263),1)</f>
        <v>#N/A</v>
      </c>
      <c r="H264" s="296" t="e">
        <f aca="false">INDEX(DasaYears,IF(H263=0,9,H263),1)</f>
        <v>#N/A</v>
      </c>
      <c r="I264" s="275" t="n">
        <f aca="true">INDIRECT("'JHora'!$B$"&amp;($K264))</f>
        <v>0</v>
      </c>
      <c r="J264" s="275" t="n">
        <f aca="true">INDIRECT("'JHora'!$C$"&amp;($K264))</f>
        <v>0</v>
      </c>
      <c r="K264" s="6" t="n">
        <f aca="false">K256+1</f>
        <v>32</v>
      </c>
    </row>
    <row r="265" customFormat="false" ht="15" hidden="false" customHeight="false" outlineLevel="0" collapsed="false">
      <c r="A265" s="294" t="s">
        <v>444</v>
      </c>
      <c r="B265" s="295" t="b">
        <f aca="false">$B$7</f>
        <v>1</v>
      </c>
      <c r="C265" s="296" t="e">
        <f aca="false">IF(VLOOKUP(C264,ChartInfo,11,0),1,0)*B265</f>
        <v>#N/A</v>
      </c>
      <c r="D265" s="296" t="e">
        <f aca="false">IF(VLOOKUP(D264,ChartInfo,11,0),1,0)*B265</f>
        <v>#N/A</v>
      </c>
      <c r="E265" s="296" t="e">
        <f aca="false">IF(VLOOKUP(E264,ChartInfo,11,0),1,0)*B265</f>
        <v>#N/A</v>
      </c>
      <c r="F265" s="296" t="e">
        <f aca="false">IF(VLOOKUP(F264,ChartInfo,11,0),1,0)*B265</f>
        <v>#N/A</v>
      </c>
      <c r="G265" s="296" t="e">
        <f aca="false">IF(VLOOKUP(G264,ChartInfo,11,0),1,0)*B265</f>
        <v>#N/A</v>
      </c>
      <c r="H265" s="296" t="e">
        <f aca="false">IF(VLOOKUP(H264,ChartInfo,11,0),1,0)*B265</f>
        <v>#N/A</v>
      </c>
      <c r="I265" s="151"/>
      <c r="K265" s="6" t="n">
        <f aca="false">K257</f>
        <v>0</v>
      </c>
    </row>
    <row r="266" customFormat="false" ht="15" hidden="false" customHeight="false" outlineLevel="0" collapsed="false">
      <c r="K266" s="6" t="n">
        <f aca="false">K258+1</f>
        <v>32</v>
      </c>
    </row>
    <row r="267" customFormat="false" ht="15" hidden="false" customHeight="false" outlineLevel="0" collapsed="false">
      <c r="A267" s="291" t="s">
        <v>454</v>
      </c>
      <c r="B267" s="292" t="n">
        <f aca="false">DoB-$E$6*DaysInYear</f>
        <v>22567.7812953187</v>
      </c>
      <c r="C267" s="293" t="e">
        <f aca="false">B267+B269*INDEX(INDEX(VimFrac,,VLOOKUP(B272,PlanetData,3,0)+1),MATCH(B270,INDEX(VimFrac,,VLOOKUP(B272,PlanetData,3,0)+1),1))</f>
        <v>#N/A</v>
      </c>
      <c r="D267" s="293" t="e">
        <f aca="false">C267+C269*INDEX(INDEX(VimFrac,0,9*C273+VLOOKUP(C272,PlanetData,3,0)+1),IF(C273,1,0)+MATCH(C270,INDEX(VimFrac,0,9*C273+VLOOKUP(C272,PlanetData,3,0)+1),IF(C273,-1,1)))</f>
        <v>#N/A</v>
      </c>
      <c r="E267" s="293" t="e">
        <f aca="false">D267+D269*INDEX(INDEX(VimFrac,0,9*D273+VLOOKUP(D272,PlanetData,3,0)+1),IF(D273,1,0)+MATCH(D270,INDEX(VimFrac,0,9*D273+VLOOKUP(D272,PlanetData,3,0)+1),IF(D273,-1,1)))</f>
        <v>#N/A</v>
      </c>
      <c r="F267" s="293" t="e">
        <f aca="false">E267+E269*INDEX(INDEX(VimFrac,0,9*E273+VLOOKUP(E272,PlanetData,3,0)+1),IF(E273,1,0)+MATCH(E270,INDEX(VimFrac,0,9*E273+VLOOKUP(E272,PlanetData,3,0)+1),IF(E273,-1,1)))</f>
        <v>#N/A</v>
      </c>
      <c r="G267" s="293" t="e">
        <f aca="false">F267+F269*INDEX(INDEX(VimFrac,0,9*F273+VLOOKUP(F272,PlanetData,3,0)+1),IF(F273,1,0)+MATCH(F270,INDEX(VimFrac,0,9*F273+VLOOKUP(F272,PlanetData,3,0)+1),IF(F273,-1,1)))</f>
        <v>#N/A</v>
      </c>
      <c r="H267" s="293" t="e">
        <f aca="false">G267+G269*INDEX(INDEX(VimFrac,0,9*G273+VLOOKUP(G272,PlanetData,3,0)+1),IF(G273,1,0)+MATCH(G270,INDEX(VimFrac,0,9*G273+VLOOKUP(G272,PlanetData,3,0)+1),IF(G273,-1,1)))</f>
        <v>#N/A</v>
      </c>
      <c r="J267" s="273" t="n">
        <f aca="false">J272</f>
        <v>0</v>
      </c>
      <c r="K267" s="6" t="n">
        <f aca="false">K259+1</f>
        <v>33</v>
      </c>
    </row>
    <row r="268" customFormat="false" ht="15" hidden="false" customHeight="false" outlineLevel="0" collapsed="false">
      <c r="A268" s="291" t="s">
        <v>455</v>
      </c>
      <c r="B268" s="292" t="n">
        <f aca="false">B267+B269</f>
        <v>66398.3660175406</v>
      </c>
      <c r="C268" s="293" t="e">
        <f aca="false">B267+B269*INDEX(INDEX(VimFrac,,VLOOKUP(B272,PlanetData,3,0)+1),MATCH(B270,INDEX(VimFrac,,VLOOKUP(B272,PlanetData,3,0)+1),1)+1)</f>
        <v>#N/A</v>
      </c>
      <c r="D268" s="293" t="e">
        <f aca="false">C267+C269*INDEX(INDEX(VimFrac,0,9*C273+VLOOKUP(C272,PlanetData,3,0)+1),IF(C273,0,1)+MATCH(C270,INDEX(VimFrac,0,9*C273+VLOOKUP(C272,PlanetData,3,0)+1),IF(C273,-1,1)))</f>
        <v>#N/A</v>
      </c>
      <c r="E268" s="293" t="e">
        <f aca="false">D267+D269*INDEX(INDEX(VimFrac,0,9*D273+VLOOKUP(D272,PlanetData,3,0)+1),IF(D273,0,1)+MATCH(D270,INDEX(VimFrac,0,9*D273+VLOOKUP(D272,PlanetData,3,0)+1),IF(D273,-1,1)))</f>
        <v>#N/A</v>
      </c>
      <c r="F268" s="293" t="e">
        <f aca="false">E267+E269*INDEX(INDEX(VimFrac,0,9*E273+VLOOKUP(E272,PlanetData,3,0)+1),IF(E273,0,1)+MATCH(E270,INDEX(VimFrac,0,9*E273+VLOOKUP(E272,PlanetData,3,0)+1),IF(E273,-1,1)))</f>
        <v>#N/A</v>
      </c>
      <c r="G268" s="293" t="e">
        <f aca="false">F267+F269*INDEX(INDEX(VimFrac,0,9*F273+VLOOKUP(F272,PlanetData,3,0)+1),IF(F273,0,1)+MATCH(F270,INDEX(VimFrac,0,9*F273+VLOOKUP(F272,PlanetData,3,0)+1),IF(F273,-1,1)))</f>
        <v>#N/A</v>
      </c>
      <c r="H268" s="293" t="e">
        <f aca="false">G267+G269*INDEX(INDEX(VimFrac,0,9*G273+VLOOKUP(G272,PlanetData,3,0)+1),IF(G273,0,1)+MATCH(G270,INDEX(VimFrac,0,9*G273+VLOOKUP(G272,PlanetData,3,0)+1),IF(G273,-1,1)))</f>
        <v>#N/A</v>
      </c>
      <c r="J268" s="273" t="n">
        <f aca="false">J272</f>
        <v>0</v>
      </c>
      <c r="K268" s="6" t="n">
        <f aca="false">K260+1</f>
        <v>33</v>
      </c>
    </row>
    <row r="269" customFormat="false" ht="15" hidden="false" customHeight="false" outlineLevel="0" collapsed="false">
      <c r="A269" s="294" t="s">
        <v>456</v>
      </c>
      <c r="B269" s="295" t="n">
        <f aca="false">120*DaysInYear</f>
        <v>43830.5847222218</v>
      </c>
      <c r="C269" s="296" t="e">
        <f aca="false">C268-C267</f>
        <v>#N/A</v>
      </c>
      <c r="D269" s="296" t="e">
        <f aca="false">D268-D267</f>
        <v>#N/A</v>
      </c>
      <c r="E269" s="296" t="e">
        <f aca="false">E268-E267</f>
        <v>#N/A</v>
      </c>
      <c r="F269" s="296" t="e">
        <f aca="false">F268-F267</f>
        <v>#N/A</v>
      </c>
      <c r="G269" s="296" t="e">
        <f aca="false">G268-G267</f>
        <v>#N/A</v>
      </c>
      <c r="H269" s="296" t="e">
        <f aca="false">H268-H267</f>
        <v>#N/A</v>
      </c>
      <c r="K269" s="6" t="n">
        <f aca="false">K261</f>
        <v>0</v>
      </c>
    </row>
    <row r="270" customFormat="false" ht="15" hidden="false" customHeight="false" outlineLevel="0" collapsed="false">
      <c r="A270" s="294" t="s">
        <v>457</v>
      </c>
      <c r="B270" s="297" t="n">
        <f aca="false">(I272-B267)/(B268-B267)</f>
        <v>-0.51488661258669</v>
      </c>
      <c r="C270" s="298" t="e">
        <f aca="false">(I272-C267)/(C268-C267)</f>
        <v>#N/A</v>
      </c>
      <c r="D270" s="298" t="e">
        <f aca="false">(I272-D267)/(D268-D267)</f>
        <v>#N/A</v>
      </c>
      <c r="E270" s="298" t="e">
        <f aca="false">(I272-E267)/(E268-E267)</f>
        <v>#N/A</v>
      </c>
      <c r="F270" s="298" t="e">
        <f aca="false">(I272-F267)/(F268-F267)</f>
        <v>#N/A</v>
      </c>
      <c r="G270" s="298" t="e">
        <f aca="false">(I272-G267)/(G268-G267)</f>
        <v>#N/A</v>
      </c>
      <c r="H270" s="298" t="e">
        <f aca="false">(I272-H267)/(H268-H267)</f>
        <v>#N/A</v>
      </c>
      <c r="K270" s="6" t="n">
        <f aca="false">K262</f>
        <v>0</v>
      </c>
    </row>
    <row r="271" customFormat="false" ht="15" hidden="false" customHeight="false" outlineLevel="0" collapsed="false">
      <c r="A271" s="294" t="s">
        <v>458</v>
      </c>
      <c r="B271" s="295"/>
      <c r="C271" s="296" t="e">
        <f aca="false">MOD(VLOOKUP(B272,PlanetData,3,0)+MATCH(B270,INDEX(VimFrac,,VLOOKUP(B272,PlanetData,3,0)+1),1)-1,9)</f>
        <v>#N/A</v>
      </c>
      <c r="D271" s="296" t="e">
        <f aca="false">MOD(VLOOKUP(C272,PlanetData,3,0)+MATCH(C270,INDEX(VimFrac,0,9*C273+VLOOKUP(C272,PlanetData,3,0)+1),IF(C273,-1,1))-1,9)</f>
        <v>#N/A</v>
      </c>
      <c r="E271" s="296" t="e">
        <f aca="false">MOD(VLOOKUP(D272,PlanetData,3,0)+MATCH(D270,INDEX(VimFrac,0,9*D273+VLOOKUP(D272,PlanetData,3,0)+1),IF(D273,-1,1))-1,9)</f>
        <v>#N/A</v>
      </c>
      <c r="F271" s="296" t="e">
        <f aca="false">MOD(VLOOKUP(E272,PlanetData,3,0)+MATCH(E270,INDEX(VimFrac,0,9*E273+VLOOKUP(E272,PlanetData,3,0)+1),IF(E273,-1,1))-1,9)</f>
        <v>#N/A</v>
      </c>
      <c r="G271" s="296" t="e">
        <f aca="false">MOD(VLOOKUP(F272,PlanetData,3,0)+MATCH(F270,INDEX(VimFrac,0,9*F273+VLOOKUP(F272,PlanetData,3,0)+1),IF(F273,-1,1))-1,9)</f>
        <v>#N/A</v>
      </c>
      <c r="H271" s="296" t="e">
        <f aca="false">MOD(VLOOKUP(G272,PlanetData,3,0)+MATCH(G270,INDEX(VimFrac,0,9*G273+VLOOKUP(G272,PlanetData,3,0)+1),IF(G273,-1,1))-1,9)</f>
        <v>#N/A</v>
      </c>
      <c r="K271" s="6" t="n">
        <f aca="false">K263</f>
        <v>0</v>
      </c>
    </row>
    <row r="272" customFormat="false" ht="15" hidden="false" customHeight="false" outlineLevel="0" collapsed="false">
      <c r="A272" s="294" t="s">
        <v>459</v>
      </c>
      <c r="B272" s="295" t="str">
        <f aca="false">$B$4</f>
        <v>Moon</v>
      </c>
      <c r="C272" s="296" t="e">
        <f aca="false">INDEX(DasaYears,IF(C271=0,9,C271),1)</f>
        <v>#N/A</v>
      </c>
      <c r="D272" s="296" t="e">
        <f aca="false">INDEX(DasaYears,IF(D271=0,9,D271),1)</f>
        <v>#N/A</v>
      </c>
      <c r="E272" s="296" t="e">
        <f aca="false">INDEX(DasaYears,IF(E271=0,9,E271),1)</f>
        <v>#N/A</v>
      </c>
      <c r="F272" s="296" t="e">
        <f aca="false">INDEX(DasaYears,IF(F271=0,9,F271),1)</f>
        <v>#N/A</v>
      </c>
      <c r="G272" s="296" t="e">
        <f aca="false">INDEX(DasaYears,IF(G271=0,9,G271),1)</f>
        <v>#N/A</v>
      </c>
      <c r="H272" s="296" t="e">
        <f aca="false">INDEX(DasaYears,IF(H271=0,9,H271),1)</f>
        <v>#N/A</v>
      </c>
      <c r="I272" s="275" t="n">
        <f aca="true">INDIRECT("'JHora'!$B$"&amp;($K272))</f>
        <v>0</v>
      </c>
      <c r="J272" s="275" t="n">
        <f aca="true">INDIRECT("'JHora'!$C$"&amp;($K272))</f>
        <v>0</v>
      </c>
      <c r="K272" s="6" t="n">
        <f aca="false">K264+1</f>
        <v>33</v>
      </c>
    </row>
    <row r="273" customFormat="false" ht="15" hidden="false" customHeight="false" outlineLevel="0" collapsed="false">
      <c r="A273" s="294" t="s">
        <v>444</v>
      </c>
      <c r="B273" s="295" t="b">
        <f aca="false">$B$7</f>
        <v>1</v>
      </c>
      <c r="C273" s="296" t="e">
        <f aca="false">IF(VLOOKUP(C272,ChartInfo,11,0),1,0)*B273</f>
        <v>#N/A</v>
      </c>
      <c r="D273" s="296" t="e">
        <f aca="false">IF(VLOOKUP(D272,ChartInfo,11,0),1,0)*B273</f>
        <v>#N/A</v>
      </c>
      <c r="E273" s="296" t="e">
        <f aca="false">IF(VLOOKUP(E272,ChartInfo,11,0),1,0)*B273</f>
        <v>#N/A</v>
      </c>
      <c r="F273" s="296" t="e">
        <f aca="false">IF(VLOOKUP(F272,ChartInfo,11,0),1,0)*B273</f>
        <v>#N/A</v>
      </c>
      <c r="G273" s="296" t="e">
        <f aca="false">IF(VLOOKUP(G272,ChartInfo,11,0),1,0)*B273</f>
        <v>#N/A</v>
      </c>
      <c r="H273" s="296" t="e">
        <f aca="false">IF(VLOOKUP(H272,ChartInfo,11,0),1,0)*B273</f>
        <v>#N/A</v>
      </c>
      <c r="I273" s="151"/>
      <c r="K273" s="6" t="n">
        <f aca="false">K265</f>
        <v>0</v>
      </c>
    </row>
    <row r="274" customFormat="false" ht="15" hidden="false" customHeight="false" outlineLevel="0" collapsed="false">
      <c r="K274" s="6" t="n">
        <f aca="false">K266+1</f>
        <v>33</v>
      </c>
    </row>
    <row r="275" customFormat="false" ht="15" hidden="false" customHeight="false" outlineLevel="0" collapsed="false">
      <c r="A275" s="291" t="s">
        <v>454</v>
      </c>
      <c r="B275" s="292" t="n">
        <f aca="false">DoB-$E$6*DaysInYear</f>
        <v>22567.7812953187</v>
      </c>
      <c r="C275" s="293" t="e">
        <f aca="false">B275+B277*INDEX(INDEX(VimFrac,,VLOOKUP(B280,PlanetData,3,0)+1),MATCH(B278,INDEX(VimFrac,,VLOOKUP(B280,PlanetData,3,0)+1),1))</f>
        <v>#N/A</v>
      </c>
      <c r="D275" s="293" t="e">
        <f aca="false">C275+C277*INDEX(INDEX(VimFrac,0,9*C281+VLOOKUP(C280,PlanetData,3,0)+1),IF(C281,1,0)+MATCH(C278,INDEX(VimFrac,0,9*C281+VLOOKUP(C280,PlanetData,3,0)+1),IF(C281,-1,1)))</f>
        <v>#N/A</v>
      </c>
      <c r="E275" s="293" t="e">
        <f aca="false">D275+D277*INDEX(INDEX(VimFrac,0,9*D281+VLOOKUP(D280,PlanetData,3,0)+1),IF(D281,1,0)+MATCH(D278,INDEX(VimFrac,0,9*D281+VLOOKUP(D280,PlanetData,3,0)+1),IF(D281,-1,1)))</f>
        <v>#N/A</v>
      </c>
      <c r="F275" s="293" t="e">
        <f aca="false">E275+E277*INDEX(INDEX(VimFrac,0,9*E281+VLOOKUP(E280,PlanetData,3,0)+1),IF(E281,1,0)+MATCH(E278,INDEX(VimFrac,0,9*E281+VLOOKUP(E280,PlanetData,3,0)+1),IF(E281,-1,1)))</f>
        <v>#N/A</v>
      </c>
      <c r="G275" s="293" t="e">
        <f aca="false">F275+F277*INDEX(INDEX(VimFrac,0,9*F281+VLOOKUP(F280,PlanetData,3,0)+1),IF(F281,1,0)+MATCH(F278,INDEX(VimFrac,0,9*F281+VLOOKUP(F280,PlanetData,3,0)+1),IF(F281,-1,1)))</f>
        <v>#N/A</v>
      </c>
      <c r="H275" s="293" t="e">
        <f aca="false">G275+G277*INDEX(INDEX(VimFrac,0,9*G281+VLOOKUP(G280,PlanetData,3,0)+1),IF(G281,1,0)+MATCH(G278,INDEX(VimFrac,0,9*G281+VLOOKUP(G280,PlanetData,3,0)+1),IF(G281,-1,1)))</f>
        <v>#N/A</v>
      </c>
      <c r="J275" s="273" t="n">
        <f aca="false">J280</f>
        <v>0</v>
      </c>
      <c r="K275" s="6" t="n">
        <f aca="false">K267+1</f>
        <v>34</v>
      </c>
    </row>
    <row r="276" customFormat="false" ht="15" hidden="false" customHeight="false" outlineLevel="0" collapsed="false">
      <c r="A276" s="291" t="s">
        <v>455</v>
      </c>
      <c r="B276" s="292" t="n">
        <f aca="false">B275+B277</f>
        <v>66398.3660175406</v>
      </c>
      <c r="C276" s="293" t="e">
        <f aca="false">B275+B277*INDEX(INDEX(VimFrac,,VLOOKUP(B280,PlanetData,3,0)+1),MATCH(B278,INDEX(VimFrac,,VLOOKUP(B280,PlanetData,3,0)+1),1)+1)</f>
        <v>#N/A</v>
      </c>
      <c r="D276" s="293" t="e">
        <f aca="false">C275+C277*INDEX(INDEX(VimFrac,0,9*C281+VLOOKUP(C280,PlanetData,3,0)+1),IF(C281,0,1)+MATCH(C278,INDEX(VimFrac,0,9*C281+VLOOKUP(C280,PlanetData,3,0)+1),IF(C281,-1,1)))</f>
        <v>#N/A</v>
      </c>
      <c r="E276" s="293" t="e">
        <f aca="false">D275+D277*INDEX(INDEX(VimFrac,0,9*D281+VLOOKUP(D280,PlanetData,3,0)+1),IF(D281,0,1)+MATCH(D278,INDEX(VimFrac,0,9*D281+VLOOKUP(D280,PlanetData,3,0)+1),IF(D281,-1,1)))</f>
        <v>#N/A</v>
      </c>
      <c r="F276" s="293" t="e">
        <f aca="false">E275+E277*INDEX(INDEX(VimFrac,0,9*E281+VLOOKUP(E280,PlanetData,3,0)+1),IF(E281,0,1)+MATCH(E278,INDEX(VimFrac,0,9*E281+VLOOKUP(E280,PlanetData,3,0)+1),IF(E281,-1,1)))</f>
        <v>#N/A</v>
      </c>
      <c r="G276" s="293" t="e">
        <f aca="false">F275+F277*INDEX(INDEX(VimFrac,0,9*F281+VLOOKUP(F280,PlanetData,3,0)+1),IF(F281,0,1)+MATCH(F278,INDEX(VimFrac,0,9*F281+VLOOKUP(F280,PlanetData,3,0)+1),IF(F281,-1,1)))</f>
        <v>#N/A</v>
      </c>
      <c r="H276" s="293" t="e">
        <f aca="false">G275+G277*INDEX(INDEX(VimFrac,0,9*G281+VLOOKUP(G280,PlanetData,3,0)+1),IF(G281,0,1)+MATCH(G278,INDEX(VimFrac,0,9*G281+VLOOKUP(G280,PlanetData,3,0)+1),IF(G281,-1,1)))</f>
        <v>#N/A</v>
      </c>
      <c r="J276" s="273" t="n">
        <f aca="false">J280</f>
        <v>0</v>
      </c>
      <c r="K276" s="6" t="n">
        <f aca="false">K268+1</f>
        <v>34</v>
      </c>
    </row>
    <row r="277" customFormat="false" ht="15" hidden="false" customHeight="false" outlineLevel="0" collapsed="false">
      <c r="A277" s="294" t="s">
        <v>456</v>
      </c>
      <c r="B277" s="295" t="n">
        <f aca="false">120*DaysInYear</f>
        <v>43830.5847222218</v>
      </c>
      <c r="C277" s="296" t="e">
        <f aca="false">C276-C275</f>
        <v>#N/A</v>
      </c>
      <c r="D277" s="296" t="e">
        <f aca="false">D276-D275</f>
        <v>#N/A</v>
      </c>
      <c r="E277" s="296" t="e">
        <f aca="false">E276-E275</f>
        <v>#N/A</v>
      </c>
      <c r="F277" s="296" t="e">
        <f aca="false">F276-F275</f>
        <v>#N/A</v>
      </c>
      <c r="G277" s="296" t="e">
        <f aca="false">G276-G275</f>
        <v>#N/A</v>
      </c>
      <c r="H277" s="296" t="e">
        <f aca="false">H276-H275</f>
        <v>#N/A</v>
      </c>
      <c r="K277" s="6" t="n">
        <f aca="false">K269</f>
        <v>0</v>
      </c>
    </row>
    <row r="278" customFormat="false" ht="15" hidden="false" customHeight="false" outlineLevel="0" collapsed="false">
      <c r="A278" s="294" t="s">
        <v>457</v>
      </c>
      <c r="B278" s="297" t="n">
        <f aca="false">(I280-B275)/(B276-B275)</f>
        <v>-0.51488661258669</v>
      </c>
      <c r="C278" s="298" t="e">
        <f aca="false">(I280-C275)/(C276-C275)</f>
        <v>#N/A</v>
      </c>
      <c r="D278" s="298" t="e">
        <f aca="false">(I280-D275)/(D276-D275)</f>
        <v>#N/A</v>
      </c>
      <c r="E278" s="298" t="e">
        <f aca="false">(I280-E275)/(E276-E275)</f>
        <v>#N/A</v>
      </c>
      <c r="F278" s="298" t="e">
        <f aca="false">(I280-F275)/(F276-F275)</f>
        <v>#N/A</v>
      </c>
      <c r="G278" s="298" t="e">
        <f aca="false">(I280-G275)/(G276-G275)</f>
        <v>#N/A</v>
      </c>
      <c r="H278" s="298" t="e">
        <f aca="false">(I280-H275)/(H276-H275)</f>
        <v>#N/A</v>
      </c>
      <c r="K278" s="6" t="n">
        <f aca="false">K270</f>
        <v>0</v>
      </c>
    </row>
    <row r="279" customFormat="false" ht="15" hidden="false" customHeight="false" outlineLevel="0" collapsed="false">
      <c r="A279" s="294" t="s">
        <v>458</v>
      </c>
      <c r="B279" s="295"/>
      <c r="C279" s="296" t="e">
        <f aca="false">MOD(VLOOKUP(B280,PlanetData,3,0)+MATCH(B278,INDEX(VimFrac,,VLOOKUP(B280,PlanetData,3,0)+1),1)-1,9)</f>
        <v>#N/A</v>
      </c>
      <c r="D279" s="296" t="e">
        <f aca="false">MOD(VLOOKUP(C280,PlanetData,3,0)+MATCH(C278,INDEX(VimFrac,0,9*C281+VLOOKUP(C280,PlanetData,3,0)+1),IF(C281,-1,1))-1,9)</f>
        <v>#N/A</v>
      </c>
      <c r="E279" s="296" t="e">
        <f aca="false">MOD(VLOOKUP(D280,PlanetData,3,0)+MATCH(D278,INDEX(VimFrac,0,9*D281+VLOOKUP(D280,PlanetData,3,0)+1),IF(D281,-1,1))-1,9)</f>
        <v>#N/A</v>
      </c>
      <c r="F279" s="296" t="e">
        <f aca="false">MOD(VLOOKUP(E280,PlanetData,3,0)+MATCH(E278,INDEX(VimFrac,0,9*E281+VLOOKUP(E280,PlanetData,3,0)+1),IF(E281,-1,1))-1,9)</f>
        <v>#N/A</v>
      </c>
      <c r="G279" s="296" t="e">
        <f aca="false">MOD(VLOOKUP(F280,PlanetData,3,0)+MATCH(F278,INDEX(VimFrac,0,9*F281+VLOOKUP(F280,PlanetData,3,0)+1),IF(F281,-1,1))-1,9)</f>
        <v>#N/A</v>
      </c>
      <c r="H279" s="296" t="e">
        <f aca="false">MOD(VLOOKUP(G280,PlanetData,3,0)+MATCH(G278,INDEX(VimFrac,0,9*G281+VLOOKUP(G280,PlanetData,3,0)+1),IF(G281,-1,1))-1,9)</f>
        <v>#N/A</v>
      </c>
      <c r="K279" s="6" t="n">
        <f aca="false">K271</f>
        <v>0</v>
      </c>
    </row>
    <row r="280" customFormat="false" ht="15" hidden="false" customHeight="false" outlineLevel="0" collapsed="false">
      <c r="A280" s="294" t="s">
        <v>459</v>
      </c>
      <c r="B280" s="295" t="str">
        <f aca="false">$B$4</f>
        <v>Moon</v>
      </c>
      <c r="C280" s="296" t="e">
        <f aca="false">INDEX(DasaYears,IF(C279=0,9,C279),1)</f>
        <v>#N/A</v>
      </c>
      <c r="D280" s="296" t="e">
        <f aca="false">INDEX(DasaYears,IF(D279=0,9,D279),1)</f>
        <v>#N/A</v>
      </c>
      <c r="E280" s="296" t="e">
        <f aca="false">INDEX(DasaYears,IF(E279=0,9,E279),1)</f>
        <v>#N/A</v>
      </c>
      <c r="F280" s="296" t="e">
        <f aca="false">INDEX(DasaYears,IF(F279=0,9,F279),1)</f>
        <v>#N/A</v>
      </c>
      <c r="G280" s="296" t="e">
        <f aca="false">INDEX(DasaYears,IF(G279=0,9,G279),1)</f>
        <v>#N/A</v>
      </c>
      <c r="H280" s="296" t="e">
        <f aca="false">INDEX(DasaYears,IF(H279=0,9,H279),1)</f>
        <v>#N/A</v>
      </c>
      <c r="I280" s="275" t="n">
        <f aca="true">INDIRECT("'JHora'!$B$"&amp;($K280))</f>
        <v>0</v>
      </c>
      <c r="J280" s="275" t="n">
        <f aca="true">INDIRECT("'JHora'!$C$"&amp;($K280))</f>
        <v>0</v>
      </c>
      <c r="K280" s="6" t="n">
        <f aca="false">K272+1</f>
        <v>34</v>
      </c>
    </row>
    <row r="281" customFormat="false" ht="15" hidden="false" customHeight="false" outlineLevel="0" collapsed="false">
      <c r="A281" s="294" t="s">
        <v>444</v>
      </c>
      <c r="B281" s="295" t="b">
        <f aca="false">$B$7</f>
        <v>1</v>
      </c>
      <c r="C281" s="296" t="e">
        <f aca="false">IF(VLOOKUP(C280,ChartInfo,11,0),1,0)*B281</f>
        <v>#N/A</v>
      </c>
      <c r="D281" s="296" t="e">
        <f aca="false">IF(VLOOKUP(D280,ChartInfo,11,0),1,0)*B281</f>
        <v>#N/A</v>
      </c>
      <c r="E281" s="296" t="e">
        <f aca="false">IF(VLOOKUP(E280,ChartInfo,11,0),1,0)*B281</f>
        <v>#N/A</v>
      </c>
      <c r="F281" s="296" t="e">
        <f aca="false">IF(VLOOKUP(F280,ChartInfo,11,0),1,0)*B281</f>
        <v>#N/A</v>
      </c>
      <c r="G281" s="296" t="e">
        <f aca="false">IF(VLOOKUP(G280,ChartInfo,11,0),1,0)*B281</f>
        <v>#N/A</v>
      </c>
      <c r="H281" s="296" t="e">
        <f aca="false">IF(VLOOKUP(H280,ChartInfo,11,0),1,0)*B281</f>
        <v>#N/A</v>
      </c>
      <c r="I281" s="151"/>
      <c r="K281" s="6" t="n">
        <f aca="false">K273</f>
        <v>0</v>
      </c>
    </row>
    <row r="282" customFormat="false" ht="15" hidden="false" customHeight="false" outlineLevel="0" collapsed="false">
      <c r="K282" s="6" t="n">
        <f aca="false">K274+1</f>
        <v>34</v>
      </c>
    </row>
    <row r="283" customFormat="false" ht="15" hidden="false" customHeight="false" outlineLevel="0" collapsed="false">
      <c r="A283" s="291" t="s">
        <v>454</v>
      </c>
      <c r="B283" s="292" t="n">
        <f aca="false">DoB-$E$6*DaysInYear</f>
        <v>22567.7812953187</v>
      </c>
      <c r="C283" s="293" t="e">
        <f aca="false">B283+B285*INDEX(INDEX(VimFrac,,VLOOKUP(B288,PlanetData,3,0)+1),MATCH(B286,INDEX(VimFrac,,VLOOKUP(B288,PlanetData,3,0)+1),1))</f>
        <v>#N/A</v>
      </c>
      <c r="D283" s="293" t="e">
        <f aca="false">C283+C285*INDEX(INDEX(VimFrac,0,9*C289+VLOOKUP(C288,PlanetData,3,0)+1),IF(C289,1,0)+MATCH(C286,INDEX(VimFrac,0,9*C289+VLOOKUP(C288,PlanetData,3,0)+1),IF(C289,-1,1)))</f>
        <v>#N/A</v>
      </c>
      <c r="E283" s="293" t="e">
        <f aca="false">D283+D285*INDEX(INDEX(VimFrac,0,9*D289+VLOOKUP(D288,PlanetData,3,0)+1),IF(D289,1,0)+MATCH(D286,INDEX(VimFrac,0,9*D289+VLOOKUP(D288,PlanetData,3,0)+1),IF(D289,-1,1)))</f>
        <v>#N/A</v>
      </c>
      <c r="F283" s="293" t="e">
        <f aca="false">E283+E285*INDEX(INDEX(VimFrac,0,9*E289+VLOOKUP(E288,PlanetData,3,0)+1),IF(E289,1,0)+MATCH(E286,INDEX(VimFrac,0,9*E289+VLOOKUP(E288,PlanetData,3,0)+1),IF(E289,-1,1)))</f>
        <v>#N/A</v>
      </c>
      <c r="G283" s="293" t="e">
        <f aca="false">F283+F285*INDEX(INDEX(VimFrac,0,9*F289+VLOOKUP(F288,PlanetData,3,0)+1),IF(F289,1,0)+MATCH(F286,INDEX(VimFrac,0,9*F289+VLOOKUP(F288,PlanetData,3,0)+1),IF(F289,-1,1)))</f>
        <v>#N/A</v>
      </c>
      <c r="H283" s="293" t="e">
        <f aca="false">G283+G285*INDEX(INDEX(VimFrac,0,9*G289+VLOOKUP(G288,PlanetData,3,0)+1),IF(G289,1,0)+MATCH(G286,INDEX(VimFrac,0,9*G289+VLOOKUP(G288,PlanetData,3,0)+1),IF(G289,-1,1)))</f>
        <v>#N/A</v>
      </c>
      <c r="J283" s="273" t="n">
        <f aca="false">J288</f>
        <v>0</v>
      </c>
      <c r="K283" s="6" t="n">
        <f aca="false">K275+1</f>
        <v>35</v>
      </c>
    </row>
    <row r="284" customFormat="false" ht="15" hidden="false" customHeight="false" outlineLevel="0" collapsed="false">
      <c r="A284" s="291" t="s">
        <v>455</v>
      </c>
      <c r="B284" s="292" t="n">
        <f aca="false">B283+B285</f>
        <v>66398.3660175406</v>
      </c>
      <c r="C284" s="293" t="e">
        <f aca="false">B283+B285*INDEX(INDEX(VimFrac,,VLOOKUP(B288,PlanetData,3,0)+1),MATCH(B286,INDEX(VimFrac,,VLOOKUP(B288,PlanetData,3,0)+1),1)+1)</f>
        <v>#N/A</v>
      </c>
      <c r="D284" s="293" t="e">
        <f aca="false">C283+C285*INDEX(INDEX(VimFrac,0,9*C289+VLOOKUP(C288,PlanetData,3,0)+1),IF(C289,0,1)+MATCH(C286,INDEX(VimFrac,0,9*C289+VLOOKUP(C288,PlanetData,3,0)+1),IF(C289,-1,1)))</f>
        <v>#N/A</v>
      </c>
      <c r="E284" s="293" t="e">
        <f aca="false">D283+D285*INDEX(INDEX(VimFrac,0,9*D289+VLOOKUP(D288,PlanetData,3,0)+1),IF(D289,0,1)+MATCH(D286,INDEX(VimFrac,0,9*D289+VLOOKUP(D288,PlanetData,3,0)+1),IF(D289,-1,1)))</f>
        <v>#N/A</v>
      </c>
      <c r="F284" s="293" t="e">
        <f aca="false">E283+E285*INDEX(INDEX(VimFrac,0,9*E289+VLOOKUP(E288,PlanetData,3,0)+1),IF(E289,0,1)+MATCH(E286,INDEX(VimFrac,0,9*E289+VLOOKUP(E288,PlanetData,3,0)+1),IF(E289,-1,1)))</f>
        <v>#N/A</v>
      </c>
      <c r="G284" s="293" t="e">
        <f aca="false">F283+F285*INDEX(INDEX(VimFrac,0,9*F289+VLOOKUP(F288,PlanetData,3,0)+1),IF(F289,0,1)+MATCH(F286,INDEX(VimFrac,0,9*F289+VLOOKUP(F288,PlanetData,3,0)+1),IF(F289,-1,1)))</f>
        <v>#N/A</v>
      </c>
      <c r="H284" s="293" t="e">
        <f aca="false">G283+G285*INDEX(INDEX(VimFrac,0,9*G289+VLOOKUP(G288,PlanetData,3,0)+1),IF(G289,0,1)+MATCH(G286,INDEX(VimFrac,0,9*G289+VLOOKUP(G288,PlanetData,3,0)+1),IF(G289,-1,1)))</f>
        <v>#N/A</v>
      </c>
      <c r="J284" s="273" t="n">
        <f aca="false">J288</f>
        <v>0</v>
      </c>
      <c r="K284" s="6" t="n">
        <f aca="false">K276+1</f>
        <v>35</v>
      </c>
    </row>
    <row r="285" customFormat="false" ht="15" hidden="false" customHeight="false" outlineLevel="0" collapsed="false">
      <c r="A285" s="294" t="s">
        <v>456</v>
      </c>
      <c r="B285" s="295" t="n">
        <f aca="false">120*DaysInYear</f>
        <v>43830.5847222218</v>
      </c>
      <c r="C285" s="296" t="e">
        <f aca="false">C284-C283</f>
        <v>#N/A</v>
      </c>
      <c r="D285" s="296" t="e">
        <f aca="false">D284-D283</f>
        <v>#N/A</v>
      </c>
      <c r="E285" s="296" t="e">
        <f aca="false">E284-E283</f>
        <v>#N/A</v>
      </c>
      <c r="F285" s="296" t="e">
        <f aca="false">F284-F283</f>
        <v>#N/A</v>
      </c>
      <c r="G285" s="296" t="e">
        <f aca="false">G284-G283</f>
        <v>#N/A</v>
      </c>
      <c r="H285" s="296" t="e">
        <f aca="false">H284-H283</f>
        <v>#N/A</v>
      </c>
      <c r="K285" s="6" t="n">
        <f aca="false">K277</f>
        <v>0</v>
      </c>
    </row>
    <row r="286" customFormat="false" ht="15" hidden="false" customHeight="false" outlineLevel="0" collapsed="false">
      <c r="A286" s="294" t="s">
        <v>457</v>
      </c>
      <c r="B286" s="297" t="n">
        <f aca="false">(I288-B283)/(B284-B283)</f>
        <v>-0.51488661258669</v>
      </c>
      <c r="C286" s="298" t="e">
        <f aca="false">(I288-C283)/(C284-C283)</f>
        <v>#N/A</v>
      </c>
      <c r="D286" s="298" t="e">
        <f aca="false">(I288-D283)/(D284-D283)</f>
        <v>#N/A</v>
      </c>
      <c r="E286" s="298" t="e">
        <f aca="false">(I288-E283)/(E284-E283)</f>
        <v>#N/A</v>
      </c>
      <c r="F286" s="298" t="e">
        <f aca="false">(I288-F283)/(F284-F283)</f>
        <v>#N/A</v>
      </c>
      <c r="G286" s="298" t="e">
        <f aca="false">(I288-G283)/(G284-G283)</f>
        <v>#N/A</v>
      </c>
      <c r="H286" s="298" t="e">
        <f aca="false">(I288-H283)/(H284-H283)</f>
        <v>#N/A</v>
      </c>
      <c r="K286" s="6" t="n">
        <f aca="false">K278</f>
        <v>0</v>
      </c>
    </row>
    <row r="287" customFormat="false" ht="15" hidden="false" customHeight="false" outlineLevel="0" collapsed="false">
      <c r="A287" s="294" t="s">
        <v>458</v>
      </c>
      <c r="B287" s="295"/>
      <c r="C287" s="296" t="e">
        <f aca="false">MOD(VLOOKUP(B288,PlanetData,3,0)+MATCH(B286,INDEX(VimFrac,,VLOOKUP(B288,PlanetData,3,0)+1),1)-1,9)</f>
        <v>#N/A</v>
      </c>
      <c r="D287" s="296" t="e">
        <f aca="false">MOD(VLOOKUP(C288,PlanetData,3,0)+MATCH(C286,INDEX(VimFrac,0,9*C289+VLOOKUP(C288,PlanetData,3,0)+1),IF(C289,-1,1))-1,9)</f>
        <v>#N/A</v>
      </c>
      <c r="E287" s="296" t="e">
        <f aca="false">MOD(VLOOKUP(D288,PlanetData,3,0)+MATCH(D286,INDEX(VimFrac,0,9*D289+VLOOKUP(D288,PlanetData,3,0)+1),IF(D289,-1,1))-1,9)</f>
        <v>#N/A</v>
      </c>
      <c r="F287" s="296" t="e">
        <f aca="false">MOD(VLOOKUP(E288,PlanetData,3,0)+MATCH(E286,INDEX(VimFrac,0,9*E289+VLOOKUP(E288,PlanetData,3,0)+1),IF(E289,-1,1))-1,9)</f>
        <v>#N/A</v>
      </c>
      <c r="G287" s="296" t="e">
        <f aca="false">MOD(VLOOKUP(F288,PlanetData,3,0)+MATCH(F286,INDEX(VimFrac,0,9*F289+VLOOKUP(F288,PlanetData,3,0)+1),IF(F289,-1,1))-1,9)</f>
        <v>#N/A</v>
      </c>
      <c r="H287" s="296" t="e">
        <f aca="false">MOD(VLOOKUP(G288,PlanetData,3,0)+MATCH(G286,INDEX(VimFrac,0,9*G289+VLOOKUP(G288,PlanetData,3,0)+1),IF(G289,-1,1))-1,9)</f>
        <v>#N/A</v>
      </c>
      <c r="K287" s="6" t="n">
        <f aca="false">K279</f>
        <v>0</v>
      </c>
    </row>
    <row r="288" customFormat="false" ht="15" hidden="false" customHeight="false" outlineLevel="0" collapsed="false">
      <c r="A288" s="294" t="s">
        <v>459</v>
      </c>
      <c r="B288" s="295" t="str">
        <f aca="false">$B$4</f>
        <v>Moon</v>
      </c>
      <c r="C288" s="296" t="e">
        <f aca="false">INDEX(DasaYears,IF(C287=0,9,C287),1)</f>
        <v>#N/A</v>
      </c>
      <c r="D288" s="296" t="e">
        <f aca="false">INDEX(DasaYears,IF(D287=0,9,D287),1)</f>
        <v>#N/A</v>
      </c>
      <c r="E288" s="296" t="e">
        <f aca="false">INDEX(DasaYears,IF(E287=0,9,E287),1)</f>
        <v>#N/A</v>
      </c>
      <c r="F288" s="296" t="e">
        <f aca="false">INDEX(DasaYears,IF(F287=0,9,F287),1)</f>
        <v>#N/A</v>
      </c>
      <c r="G288" s="296" t="e">
        <f aca="false">INDEX(DasaYears,IF(G287=0,9,G287),1)</f>
        <v>#N/A</v>
      </c>
      <c r="H288" s="296" t="e">
        <f aca="false">INDEX(DasaYears,IF(H287=0,9,H287),1)</f>
        <v>#N/A</v>
      </c>
      <c r="I288" s="275" t="n">
        <f aca="true">INDIRECT("'JHora'!$B$"&amp;($K288))</f>
        <v>0</v>
      </c>
      <c r="J288" s="275" t="n">
        <f aca="true">INDIRECT("'JHora'!$C$"&amp;($K288))</f>
        <v>0</v>
      </c>
      <c r="K288" s="6" t="n">
        <f aca="false">K280+1</f>
        <v>35</v>
      </c>
    </row>
    <row r="289" customFormat="false" ht="15" hidden="false" customHeight="false" outlineLevel="0" collapsed="false">
      <c r="A289" s="294" t="s">
        <v>444</v>
      </c>
      <c r="B289" s="295" t="b">
        <f aca="false">$B$7</f>
        <v>1</v>
      </c>
      <c r="C289" s="296" t="e">
        <f aca="false">IF(VLOOKUP(C288,ChartInfo,11,0),1,0)*B289</f>
        <v>#N/A</v>
      </c>
      <c r="D289" s="296" t="e">
        <f aca="false">IF(VLOOKUP(D288,ChartInfo,11,0),1,0)*B289</f>
        <v>#N/A</v>
      </c>
      <c r="E289" s="296" t="e">
        <f aca="false">IF(VLOOKUP(E288,ChartInfo,11,0),1,0)*B289</f>
        <v>#N/A</v>
      </c>
      <c r="F289" s="296" t="e">
        <f aca="false">IF(VLOOKUP(F288,ChartInfo,11,0),1,0)*B289</f>
        <v>#N/A</v>
      </c>
      <c r="G289" s="296" t="e">
        <f aca="false">IF(VLOOKUP(G288,ChartInfo,11,0),1,0)*B289</f>
        <v>#N/A</v>
      </c>
      <c r="H289" s="296" t="e">
        <f aca="false">IF(VLOOKUP(H288,ChartInfo,11,0),1,0)*B289</f>
        <v>#N/A</v>
      </c>
      <c r="I289" s="151"/>
      <c r="K289" s="6" t="n">
        <f aca="false">K281</f>
        <v>0</v>
      </c>
    </row>
    <row r="290" customFormat="false" ht="15" hidden="false" customHeight="false" outlineLevel="0" collapsed="false">
      <c r="K290" s="6" t="n">
        <f aca="false">K282+1</f>
        <v>35</v>
      </c>
    </row>
    <row r="291" customFormat="false" ht="15" hidden="false" customHeight="false" outlineLevel="0" collapsed="false">
      <c r="A291" s="291" t="s">
        <v>454</v>
      </c>
      <c r="B291" s="292" t="n">
        <f aca="false">DoB-$E$6*DaysInYear</f>
        <v>22567.7812953187</v>
      </c>
      <c r="C291" s="293" t="e">
        <f aca="false">B291+B293*INDEX(INDEX(VimFrac,,VLOOKUP(B296,PlanetData,3,0)+1),MATCH(B294,INDEX(VimFrac,,VLOOKUP(B296,PlanetData,3,0)+1),1))</f>
        <v>#N/A</v>
      </c>
      <c r="D291" s="293" t="e">
        <f aca="false">C291+C293*INDEX(INDEX(VimFrac,0,9*C297+VLOOKUP(C296,PlanetData,3,0)+1),IF(C297,1,0)+MATCH(C294,INDEX(VimFrac,0,9*C297+VLOOKUP(C296,PlanetData,3,0)+1),IF(C297,-1,1)))</f>
        <v>#N/A</v>
      </c>
      <c r="E291" s="293" t="e">
        <f aca="false">D291+D293*INDEX(INDEX(VimFrac,0,9*D297+VLOOKUP(D296,PlanetData,3,0)+1),IF(D297,1,0)+MATCH(D294,INDEX(VimFrac,0,9*D297+VLOOKUP(D296,PlanetData,3,0)+1),IF(D297,-1,1)))</f>
        <v>#N/A</v>
      </c>
      <c r="F291" s="293" t="e">
        <f aca="false">E291+E293*INDEX(INDEX(VimFrac,0,9*E297+VLOOKUP(E296,PlanetData,3,0)+1),IF(E297,1,0)+MATCH(E294,INDEX(VimFrac,0,9*E297+VLOOKUP(E296,PlanetData,3,0)+1),IF(E297,-1,1)))</f>
        <v>#N/A</v>
      </c>
      <c r="G291" s="293" t="e">
        <f aca="false">F291+F293*INDEX(INDEX(VimFrac,0,9*F297+VLOOKUP(F296,PlanetData,3,0)+1),IF(F297,1,0)+MATCH(F294,INDEX(VimFrac,0,9*F297+VLOOKUP(F296,PlanetData,3,0)+1),IF(F297,-1,1)))</f>
        <v>#N/A</v>
      </c>
      <c r="H291" s="293" t="e">
        <f aca="false">G291+G293*INDEX(INDEX(VimFrac,0,9*G297+VLOOKUP(G296,PlanetData,3,0)+1),IF(G297,1,0)+MATCH(G294,INDEX(VimFrac,0,9*G297+VLOOKUP(G296,PlanetData,3,0)+1),IF(G297,-1,1)))</f>
        <v>#N/A</v>
      </c>
      <c r="J291" s="273" t="n">
        <f aca="false">J296</f>
        <v>0</v>
      </c>
      <c r="K291" s="6" t="n">
        <f aca="false">K283+1</f>
        <v>36</v>
      </c>
    </row>
    <row r="292" customFormat="false" ht="15" hidden="false" customHeight="false" outlineLevel="0" collapsed="false">
      <c r="A292" s="291" t="s">
        <v>455</v>
      </c>
      <c r="B292" s="292" t="n">
        <f aca="false">B291+B293</f>
        <v>66398.3660175406</v>
      </c>
      <c r="C292" s="293" t="e">
        <f aca="false">B291+B293*INDEX(INDEX(VimFrac,,VLOOKUP(B296,PlanetData,3,0)+1),MATCH(B294,INDEX(VimFrac,,VLOOKUP(B296,PlanetData,3,0)+1),1)+1)</f>
        <v>#N/A</v>
      </c>
      <c r="D292" s="293" t="e">
        <f aca="false">C291+C293*INDEX(INDEX(VimFrac,0,9*C297+VLOOKUP(C296,PlanetData,3,0)+1),IF(C297,0,1)+MATCH(C294,INDEX(VimFrac,0,9*C297+VLOOKUP(C296,PlanetData,3,0)+1),IF(C297,-1,1)))</f>
        <v>#N/A</v>
      </c>
      <c r="E292" s="293" t="e">
        <f aca="false">D291+D293*INDEX(INDEX(VimFrac,0,9*D297+VLOOKUP(D296,PlanetData,3,0)+1),IF(D297,0,1)+MATCH(D294,INDEX(VimFrac,0,9*D297+VLOOKUP(D296,PlanetData,3,0)+1),IF(D297,-1,1)))</f>
        <v>#N/A</v>
      </c>
      <c r="F292" s="293" t="e">
        <f aca="false">E291+E293*INDEX(INDEX(VimFrac,0,9*E297+VLOOKUP(E296,PlanetData,3,0)+1),IF(E297,0,1)+MATCH(E294,INDEX(VimFrac,0,9*E297+VLOOKUP(E296,PlanetData,3,0)+1),IF(E297,-1,1)))</f>
        <v>#N/A</v>
      </c>
      <c r="G292" s="293" t="e">
        <f aca="false">F291+F293*INDEX(INDEX(VimFrac,0,9*F297+VLOOKUP(F296,PlanetData,3,0)+1),IF(F297,0,1)+MATCH(F294,INDEX(VimFrac,0,9*F297+VLOOKUP(F296,PlanetData,3,0)+1),IF(F297,-1,1)))</f>
        <v>#N/A</v>
      </c>
      <c r="H292" s="293" t="e">
        <f aca="false">G291+G293*INDEX(INDEX(VimFrac,0,9*G297+VLOOKUP(G296,PlanetData,3,0)+1),IF(G297,0,1)+MATCH(G294,INDEX(VimFrac,0,9*G297+VLOOKUP(G296,PlanetData,3,0)+1),IF(G297,-1,1)))</f>
        <v>#N/A</v>
      </c>
      <c r="J292" s="273" t="n">
        <f aca="false">J296</f>
        <v>0</v>
      </c>
      <c r="K292" s="6" t="n">
        <f aca="false">K284+1</f>
        <v>36</v>
      </c>
    </row>
    <row r="293" customFormat="false" ht="15" hidden="false" customHeight="false" outlineLevel="0" collapsed="false">
      <c r="A293" s="294" t="s">
        <v>456</v>
      </c>
      <c r="B293" s="295" t="n">
        <f aca="false">120*DaysInYear</f>
        <v>43830.5847222218</v>
      </c>
      <c r="C293" s="296" t="e">
        <f aca="false">C292-C291</f>
        <v>#N/A</v>
      </c>
      <c r="D293" s="296" t="e">
        <f aca="false">D292-D291</f>
        <v>#N/A</v>
      </c>
      <c r="E293" s="296" t="e">
        <f aca="false">E292-E291</f>
        <v>#N/A</v>
      </c>
      <c r="F293" s="296" t="e">
        <f aca="false">F292-F291</f>
        <v>#N/A</v>
      </c>
      <c r="G293" s="296" t="e">
        <f aca="false">G292-G291</f>
        <v>#N/A</v>
      </c>
      <c r="H293" s="296" t="e">
        <f aca="false">H292-H291</f>
        <v>#N/A</v>
      </c>
      <c r="K293" s="6" t="n">
        <f aca="false">K285</f>
        <v>0</v>
      </c>
    </row>
    <row r="294" customFormat="false" ht="15" hidden="false" customHeight="false" outlineLevel="0" collapsed="false">
      <c r="A294" s="294" t="s">
        <v>457</v>
      </c>
      <c r="B294" s="297" t="n">
        <f aca="false">(I296-B291)/(B292-B291)</f>
        <v>-0.51488661258669</v>
      </c>
      <c r="C294" s="298" t="e">
        <f aca="false">(I296-C291)/(C292-C291)</f>
        <v>#N/A</v>
      </c>
      <c r="D294" s="298" t="e">
        <f aca="false">(I296-D291)/(D292-D291)</f>
        <v>#N/A</v>
      </c>
      <c r="E294" s="298" t="e">
        <f aca="false">(I296-E291)/(E292-E291)</f>
        <v>#N/A</v>
      </c>
      <c r="F294" s="298" t="e">
        <f aca="false">(I296-F291)/(F292-F291)</f>
        <v>#N/A</v>
      </c>
      <c r="G294" s="298" t="e">
        <f aca="false">(I296-G291)/(G292-G291)</f>
        <v>#N/A</v>
      </c>
      <c r="H294" s="298" t="e">
        <f aca="false">(I296-H291)/(H292-H291)</f>
        <v>#N/A</v>
      </c>
      <c r="K294" s="6" t="n">
        <f aca="false">K286</f>
        <v>0</v>
      </c>
    </row>
    <row r="295" customFormat="false" ht="15" hidden="false" customHeight="false" outlineLevel="0" collapsed="false">
      <c r="A295" s="294" t="s">
        <v>458</v>
      </c>
      <c r="B295" s="295"/>
      <c r="C295" s="296" t="e">
        <f aca="false">MOD(VLOOKUP(B296,PlanetData,3,0)+MATCH(B294,INDEX(VimFrac,,VLOOKUP(B296,PlanetData,3,0)+1),1)-1,9)</f>
        <v>#N/A</v>
      </c>
      <c r="D295" s="296" t="e">
        <f aca="false">MOD(VLOOKUP(C296,PlanetData,3,0)+MATCH(C294,INDEX(VimFrac,0,9*C297+VLOOKUP(C296,PlanetData,3,0)+1),IF(C297,-1,1))-1,9)</f>
        <v>#N/A</v>
      </c>
      <c r="E295" s="296" t="e">
        <f aca="false">MOD(VLOOKUP(D296,PlanetData,3,0)+MATCH(D294,INDEX(VimFrac,0,9*D297+VLOOKUP(D296,PlanetData,3,0)+1),IF(D297,-1,1))-1,9)</f>
        <v>#N/A</v>
      </c>
      <c r="F295" s="296" t="e">
        <f aca="false">MOD(VLOOKUP(E296,PlanetData,3,0)+MATCH(E294,INDEX(VimFrac,0,9*E297+VLOOKUP(E296,PlanetData,3,0)+1),IF(E297,-1,1))-1,9)</f>
        <v>#N/A</v>
      </c>
      <c r="G295" s="296" t="e">
        <f aca="false">MOD(VLOOKUP(F296,PlanetData,3,0)+MATCH(F294,INDEX(VimFrac,0,9*F297+VLOOKUP(F296,PlanetData,3,0)+1),IF(F297,-1,1))-1,9)</f>
        <v>#N/A</v>
      </c>
      <c r="H295" s="296" t="e">
        <f aca="false">MOD(VLOOKUP(G296,PlanetData,3,0)+MATCH(G294,INDEX(VimFrac,0,9*G297+VLOOKUP(G296,PlanetData,3,0)+1),IF(G297,-1,1))-1,9)</f>
        <v>#N/A</v>
      </c>
      <c r="K295" s="6" t="n">
        <f aca="false">K287</f>
        <v>0</v>
      </c>
    </row>
    <row r="296" customFormat="false" ht="15" hidden="false" customHeight="false" outlineLevel="0" collapsed="false">
      <c r="A296" s="294" t="s">
        <v>459</v>
      </c>
      <c r="B296" s="295" t="str">
        <f aca="false">$B$4</f>
        <v>Moon</v>
      </c>
      <c r="C296" s="296" t="e">
        <f aca="false">INDEX(DasaYears,IF(C295=0,9,C295),1)</f>
        <v>#N/A</v>
      </c>
      <c r="D296" s="296" t="e">
        <f aca="false">INDEX(DasaYears,IF(D295=0,9,D295),1)</f>
        <v>#N/A</v>
      </c>
      <c r="E296" s="296" t="e">
        <f aca="false">INDEX(DasaYears,IF(E295=0,9,E295),1)</f>
        <v>#N/A</v>
      </c>
      <c r="F296" s="296" t="e">
        <f aca="false">INDEX(DasaYears,IF(F295=0,9,F295),1)</f>
        <v>#N/A</v>
      </c>
      <c r="G296" s="296" t="e">
        <f aca="false">INDEX(DasaYears,IF(G295=0,9,G295),1)</f>
        <v>#N/A</v>
      </c>
      <c r="H296" s="296" t="e">
        <f aca="false">INDEX(DasaYears,IF(H295=0,9,H295),1)</f>
        <v>#N/A</v>
      </c>
      <c r="I296" s="275" t="n">
        <f aca="true">INDIRECT("'JHora'!$B$"&amp;($K296))</f>
        <v>0</v>
      </c>
      <c r="J296" s="275" t="n">
        <f aca="true">INDIRECT("'JHora'!$C$"&amp;($K296))</f>
        <v>0</v>
      </c>
      <c r="K296" s="6" t="n">
        <f aca="false">K288+1</f>
        <v>36</v>
      </c>
    </row>
    <row r="297" customFormat="false" ht="15" hidden="false" customHeight="false" outlineLevel="0" collapsed="false">
      <c r="A297" s="294" t="s">
        <v>444</v>
      </c>
      <c r="B297" s="295" t="b">
        <f aca="false">$B$7</f>
        <v>1</v>
      </c>
      <c r="C297" s="296" t="e">
        <f aca="false">IF(VLOOKUP(C296,ChartInfo,11,0),1,0)*B297</f>
        <v>#N/A</v>
      </c>
      <c r="D297" s="296" t="e">
        <f aca="false">IF(VLOOKUP(D296,ChartInfo,11,0),1,0)*B297</f>
        <v>#N/A</v>
      </c>
      <c r="E297" s="296" t="e">
        <f aca="false">IF(VLOOKUP(E296,ChartInfo,11,0),1,0)*B297</f>
        <v>#N/A</v>
      </c>
      <c r="F297" s="296" t="e">
        <f aca="false">IF(VLOOKUP(F296,ChartInfo,11,0),1,0)*B297</f>
        <v>#N/A</v>
      </c>
      <c r="G297" s="296" t="e">
        <f aca="false">IF(VLOOKUP(G296,ChartInfo,11,0),1,0)*B297</f>
        <v>#N/A</v>
      </c>
      <c r="H297" s="296" t="e">
        <f aca="false">IF(VLOOKUP(H296,ChartInfo,11,0),1,0)*B297</f>
        <v>#N/A</v>
      </c>
      <c r="I297" s="151"/>
      <c r="K297" s="6" t="n">
        <f aca="false">K289</f>
        <v>0</v>
      </c>
    </row>
    <row r="298" customFormat="false" ht="15" hidden="false" customHeight="false" outlineLevel="0" collapsed="false">
      <c r="K298" s="6" t="n">
        <f aca="false">K290+1</f>
        <v>36</v>
      </c>
    </row>
    <row r="299" customFormat="false" ht="15" hidden="false" customHeight="false" outlineLevel="0" collapsed="false">
      <c r="A299" s="291" t="s">
        <v>454</v>
      </c>
      <c r="B299" s="292" t="n">
        <f aca="false">DoB-$E$6*DaysInYear</f>
        <v>22567.7812953187</v>
      </c>
      <c r="C299" s="293" t="e">
        <f aca="false">B299+B301*INDEX(INDEX(VimFrac,,VLOOKUP(B304,PlanetData,3,0)+1),MATCH(B302,INDEX(VimFrac,,VLOOKUP(B304,PlanetData,3,0)+1),1))</f>
        <v>#N/A</v>
      </c>
      <c r="D299" s="293" t="e">
        <f aca="false">C299+C301*INDEX(INDEX(VimFrac,0,9*C305+VLOOKUP(C304,PlanetData,3,0)+1),IF(C305,1,0)+MATCH(C302,INDEX(VimFrac,0,9*C305+VLOOKUP(C304,PlanetData,3,0)+1),IF(C305,-1,1)))</f>
        <v>#N/A</v>
      </c>
      <c r="E299" s="293" t="e">
        <f aca="false">D299+D301*INDEX(INDEX(VimFrac,0,9*D305+VLOOKUP(D304,PlanetData,3,0)+1),IF(D305,1,0)+MATCH(D302,INDEX(VimFrac,0,9*D305+VLOOKUP(D304,PlanetData,3,0)+1),IF(D305,-1,1)))</f>
        <v>#N/A</v>
      </c>
      <c r="F299" s="293" t="e">
        <f aca="false">E299+E301*INDEX(INDEX(VimFrac,0,9*E305+VLOOKUP(E304,PlanetData,3,0)+1),IF(E305,1,0)+MATCH(E302,INDEX(VimFrac,0,9*E305+VLOOKUP(E304,PlanetData,3,0)+1),IF(E305,-1,1)))</f>
        <v>#N/A</v>
      </c>
      <c r="G299" s="293" t="e">
        <f aca="false">F299+F301*INDEX(INDEX(VimFrac,0,9*F305+VLOOKUP(F304,PlanetData,3,0)+1),IF(F305,1,0)+MATCH(F302,INDEX(VimFrac,0,9*F305+VLOOKUP(F304,PlanetData,3,0)+1),IF(F305,-1,1)))</f>
        <v>#N/A</v>
      </c>
      <c r="H299" s="293" t="e">
        <f aca="false">G299+G301*INDEX(INDEX(VimFrac,0,9*G305+VLOOKUP(G304,PlanetData,3,0)+1),IF(G305,1,0)+MATCH(G302,INDEX(VimFrac,0,9*G305+VLOOKUP(G304,PlanetData,3,0)+1),IF(G305,-1,1)))</f>
        <v>#N/A</v>
      </c>
      <c r="J299" s="273" t="n">
        <f aca="false">J304</f>
        <v>0</v>
      </c>
      <c r="K299" s="6" t="n">
        <f aca="false">K291+1</f>
        <v>37</v>
      </c>
    </row>
    <row r="300" customFormat="false" ht="15" hidden="false" customHeight="false" outlineLevel="0" collapsed="false">
      <c r="A300" s="291" t="s">
        <v>455</v>
      </c>
      <c r="B300" s="292" t="n">
        <f aca="false">B299+B301</f>
        <v>66398.3660175406</v>
      </c>
      <c r="C300" s="293" t="e">
        <f aca="false">B299+B301*INDEX(INDEX(VimFrac,,VLOOKUP(B304,PlanetData,3,0)+1),MATCH(B302,INDEX(VimFrac,,VLOOKUP(B304,PlanetData,3,0)+1),1)+1)</f>
        <v>#N/A</v>
      </c>
      <c r="D300" s="293" t="e">
        <f aca="false">C299+C301*INDEX(INDEX(VimFrac,0,9*C305+VLOOKUP(C304,PlanetData,3,0)+1),IF(C305,0,1)+MATCH(C302,INDEX(VimFrac,0,9*C305+VLOOKUP(C304,PlanetData,3,0)+1),IF(C305,-1,1)))</f>
        <v>#N/A</v>
      </c>
      <c r="E300" s="293" t="e">
        <f aca="false">D299+D301*INDEX(INDEX(VimFrac,0,9*D305+VLOOKUP(D304,PlanetData,3,0)+1),IF(D305,0,1)+MATCH(D302,INDEX(VimFrac,0,9*D305+VLOOKUP(D304,PlanetData,3,0)+1),IF(D305,-1,1)))</f>
        <v>#N/A</v>
      </c>
      <c r="F300" s="293" t="e">
        <f aca="false">E299+E301*INDEX(INDEX(VimFrac,0,9*E305+VLOOKUP(E304,PlanetData,3,0)+1),IF(E305,0,1)+MATCH(E302,INDEX(VimFrac,0,9*E305+VLOOKUP(E304,PlanetData,3,0)+1),IF(E305,-1,1)))</f>
        <v>#N/A</v>
      </c>
      <c r="G300" s="293" t="e">
        <f aca="false">F299+F301*INDEX(INDEX(VimFrac,0,9*F305+VLOOKUP(F304,PlanetData,3,0)+1),IF(F305,0,1)+MATCH(F302,INDEX(VimFrac,0,9*F305+VLOOKUP(F304,PlanetData,3,0)+1),IF(F305,-1,1)))</f>
        <v>#N/A</v>
      </c>
      <c r="H300" s="293" t="e">
        <f aca="false">G299+G301*INDEX(INDEX(VimFrac,0,9*G305+VLOOKUP(G304,PlanetData,3,0)+1),IF(G305,0,1)+MATCH(G302,INDEX(VimFrac,0,9*G305+VLOOKUP(G304,PlanetData,3,0)+1),IF(G305,-1,1)))</f>
        <v>#N/A</v>
      </c>
      <c r="J300" s="273" t="n">
        <f aca="false">J304</f>
        <v>0</v>
      </c>
      <c r="K300" s="6" t="n">
        <f aca="false">K292+1</f>
        <v>37</v>
      </c>
    </row>
    <row r="301" customFormat="false" ht="15" hidden="false" customHeight="false" outlineLevel="0" collapsed="false">
      <c r="A301" s="294" t="s">
        <v>456</v>
      </c>
      <c r="B301" s="295" t="n">
        <f aca="false">120*DaysInYear</f>
        <v>43830.5847222218</v>
      </c>
      <c r="C301" s="296" t="e">
        <f aca="false">C300-C299</f>
        <v>#N/A</v>
      </c>
      <c r="D301" s="296" t="e">
        <f aca="false">D300-D299</f>
        <v>#N/A</v>
      </c>
      <c r="E301" s="296" t="e">
        <f aca="false">E300-E299</f>
        <v>#N/A</v>
      </c>
      <c r="F301" s="296" t="e">
        <f aca="false">F300-F299</f>
        <v>#N/A</v>
      </c>
      <c r="G301" s="296" t="e">
        <f aca="false">G300-G299</f>
        <v>#N/A</v>
      </c>
      <c r="H301" s="296" t="e">
        <f aca="false">H300-H299</f>
        <v>#N/A</v>
      </c>
      <c r="K301" s="6" t="n">
        <f aca="false">K293</f>
        <v>0</v>
      </c>
    </row>
    <row r="302" customFormat="false" ht="15" hidden="false" customHeight="false" outlineLevel="0" collapsed="false">
      <c r="A302" s="294" t="s">
        <v>457</v>
      </c>
      <c r="B302" s="297" t="n">
        <f aca="false">(I304-B299)/(B300-B299)</f>
        <v>-0.51488661258669</v>
      </c>
      <c r="C302" s="298" t="e">
        <f aca="false">(I304-C299)/(C300-C299)</f>
        <v>#N/A</v>
      </c>
      <c r="D302" s="298" t="e">
        <f aca="false">(I304-D299)/(D300-D299)</f>
        <v>#N/A</v>
      </c>
      <c r="E302" s="298" t="e">
        <f aca="false">(I304-E299)/(E300-E299)</f>
        <v>#N/A</v>
      </c>
      <c r="F302" s="298" t="e">
        <f aca="false">(I304-F299)/(F300-F299)</f>
        <v>#N/A</v>
      </c>
      <c r="G302" s="298" t="e">
        <f aca="false">(I304-G299)/(G300-G299)</f>
        <v>#N/A</v>
      </c>
      <c r="H302" s="298" t="e">
        <f aca="false">(I304-H299)/(H300-H299)</f>
        <v>#N/A</v>
      </c>
      <c r="K302" s="6" t="n">
        <f aca="false">K294</f>
        <v>0</v>
      </c>
    </row>
    <row r="303" customFormat="false" ht="15" hidden="false" customHeight="false" outlineLevel="0" collapsed="false">
      <c r="A303" s="294" t="s">
        <v>458</v>
      </c>
      <c r="B303" s="295"/>
      <c r="C303" s="296" t="e">
        <f aca="false">MOD(VLOOKUP(B304,PlanetData,3,0)+MATCH(B302,INDEX(VimFrac,,VLOOKUP(B304,PlanetData,3,0)+1),1)-1,9)</f>
        <v>#N/A</v>
      </c>
      <c r="D303" s="296" t="e">
        <f aca="false">MOD(VLOOKUP(C304,PlanetData,3,0)+MATCH(C302,INDEX(VimFrac,0,9*C305+VLOOKUP(C304,PlanetData,3,0)+1),IF(C305,-1,1))-1,9)</f>
        <v>#N/A</v>
      </c>
      <c r="E303" s="296" t="e">
        <f aca="false">MOD(VLOOKUP(D304,PlanetData,3,0)+MATCH(D302,INDEX(VimFrac,0,9*D305+VLOOKUP(D304,PlanetData,3,0)+1),IF(D305,-1,1))-1,9)</f>
        <v>#N/A</v>
      </c>
      <c r="F303" s="296" t="e">
        <f aca="false">MOD(VLOOKUP(E304,PlanetData,3,0)+MATCH(E302,INDEX(VimFrac,0,9*E305+VLOOKUP(E304,PlanetData,3,0)+1),IF(E305,-1,1))-1,9)</f>
        <v>#N/A</v>
      </c>
      <c r="G303" s="296" t="e">
        <f aca="false">MOD(VLOOKUP(F304,PlanetData,3,0)+MATCH(F302,INDEX(VimFrac,0,9*F305+VLOOKUP(F304,PlanetData,3,0)+1),IF(F305,-1,1))-1,9)</f>
        <v>#N/A</v>
      </c>
      <c r="H303" s="296" t="e">
        <f aca="false">MOD(VLOOKUP(G304,PlanetData,3,0)+MATCH(G302,INDEX(VimFrac,0,9*G305+VLOOKUP(G304,PlanetData,3,0)+1),IF(G305,-1,1))-1,9)</f>
        <v>#N/A</v>
      </c>
      <c r="K303" s="6" t="n">
        <f aca="false">K295</f>
        <v>0</v>
      </c>
    </row>
    <row r="304" customFormat="false" ht="15" hidden="false" customHeight="false" outlineLevel="0" collapsed="false">
      <c r="A304" s="294" t="s">
        <v>459</v>
      </c>
      <c r="B304" s="295" t="str">
        <f aca="false">$B$4</f>
        <v>Moon</v>
      </c>
      <c r="C304" s="296" t="e">
        <f aca="false">INDEX(DasaYears,IF(C303=0,9,C303),1)</f>
        <v>#N/A</v>
      </c>
      <c r="D304" s="296" t="e">
        <f aca="false">INDEX(DasaYears,IF(D303=0,9,D303),1)</f>
        <v>#N/A</v>
      </c>
      <c r="E304" s="296" t="e">
        <f aca="false">INDEX(DasaYears,IF(E303=0,9,E303),1)</f>
        <v>#N/A</v>
      </c>
      <c r="F304" s="296" t="e">
        <f aca="false">INDEX(DasaYears,IF(F303=0,9,F303),1)</f>
        <v>#N/A</v>
      </c>
      <c r="G304" s="296" t="e">
        <f aca="false">INDEX(DasaYears,IF(G303=0,9,G303),1)</f>
        <v>#N/A</v>
      </c>
      <c r="H304" s="296" t="e">
        <f aca="false">INDEX(DasaYears,IF(H303=0,9,H303),1)</f>
        <v>#N/A</v>
      </c>
      <c r="I304" s="275" t="n">
        <f aca="true">INDIRECT("'JHora'!$B$"&amp;($K304))</f>
        <v>0</v>
      </c>
      <c r="J304" s="275" t="n">
        <f aca="true">INDIRECT("'JHora'!$C$"&amp;($K304))</f>
        <v>0</v>
      </c>
      <c r="K304" s="6" t="n">
        <f aca="false">K296+1</f>
        <v>37</v>
      </c>
    </row>
    <row r="305" customFormat="false" ht="15" hidden="false" customHeight="false" outlineLevel="0" collapsed="false">
      <c r="A305" s="294" t="s">
        <v>444</v>
      </c>
      <c r="B305" s="295" t="b">
        <f aca="false">$B$7</f>
        <v>1</v>
      </c>
      <c r="C305" s="296" t="e">
        <f aca="false">IF(VLOOKUP(C304,ChartInfo,11,0),1,0)*B305</f>
        <v>#N/A</v>
      </c>
      <c r="D305" s="296" t="e">
        <f aca="false">IF(VLOOKUP(D304,ChartInfo,11,0),1,0)*B305</f>
        <v>#N/A</v>
      </c>
      <c r="E305" s="296" t="e">
        <f aca="false">IF(VLOOKUP(E304,ChartInfo,11,0),1,0)*B305</f>
        <v>#N/A</v>
      </c>
      <c r="F305" s="296" t="e">
        <f aca="false">IF(VLOOKUP(F304,ChartInfo,11,0),1,0)*B305</f>
        <v>#N/A</v>
      </c>
      <c r="G305" s="296" t="e">
        <f aca="false">IF(VLOOKUP(G304,ChartInfo,11,0),1,0)*B305</f>
        <v>#N/A</v>
      </c>
      <c r="H305" s="296" t="e">
        <f aca="false">IF(VLOOKUP(H304,ChartInfo,11,0),1,0)*B305</f>
        <v>#N/A</v>
      </c>
      <c r="I305" s="151"/>
      <c r="K305" s="6" t="n">
        <f aca="false">K297</f>
        <v>0</v>
      </c>
    </row>
    <row r="306" customFormat="false" ht="15" hidden="false" customHeight="false" outlineLevel="0" collapsed="false">
      <c r="K306" s="6" t="n">
        <f aca="false">K298+1</f>
        <v>37</v>
      </c>
    </row>
    <row r="307" customFormat="false" ht="15" hidden="false" customHeight="false" outlineLevel="0" collapsed="false">
      <c r="A307" s="291" t="s">
        <v>454</v>
      </c>
      <c r="B307" s="292" t="n">
        <f aca="false">DoB-$E$6*DaysInYear</f>
        <v>22567.7812953187</v>
      </c>
      <c r="C307" s="293" t="e">
        <f aca="false">B307+B309*INDEX(INDEX(VimFrac,,VLOOKUP(B312,PlanetData,3,0)+1),MATCH(B310,INDEX(VimFrac,,VLOOKUP(B312,PlanetData,3,0)+1),1))</f>
        <v>#N/A</v>
      </c>
      <c r="D307" s="293" t="e">
        <f aca="false">C307+C309*INDEX(INDEX(VimFrac,0,9*C313+VLOOKUP(C312,PlanetData,3,0)+1),IF(C313,1,0)+MATCH(C310,INDEX(VimFrac,0,9*C313+VLOOKUP(C312,PlanetData,3,0)+1),IF(C313,-1,1)))</f>
        <v>#N/A</v>
      </c>
      <c r="E307" s="293" t="e">
        <f aca="false">D307+D309*INDEX(INDEX(VimFrac,0,9*D313+VLOOKUP(D312,PlanetData,3,0)+1),IF(D313,1,0)+MATCH(D310,INDEX(VimFrac,0,9*D313+VLOOKUP(D312,PlanetData,3,0)+1),IF(D313,-1,1)))</f>
        <v>#N/A</v>
      </c>
      <c r="F307" s="293" t="e">
        <f aca="false">E307+E309*INDEX(INDEX(VimFrac,0,9*E313+VLOOKUP(E312,PlanetData,3,0)+1),IF(E313,1,0)+MATCH(E310,INDEX(VimFrac,0,9*E313+VLOOKUP(E312,PlanetData,3,0)+1),IF(E313,-1,1)))</f>
        <v>#N/A</v>
      </c>
      <c r="G307" s="293" t="e">
        <f aca="false">F307+F309*INDEX(INDEX(VimFrac,0,9*F313+VLOOKUP(F312,PlanetData,3,0)+1),IF(F313,1,0)+MATCH(F310,INDEX(VimFrac,0,9*F313+VLOOKUP(F312,PlanetData,3,0)+1),IF(F313,-1,1)))</f>
        <v>#N/A</v>
      </c>
      <c r="H307" s="293" t="e">
        <f aca="false">G307+G309*INDEX(INDEX(VimFrac,0,9*G313+VLOOKUP(G312,PlanetData,3,0)+1),IF(G313,1,0)+MATCH(G310,INDEX(VimFrac,0,9*G313+VLOOKUP(G312,PlanetData,3,0)+1),IF(G313,-1,1)))</f>
        <v>#N/A</v>
      </c>
      <c r="J307" s="273" t="n">
        <f aca="false">J312</f>
        <v>0</v>
      </c>
      <c r="K307" s="6" t="n">
        <f aca="false">K299+1</f>
        <v>38</v>
      </c>
    </row>
    <row r="308" customFormat="false" ht="15" hidden="false" customHeight="false" outlineLevel="0" collapsed="false">
      <c r="A308" s="291" t="s">
        <v>455</v>
      </c>
      <c r="B308" s="292" t="n">
        <f aca="false">B307+B309</f>
        <v>66398.3660175406</v>
      </c>
      <c r="C308" s="293" t="e">
        <f aca="false">B307+B309*INDEX(INDEX(VimFrac,,VLOOKUP(B312,PlanetData,3,0)+1),MATCH(B310,INDEX(VimFrac,,VLOOKUP(B312,PlanetData,3,0)+1),1)+1)</f>
        <v>#N/A</v>
      </c>
      <c r="D308" s="293" t="e">
        <f aca="false">C307+C309*INDEX(INDEX(VimFrac,0,9*C313+VLOOKUP(C312,PlanetData,3,0)+1),IF(C313,0,1)+MATCH(C310,INDEX(VimFrac,0,9*C313+VLOOKUP(C312,PlanetData,3,0)+1),IF(C313,-1,1)))</f>
        <v>#N/A</v>
      </c>
      <c r="E308" s="293" t="e">
        <f aca="false">D307+D309*INDEX(INDEX(VimFrac,0,9*D313+VLOOKUP(D312,PlanetData,3,0)+1),IF(D313,0,1)+MATCH(D310,INDEX(VimFrac,0,9*D313+VLOOKUP(D312,PlanetData,3,0)+1),IF(D313,-1,1)))</f>
        <v>#N/A</v>
      </c>
      <c r="F308" s="293" t="e">
        <f aca="false">E307+E309*INDEX(INDEX(VimFrac,0,9*E313+VLOOKUP(E312,PlanetData,3,0)+1),IF(E313,0,1)+MATCH(E310,INDEX(VimFrac,0,9*E313+VLOOKUP(E312,PlanetData,3,0)+1),IF(E313,-1,1)))</f>
        <v>#N/A</v>
      </c>
      <c r="G308" s="293" t="e">
        <f aca="false">F307+F309*INDEX(INDEX(VimFrac,0,9*F313+VLOOKUP(F312,PlanetData,3,0)+1),IF(F313,0,1)+MATCH(F310,INDEX(VimFrac,0,9*F313+VLOOKUP(F312,PlanetData,3,0)+1),IF(F313,-1,1)))</f>
        <v>#N/A</v>
      </c>
      <c r="H308" s="293" t="e">
        <f aca="false">G307+G309*INDEX(INDEX(VimFrac,0,9*G313+VLOOKUP(G312,PlanetData,3,0)+1),IF(G313,0,1)+MATCH(G310,INDEX(VimFrac,0,9*G313+VLOOKUP(G312,PlanetData,3,0)+1),IF(G313,-1,1)))</f>
        <v>#N/A</v>
      </c>
      <c r="J308" s="273" t="n">
        <f aca="false">J312</f>
        <v>0</v>
      </c>
      <c r="K308" s="6" t="n">
        <f aca="false">K300+1</f>
        <v>38</v>
      </c>
    </row>
    <row r="309" customFormat="false" ht="15" hidden="false" customHeight="false" outlineLevel="0" collapsed="false">
      <c r="A309" s="294" t="s">
        <v>456</v>
      </c>
      <c r="B309" s="295" t="n">
        <f aca="false">120*DaysInYear</f>
        <v>43830.5847222218</v>
      </c>
      <c r="C309" s="296" t="e">
        <f aca="false">C308-C307</f>
        <v>#N/A</v>
      </c>
      <c r="D309" s="296" t="e">
        <f aca="false">D308-D307</f>
        <v>#N/A</v>
      </c>
      <c r="E309" s="296" t="e">
        <f aca="false">E308-E307</f>
        <v>#N/A</v>
      </c>
      <c r="F309" s="296" t="e">
        <f aca="false">F308-F307</f>
        <v>#N/A</v>
      </c>
      <c r="G309" s="296" t="e">
        <f aca="false">G308-G307</f>
        <v>#N/A</v>
      </c>
      <c r="H309" s="296" t="e">
        <f aca="false">H308-H307</f>
        <v>#N/A</v>
      </c>
      <c r="K309" s="6" t="n">
        <f aca="false">K301</f>
        <v>0</v>
      </c>
    </row>
    <row r="310" customFormat="false" ht="15" hidden="false" customHeight="false" outlineLevel="0" collapsed="false">
      <c r="A310" s="294" t="s">
        <v>457</v>
      </c>
      <c r="B310" s="297" t="n">
        <f aca="false">(I312-B307)/(B308-B307)</f>
        <v>-0.51488661258669</v>
      </c>
      <c r="C310" s="298" t="e">
        <f aca="false">(I312-C307)/(C308-C307)</f>
        <v>#N/A</v>
      </c>
      <c r="D310" s="298" t="e">
        <f aca="false">(I312-D307)/(D308-D307)</f>
        <v>#N/A</v>
      </c>
      <c r="E310" s="298" t="e">
        <f aca="false">(I312-E307)/(E308-E307)</f>
        <v>#N/A</v>
      </c>
      <c r="F310" s="298" t="e">
        <f aca="false">(I312-F307)/(F308-F307)</f>
        <v>#N/A</v>
      </c>
      <c r="G310" s="298" t="e">
        <f aca="false">(I312-G307)/(G308-G307)</f>
        <v>#N/A</v>
      </c>
      <c r="H310" s="298" t="e">
        <f aca="false">(I312-H307)/(H308-H307)</f>
        <v>#N/A</v>
      </c>
      <c r="K310" s="6" t="n">
        <f aca="false">K302</f>
        <v>0</v>
      </c>
    </row>
    <row r="311" customFormat="false" ht="15" hidden="false" customHeight="false" outlineLevel="0" collapsed="false">
      <c r="A311" s="294" t="s">
        <v>458</v>
      </c>
      <c r="B311" s="295"/>
      <c r="C311" s="296" t="e">
        <f aca="false">MOD(VLOOKUP(B312,PlanetData,3,0)+MATCH(B310,INDEX(VimFrac,,VLOOKUP(B312,PlanetData,3,0)+1),1)-1,9)</f>
        <v>#N/A</v>
      </c>
      <c r="D311" s="296" t="e">
        <f aca="false">MOD(VLOOKUP(C312,PlanetData,3,0)+MATCH(C310,INDEX(VimFrac,0,9*C313+VLOOKUP(C312,PlanetData,3,0)+1),IF(C313,-1,1))-1,9)</f>
        <v>#N/A</v>
      </c>
      <c r="E311" s="296" t="e">
        <f aca="false">MOD(VLOOKUP(D312,PlanetData,3,0)+MATCH(D310,INDEX(VimFrac,0,9*D313+VLOOKUP(D312,PlanetData,3,0)+1),IF(D313,-1,1))-1,9)</f>
        <v>#N/A</v>
      </c>
      <c r="F311" s="296" t="e">
        <f aca="false">MOD(VLOOKUP(E312,PlanetData,3,0)+MATCH(E310,INDEX(VimFrac,0,9*E313+VLOOKUP(E312,PlanetData,3,0)+1),IF(E313,-1,1))-1,9)</f>
        <v>#N/A</v>
      </c>
      <c r="G311" s="296" t="e">
        <f aca="false">MOD(VLOOKUP(F312,PlanetData,3,0)+MATCH(F310,INDEX(VimFrac,0,9*F313+VLOOKUP(F312,PlanetData,3,0)+1),IF(F313,-1,1))-1,9)</f>
        <v>#N/A</v>
      </c>
      <c r="H311" s="296" t="e">
        <f aca="false">MOD(VLOOKUP(G312,PlanetData,3,0)+MATCH(G310,INDEX(VimFrac,0,9*G313+VLOOKUP(G312,PlanetData,3,0)+1),IF(G313,-1,1))-1,9)</f>
        <v>#N/A</v>
      </c>
      <c r="K311" s="6" t="n">
        <f aca="false">K303</f>
        <v>0</v>
      </c>
    </row>
    <row r="312" customFormat="false" ht="15" hidden="false" customHeight="false" outlineLevel="0" collapsed="false">
      <c r="A312" s="294" t="s">
        <v>459</v>
      </c>
      <c r="B312" s="295" t="str">
        <f aca="false">$B$4</f>
        <v>Moon</v>
      </c>
      <c r="C312" s="296" t="e">
        <f aca="false">INDEX(DasaYears,IF(C311=0,9,C311),1)</f>
        <v>#N/A</v>
      </c>
      <c r="D312" s="296" t="e">
        <f aca="false">INDEX(DasaYears,IF(D311=0,9,D311),1)</f>
        <v>#N/A</v>
      </c>
      <c r="E312" s="296" t="e">
        <f aca="false">INDEX(DasaYears,IF(E311=0,9,E311),1)</f>
        <v>#N/A</v>
      </c>
      <c r="F312" s="296" t="e">
        <f aca="false">INDEX(DasaYears,IF(F311=0,9,F311),1)</f>
        <v>#N/A</v>
      </c>
      <c r="G312" s="296" t="e">
        <f aca="false">INDEX(DasaYears,IF(G311=0,9,G311),1)</f>
        <v>#N/A</v>
      </c>
      <c r="H312" s="296" t="e">
        <f aca="false">INDEX(DasaYears,IF(H311=0,9,H311),1)</f>
        <v>#N/A</v>
      </c>
      <c r="I312" s="275" t="n">
        <f aca="true">INDIRECT("'JHora'!$B$"&amp;($K312))</f>
        <v>0</v>
      </c>
      <c r="J312" s="275" t="n">
        <f aca="true">INDIRECT("'JHora'!$C$"&amp;($K312))</f>
        <v>0</v>
      </c>
      <c r="K312" s="6" t="n">
        <f aca="false">K304+1</f>
        <v>38</v>
      </c>
    </row>
    <row r="313" customFormat="false" ht="15" hidden="false" customHeight="false" outlineLevel="0" collapsed="false">
      <c r="A313" s="294" t="s">
        <v>444</v>
      </c>
      <c r="B313" s="295" t="b">
        <f aca="false">$B$7</f>
        <v>1</v>
      </c>
      <c r="C313" s="296" t="e">
        <f aca="false">IF(VLOOKUP(C312,ChartInfo,11,0),1,0)*B313</f>
        <v>#N/A</v>
      </c>
      <c r="D313" s="296" t="e">
        <f aca="false">IF(VLOOKUP(D312,ChartInfo,11,0),1,0)*B313</f>
        <v>#N/A</v>
      </c>
      <c r="E313" s="296" t="e">
        <f aca="false">IF(VLOOKUP(E312,ChartInfo,11,0),1,0)*B313</f>
        <v>#N/A</v>
      </c>
      <c r="F313" s="296" t="e">
        <f aca="false">IF(VLOOKUP(F312,ChartInfo,11,0),1,0)*B313</f>
        <v>#N/A</v>
      </c>
      <c r="G313" s="296" t="e">
        <f aca="false">IF(VLOOKUP(G312,ChartInfo,11,0),1,0)*B313</f>
        <v>#N/A</v>
      </c>
      <c r="H313" s="296" t="e">
        <f aca="false">IF(VLOOKUP(H312,ChartInfo,11,0),1,0)*B313</f>
        <v>#N/A</v>
      </c>
      <c r="I313" s="151"/>
      <c r="K313" s="6" t="n">
        <f aca="false">K305</f>
        <v>0</v>
      </c>
    </row>
    <row r="314" customFormat="false" ht="15" hidden="false" customHeight="false" outlineLevel="0" collapsed="false">
      <c r="K314" s="6" t="n">
        <f aca="false">K306+1</f>
        <v>38</v>
      </c>
    </row>
    <row r="315" customFormat="false" ht="15" hidden="false" customHeight="false" outlineLevel="0" collapsed="false">
      <c r="A315" s="291" t="s">
        <v>454</v>
      </c>
      <c r="B315" s="292" t="n">
        <f aca="false">DoB-$E$6*DaysInYear</f>
        <v>22567.7812953187</v>
      </c>
      <c r="C315" s="293" t="e">
        <f aca="false">B315+B317*INDEX(INDEX(VimFrac,,VLOOKUP(B320,PlanetData,3,0)+1),MATCH(B318,INDEX(VimFrac,,VLOOKUP(B320,PlanetData,3,0)+1),1))</f>
        <v>#N/A</v>
      </c>
      <c r="D315" s="293" t="e">
        <f aca="false">C315+C317*INDEX(INDEX(VimFrac,0,9*C321+VLOOKUP(C320,PlanetData,3,0)+1),IF(C321,1,0)+MATCH(C318,INDEX(VimFrac,0,9*C321+VLOOKUP(C320,PlanetData,3,0)+1),IF(C321,-1,1)))</f>
        <v>#N/A</v>
      </c>
      <c r="E315" s="293" t="e">
        <f aca="false">D315+D317*INDEX(INDEX(VimFrac,0,9*D321+VLOOKUP(D320,PlanetData,3,0)+1),IF(D321,1,0)+MATCH(D318,INDEX(VimFrac,0,9*D321+VLOOKUP(D320,PlanetData,3,0)+1),IF(D321,-1,1)))</f>
        <v>#N/A</v>
      </c>
      <c r="F315" s="293" t="e">
        <f aca="false">E315+E317*INDEX(INDEX(VimFrac,0,9*E321+VLOOKUP(E320,PlanetData,3,0)+1),IF(E321,1,0)+MATCH(E318,INDEX(VimFrac,0,9*E321+VLOOKUP(E320,PlanetData,3,0)+1),IF(E321,-1,1)))</f>
        <v>#N/A</v>
      </c>
      <c r="G315" s="293" t="e">
        <f aca="false">F315+F317*INDEX(INDEX(VimFrac,0,9*F321+VLOOKUP(F320,PlanetData,3,0)+1),IF(F321,1,0)+MATCH(F318,INDEX(VimFrac,0,9*F321+VLOOKUP(F320,PlanetData,3,0)+1),IF(F321,-1,1)))</f>
        <v>#N/A</v>
      </c>
      <c r="H315" s="293" t="e">
        <f aca="false">G315+G317*INDEX(INDEX(VimFrac,0,9*G321+VLOOKUP(G320,PlanetData,3,0)+1),IF(G321,1,0)+MATCH(G318,INDEX(VimFrac,0,9*G321+VLOOKUP(G320,PlanetData,3,0)+1),IF(G321,-1,1)))</f>
        <v>#N/A</v>
      </c>
      <c r="J315" s="273" t="n">
        <f aca="false">J320</f>
        <v>0</v>
      </c>
      <c r="K315" s="6" t="n">
        <f aca="false">K307+1</f>
        <v>39</v>
      </c>
    </row>
    <row r="316" customFormat="false" ht="15" hidden="false" customHeight="false" outlineLevel="0" collapsed="false">
      <c r="A316" s="291" t="s">
        <v>455</v>
      </c>
      <c r="B316" s="292" t="n">
        <f aca="false">B315+B317</f>
        <v>66398.3660175406</v>
      </c>
      <c r="C316" s="293" t="e">
        <f aca="false">B315+B317*INDEX(INDEX(VimFrac,,VLOOKUP(B320,PlanetData,3,0)+1),MATCH(B318,INDEX(VimFrac,,VLOOKUP(B320,PlanetData,3,0)+1),1)+1)</f>
        <v>#N/A</v>
      </c>
      <c r="D316" s="293" t="e">
        <f aca="false">C315+C317*INDEX(INDEX(VimFrac,0,9*C321+VLOOKUP(C320,PlanetData,3,0)+1),IF(C321,0,1)+MATCH(C318,INDEX(VimFrac,0,9*C321+VLOOKUP(C320,PlanetData,3,0)+1),IF(C321,-1,1)))</f>
        <v>#N/A</v>
      </c>
      <c r="E316" s="293" t="e">
        <f aca="false">D315+D317*INDEX(INDEX(VimFrac,0,9*D321+VLOOKUP(D320,PlanetData,3,0)+1),IF(D321,0,1)+MATCH(D318,INDEX(VimFrac,0,9*D321+VLOOKUP(D320,PlanetData,3,0)+1),IF(D321,-1,1)))</f>
        <v>#N/A</v>
      </c>
      <c r="F316" s="293" t="e">
        <f aca="false">E315+E317*INDEX(INDEX(VimFrac,0,9*E321+VLOOKUP(E320,PlanetData,3,0)+1),IF(E321,0,1)+MATCH(E318,INDEX(VimFrac,0,9*E321+VLOOKUP(E320,PlanetData,3,0)+1),IF(E321,-1,1)))</f>
        <v>#N/A</v>
      </c>
      <c r="G316" s="293" t="e">
        <f aca="false">F315+F317*INDEX(INDEX(VimFrac,0,9*F321+VLOOKUP(F320,PlanetData,3,0)+1),IF(F321,0,1)+MATCH(F318,INDEX(VimFrac,0,9*F321+VLOOKUP(F320,PlanetData,3,0)+1),IF(F321,-1,1)))</f>
        <v>#N/A</v>
      </c>
      <c r="H316" s="293" t="e">
        <f aca="false">G315+G317*INDEX(INDEX(VimFrac,0,9*G321+VLOOKUP(G320,PlanetData,3,0)+1),IF(G321,0,1)+MATCH(G318,INDEX(VimFrac,0,9*G321+VLOOKUP(G320,PlanetData,3,0)+1),IF(G321,-1,1)))</f>
        <v>#N/A</v>
      </c>
      <c r="J316" s="273" t="n">
        <f aca="false">J320</f>
        <v>0</v>
      </c>
      <c r="K316" s="6" t="n">
        <f aca="false">K308+1</f>
        <v>39</v>
      </c>
    </row>
    <row r="317" customFormat="false" ht="15" hidden="false" customHeight="false" outlineLevel="0" collapsed="false">
      <c r="A317" s="294" t="s">
        <v>456</v>
      </c>
      <c r="B317" s="295" t="n">
        <f aca="false">120*DaysInYear</f>
        <v>43830.5847222218</v>
      </c>
      <c r="C317" s="296" t="e">
        <f aca="false">C316-C315</f>
        <v>#N/A</v>
      </c>
      <c r="D317" s="296" t="e">
        <f aca="false">D316-D315</f>
        <v>#N/A</v>
      </c>
      <c r="E317" s="296" t="e">
        <f aca="false">E316-E315</f>
        <v>#N/A</v>
      </c>
      <c r="F317" s="296" t="e">
        <f aca="false">F316-F315</f>
        <v>#N/A</v>
      </c>
      <c r="G317" s="296" t="e">
        <f aca="false">G316-G315</f>
        <v>#N/A</v>
      </c>
      <c r="H317" s="296" t="e">
        <f aca="false">H316-H315</f>
        <v>#N/A</v>
      </c>
      <c r="K317" s="6" t="n">
        <f aca="false">K309</f>
        <v>0</v>
      </c>
    </row>
    <row r="318" customFormat="false" ht="15" hidden="false" customHeight="false" outlineLevel="0" collapsed="false">
      <c r="A318" s="294" t="s">
        <v>457</v>
      </c>
      <c r="B318" s="297" t="n">
        <f aca="false">(I320-B315)/(B316-B315)</f>
        <v>-0.51488661258669</v>
      </c>
      <c r="C318" s="298" t="e">
        <f aca="false">(I320-C315)/(C316-C315)</f>
        <v>#N/A</v>
      </c>
      <c r="D318" s="298" t="e">
        <f aca="false">(I320-D315)/(D316-D315)</f>
        <v>#N/A</v>
      </c>
      <c r="E318" s="298" t="e">
        <f aca="false">(I320-E315)/(E316-E315)</f>
        <v>#N/A</v>
      </c>
      <c r="F318" s="298" t="e">
        <f aca="false">(I320-F315)/(F316-F315)</f>
        <v>#N/A</v>
      </c>
      <c r="G318" s="298" t="e">
        <f aca="false">(I320-G315)/(G316-G315)</f>
        <v>#N/A</v>
      </c>
      <c r="H318" s="298" t="e">
        <f aca="false">(I320-H315)/(H316-H315)</f>
        <v>#N/A</v>
      </c>
      <c r="K318" s="6" t="n">
        <f aca="false">K310</f>
        <v>0</v>
      </c>
    </row>
    <row r="319" customFormat="false" ht="15" hidden="false" customHeight="false" outlineLevel="0" collapsed="false">
      <c r="A319" s="294" t="s">
        <v>458</v>
      </c>
      <c r="B319" s="295"/>
      <c r="C319" s="296" t="e">
        <f aca="false">MOD(VLOOKUP(B320,PlanetData,3,0)+MATCH(B318,INDEX(VimFrac,,VLOOKUP(B320,PlanetData,3,0)+1),1)-1,9)</f>
        <v>#N/A</v>
      </c>
      <c r="D319" s="296" t="e">
        <f aca="false">MOD(VLOOKUP(C320,PlanetData,3,0)+MATCH(C318,INDEX(VimFrac,0,9*C321+VLOOKUP(C320,PlanetData,3,0)+1),IF(C321,-1,1))-1,9)</f>
        <v>#N/A</v>
      </c>
      <c r="E319" s="296" t="e">
        <f aca="false">MOD(VLOOKUP(D320,PlanetData,3,0)+MATCH(D318,INDEX(VimFrac,0,9*D321+VLOOKUP(D320,PlanetData,3,0)+1),IF(D321,-1,1))-1,9)</f>
        <v>#N/A</v>
      </c>
      <c r="F319" s="296" t="e">
        <f aca="false">MOD(VLOOKUP(E320,PlanetData,3,0)+MATCH(E318,INDEX(VimFrac,0,9*E321+VLOOKUP(E320,PlanetData,3,0)+1),IF(E321,-1,1))-1,9)</f>
        <v>#N/A</v>
      </c>
      <c r="G319" s="296" t="e">
        <f aca="false">MOD(VLOOKUP(F320,PlanetData,3,0)+MATCH(F318,INDEX(VimFrac,0,9*F321+VLOOKUP(F320,PlanetData,3,0)+1),IF(F321,-1,1))-1,9)</f>
        <v>#N/A</v>
      </c>
      <c r="H319" s="296" t="e">
        <f aca="false">MOD(VLOOKUP(G320,PlanetData,3,0)+MATCH(G318,INDEX(VimFrac,0,9*G321+VLOOKUP(G320,PlanetData,3,0)+1),IF(G321,-1,1))-1,9)</f>
        <v>#N/A</v>
      </c>
      <c r="K319" s="6" t="n">
        <f aca="false">K311</f>
        <v>0</v>
      </c>
    </row>
    <row r="320" customFormat="false" ht="15" hidden="false" customHeight="false" outlineLevel="0" collapsed="false">
      <c r="A320" s="294" t="s">
        <v>459</v>
      </c>
      <c r="B320" s="295" t="str">
        <f aca="false">$B$4</f>
        <v>Moon</v>
      </c>
      <c r="C320" s="296" t="e">
        <f aca="false">INDEX(DasaYears,IF(C319=0,9,C319),1)</f>
        <v>#N/A</v>
      </c>
      <c r="D320" s="296" t="e">
        <f aca="false">INDEX(DasaYears,IF(D319=0,9,D319),1)</f>
        <v>#N/A</v>
      </c>
      <c r="E320" s="296" t="e">
        <f aca="false">INDEX(DasaYears,IF(E319=0,9,E319),1)</f>
        <v>#N/A</v>
      </c>
      <c r="F320" s="296" t="e">
        <f aca="false">INDEX(DasaYears,IF(F319=0,9,F319),1)</f>
        <v>#N/A</v>
      </c>
      <c r="G320" s="296" t="e">
        <f aca="false">INDEX(DasaYears,IF(G319=0,9,G319),1)</f>
        <v>#N/A</v>
      </c>
      <c r="H320" s="296" t="e">
        <f aca="false">INDEX(DasaYears,IF(H319=0,9,H319),1)</f>
        <v>#N/A</v>
      </c>
      <c r="I320" s="275" t="n">
        <f aca="true">INDIRECT("'JHora'!$B$"&amp;($K320))</f>
        <v>0</v>
      </c>
      <c r="J320" s="275" t="n">
        <f aca="true">INDIRECT("'JHora'!$C$"&amp;($K320))</f>
        <v>0</v>
      </c>
      <c r="K320" s="6" t="n">
        <f aca="false">K312+1</f>
        <v>39</v>
      </c>
    </row>
    <row r="321" customFormat="false" ht="15" hidden="false" customHeight="false" outlineLevel="0" collapsed="false">
      <c r="A321" s="294" t="s">
        <v>444</v>
      </c>
      <c r="B321" s="295" t="b">
        <f aca="false">$B$7</f>
        <v>1</v>
      </c>
      <c r="C321" s="296" t="e">
        <f aca="false">IF(VLOOKUP(C320,ChartInfo,11,0),1,0)*B321</f>
        <v>#N/A</v>
      </c>
      <c r="D321" s="296" t="e">
        <f aca="false">IF(VLOOKUP(D320,ChartInfo,11,0),1,0)*B321</f>
        <v>#N/A</v>
      </c>
      <c r="E321" s="296" t="e">
        <f aca="false">IF(VLOOKUP(E320,ChartInfo,11,0),1,0)*B321</f>
        <v>#N/A</v>
      </c>
      <c r="F321" s="296" t="e">
        <f aca="false">IF(VLOOKUP(F320,ChartInfo,11,0),1,0)*B321</f>
        <v>#N/A</v>
      </c>
      <c r="G321" s="296" t="e">
        <f aca="false">IF(VLOOKUP(G320,ChartInfo,11,0),1,0)*B321</f>
        <v>#N/A</v>
      </c>
      <c r="H321" s="296" t="e">
        <f aca="false">IF(VLOOKUP(H320,ChartInfo,11,0),1,0)*B321</f>
        <v>#N/A</v>
      </c>
      <c r="I321" s="151"/>
      <c r="K321" s="6" t="n">
        <f aca="false">K313</f>
        <v>0</v>
      </c>
    </row>
    <row r="322" customFormat="false" ht="15" hidden="false" customHeight="false" outlineLevel="0" collapsed="false">
      <c r="K322" s="6" t="n">
        <f aca="false">K314+1</f>
        <v>39</v>
      </c>
    </row>
    <row r="323" customFormat="false" ht="15" hidden="false" customHeight="false" outlineLevel="0" collapsed="false">
      <c r="A323" s="291" t="s">
        <v>454</v>
      </c>
      <c r="B323" s="292" t="n">
        <f aca="false">DoB-$E$6*DaysInYear</f>
        <v>22567.7812953187</v>
      </c>
      <c r="C323" s="293" t="e">
        <f aca="false">B323+B325*INDEX(INDEX(VimFrac,,VLOOKUP(B328,PlanetData,3,0)+1),MATCH(B326,INDEX(VimFrac,,VLOOKUP(B328,PlanetData,3,0)+1),1))</f>
        <v>#N/A</v>
      </c>
      <c r="D323" s="293" t="e">
        <f aca="false">C323+C325*INDEX(INDEX(VimFrac,0,9*C329+VLOOKUP(C328,PlanetData,3,0)+1),IF(C329,1,0)+MATCH(C326,INDEX(VimFrac,0,9*C329+VLOOKUP(C328,PlanetData,3,0)+1),IF(C329,-1,1)))</f>
        <v>#N/A</v>
      </c>
      <c r="E323" s="293" t="e">
        <f aca="false">D323+D325*INDEX(INDEX(VimFrac,0,9*D329+VLOOKUP(D328,PlanetData,3,0)+1),IF(D329,1,0)+MATCH(D326,INDEX(VimFrac,0,9*D329+VLOOKUP(D328,PlanetData,3,0)+1),IF(D329,-1,1)))</f>
        <v>#N/A</v>
      </c>
      <c r="F323" s="293" t="e">
        <f aca="false">E323+E325*INDEX(INDEX(VimFrac,0,9*E329+VLOOKUP(E328,PlanetData,3,0)+1),IF(E329,1,0)+MATCH(E326,INDEX(VimFrac,0,9*E329+VLOOKUP(E328,PlanetData,3,0)+1),IF(E329,-1,1)))</f>
        <v>#N/A</v>
      </c>
      <c r="G323" s="293" t="e">
        <f aca="false">F323+F325*INDEX(INDEX(VimFrac,0,9*F329+VLOOKUP(F328,PlanetData,3,0)+1),IF(F329,1,0)+MATCH(F326,INDEX(VimFrac,0,9*F329+VLOOKUP(F328,PlanetData,3,0)+1),IF(F329,-1,1)))</f>
        <v>#N/A</v>
      </c>
      <c r="H323" s="293" t="e">
        <f aca="false">G323+G325*INDEX(INDEX(VimFrac,0,9*G329+VLOOKUP(G328,PlanetData,3,0)+1),IF(G329,1,0)+MATCH(G326,INDEX(VimFrac,0,9*G329+VLOOKUP(G328,PlanetData,3,0)+1),IF(G329,-1,1)))</f>
        <v>#N/A</v>
      </c>
      <c r="J323" s="273" t="n">
        <f aca="false">J328</f>
        <v>0</v>
      </c>
      <c r="K323" s="6" t="n">
        <f aca="false">K315+1</f>
        <v>40</v>
      </c>
    </row>
    <row r="324" customFormat="false" ht="15" hidden="false" customHeight="false" outlineLevel="0" collapsed="false">
      <c r="A324" s="291" t="s">
        <v>455</v>
      </c>
      <c r="B324" s="292" t="n">
        <f aca="false">B323+B325</f>
        <v>66398.3660175406</v>
      </c>
      <c r="C324" s="293" t="e">
        <f aca="false">B323+B325*INDEX(INDEX(VimFrac,,VLOOKUP(B328,PlanetData,3,0)+1),MATCH(B326,INDEX(VimFrac,,VLOOKUP(B328,PlanetData,3,0)+1),1)+1)</f>
        <v>#N/A</v>
      </c>
      <c r="D324" s="293" t="e">
        <f aca="false">C323+C325*INDEX(INDEX(VimFrac,0,9*C329+VLOOKUP(C328,PlanetData,3,0)+1),IF(C329,0,1)+MATCH(C326,INDEX(VimFrac,0,9*C329+VLOOKUP(C328,PlanetData,3,0)+1),IF(C329,-1,1)))</f>
        <v>#N/A</v>
      </c>
      <c r="E324" s="293" t="e">
        <f aca="false">D323+D325*INDEX(INDEX(VimFrac,0,9*D329+VLOOKUP(D328,PlanetData,3,0)+1),IF(D329,0,1)+MATCH(D326,INDEX(VimFrac,0,9*D329+VLOOKUP(D328,PlanetData,3,0)+1),IF(D329,-1,1)))</f>
        <v>#N/A</v>
      </c>
      <c r="F324" s="293" t="e">
        <f aca="false">E323+E325*INDEX(INDEX(VimFrac,0,9*E329+VLOOKUP(E328,PlanetData,3,0)+1),IF(E329,0,1)+MATCH(E326,INDEX(VimFrac,0,9*E329+VLOOKUP(E328,PlanetData,3,0)+1),IF(E329,-1,1)))</f>
        <v>#N/A</v>
      </c>
      <c r="G324" s="293" t="e">
        <f aca="false">F323+F325*INDEX(INDEX(VimFrac,0,9*F329+VLOOKUP(F328,PlanetData,3,0)+1),IF(F329,0,1)+MATCH(F326,INDEX(VimFrac,0,9*F329+VLOOKUP(F328,PlanetData,3,0)+1),IF(F329,-1,1)))</f>
        <v>#N/A</v>
      </c>
      <c r="H324" s="293" t="e">
        <f aca="false">G323+G325*INDEX(INDEX(VimFrac,0,9*G329+VLOOKUP(G328,PlanetData,3,0)+1),IF(G329,0,1)+MATCH(G326,INDEX(VimFrac,0,9*G329+VLOOKUP(G328,PlanetData,3,0)+1),IF(G329,-1,1)))</f>
        <v>#N/A</v>
      </c>
      <c r="J324" s="273" t="n">
        <f aca="false">J328</f>
        <v>0</v>
      </c>
      <c r="K324" s="6" t="n">
        <f aca="false">K316+1</f>
        <v>40</v>
      </c>
    </row>
    <row r="325" customFormat="false" ht="15" hidden="false" customHeight="false" outlineLevel="0" collapsed="false">
      <c r="A325" s="294" t="s">
        <v>456</v>
      </c>
      <c r="B325" s="295" t="n">
        <f aca="false">120*DaysInYear</f>
        <v>43830.5847222218</v>
      </c>
      <c r="C325" s="296" t="e">
        <f aca="false">C324-C323</f>
        <v>#N/A</v>
      </c>
      <c r="D325" s="296" t="e">
        <f aca="false">D324-D323</f>
        <v>#N/A</v>
      </c>
      <c r="E325" s="296" t="e">
        <f aca="false">E324-E323</f>
        <v>#N/A</v>
      </c>
      <c r="F325" s="296" t="e">
        <f aca="false">F324-F323</f>
        <v>#N/A</v>
      </c>
      <c r="G325" s="296" t="e">
        <f aca="false">G324-G323</f>
        <v>#N/A</v>
      </c>
      <c r="H325" s="296" t="e">
        <f aca="false">H324-H323</f>
        <v>#N/A</v>
      </c>
      <c r="K325" s="6" t="n">
        <f aca="false">K317</f>
        <v>0</v>
      </c>
    </row>
    <row r="326" customFormat="false" ht="15" hidden="false" customHeight="false" outlineLevel="0" collapsed="false">
      <c r="A326" s="294" t="s">
        <v>457</v>
      </c>
      <c r="B326" s="297" t="n">
        <f aca="false">(I328-B323)/(B324-B323)</f>
        <v>-0.51488661258669</v>
      </c>
      <c r="C326" s="298" t="e">
        <f aca="false">(I328-C323)/(C324-C323)</f>
        <v>#N/A</v>
      </c>
      <c r="D326" s="298" t="e">
        <f aca="false">(I328-D323)/(D324-D323)</f>
        <v>#N/A</v>
      </c>
      <c r="E326" s="298" t="e">
        <f aca="false">(I328-E323)/(E324-E323)</f>
        <v>#N/A</v>
      </c>
      <c r="F326" s="298" t="e">
        <f aca="false">(I328-F323)/(F324-F323)</f>
        <v>#N/A</v>
      </c>
      <c r="G326" s="298" t="e">
        <f aca="false">(I328-G323)/(G324-G323)</f>
        <v>#N/A</v>
      </c>
      <c r="H326" s="298" t="e">
        <f aca="false">(I328-H323)/(H324-H323)</f>
        <v>#N/A</v>
      </c>
      <c r="K326" s="6" t="n">
        <f aca="false">K318</f>
        <v>0</v>
      </c>
    </row>
    <row r="327" customFormat="false" ht="15" hidden="false" customHeight="false" outlineLevel="0" collapsed="false">
      <c r="A327" s="294" t="s">
        <v>458</v>
      </c>
      <c r="B327" s="295"/>
      <c r="C327" s="296" t="e">
        <f aca="false">MOD(VLOOKUP(B328,PlanetData,3,0)+MATCH(B326,INDEX(VimFrac,,VLOOKUP(B328,PlanetData,3,0)+1),1)-1,9)</f>
        <v>#N/A</v>
      </c>
      <c r="D327" s="296" t="e">
        <f aca="false">MOD(VLOOKUP(C328,PlanetData,3,0)+MATCH(C326,INDEX(VimFrac,0,9*C329+VLOOKUP(C328,PlanetData,3,0)+1),IF(C329,-1,1))-1,9)</f>
        <v>#N/A</v>
      </c>
      <c r="E327" s="296" t="e">
        <f aca="false">MOD(VLOOKUP(D328,PlanetData,3,0)+MATCH(D326,INDEX(VimFrac,0,9*D329+VLOOKUP(D328,PlanetData,3,0)+1),IF(D329,-1,1))-1,9)</f>
        <v>#N/A</v>
      </c>
      <c r="F327" s="296" t="e">
        <f aca="false">MOD(VLOOKUP(E328,PlanetData,3,0)+MATCH(E326,INDEX(VimFrac,0,9*E329+VLOOKUP(E328,PlanetData,3,0)+1),IF(E329,-1,1))-1,9)</f>
        <v>#N/A</v>
      </c>
      <c r="G327" s="296" t="e">
        <f aca="false">MOD(VLOOKUP(F328,PlanetData,3,0)+MATCH(F326,INDEX(VimFrac,0,9*F329+VLOOKUP(F328,PlanetData,3,0)+1),IF(F329,-1,1))-1,9)</f>
        <v>#N/A</v>
      </c>
      <c r="H327" s="296" t="e">
        <f aca="false">MOD(VLOOKUP(G328,PlanetData,3,0)+MATCH(G326,INDEX(VimFrac,0,9*G329+VLOOKUP(G328,PlanetData,3,0)+1),IF(G329,-1,1))-1,9)</f>
        <v>#N/A</v>
      </c>
      <c r="K327" s="6" t="n">
        <f aca="false">K319</f>
        <v>0</v>
      </c>
    </row>
    <row r="328" customFormat="false" ht="15" hidden="false" customHeight="false" outlineLevel="0" collapsed="false">
      <c r="A328" s="294" t="s">
        <v>459</v>
      </c>
      <c r="B328" s="295" t="str">
        <f aca="false">$B$4</f>
        <v>Moon</v>
      </c>
      <c r="C328" s="296" t="e">
        <f aca="false">INDEX(DasaYears,IF(C327=0,9,C327),1)</f>
        <v>#N/A</v>
      </c>
      <c r="D328" s="296" t="e">
        <f aca="false">INDEX(DasaYears,IF(D327=0,9,D327),1)</f>
        <v>#N/A</v>
      </c>
      <c r="E328" s="296" t="e">
        <f aca="false">INDEX(DasaYears,IF(E327=0,9,E327),1)</f>
        <v>#N/A</v>
      </c>
      <c r="F328" s="296" t="e">
        <f aca="false">INDEX(DasaYears,IF(F327=0,9,F327),1)</f>
        <v>#N/A</v>
      </c>
      <c r="G328" s="296" t="e">
        <f aca="false">INDEX(DasaYears,IF(G327=0,9,G327),1)</f>
        <v>#N/A</v>
      </c>
      <c r="H328" s="296" t="e">
        <f aca="false">INDEX(DasaYears,IF(H327=0,9,H327),1)</f>
        <v>#N/A</v>
      </c>
      <c r="I328" s="275" t="n">
        <f aca="true">INDIRECT("'JHora'!$B$"&amp;($K328))</f>
        <v>0</v>
      </c>
      <c r="J328" s="275" t="n">
        <f aca="true">INDIRECT("'JHora'!$C$"&amp;($K328))</f>
        <v>0</v>
      </c>
      <c r="K328" s="6" t="n">
        <f aca="false">K320+1</f>
        <v>40</v>
      </c>
    </row>
    <row r="329" customFormat="false" ht="15" hidden="false" customHeight="false" outlineLevel="0" collapsed="false">
      <c r="A329" s="294" t="s">
        <v>444</v>
      </c>
      <c r="B329" s="295" t="b">
        <f aca="false">$B$7</f>
        <v>1</v>
      </c>
      <c r="C329" s="296" t="e">
        <f aca="false">IF(VLOOKUP(C328,ChartInfo,11,0),1,0)*B329</f>
        <v>#N/A</v>
      </c>
      <c r="D329" s="296" t="e">
        <f aca="false">IF(VLOOKUP(D328,ChartInfo,11,0),1,0)*B329</f>
        <v>#N/A</v>
      </c>
      <c r="E329" s="296" t="e">
        <f aca="false">IF(VLOOKUP(E328,ChartInfo,11,0),1,0)*B329</f>
        <v>#N/A</v>
      </c>
      <c r="F329" s="296" t="e">
        <f aca="false">IF(VLOOKUP(F328,ChartInfo,11,0),1,0)*B329</f>
        <v>#N/A</v>
      </c>
      <c r="G329" s="296" t="e">
        <f aca="false">IF(VLOOKUP(G328,ChartInfo,11,0),1,0)*B329</f>
        <v>#N/A</v>
      </c>
      <c r="H329" s="296" t="e">
        <f aca="false">IF(VLOOKUP(H328,ChartInfo,11,0),1,0)*B329</f>
        <v>#N/A</v>
      </c>
      <c r="I329" s="151"/>
      <c r="K329" s="6" t="n">
        <f aca="false">K321</f>
        <v>0</v>
      </c>
    </row>
    <row r="330" customFormat="false" ht="15" hidden="false" customHeight="false" outlineLevel="0" collapsed="false">
      <c r="K330" s="6" t="n">
        <f aca="false">K322+1</f>
        <v>40</v>
      </c>
    </row>
  </sheetData>
  <autoFilter ref="A10:K330">
    <filterColumn colId="10">
      <customFilters and="true">
        <customFilter operator="notEqual" val="0"/>
      </customFilters>
    </filterColumn>
  </autoFilter>
  <mergeCells count="3">
    <mergeCell ref="B3:D3"/>
    <mergeCell ref="B5:E5"/>
    <mergeCell ref="B7:E7"/>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&amp;C&amp;"Arial,Regular"&amp;10&amp;A</oddHeader>
    <oddFooter>&amp;C&amp;"Arial,Regular"&amp;10Page &amp;P</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28"/>
  <sheetViews>
    <sheetView showFormulas="false" showGridLines="true" showRowColHeaders="true" showZeros="true" rightToLeft="false" tabSelected="false" showOutlineSymbols="true" defaultGridColor="true" view="normal" topLeftCell="A1" colorId="64" zoomScale="181" zoomScaleNormal="181" zoomScalePageLayoutView="100" workbookViewId="0">
      <selection pane="topLeft" activeCell="J13" activeCellId="0" sqref="J13"/>
    </sheetView>
  </sheetViews>
  <sheetFormatPr defaultColWidth="9.1484375" defaultRowHeight="15" customHeight="true" zeroHeight="false" outlineLevelRow="0" outlineLevelCol="0"/>
  <cols>
    <col collapsed="false" customWidth="true" hidden="false" outlineLevel="0" max="1" min="1" style="300" width="5.14"/>
    <col collapsed="false" customWidth="true" hidden="false" outlineLevel="0" max="8" min="2" style="301" width="6.71"/>
    <col collapsed="false" customWidth="true" hidden="false" outlineLevel="0" max="9" min="9" style="301" width="9.42"/>
    <col collapsed="false" customWidth="true" hidden="false" outlineLevel="0" max="10" min="10" style="300" width="40.84"/>
    <col collapsed="false" customWidth="true" hidden="false" outlineLevel="0" max="11" min="11" style="300" width="30.43"/>
    <col collapsed="false" customWidth="true" hidden="false" outlineLevel="0" max="12" min="12" style="300" width="20.57"/>
    <col collapsed="false" customWidth="true" hidden="true" outlineLevel="0" max="13" min="13" style="300" width="7"/>
    <col collapsed="false" customWidth="true" hidden="true" outlineLevel="0" max="19" min="14" style="300" width="11.14"/>
    <col collapsed="false" customWidth="true" hidden="false" outlineLevel="0" max="20" min="20" style="300" width="11.14"/>
    <col collapsed="false" customWidth="true" hidden="false" outlineLevel="0" max="21" min="21" style="300" width="13.15"/>
    <col collapsed="false" customWidth="true" hidden="false" outlineLevel="0" max="22" min="22" style="300" width="15.29"/>
    <col collapsed="false" customWidth="false" hidden="false" outlineLevel="0" max="1024" min="23" style="300" width="9.14"/>
  </cols>
  <sheetData>
    <row r="1" customFormat="false" ht="15" hidden="false" customHeight="false" outlineLevel="0" collapsed="false">
      <c r="A1" s="302" t="s">
        <v>461</v>
      </c>
      <c r="B1" s="302" t="s">
        <v>462</v>
      </c>
      <c r="C1" s="302" t="s">
        <v>463</v>
      </c>
      <c r="D1" s="302" t="s">
        <v>464</v>
      </c>
      <c r="E1" s="302" t="s">
        <v>465</v>
      </c>
      <c r="F1" s="302" t="s">
        <v>466</v>
      </c>
      <c r="G1" s="302" t="s">
        <v>467</v>
      </c>
      <c r="H1" s="302" t="s">
        <v>468</v>
      </c>
      <c r="I1" s="302" t="s">
        <v>469</v>
      </c>
      <c r="J1" s="300" t="s">
        <v>470</v>
      </c>
      <c r="K1" s="300" t="s">
        <v>471</v>
      </c>
      <c r="L1" s="300" t="s">
        <v>472</v>
      </c>
      <c r="M1" s="300" t="s">
        <v>473</v>
      </c>
      <c r="N1" s="300" t="s">
        <v>474</v>
      </c>
      <c r="O1" s="300" t="s">
        <v>475</v>
      </c>
      <c r="P1" s="300" t="s">
        <v>476</v>
      </c>
      <c r="Q1" s="300" t="s">
        <v>477</v>
      </c>
      <c r="R1" s="300" t="s">
        <v>478</v>
      </c>
      <c r="S1" s="300" t="s">
        <v>479</v>
      </c>
    </row>
    <row r="2" customFormat="false" ht="15" hidden="true" customHeight="false" outlineLevel="0" collapsed="false">
      <c r="A2" s="303" t="n">
        <v>1</v>
      </c>
      <c r="B2" s="301" t="n">
        <f aca="false">MOD(INT($A2/64),2)</f>
        <v>0</v>
      </c>
      <c r="C2" s="301" t="n">
        <f aca="false">MOD(INT($A2/32),2)</f>
        <v>0</v>
      </c>
      <c r="D2" s="301" t="n">
        <f aca="false">MOD(INT($A2/16),2)</f>
        <v>0</v>
      </c>
      <c r="E2" s="301" t="n">
        <f aca="false">MOD(INT($A2/8),2)</f>
        <v>0</v>
      </c>
      <c r="F2" s="301" t="n">
        <f aca="false">MOD(INT($A2/4),2)</f>
        <v>0</v>
      </c>
      <c r="G2" s="301" t="n">
        <f aca="false">MOD(INT($A2/2),2)</f>
        <v>0</v>
      </c>
      <c r="H2" s="301" t="n">
        <f aca="false">MOD(A2,2)</f>
        <v>1</v>
      </c>
      <c r="I2" s="304" t="n">
        <f aca="false">SUM(Table122[[#This Row],[Sat]:[Su]])</f>
        <v>1</v>
      </c>
      <c r="L2" s="300" t="str">
        <f aca="false">Table122[[#This Row],[Sat2]]&amp;" "&amp;Table122[[#This Row],[Column2]]&amp;" "&amp;Table122[[#This Row],[Column3]]&amp;" "&amp;Table122[[#This Row],[Column4]]&amp;" "&amp;Table122[[#This Row],[Column5]]&amp;" "&amp;Table122[[#This Row],[Column6]]&amp;" "&amp;Table122[[#This Row],[Column7]]</f>
        <v>      Su</v>
      </c>
      <c r="M2" s="300" t="str">
        <f aca="false">IF(Table122[[#This Row],[Sat]],Table122[[#Headers],[Sat]],"")</f>
        <v/>
      </c>
      <c r="N2" s="300" t="str">
        <f aca="false">IF(Table122[[#This Row],[Ve]],Table122[[#Headers],[Ve]],"")</f>
        <v/>
      </c>
      <c r="O2" s="300" t="str">
        <f aca="false">IF(Table122[[#This Row],[Ju]],Table122[[#Headers],[Ju]],"")</f>
        <v/>
      </c>
      <c r="P2" s="300" t="str">
        <f aca="false">IF(Table122[[#This Row],[Me]],Table122[[#Headers],[Me]],"")</f>
        <v/>
      </c>
      <c r="Q2" s="300" t="str">
        <f aca="false">IF(Table122[[#This Row],[Ma]],Table122[[#Headers],[Ma]],"")</f>
        <v/>
      </c>
      <c r="R2" s="300" t="str">
        <f aca="false">IF(Table122[[#This Row],[Mo]],Table122[[#Headers],[Mo]],"")</f>
        <v/>
      </c>
      <c r="S2" s="300" t="str">
        <f aca="false">IF(Table122[[#This Row],[Su]],Table122[[#Headers],[Su]],"")</f>
        <v>Su</v>
      </c>
    </row>
    <row r="3" customFormat="false" ht="15" hidden="true" customHeight="false" outlineLevel="0" collapsed="false">
      <c r="A3" s="303" t="n">
        <v>2</v>
      </c>
      <c r="B3" s="301" t="n">
        <f aca="false">MOD(INT($A3/64),2)</f>
        <v>0</v>
      </c>
      <c r="C3" s="301" t="n">
        <f aca="false">MOD(INT($A3/32),2)</f>
        <v>0</v>
      </c>
      <c r="D3" s="301" t="n">
        <f aca="false">MOD(INT($A3/16),2)</f>
        <v>0</v>
      </c>
      <c r="E3" s="301" t="n">
        <f aca="false">MOD(INT($A3/8),2)</f>
        <v>0</v>
      </c>
      <c r="F3" s="301" t="n">
        <f aca="false">MOD(INT($A3/4),2)</f>
        <v>0</v>
      </c>
      <c r="G3" s="301" t="n">
        <f aca="false">MOD(INT($A3/2),2)</f>
        <v>1</v>
      </c>
      <c r="H3" s="301" t="n">
        <f aca="false">MOD(A3,2)</f>
        <v>0</v>
      </c>
      <c r="I3" s="304" t="n">
        <f aca="false">SUM(Table122[[#This Row],[Sat]:[Su]])</f>
        <v>1</v>
      </c>
      <c r="L3" s="300" t="str">
        <f aca="false">Table122[[#This Row],[Sat2]]&amp;" "&amp;Table122[[#This Row],[Column2]]&amp;" "&amp;Table122[[#This Row],[Column3]]&amp;" "&amp;Table122[[#This Row],[Column4]]&amp;" "&amp;Table122[[#This Row],[Column5]]&amp;" "&amp;Table122[[#This Row],[Column6]]&amp;" "&amp;Table122[[#This Row],[Column7]]</f>
        <v>     Mo </v>
      </c>
      <c r="M3" s="300" t="str">
        <f aca="false">IF(Table122[[#This Row],[Sat]],Table122[[#Headers],[Sat]],"")</f>
        <v/>
      </c>
      <c r="N3" s="300" t="str">
        <f aca="false">IF(Table122[[#This Row],[Ve]],Table122[[#Headers],[Ve]],"")</f>
        <v/>
      </c>
      <c r="O3" s="300" t="str">
        <f aca="false">IF(Table122[[#This Row],[Ju]],Table122[[#Headers],[Ju]],"")</f>
        <v/>
      </c>
      <c r="P3" s="300" t="str">
        <f aca="false">IF(Table122[[#This Row],[Me]],Table122[[#Headers],[Me]],"")</f>
        <v/>
      </c>
      <c r="Q3" s="300" t="str">
        <f aca="false">IF(Table122[[#This Row],[Ma]],Table122[[#Headers],[Ma]],"")</f>
        <v/>
      </c>
      <c r="R3" s="300" t="str">
        <f aca="false">IF(Table122[[#This Row],[Mo]],Table122[[#Headers],[Mo]],"")</f>
        <v>Mo</v>
      </c>
      <c r="S3" s="300" t="str">
        <f aca="false">IF(Table122[[#This Row],[Su]],Table122[[#Headers],[Su]],"")</f>
        <v/>
      </c>
    </row>
    <row r="4" customFormat="false" ht="15" hidden="false" customHeight="false" outlineLevel="0" collapsed="false">
      <c r="A4" s="303" t="n">
        <v>3</v>
      </c>
      <c r="B4" s="301" t="n">
        <f aca="false">MOD(INT($A4/64),2)</f>
        <v>0</v>
      </c>
      <c r="C4" s="301" t="n">
        <f aca="false">MOD(INT($A4/32),2)</f>
        <v>0</v>
      </c>
      <c r="D4" s="301" t="n">
        <f aca="false">MOD(INT($A4/16),2)</f>
        <v>0</v>
      </c>
      <c r="E4" s="301" t="n">
        <f aca="false">MOD(INT($A4/8),2)</f>
        <v>0</v>
      </c>
      <c r="F4" s="301" t="n">
        <f aca="false">MOD(INT($A4/4),2)</f>
        <v>0</v>
      </c>
      <c r="G4" s="301" t="n">
        <f aca="false">MOD(INT($A4/2),2)</f>
        <v>1</v>
      </c>
      <c r="H4" s="301" t="n">
        <f aca="false">MOD(A4,2)</f>
        <v>1</v>
      </c>
      <c r="I4" s="304" t="n">
        <f aca="false">SUM(Table122[[#This Row],[Sat]:[Su]])</f>
        <v>2</v>
      </c>
      <c r="J4" s="300" t="s">
        <v>480</v>
      </c>
      <c r="K4" s="300" t="s">
        <v>481</v>
      </c>
      <c r="L4" s="300" t="str">
        <f aca="false">Table122[[#This Row],[Sat2]]&amp;" "&amp;Table122[[#This Row],[Column2]]&amp;" "&amp;Table122[[#This Row],[Column3]]&amp;" "&amp;Table122[[#This Row],[Column4]]&amp;" "&amp;Table122[[#This Row],[Column5]]&amp;" "&amp;Table122[[#This Row],[Column6]]&amp;" "&amp;Table122[[#This Row],[Column7]]</f>
        <v>     Mo Su</v>
      </c>
      <c r="M4" s="300" t="str">
        <f aca="false">IF(Table122[[#This Row],[Sat]],Table122[[#Headers],[Sat]],"")</f>
        <v/>
      </c>
      <c r="N4" s="300" t="str">
        <f aca="false">IF(Table122[[#This Row],[Ve]],Table122[[#Headers],[Ve]],"")</f>
        <v/>
      </c>
      <c r="O4" s="300" t="str">
        <f aca="false">IF(Table122[[#This Row],[Ju]],Table122[[#Headers],[Ju]],"")</f>
        <v/>
      </c>
      <c r="P4" s="300" t="str">
        <f aca="false">IF(Table122[[#This Row],[Me]],Table122[[#Headers],[Me]],"")</f>
        <v/>
      </c>
      <c r="Q4" s="300" t="str">
        <f aca="false">IF(Table122[[#This Row],[Ma]],Table122[[#Headers],[Ma]],"")</f>
        <v/>
      </c>
      <c r="R4" s="300" t="str">
        <f aca="false">IF(Table122[[#This Row],[Mo]],Table122[[#Headers],[Mo]],"")</f>
        <v>Mo</v>
      </c>
      <c r="S4" s="300" t="str">
        <f aca="false">IF(Table122[[#This Row],[Su]],Table122[[#Headers],[Su]],"")</f>
        <v>Su</v>
      </c>
    </row>
    <row r="5" customFormat="false" ht="15" hidden="true" customHeight="false" outlineLevel="0" collapsed="false">
      <c r="A5" s="303" t="n">
        <v>4</v>
      </c>
      <c r="B5" s="301" t="n">
        <f aca="false">MOD(INT($A5/64),2)</f>
        <v>0</v>
      </c>
      <c r="C5" s="301" t="n">
        <f aca="false">MOD(INT($A5/32),2)</f>
        <v>0</v>
      </c>
      <c r="D5" s="301" t="n">
        <f aca="false">MOD(INT($A5/16),2)</f>
        <v>0</v>
      </c>
      <c r="E5" s="301" t="n">
        <f aca="false">MOD(INT($A5/8),2)</f>
        <v>0</v>
      </c>
      <c r="F5" s="301" t="n">
        <f aca="false">MOD(INT($A5/4),2)</f>
        <v>1</v>
      </c>
      <c r="G5" s="301" t="n">
        <f aca="false">MOD(INT($A5/2),2)</f>
        <v>0</v>
      </c>
      <c r="H5" s="301" t="n">
        <f aca="false">MOD(A5,2)</f>
        <v>0</v>
      </c>
      <c r="I5" s="304" t="n">
        <f aca="false">SUM(Table122[[#This Row],[Sat]:[Su]])</f>
        <v>1</v>
      </c>
      <c r="L5" s="300" t="str">
        <f aca="false">Table122[[#This Row],[Sat2]]&amp;" "&amp;Table122[[#This Row],[Column2]]&amp;" "&amp;Table122[[#This Row],[Column3]]&amp;" "&amp;Table122[[#This Row],[Column4]]&amp;" "&amp;Table122[[#This Row],[Column5]]&amp;" "&amp;Table122[[#This Row],[Column6]]&amp;" "&amp;Table122[[#This Row],[Column7]]</f>
        <v>    Ma  </v>
      </c>
      <c r="M5" s="300" t="str">
        <f aca="false">IF(Table122[[#This Row],[Sat]],Table122[[#Headers],[Sat]],"")</f>
        <v/>
      </c>
      <c r="N5" s="300" t="str">
        <f aca="false">IF(Table122[[#This Row],[Ve]],Table122[[#Headers],[Ve]],"")</f>
        <v/>
      </c>
      <c r="O5" s="300" t="str">
        <f aca="false">IF(Table122[[#This Row],[Ju]],Table122[[#Headers],[Ju]],"")</f>
        <v/>
      </c>
      <c r="P5" s="300" t="str">
        <f aca="false">IF(Table122[[#This Row],[Me]],Table122[[#Headers],[Me]],"")</f>
        <v/>
      </c>
      <c r="Q5" s="300" t="str">
        <f aca="false">IF(Table122[[#This Row],[Ma]],Table122[[#Headers],[Ma]],"")</f>
        <v>Ma</v>
      </c>
      <c r="R5" s="300" t="str">
        <f aca="false">IF(Table122[[#This Row],[Mo]],Table122[[#Headers],[Mo]],"")</f>
        <v/>
      </c>
      <c r="S5" s="300" t="str">
        <f aca="false">IF(Table122[[#This Row],[Su]],Table122[[#Headers],[Su]],"")</f>
        <v/>
      </c>
      <c r="U5" s="305" t="s">
        <v>469</v>
      </c>
      <c r="V5" s="306" t="s">
        <v>482</v>
      </c>
    </row>
    <row r="6" customFormat="false" ht="15" hidden="false" customHeight="false" outlineLevel="0" collapsed="false">
      <c r="A6" s="303" t="n">
        <v>5</v>
      </c>
      <c r="B6" s="301" t="n">
        <f aca="false">MOD(INT($A6/64),2)</f>
        <v>0</v>
      </c>
      <c r="C6" s="301" t="n">
        <f aca="false">MOD(INT($A6/32),2)</f>
        <v>0</v>
      </c>
      <c r="D6" s="301" t="n">
        <f aca="false">MOD(INT($A6/16),2)</f>
        <v>0</v>
      </c>
      <c r="E6" s="301" t="n">
        <f aca="false">MOD(INT($A6/8),2)</f>
        <v>0</v>
      </c>
      <c r="F6" s="301" t="n">
        <f aca="false">MOD(INT($A6/4),2)</f>
        <v>1</v>
      </c>
      <c r="G6" s="301" t="n">
        <f aca="false">MOD(INT($A6/2),2)</f>
        <v>0</v>
      </c>
      <c r="H6" s="301" t="n">
        <f aca="false">MOD(A6,2)</f>
        <v>1</v>
      </c>
      <c r="I6" s="304" t="n">
        <f aca="false">SUM(Table122[[#This Row],[Sat]:[Su]])</f>
        <v>2</v>
      </c>
      <c r="J6" s="300" t="s">
        <v>483</v>
      </c>
      <c r="K6" s="300" t="s">
        <v>481</v>
      </c>
      <c r="L6" s="300" t="str">
        <f aca="false">Table122[[#This Row],[Sat2]]&amp;" "&amp;Table122[[#This Row],[Column2]]&amp;" "&amp;Table122[[#This Row],[Column3]]&amp;" "&amp;Table122[[#This Row],[Column4]]&amp;" "&amp;Table122[[#This Row],[Column5]]&amp;" "&amp;Table122[[#This Row],[Column6]]&amp;" "&amp;Table122[[#This Row],[Column7]]</f>
        <v>    Ma  Su</v>
      </c>
      <c r="M6" s="300" t="str">
        <f aca="false">IF(Table122[[#This Row],[Sat]],Table122[[#Headers],[Sat]],"")</f>
        <v/>
      </c>
      <c r="N6" s="300" t="str">
        <f aca="false">IF(Table122[[#This Row],[Ve]],Table122[[#Headers],[Ve]],"")</f>
        <v/>
      </c>
      <c r="O6" s="300" t="str">
        <f aca="false">IF(Table122[[#This Row],[Ju]],Table122[[#Headers],[Ju]],"")</f>
        <v/>
      </c>
      <c r="P6" s="300" t="str">
        <f aca="false">IF(Table122[[#This Row],[Me]],Table122[[#Headers],[Me]],"")</f>
        <v/>
      </c>
      <c r="Q6" s="300" t="str">
        <f aca="false">IF(Table122[[#This Row],[Ma]],Table122[[#Headers],[Ma]],"")</f>
        <v>Ma</v>
      </c>
      <c r="R6" s="300" t="str">
        <f aca="false">IF(Table122[[#This Row],[Mo]],Table122[[#Headers],[Mo]],"")</f>
        <v/>
      </c>
      <c r="S6" s="300" t="str">
        <f aca="false">IF(Table122[[#This Row],[Su]],Table122[[#Headers],[Su]],"")</f>
        <v>Su</v>
      </c>
      <c r="U6" s="307" t="n">
        <v>1</v>
      </c>
      <c r="V6" s="308" t="n">
        <v>7</v>
      </c>
    </row>
    <row r="7" customFormat="false" ht="15" hidden="false" customHeight="false" outlineLevel="0" collapsed="false">
      <c r="A7" s="303" t="n">
        <v>6</v>
      </c>
      <c r="B7" s="301" t="n">
        <f aca="false">MOD(INT($A7/64),2)</f>
        <v>0</v>
      </c>
      <c r="C7" s="301" t="n">
        <f aca="false">MOD(INT($A7/32),2)</f>
        <v>0</v>
      </c>
      <c r="D7" s="301" t="n">
        <f aca="false">MOD(INT($A7/16),2)</f>
        <v>0</v>
      </c>
      <c r="E7" s="301" t="n">
        <f aca="false">MOD(INT($A7/8),2)</f>
        <v>0</v>
      </c>
      <c r="F7" s="301" t="n">
        <f aca="false">MOD(INT($A7/4),2)</f>
        <v>1</v>
      </c>
      <c r="G7" s="301" t="n">
        <f aca="false">MOD(INT($A7/2),2)</f>
        <v>1</v>
      </c>
      <c r="H7" s="301" t="n">
        <f aca="false">MOD(A7,2)</f>
        <v>0</v>
      </c>
      <c r="I7" s="304" t="n">
        <f aca="false">SUM(Table122[[#This Row],[Sat]:[Su]])</f>
        <v>2</v>
      </c>
      <c r="J7" s="300" t="s">
        <v>484</v>
      </c>
      <c r="K7" s="300" t="s">
        <v>485</v>
      </c>
      <c r="L7" s="300" t="str">
        <f aca="false">Table122[[#This Row],[Sat2]]&amp;" "&amp;Table122[[#This Row],[Column2]]&amp;" "&amp;Table122[[#This Row],[Column3]]&amp;" "&amp;Table122[[#This Row],[Column4]]&amp;" "&amp;Table122[[#This Row],[Column5]]&amp;" "&amp;Table122[[#This Row],[Column6]]&amp;" "&amp;Table122[[#This Row],[Column7]]</f>
        <v>    Ma Mo </v>
      </c>
      <c r="M7" s="300" t="str">
        <f aca="false">IF(Table122[[#This Row],[Sat]],Table122[[#Headers],[Sat]],"")</f>
        <v/>
      </c>
      <c r="N7" s="300" t="str">
        <f aca="false">IF(Table122[[#This Row],[Ve]],Table122[[#Headers],[Ve]],"")</f>
        <v/>
      </c>
      <c r="O7" s="300" t="str">
        <f aca="false">IF(Table122[[#This Row],[Ju]],Table122[[#Headers],[Ju]],"")</f>
        <v/>
      </c>
      <c r="P7" s="300" t="str">
        <f aca="false">IF(Table122[[#This Row],[Me]],Table122[[#Headers],[Me]],"")</f>
        <v/>
      </c>
      <c r="Q7" s="300" t="str">
        <f aca="false">IF(Table122[[#This Row],[Ma]],Table122[[#Headers],[Ma]],"")</f>
        <v>Ma</v>
      </c>
      <c r="R7" s="300" t="str">
        <f aca="false">IF(Table122[[#This Row],[Mo]],Table122[[#Headers],[Mo]],"")</f>
        <v>Mo</v>
      </c>
      <c r="S7" s="300" t="str">
        <f aca="false">IF(Table122[[#This Row],[Su]],Table122[[#Headers],[Su]],"")</f>
        <v/>
      </c>
      <c r="U7" s="309" t="n">
        <v>2</v>
      </c>
      <c r="V7" s="310" t="n">
        <v>21</v>
      </c>
    </row>
    <row r="8" customFormat="false" ht="15" hidden="true" customHeight="false" outlineLevel="0" collapsed="false">
      <c r="A8" s="303" t="n">
        <v>7</v>
      </c>
      <c r="B8" s="301" t="n">
        <f aca="false">MOD(INT($A8/64),2)</f>
        <v>0</v>
      </c>
      <c r="C8" s="301" t="n">
        <f aca="false">MOD(INT($A8/32),2)</f>
        <v>0</v>
      </c>
      <c r="D8" s="301" t="n">
        <f aca="false">MOD(INT($A8/16),2)</f>
        <v>0</v>
      </c>
      <c r="E8" s="301" t="n">
        <f aca="false">MOD(INT($A8/8),2)</f>
        <v>0</v>
      </c>
      <c r="F8" s="301" t="n">
        <f aca="false">MOD(INT($A8/4),2)</f>
        <v>1</v>
      </c>
      <c r="G8" s="301" t="n">
        <f aca="false">MOD(INT($A8/2),2)</f>
        <v>1</v>
      </c>
      <c r="H8" s="301" t="n">
        <f aca="false">MOD(A8,2)</f>
        <v>1</v>
      </c>
      <c r="I8" s="304" t="n">
        <f aca="false">SUM(Table122[[#This Row],[Sat]:[Su]])</f>
        <v>3</v>
      </c>
      <c r="L8" s="300" t="str">
        <f aca="false">Table122[[#This Row],[Sat2]]&amp;" "&amp;Table122[[#This Row],[Column2]]&amp;" "&amp;Table122[[#This Row],[Column3]]&amp;" "&amp;Table122[[#This Row],[Column4]]&amp;" "&amp;Table122[[#This Row],[Column5]]&amp;" "&amp;Table122[[#This Row],[Column6]]&amp;" "&amp;Table122[[#This Row],[Column7]]</f>
        <v>    Ma Mo Su</v>
      </c>
      <c r="M8" s="300" t="str">
        <f aca="false">IF(Table122[[#This Row],[Sat]],Table122[[#Headers],[Sat]],"")</f>
        <v/>
      </c>
      <c r="N8" s="300" t="str">
        <f aca="false">IF(Table122[[#This Row],[Ve]],Table122[[#Headers],[Ve]],"")</f>
        <v/>
      </c>
      <c r="O8" s="300" t="str">
        <f aca="false">IF(Table122[[#This Row],[Ju]],Table122[[#Headers],[Ju]],"")</f>
        <v/>
      </c>
      <c r="P8" s="300" t="str">
        <f aca="false">IF(Table122[[#This Row],[Me]],Table122[[#Headers],[Me]],"")</f>
        <v/>
      </c>
      <c r="Q8" s="300" t="str">
        <f aca="false">IF(Table122[[#This Row],[Ma]],Table122[[#Headers],[Ma]],"")</f>
        <v>Ma</v>
      </c>
      <c r="R8" s="300" t="str">
        <f aca="false">IF(Table122[[#This Row],[Mo]],Table122[[#Headers],[Mo]],"")</f>
        <v>Mo</v>
      </c>
      <c r="S8" s="300" t="str">
        <f aca="false">IF(Table122[[#This Row],[Su]],Table122[[#Headers],[Su]],"")</f>
        <v>Su</v>
      </c>
      <c r="U8" s="309" t="n">
        <v>3</v>
      </c>
      <c r="V8" s="310" t="n">
        <v>35</v>
      </c>
    </row>
    <row r="9" customFormat="false" ht="15" hidden="true" customHeight="false" outlineLevel="0" collapsed="false">
      <c r="A9" s="303" t="n">
        <v>8</v>
      </c>
      <c r="B9" s="301" t="n">
        <f aca="false">MOD(INT($A9/64),2)</f>
        <v>0</v>
      </c>
      <c r="C9" s="301" t="n">
        <f aca="false">MOD(INT($A9/32),2)</f>
        <v>0</v>
      </c>
      <c r="D9" s="301" t="n">
        <f aca="false">MOD(INT($A9/16),2)</f>
        <v>0</v>
      </c>
      <c r="E9" s="301" t="n">
        <f aca="false">MOD(INT($A9/8),2)</f>
        <v>1</v>
      </c>
      <c r="F9" s="301" t="n">
        <f aca="false">MOD(INT($A9/4),2)</f>
        <v>0</v>
      </c>
      <c r="G9" s="301" t="n">
        <f aca="false">MOD(INT($A9/2),2)</f>
        <v>0</v>
      </c>
      <c r="H9" s="301" t="n">
        <f aca="false">MOD(A9,2)</f>
        <v>0</v>
      </c>
      <c r="I9" s="304" t="n">
        <f aca="false">SUM(Table122[[#This Row],[Sat]:[Su]])</f>
        <v>1</v>
      </c>
      <c r="L9" s="300" t="str">
        <f aca="false">Table122[[#This Row],[Sat2]]&amp;" "&amp;Table122[[#This Row],[Column2]]&amp;" "&amp;Table122[[#This Row],[Column3]]&amp;" "&amp;Table122[[#This Row],[Column4]]&amp;" "&amp;Table122[[#This Row],[Column5]]&amp;" "&amp;Table122[[#This Row],[Column6]]&amp;" "&amp;Table122[[#This Row],[Column7]]</f>
        <v>   Me   </v>
      </c>
      <c r="M9" s="300" t="str">
        <f aca="false">IF(Table122[[#This Row],[Sat]],Table122[[#Headers],[Sat]],"")</f>
        <v/>
      </c>
      <c r="N9" s="300" t="str">
        <f aca="false">IF(Table122[[#This Row],[Ve]],Table122[[#Headers],[Ve]],"")</f>
        <v/>
      </c>
      <c r="O9" s="300" t="str">
        <f aca="false">IF(Table122[[#This Row],[Ju]],Table122[[#Headers],[Ju]],"")</f>
        <v/>
      </c>
      <c r="P9" s="300" t="str">
        <f aca="false">IF(Table122[[#This Row],[Me]],Table122[[#Headers],[Me]],"")</f>
        <v>Me</v>
      </c>
      <c r="Q9" s="300" t="str">
        <f aca="false">IF(Table122[[#This Row],[Ma]],Table122[[#Headers],[Ma]],"")</f>
        <v/>
      </c>
      <c r="R9" s="300" t="str">
        <f aca="false">IF(Table122[[#This Row],[Mo]],Table122[[#Headers],[Mo]],"")</f>
        <v/>
      </c>
      <c r="S9" s="300" t="str">
        <f aca="false">IF(Table122[[#This Row],[Su]],Table122[[#Headers],[Su]],"")</f>
        <v/>
      </c>
      <c r="U9" s="309" t="n">
        <v>4</v>
      </c>
      <c r="V9" s="310" t="n">
        <v>35</v>
      </c>
    </row>
    <row r="10" customFormat="false" ht="15" hidden="false" customHeight="false" outlineLevel="0" collapsed="false">
      <c r="A10" s="303" t="n">
        <v>9</v>
      </c>
      <c r="B10" s="301" t="n">
        <f aca="false">MOD(INT($A10/64),2)</f>
        <v>0</v>
      </c>
      <c r="C10" s="301" t="n">
        <f aca="false">MOD(INT($A10/32),2)</f>
        <v>0</v>
      </c>
      <c r="D10" s="301" t="n">
        <f aca="false">MOD(INT($A10/16),2)</f>
        <v>0</v>
      </c>
      <c r="E10" s="301" t="n">
        <f aca="false">MOD(INT($A10/8),2)</f>
        <v>1</v>
      </c>
      <c r="F10" s="301" t="n">
        <f aca="false">MOD(INT($A10/4),2)</f>
        <v>0</v>
      </c>
      <c r="G10" s="301" t="n">
        <f aca="false">MOD(INT($A10/2),2)</f>
        <v>0</v>
      </c>
      <c r="H10" s="301" t="n">
        <f aca="false">MOD(A10,2)</f>
        <v>1</v>
      </c>
      <c r="I10" s="304" t="n">
        <f aca="false">SUM(Table122[[#This Row],[Sat]:[Su]])</f>
        <v>2</v>
      </c>
      <c r="J10" s="300" t="s">
        <v>486</v>
      </c>
      <c r="K10" s="300" t="s">
        <v>481</v>
      </c>
      <c r="L10" s="300" t="str">
        <f aca="false">Table122[[#This Row],[Sat2]]&amp;" "&amp;Table122[[#This Row],[Column2]]&amp;" "&amp;Table122[[#This Row],[Column3]]&amp;" "&amp;Table122[[#This Row],[Column4]]&amp;" "&amp;Table122[[#This Row],[Column5]]&amp;" "&amp;Table122[[#This Row],[Column6]]&amp;" "&amp;Table122[[#This Row],[Column7]]</f>
        <v>   Me   Su</v>
      </c>
      <c r="M10" s="300" t="str">
        <f aca="false">IF(Table122[[#This Row],[Sat]],Table122[[#Headers],[Sat]],"")</f>
        <v/>
      </c>
      <c r="N10" s="300" t="str">
        <f aca="false">IF(Table122[[#This Row],[Ve]],Table122[[#Headers],[Ve]],"")</f>
        <v/>
      </c>
      <c r="O10" s="300" t="str">
        <f aca="false">IF(Table122[[#This Row],[Ju]],Table122[[#Headers],[Ju]],"")</f>
        <v/>
      </c>
      <c r="P10" s="300" t="str">
        <f aca="false">IF(Table122[[#This Row],[Me]],Table122[[#Headers],[Me]],"")</f>
        <v>Me</v>
      </c>
      <c r="Q10" s="300" t="str">
        <f aca="false">IF(Table122[[#This Row],[Ma]],Table122[[#Headers],[Ma]],"")</f>
        <v/>
      </c>
      <c r="R10" s="300" t="str">
        <f aca="false">IF(Table122[[#This Row],[Mo]],Table122[[#Headers],[Mo]],"")</f>
        <v/>
      </c>
      <c r="S10" s="300" t="str">
        <f aca="false">IF(Table122[[#This Row],[Su]],Table122[[#Headers],[Su]],"")</f>
        <v>Su</v>
      </c>
      <c r="U10" s="309" t="n">
        <v>5</v>
      </c>
      <c r="V10" s="310" t="n">
        <v>21</v>
      </c>
    </row>
    <row r="11" customFormat="false" ht="15" hidden="false" customHeight="false" outlineLevel="0" collapsed="false">
      <c r="A11" s="303" t="n">
        <v>10</v>
      </c>
      <c r="B11" s="301" t="n">
        <f aca="false">MOD(INT($A11/64),2)</f>
        <v>0</v>
      </c>
      <c r="C11" s="301" t="n">
        <f aca="false">MOD(INT($A11/32),2)</f>
        <v>0</v>
      </c>
      <c r="D11" s="301" t="n">
        <f aca="false">MOD(INT($A11/16),2)</f>
        <v>0</v>
      </c>
      <c r="E11" s="301" t="n">
        <f aca="false">MOD(INT($A11/8),2)</f>
        <v>1</v>
      </c>
      <c r="F11" s="301" t="n">
        <f aca="false">MOD(INT($A11/4),2)</f>
        <v>0</v>
      </c>
      <c r="G11" s="301" t="n">
        <f aca="false">MOD(INT($A11/2),2)</f>
        <v>1</v>
      </c>
      <c r="H11" s="301" t="n">
        <f aca="false">MOD(A11,2)</f>
        <v>0</v>
      </c>
      <c r="I11" s="304" t="n">
        <f aca="false">SUM(Table122[[#This Row],[Sat]:[Su]])</f>
        <v>2</v>
      </c>
      <c r="J11" s="300" t="s">
        <v>487</v>
      </c>
      <c r="K11" s="300" t="s">
        <v>485</v>
      </c>
      <c r="L11" s="300" t="str">
        <f aca="false">Table122[[#This Row],[Sat2]]&amp;" "&amp;Table122[[#This Row],[Column2]]&amp;" "&amp;Table122[[#This Row],[Column3]]&amp;" "&amp;Table122[[#This Row],[Column4]]&amp;" "&amp;Table122[[#This Row],[Column5]]&amp;" "&amp;Table122[[#This Row],[Column6]]&amp;" "&amp;Table122[[#This Row],[Column7]]</f>
        <v>   Me  Mo </v>
      </c>
      <c r="M11" s="300" t="str">
        <f aca="false">IF(Table122[[#This Row],[Sat]],Table122[[#Headers],[Sat]],"")</f>
        <v/>
      </c>
      <c r="N11" s="300" t="str">
        <f aca="false">IF(Table122[[#This Row],[Ve]],Table122[[#Headers],[Ve]],"")</f>
        <v/>
      </c>
      <c r="O11" s="300" t="str">
        <f aca="false">IF(Table122[[#This Row],[Ju]],Table122[[#Headers],[Ju]],"")</f>
        <v/>
      </c>
      <c r="P11" s="300" t="str">
        <f aca="false">IF(Table122[[#This Row],[Me]],Table122[[#Headers],[Me]],"")</f>
        <v>Me</v>
      </c>
      <c r="Q11" s="300" t="str">
        <f aca="false">IF(Table122[[#This Row],[Ma]],Table122[[#Headers],[Ma]],"")</f>
        <v/>
      </c>
      <c r="R11" s="300" t="str">
        <f aca="false">IF(Table122[[#This Row],[Mo]],Table122[[#Headers],[Mo]],"")</f>
        <v>Mo</v>
      </c>
      <c r="S11" s="300" t="str">
        <f aca="false">IF(Table122[[#This Row],[Su]],Table122[[#Headers],[Su]],"")</f>
        <v/>
      </c>
      <c r="U11" s="309" t="n">
        <v>6</v>
      </c>
      <c r="V11" s="310" t="n">
        <v>7</v>
      </c>
    </row>
    <row r="12" customFormat="false" ht="15" hidden="true" customHeight="false" outlineLevel="0" collapsed="false">
      <c r="A12" s="303" t="n">
        <v>11</v>
      </c>
      <c r="B12" s="301" t="n">
        <f aca="false">MOD(INT($A12/64),2)</f>
        <v>0</v>
      </c>
      <c r="C12" s="301" t="n">
        <f aca="false">MOD(INT($A12/32),2)</f>
        <v>0</v>
      </c>
      <c r="D12" s="301" t="n">
        <f aca="false">MOD(INT($A12/16),2)</f>
        <v>0</v>
      </c>
      <c r="E12" s="301" t="n">
        <f aca="false">MOD(INT($A12/8),2)</f>
        <v>1</v>
      </c>
      <c r="F12" s="301" t="n">
        <f aca="false">MOD(INT($A12/4),2)</f>
        <v>0</v>
      </c>
      <c r="G12" s="301" t="n">
        <f aca="false">MOD(INT($A12/2),2)</f>
        <v>1</v>
      </c>
      <c r="H12" s="301" t="n">
        <f aca="false">MOD(A12,2)</f>
        <v>1</v>
      </c>
      <c r="I12" s="304" t="n">
        <f aca="false">SUM(Table122[[#This Row],[Sat]:[Su]])</f>
        <v>3</v>
      </c>
      <c r="L12" s="300" t="str">
        <f aca="false">Table122[[#This Row],[Sat2]]&amp;" "&amp;Table122[[#This Row],[Column2]]&amp;" "&amp;Table122[[#This Row],[Column3]]&amp;" "&amp;Table122[[#This Row],[Column4]]&amp;" "&amp;Table122[[#This Row],[Column5]]&amp;" "&amp;Table122[[#This Row],[Column6]]&amp;" "&amp;Table122[[#This Row],[Column7]]</f>
        <v>   Me  Mo Su</v>
      </c>
      <c r="M12" s="300" t="str">
        <f aca="false">IF(Table122[[#This Row],[Sat]],Table122[[#Headers],[Sat]],"")</f>
        <v/>
      </c>
      <c r="N12" s="300" t="str">
        <f aca="false">IF(Table122[[#This Row],[Ve]],Table122[[#Headers],[Ve]],"")</f>
        <v/>
      </c>
      <c r="O12" s="300" t="str">
        <f aca="false">IF(Table122[[#This Row],[Ju]],Table122[[#Headers],[Ju]],"")</f>
        <v/>
      </c>
      <c r="P12" s="300" t="str">
        <f aca="false">IF(Table122[[#This Row],[Me]],Table122[[#Headers],[Me]],"")</f>
        <v>Me</v>
      </c>
      <c r="Q12" s="300" t="str">
        <f aca="false">IF(Table122[[#This Row],[Ma]],Table122[[#Headers],[Ma]],"")</f>
        <v/>
      </c>
      <c r="R12" s="300" t="str">
        <f aca="false">IF(Table122[[#This Row],[Mo]],Table122[[#Headers],[Mo]],"")</f>
        <v>Mo</v>
      </c>
      <c r="S12" s="300" t="str">
        <f aca="false">IF(Table122[[#This Row],[Su]],Table122[[#Headers],[Su]],"")</f>
        <v>Su</v>
      </c>
      <c r="U12" s="309" t="n">
        <v>7</v>
      </c>
      <c r="V12" s="311" t="n">
        <v>1</v>
      </c>
    </row>
    <row r="13" customFormat="false" ht="15" hidden="false" customHeight="false" outlineLevel="0" collapsed="false">
      <c r="A13" s="303" t="n">
        <v>12</v>
      </c>
      <c r="B13" s="301" t="n">
        <f aca="false">MOD(INT($A13/64),2)</f>
        <v>0</v>
      </c>
      <c r="C13" s="301" t="n">
        <f aca="false">MOD(INT($A13/32),2)</f>
        <v>0</v>
      </c>
      <c r="D13" s="301" t="n">
        <f aca="false">MOD(INT($A13/16),2)</f>
        <v>0</v>
      </c>
      <c r="E13" s="301" t="n">
        <f aca="false">MOD(INT($A13/8),2)</f>
        <v>1</v>
      </c>
      <c r="F13" s="301" t="n">
        <f aca="false">MOD(INT($A13/4),2)</f>
        <v>1</v>
      </c>
      <c r="G13" s="301" t="n">
        <f aca="false">MOD(INT($A13/2),2)</f>
        <v>0</v>
      </c>
      <c r="H13" s="301" t="n">
        <f aca="false">MOD(A13,2)</f>
        <v>0</v>
      </c>
      <c r="I13" s="304" t="n">
        <f aca="false">SUM(Table122[[#This Row],[Sat]:[Su]])</f>
        <v>2</v>
      </c>
      <c r="J13" s="300" t="s">
        <v>488</v>
      </c>
      <c r="L13" s="300" t="str">
        <f aca="false">Table122[[#This Row],[Sat2]]&amp;" "&amp;Table122[[#This Row],[Column2]]&amp;" "&amp;Table122[[#This Row],[Column3]]&amp;" "&amp;Table122[[#This Row],[Column4]]&amp;" "&amp;Table122[[#This Row],[Column5]]&amp;" "&amp;Table122[[#This Row],[Column6]]&amp;" "&amp;Table122[[#This Row],[Column7]]</f>
        <v>   Me Ma  </v>
      </c>
      <c r="M13" s="300" t="str">
        <f aca="false">IF(Table122[[#This Row],[Sat]],Table122[[#Headers],[Sat]],"")</f>
        <v/>
      </c>
      <c r="N13" s="300" t="str">
        <f aca="false">IF(Table122[[#This Row],[Ve]],Table122[[#Headers],[Ve]],"")</f>
        <v/>
      </c>
      <c r="O13" s="300" t="str">
        <f aca="false">IF(Table122[[#This Row],[Ju]],Table122[[#Headers],[Ju]],"")</f>
        <v/>
      </c>
      <c r="P13" s="300" t="str">
        <f aca="false">IF(Table122[[#This Row],[Me]],Table122[[#Headers],[Me]],"")</f>
        <v>Me</v>
      </c>
      <c r="Q13" s="300" t="str">
        <f aca="false">IF(Table122[[#This Row],[Ma]],Table122[[#Headers],[Ma]],"")</f>
        <v>Ma</v>
      </c>
      <c r="R13" s="300" t="str">
        <f aca="false">IF(Table122[[#This Row],[Mo]],Table122[[#Headers],[Mo]],"")</f>
        <v/>
      </c>
      <c r="S13" s="300" t="str">
        <f aca="false">IF(Table122[[#This Row],[Su]],Table122[[#Headers],[Su]],"")</f>
        <v/>
      </c>
      <c r="U13" s="312" t="s">
        <v>489</v>
      </c>
      <c r="V13" s="313" t="n">
        <v>127</v>
      </c>
    </row>
    <row r="14" customFormat="false" ht="15" hidden="true" customHeight="false" outlineLevel="0" collapsed="false">
      <c r="A14" s="303" t="n">
        <v>13</v>
      </c>
      <c r="B14" s="301" t="n">
        <f aca="false">MOD(INT($A14/64),2)</f>
        <v>0</v>
      </c>
      <c r="C14" s="301" t="n">
        <f aca="false">MOD(INT($A14/32),2)</f>
        <v>0</v>
      </c>
      <c r="D14" s="301" t="n">
        <f aca="false">MOD(INT($A14/16),2)</f>
        <v>0</v>
      </c>
      <c r="E14" s="301" t="n">
        <f aca="false">MOD(INT($A14/8),2)</f>
        <v>1</v>
      </c>
      <c r="F14" s="301" t="n">
        <f aca="false">MOD(INT($A14/4),2)</f>
        <v>1</v>
      </c>
      <c r="G14" s="301" t="n">
        <f aca="false">MOD(INT($A14/2),2)</f>
        <v>0</v>
      </c>
      <c r="H14" s="301" t="n">
        <f aca="false">MOD(A14,2)</f>
        <v>1</v>
      </c>
      <c r="I14" s="304" t="n">
        <f aca="false">SUM(Table122[[#This Row],[Sat]:[Su]])</f>
        <v>3</v>
      </c>
      <c r="L14" s="300" t="str">
        <f aca="false">Table122[[#This Row],[Sat2]]&amp;" "&amp;Table122[[#This Row],[Column2]]&amp;" "&amp;Table122[[#This Row],[Column3]]&amp;" "&amp;Table122[[#This Row],[Column4]]&amp;" "&amp;Table122[[#This Row],[Column5]]&amp;" "&amp;Table122[[#This Row],[Column6]]&amp;" "&amp;Table122[[#This Row],[Column7]]</f>
        <v>   Me Ma  Su</v>
      </c>
      <c r="M14" s="300" t="str">
        <f aca="false">IF(Table122[[#This Row],[Sat]],Table122[[#Headers],[Sat]],"")</f>
        <v/>
      </c>
      <c r="N14" s="300" t="str">
        <f aca="false">IF(Table122[[#This Row],[Ve]],Table122[[#Headers],[Ve]],"")</f>
        <v/>
      </c>
      <c r="O14" s="300" t="str">
        <f aca="false">IF(Table122[[#This Row],[Ju]],Table122[[#Headers],[Ju]],"")</f>
        <v/>
      </c>
      <c r="P14" s="300" t="str">
        <f aca="false">IF(Table122[[#This Row],[Me]],Table122[[#Headers],[Me]],"")</f>
        <v>Me</v>
      </c>
      <c r="Q14" s="300" t="str">
        <f aca="false">IF(Table122[[#This Row],[Ma]],Table122[[#Headers],[Ma]],"")</f>
        <v>Ma</v>
      </c>
      <c r="R14" s="300" t="str">
        <f aca="false">IF(Table122[[#This Row],[Mo]],Table122[[#Headers],[Mo]],"")</f>
        <v/>
      </c>
      <c r="S14" s="300" t="str">
        <f aca="false">IF(Table122[[#This Row],[Su]],Table122[[#Headers],[Su]],"")</f>
        <v>Su</v>
      </c>
    </row>
    <row r="15" customFormat="false" ht="15" hidden="true" customHeight="false" outlineLevel="0" collapsed="false">
      <c r="A15" s="303" t="n">
        <v>14</v>
      </c>
      <c r="B15" s="301" t="n">
        <f aca="false">MOD(INT($A15/64),2)</f>
        <v>0</v>
      </c>
      <c r="C15" s="301" t="n">
        <f aca="false">MOD(INT($A15/32),2)</f>
        <v>0</v>
      </c>
      <c r="D15" s="301" t="n">
        <f aca="false">MOD(INT($A15/16),2)</f>
        <v>0</v>
      </c>
      <c r="E15" s="301" t="n">
        <f aca="false">MOD(INT($A15/8),2)</f>
        <v>1</v>
      </c>
      <c r="F15" s="301" t="n">
        <f aca="false">MOD(INT($A15/4),2)</f>
        <v>1</v>
      </c>
      <c r="G15" s="301" t="n">
        <f aca="false">MOD(INT($A15/2),2)</f>
        <v>1</v>
      </c>
      <c r="H15" s="301" t="n">
        <f aca="false">MOD(A15,2)</f>
        <v>0</v>
      </c>
      <c r="I15" s="304" t="n">
        <f aca="false">SUM(Table122[[#This Row],[Sat]:[Su]])</f>
        <v>3</v>
      </c>
      <c r="L15" s="300" t="str">
        <f aca="false">Table122[[#This Row],[Sat2]]&amp;" "&amp;Table122[[#This Row],[Column2]]&amp;" "&amp;Table122[[#This Row],[Column3]]&amp;" "&amp;Table122[[#This Row],[Column4]]&amp;" "&amp;Table122[[#This Row],[Column5]]&amp;" "&amp;Table122[[#This Row],[Column6]]&amp;" "&amp;Table122[[#This Row],[Column7]]</f>
        <v>   Me Ma Mo </v>
      </c>
      <c r="M15" s="300" t="str">
        <f aca="false">IF(Table122[[#This Row],[Sat]],Table122[[#Headers],[Sat]],"")</f>
        <v/>
      </c>
      <c r="N15" s="300" t="str">
        <f aca="false">IF(Table122[[#This Row],[Ve]],Table122[[#Headers],[Ve]],"")</f>
        <v/>
      </c>
      <c r="O15" s="300" t="str">
        <f aca="false">IF(Table122[[#This Row],[Ju]],Table122[[#Headers],[Ju]],"")</f>
        <v/>
      </c>
      <c r="P15" s="300" t="str">
        <f aca="false">IF(Table122[[#This Row],[Me]],Table122[[#Headers],[Me]],"")</f>
        <v>Me</v>
      </c>
      <c r="Q15" s="300" t="str">
        <f aca="false">IF(Table122[[#This Row],[Ma]],Table122[[#Headers],[Ma]],"")</f>
        <v>Ma</v>
      </c>
      <c r="R15" s="300" t="str">
        <f aca="false">IF(Table122[[#This Row],[Mo]],Table122[[#Headers],[Mo]],"")</f>
        <v>Mo</v>
      </c>
      <c r="S15" s="300" t="str">
        <f aca="false">IF(Table122[[#This Row],[Su]],Table122[[#Headers],[Su]],"")</f>
        <v/>
      </c>
    </row>
    <row r="16" customFormat="false" ht="15" hidden="true" customHeight="false" outlineLevel="0" collapsed="false">
      <c r="A16" s="303" t="n">
        <v>15</v>
      </c>
      <c r="B16" s="301" t="n">
        <f aca="false">MOD(INT($A16/64),2)</f>
        <v>0</v>
      </c>
      <c r="C16" s="301" t="n">
        <f aca="false">MOD(INT($A16/32),2)</f>
        <v>0</v>
      </c>
      <c r="D16" s="301" t="n">
        <f aca="false">MOD(INT($A16/16),2)</f>
        <v>0</v>
      </c>
      <c r="E16" s="301" t="n">
        <f aca="false">MOD(INT($A16/8),2)</f>
        <v>1</v>
      </c>
      <c r="F16" s="301" t="n">
        <f aca="false">MOD(INT($A16/4),2)</f>
        <v>1</v>
      </c>
      <c r="G16" s="301" t="n">
        <f aca="false">MOD(INT($A16/2),2)</f>
        <v>1</v>
      </c>
      <c r="H16" s="301" t="n">
        <f aca="false">MOD(A16,2)</f>
        <v>1</v>
      </c>
      <c r="I16" s="304" t="n">
        <f aca="false">SUM(Table122[[#This Row],[Sat]:[Su]])</f>
        <v>4</v>
      </c>
      <c r="J16" s="300" t="s">
        <v>490</v>
      </c>
      <c r="K16" s="300" t="s">
        <v>491</v>
      </c>
      <c r="L16" s="300" t="str">
        <f aca="false">Table122[[#This Row],[Sat2]]&amp;" "&amp;Table122[[#This Row],[Column2]]&amp;" "&amp;Table122[[#This Row],[Column3]]&amp;" "&amp;Table122[[#This Row],[Column4]]&amp;" "&amp;Table122[[#This Row],[Column5]]&amp;" "&amp;Table122[[#This Row],[Column6]]&amp;" "&amp;Table122[[#This Row],[Column7]]</f>
        <v>   Me Ma Mo Su</v>
      </c>
      <c r="M16" s="300" t="str">
        <f aca="false">IF(Table122[[#This Row],[Sat]],Table122[[#Headers],[Sat]],"")</f>
        <v/>
      </c>
      <c r="N16" s="300" t="str">
        <f aca="false">IF(Table122[[#This Row],[Ve]],Table122[[#Headers],[Ve]],"")</f>
        <v/>
      </c>
      <c r="O16" s="300" t="str">
        <f aca="false">IF(Table122[[#This Row],[Ju]],Table122[[#Headers],[Ju]],"")</f>
        <v/>
      </c>
      <c r="P16" s="300" t="str">
        <f aca="false">IF(Table122[[#This Row],[Me]],Table122[[#Headers],[Me]],"")</f>
        <v>Me</v>
      </c>
      <c r="Q16" s="300" t="str">
        <f aca="false">IF(Table122[[#This Row],[Ma]],Table122[[#Headers],[Ma]],"")</f>
        <v>Ma</v>
      </c>
      <c r="R16" s="300" t="str">
        <f aca="false">IF(Table122[[#This Row],[Mo]],Table122[[#Headers],[Mo]],"")</f>
        <v>Mo</v>
      </c>
      <c r="S16" s="300" t="str">
        <f aca="false">IF(Table122[[#This Row],[Su]],Table122[[#Headers],[Su]],"")</f>
        <v>Su</v>
      </c>
    </row>
    <row r="17" customFormat="false" ht="15" hidden="true" customHeight="false" outlineLevel="0" collapsed="false">
      <c r="A17" s="303" t="n">
        <v>16</v>
      </c>
      <c r="B17" s="301" t="n">
        <f aca="false">MOD(INT($A17/64),2)</f>
        <v>0</v>
      </c>
      <c r="C17" s="301" t="n">
        <f aca="false">MOD(INT($A17/32),2)</f>
        <v>0</v>
      </c>
      <c r="D17" s="301" t="n">
        <f aca="false">MOD(INT($A17/16),2)</f>
        <v>1</v>
      </c>
      <c r="E17" s="301" t="n">
        <f aca="false">MOD(INT($A17/8),2)</f>
        <v>0</v>
      </c>
      <c r="F17" s="301" t="n">
        <f aca="false">MOD(INT($A17/4),2)</f>
        <v>0</v>
      </c>
      <c r="G17" s="301" t="n">
        <f aca="false">MOD(INT($A17/2),2)</f>
        <v>0</v>
      </c>
      <c r="H17" s="301" t="n">
        <f aca="false">MOD(A17,2)</f>
        <v>0</v>
      </c>
      <c r="I17" s="304" t="n">
        <f aca="false">SUM(Table122[[#This Row],[Sat]:[Su]])</f>
        <v>1</v>
      </c>
      <c r="L17" s="300" t="str">
        <f aca="false">Table122[[#This Row],[Sat2]]&amp;" "&amp;Table122[[#This Row],[Column2]]&amp;" "&amp;Table122[[#This Row],[Column3]]&amp;" "&amp;Table122[[#This Row],[Column4]]&amp;" "&amp;Table122[[#This Row],[Column5]]&amp;" "&amp;Table122[[#This Row],[Column6]]&amp;" "&amp;Table122[[#This Row],[Column7]]</f>
        <v>  Ju    </v>
      </c>
      <c r="M17" s="300" t="str">
        <f aca="false">IF(Table122[[#This Row],[Sat]],Table122[[#Headers],[Sat]],"")</f>
        <v/>
      </c>
      <c r="N17" s="300" t="str">
        <f aca="false">IF(Table122[[#This Row],[Ve]],Table122[[#Headers],[Ve]],"")</f>
        <v/>
      </c>
      <c r="O17" s="300" t="str">
        <f aca="false">IF(Table122[[#This Row],[Ju]],Table122[[#Headers],[Ju]],"")</f>
        <v>Ju</v>
      </c>
      <c r="P17" s="300" t="str">
        <f aca="false">IF(Table122[[#This Row],[Me]],Table122[[#Headers],[Me]],"")</f>
        <v/>
      </c>
      <c r="Q17" s="300" t="str">
        <f aca="false">IF(Table122[[#This Row],[Ma]],Table122[[#Headers],[Ma]],"")</f>
        <v/>
      </c>
      <c r="R17" s="300" t="str">
        <f aca="false">IF(Table122[[#This Row],[Mo]],Table122[[#Headers],[Mo]],"")</f>
        <v/>
      </c>
      <c r="S17" s="300" t="str">
        <f aca="false">IF(Table122[[#This Row],[Su]],Table122[[#Headers],[Su]],"")</f>
        <v/>
      </c>
    </row>
    <row r="18" customFormat="false" ht="15" hidden="false" customHeight="false" outlineLevel="0" collapsed="false">
      <c r="A18" s="303" t="n">
        <v>17</v>
      </c>
      <c r="B18" s="301" t="n">
        <f aca="false">MOD(INT($A18/64),2)</f>
        <v>0</v>
      </c>
      <c r="C18" s="301" t="n">
        <f aca="false">MOD(INT($A18/32),2)</f>
        <v>0</v>
      </c>
      <c r="D18" s="301" t="n">
        <f aca="false">MOD(INT($A18/16),2)</f>
        <v>1</v>
      </c>
      <c r="E18" s="301" t="n">
        <f aca="false">MOD(INT($A18/8),2)</f>
        <v>0</v>
      </c>
      <c r="F18" s="301" t="n">
        <f aca="false">MOD(INT($A18/4),2)</f>
        <v>0</v>
      </c>
      <c r="G18" s="301" t="n">
        <f aca="false">MOD(INT($A18/2),2)</f>
        <v>0</v>
      </c>
      <c r="H18" s="301" t="n">
        <f aca="false">MOD(A18,2)</f>
        <v>1</v>
      </c>
      <c r="I18" s="304" t="n">
        <f aca="false">SUM(Table122[[#This Row],[Sat]:[Su]])</f>
        <v>2</v>
      </c>
      <c r="J18" s="300" t="s">
        <v>492</v>
      </c>
      <c r="K18" s="300" t="s">
        <v>481</v>
      </c>
      <c r="L18" s="300" t="str">
        <f aca="false">Table122[[#This Row],[Sat2]]&amp;" "&amp;Table122[[#This Row],[Column2]]&amp;" "&amp;Table122[[#This Row],[Column3]]&amp;" "&amp;Table122[[#This Row],[Column4]]&amp;" "&amp;Table122[[#This Row],[Column5]]&amp;" "&amp;Table122[[#This Row],[Column6]]&amp;" "&amp;Table122[[#This Row],[Column7]]</f>
        <v>  Ju    Su</v>
      </c>
      <c r="M18" s="300" t="str">
        <f aca="false">IF(Table122[[#This Row],[Sat]],Table122[[#Headers],[Sat]],"")</f>
        <v/>
      </c>
      <c r="N18" s="300" t="str">
        <f aca="false">IF(Table122[[#This Row],[Ve]],Table122[[#Headers],[Ve]],"")</f>
        <v/>
      </c>
      <c r="O18" s="300" t="str">
        <f aca="false">IF(Table122[[#This Row],[Ju]],Table122[[#Headers],[Ju]],"")</f>
        <v>Ju</v>
      </c>
      <c r="P18" s="300" t="str">
        <f aca="false">IF(Table122[[#This Row],[Me]],Table122[[#Headers],[Me]],"")</f>
        <v/>
      </c>
      <c r="Q18" s="300" t="str">
        <f aca="false">IF(Table122[[#This Row],[Ma]],Table122[[#Headers],[Ma]],"")</f>
        <v/>
      </c>
      <c r="R18" s="300" t="str">
        <f aca="false">IF(Table122[[#This Row],[Mo]],Table122[[#Headers],[Mo]],"")</f>
        <v/>
      </c>
      <c r="S18" s="300" t="str">
        <f aca="false">IF(Table122[[#This Row],[Su]],Table122[[#Headers],[Su]],"")</f>
        <v>Su</v>
      </c>
    </row>
    <row r="19" customFormat="false" ht="15" hidden="false" customHeight="false" outlineLevel="0" collapsed="false">
      <c r="A19" s="303" t="n">
        <v>18</v>
      </c>
      <c r="B19" s="301" t="n">
        <f aca="false">MOD(INT($A19/64),2)</f>
        <v>0</v>
      </c>
      <c r="C19" s="301" t="n">
        <f aca="false">MOD(INT($A19/32),2)</f>
        <v>0</v>
      </c>
      <c r="D19" s="301" t="n">
        <f aca="false">MOD(INT($A19/16),2)</f>
        <v>1</v>
      </c>
      <c r="E19" s="301" t="n">
        <f aca="false">MOD(INT($A19/8),2)</f>
        <v>0</v>
      </c>
      <c r="F19" s="301" t="n">
        <f aca="false">MOD(INT($A19/4),2)</f>
        <v>0</v>
      </c>
      <c r="G19" s="301" t="n">
        <f aca="false">MOD(INT($A19/2),2)</f>
        <v>1</v>
      </c>
      <c r="H19" s="301" t="n">
        <f aca="false">MOD(A19,2)</f>
        <v>0</v>
      </c>
      <c r="I19" s="304" t="n">
        <f aca="false">SUM(Table122[[#This Row],[Sat]:[Su]])</f>
        <v>2</v>
      </c>
      <c r="J19" s="300" t="s">
        <v>493</v>
      </c>
      <c r="K19" s="300" t="s">
        <v>494</v>
      </c>
      <c r="L19" s="300" t="str">
        <f aca="false">Table122[[#This Row],[Sat2]]&amp;" "&amp;Table122[[#This Row],[Column2]]&amp;" "&amp;Table122[[#This Row],[Column3]]&amp;" "&amp;Table122[[#This Row],[Column4]]&amp;" "&amp;Table122[[#This Row],[Column5]]&amp;" "&amp;Table122[[#This Row],[Column6]]&amp;" "&amp;Table122[[#This Row],[Column7]]</f>
        <v>  Ju   Mo </v>
      </c>
      <c r="M19" s="300" t="str">
        <f aca="false">IF(Table122[[#This Row],[Sat]],Table122[[#Headers],[Sat]],"")</f>
        <v/>
      </c>
      <c r="N19" s="300" t="str">
        <f aca="false">IF(Table122[[#This Row],[Ve]],Table122[[#Headers],[Ve]],"")</f>
        <v/>
      </c>
      <c r="O19" s="300" t="str">
        <f aca="false">IF(Table122[[#This Row],[Ju]],Table122[[#Headers],[Ju]],"")</f>
        <v>Ju</v>
      </c>
      <c r="P19" s="300" t="str">
        <f aca="false">IF(Table122[[#This Row],[Me]],Table122[[#Headers],[Me]],"")</f>
        <v/>
      </c>
      <c r="Q19" s="300" t="str">
        <f aca="false">IF(Table122[[#This Row],[Ma]],Table122[[#Headers],[Ma]],"")</f>
        <v/>
      </c>
      <c r="R19" s="300" t="str">
        <f aca="false">IF(Table122[[#This Row],[Mo]],Table122[[#Headers],[Mo]],"")</f>
        <v>Mo</v>
      </c>
      <c r="S19" s="300" t="str">
        <f aca="false">IF(Table122[[#This Row],[Su]],Table122[[#Headers],[Su]],"")</f>
        <v/>
      </c>
    </row>
    <row r="20" customFormat="false" ht="15" hidden="true" customHeight="false" outlineLevel="0" collapsed="false">
      <c r="A20" s="303" t="n">
        <v>19</v>
      </c>
      <c r="B20" s="301" t="n">
        <f aca="false">MOD(INT($A20/64),2)</f>
        <v>0</v>
      </c>
      <c r="C20" s="301" t="n">
        <f aca="false">MOD(INT($A20/32),2)</f>
        <v>0</v>
      </c>
      <c r="D20" s="301" t="n">
        <f aca="false">MOD(INT($A20/16),2)</f>
        <v>1</v>
      </c>
      <c r="E20" s="301" t="n">
        <f aca="false">MOD(INT($A20/8),2)</f>
        <v>0</v>
      </c>
      <c r="F20" s="301" t="n">
        <f aca="false">MOD(INT($A20/4),2)</f>
        <v>0</v>
      </c>
      <c r="G20" s="301" t="n">
        <f aca="false">MOD(INT($A20/2),2)</f>
        <v>1</v>
      </c>
      <c r="H20" s="301" t="n">
        <f aca="false">MOD(A20,2)</f>
        <v>1</v>
      </c>
      <c r="I20" s="304" t="n">
        <f aca="false">SUM(Table122[[#This Row],[Sat]:[Su]])</f>
        <v>3</v>
      </c>
      <c r="L20" s="300" t="str">
        <f aca="false">Table122[[#This Row],[Sat2]]&amp;" "&amp;Table122[[#This Row],[Column2]]&amp;" "&amp;Table122[[#This Row],[Column3]]&amp;" "&amp;Table122[[#This Row],[Column4]]&amp;" "&amp;Table122[[#This Row],[Column5]]&amp;" "&amp;Table122[[#This Row],[Column6]]&amp;" "&amp;Table122[[#This Row],[Column7]]</f>
        <v>  Ju   Mo Su</v>
      </c>
      <c r="M20" s="300" t="str">
        <f aca="false">IF(Table122[[#This Row],[Sat]],Table122[[#Headers],[Sat]],"")</f>
        <v/>
      </c>
      <c r="N20" s="300" t="str">
        <f aca="false">IF(Table122[[#This Row],[Ve]],Table122[[#Headers],[Ve]],"")</f>
        <v/>
      </c>
      <c r="O20" s="300" t="str">
        <f aca="false">IF(Table122[[#This Row],[Ju]],Table122[[#Headers],[Ju]],"")</f>
        <v>Ju</v>
      </c>
      <c r="P20" s="300" t="str">
        <f aca="false">IF(Table122[[#This Row],[Me]],Table122[[#Headers],[Me]],"")</f>
        <v/>
      </c>
      <c r="Q20" s="300" t="str">
        <f aca="false">IF(Table122[[#This Row],[Ma]],Table122[[#Headers],[Ma]],"")</f>
        <v/>
      </c>
      <c r="R20" s="300" t="str">
        <f aca="false">IF(Table122[[#This Row],[Mo]],Table122[[#Headers],[Mo]],"")</f>
        <v>Mo</v>
      </c>
      <c r="S20" s="300" t="str">
        <f aca="false">IF(Table122[[#This Row],[Su]],Table122[[#Headers],[Su]],"")</f>
        <v>Su</v>
      </c>
    </row>
    <row r="21" customFormat="false" ht="15" hidden="false" customHeight="false" outlineLevel="0" collapsed="false">
      <c r="A21" s="303" t="n">
        <v>20</v>
      </c>
      <c r="B21" s="301" t="n">
        <f aca="false">MOD(INT($A21/64),2)</f>
        <v>0</v>
      </c>
      <c r="C21" s="301" t="n">
        <f aca="false">MOD(INT($A21/32),2)</f>
        <v>0</v>
      </c>
      <c r="D21" s="301" t="n">
        <f aca="false">MOD(INT($A21/16),2)</f>
        <v>1</v>
      </c>
      <c r="E21" s="301" t="n">
        <f aca="false">MOD(INT($A21/8),2)</f>
        <v>0</v>
      </c>
      <c r="F21" s="301" t="n">
        <f aca="false">MOD(INT($A21/4),2)</f>
        <v>1</v>
      </c>
      <c r="G21" s="301" t="n">
        <f aca="false">MOD(INT($A21/2),2)</f>
        <v>0</v>
      </c>
      <c r="H21" s="301" t="n">
        <f aca="false">MOD(A21,2)</f>
        <v>0</v>
      </c>
      <c r="I21" s="304" t="n">
        <f aca="false">SUM(Table122[[#This Row],[Sat]:[Su]])</f>
        <v>2</v>
      </c>
      <c r="L21" s="300" t="str">
        <f aca="false">Table122[[#This Row],[Sat2]]&amp;" "&amp;Table122[[#This Row],[Column2]]&amp;" "&amp;Table122[[#This Row],[Column3]]&amp;" "&amp;Table122[[#This Row],[Column4]]&amp;" "&amp;Table122[[#This Row],[Column5]]&amp;" "&amp;Table122[[#This Row],[Column6]]&amp;" "&amp;Table122[[#This Row],[Column7]]</f>
        <v>  Ju  Ma  </v>
      </c>
      <c r="M21" s="300" t="str">
        <f aca="false">IF(Table122[[#This Row],[Sat]],Table122[[#Headers],[Sat]],"")</f>
        <v/>
      </c>
      <c r="N21" s="300" t="str">
        <f aca="false">IF(Table122[[#This Row],[Ve]],Table122[[#Headers],[Ve]],"")</f>
        <v/>
      </c>
      <c r="O21" s="300" t="str">
        <f aca="false">IF(Table122[[#This Row],[Ju]],Table122[[#Headers],[Ju]],"")</f>
        <v>Ju</v>
      </c>
      <c r="P21" s="300" t="str">
        <f aca="false">IF(Table122[[#This Row],[Me]],Table122[[#Headers],[Me]],"")</f>
        <v/>
      </c>
      <c r="Q21" s="300" t="str">
        <f aca="false">IF(Table122[[#This Row],[Ma]],Table122[[#Headers],[Ma]],"")</f>
        <v>Ma</v>
      </c>
      <c r="R21" s="300" t="str">
        <f aca="false">IF(Table122[[#This Row],[Mo]],Table122[[#Headers],[Mo]],"")</f>
        <v/>
      </c>
      <c r="S21" s="300" t="str">
        <f aca="false">IF(Table122[[#This Row],[Su]],Table122[[#Headers],[Su]],"")</f>
        <v/>
      </c>
    </row>
    <row r="22" customFormat="false" ht="15" hidden="true" customHeight="false" outlineLevel="0" collapsed="false">
      <c r="A22" s="303" t="n">
        <v>21</v>
      </c>
      <c r="B22" s="301" t="n">
        <f aca="false">MOD(INT($A22/64),2)</f>
        <v>0</v>
      </c>
      <c r="C22" s="301" t="n">
        <f aca="false">MOD(INT($A22/32),2)</f>
        <v>0</v>
      </c>
      <c r="D22" s="301" t="n">
        <f aca="false">MOD(INT($A22/16),2)</f>
        <v>1</v>
      </c>
      <c r="E22" s="301" t="n">
        <f aca="false">MOD(INT($A22/8),2)</f>
        <v>0</v>
      </c>
      <c r="F22" s="301" t="n">
        <f aca="false">MOD(INT($A22/4),2)</f>
        <v>1</v>
      </c>
      <c r="G22" s="301" t="n">
        <f aca="false">MOD(INT($A22/2),2)</f>
        <v>0</v>
      </c>
      <c r="H22" s="301" t="n">
        <f aca="false">MOD(A22,2)</f>
        <v>1</v>
      </c>
      <c r="I22" s="304" t="n">
        <f aca="false">SUM(Table122[[#This Row],[Sat]:[Su]])</f>
        <v>3</v>
      </c>
      <c r="L22" s="300" t="str">
        <f aca="false">Table122[[#This Row],[Sat2]]&amp;" "&amp;Table122[[#This Row],[Column2]]&amp;" "&amp;Table122[[#This Row],[Column3]]&amp;" "&amp;Table122[[#This Row],[Column4]]&amp;" "&amp;Table122[[#This Row],[Column5]]&amp;" "&amp;Table122[[#This Row],[Column6]]&amp;" "&amp;Table122[[#This Row],[Column7]]</f>
        <v>  Ju  Ma  Su</v>
      </c>
      <c r="M22" s="300" t="str">
        <f aca="false">IF(Table122[[#This Row],[Sat]],Table122[[#Headers],[Sat]],"")</f>
        <v/>
      </c>
      <c r="N22" s="300" t="str">
        <f aca="false">IF(Table122[[#This Row],[Ve]],Table122[[#Headers],[Ve]],"")</f>
        <v/>
      </c>
      <c r="O22" s="300" t="str">
        <f aca="false">IF(Table122[[#This Row],[Ju]],Table122[[#Headers],[Ju]],"")</f>
        <v>Ju</v>
      </c>
      <c r="P22" s="300" t="str">
        <f aca="false">IF(Table122[[#This Row],[Me]],Table122[[#Headers],[Me]],"")</f>
        <v/>
      </c>
      <c r="Q22" s="300" t="str">
        <f aca="false">IF(Table122[[#This Row],[Ma]],Table122[[#Headers],[Ma]],"")</f>
        <v>Ma</v>
      </c>
      <c r="R22" s="300" t="str">
        <f aca="false">IF(Table122[[#This Row],[Mo]],Table122[[#Headers],[Mo]],"")</f>
        <v/>
      </c>
      <c r="S22" s="300" t="str">
        <f aca="false">IF(Table122[[#This Row],[Su]],Table122[[#Headers],[Su]],"")</f>
        <v>Su</v>
      </c>
    </row>
    <row r="23" customFormat="false" ht="15" hidden="true" customHeight="false" outlineLevel="0" collapsed="false">
      <c r="A23" s="303" t="n">
        <v>22</v>
      </c>
      <c r="B23" s="301" t="n">
        <f aca="false">MOD(INT($A23/64),2)</f>
        <v>0</v>
      </c>
      <c r="C23" s="301" t="n">
        <f aca="false">MOD(INT($A23/32),2)</f>
        <v>0</v>
      </c>
      <c r="D23" s="301" t="n">
        <f aca="false">MOD(INT($A23/16),2)</f>
        <v>1</v>
      </c>
      <c r="E23" s="301" t="n">
        <f aca="false">MOD(INT($A23/8),2)</f>
        <v>0</v>
      </c>
      <c r="F23" s="301" t="n">
        <f aca="false">MOD(INT($A23/4),2)</f>
        <v>1</v>
      </c>
      <c r="G23" s="301" t="n">
        <f aca="false">MOD(INT($A23/2),2)</f>
        <v>1</v>
      </c>
      <c r="H23" s="301" t="n">
        <f aca="false">MOD(A23,2)</f>
        <v>0</v>
      </c>
      <c r="I23" s="304" t="n">
        <f aca="false">SUM(Table122[[#This Row],[Sat]:[Su]])</f>
        <v>3</v>
      </c>
      <c r="L23" s="300" t="str">
        <f aca="false">Table122[[#This Row],[Sat2]]&amp;" "&amp;Table122[[#This Row],[Column2]]&amp;" "&amp;Table122[[#This Row],[Column3]]&amp;" "&amp;Table122[[#This Row],[Column4]]&amp;" "&amp;Table122[[#This Row],[Column5]]&amp;" "&amp;Table122[[#This Row],[Column6]]&amp;" "&amp;Table122[[#This Row],[Column7]]</f>
        <v>  Ju  Ma Mo </v>
      </c>
      <c r="M23" s="300" t="str">
        <f aca="false">IF(Table122[[#This Row],[Sat]],Table122[[#Headers],[Sat]],"")</f>
        <v/>
      </c>
      <c r="N23" s="300" t="str">
        <f aca="false">IF(Table122[[#This Row],[Ve]],Table122[[#Headers],[Ve]],"")</f>
        <v/>
      </c>
      <c r="O23" s="300" t="str">
        <f aca="false">IF(Table122[[#This Row],[Ju]],Table122[[#Headers],[Ju]],"")</f>
        <v>Ju</v>
      </c>
      <c r="P23" s="300" t="str">
        <f aca="false">IF(Table122[[#This Row],[Me]],Table122[[#Headers],[Me]],"")</f>
        <v/>
      </c>
      <c r="Q23" s="300" t="str">
        <f aca="false">IF(Table122[[#This Row],[Ma]],Table122[[#Headers],[Ma]],"")</f>
        <v>Ma</v>
      </c>
      <c r="R23" s="300" t="str">
        <f aca="false">IF(Table122[[#This Row],[Mo]],Table122[[#Headers],[Mo]],"")</f>
        <v>Mo</v>
      </c>
      <c r="S23" s="300" t="str">
        <f aca="false">IF(Table122[[#This Row],[Su]],Table122[[#Headers],[Su]],"")</f>
        <v/>
      </c>
    </row>
    <row r="24" customFormat="false" ht="15" hidden="true" customHeight="false" outlineLevel="0" collapsed="false">
      <c r="A24" s="303" t="n">
        <v>23</v>
      </c>
      <c r="B24" s="301" t="n">
        <f aca="false">MOD(INT($A24/64),2)</f>
        <v>0</v>
      </c>
      <c r="C24" s="301" t="n">
        <f aca="false">MOD(INT($A24/32),2)</f>
        <v>0</v>
      </c>
      <c r="D24" s="301" t="n">
        <f aca="false">MOD(INT($A24/16),2)</f>
        <v>1</v>
      </c>
      <c r="E24" s="301" t="n">
        <f aca="false">MOD(INT($A24/8),2)</f>
        <v>0</v>
      </c>
      <c r="F24" s="301" t="n">
        <f aca="false">MOD(INT($A24/4),2)</f>
        <v>1</v>
      </c>
      <c r="G24" s="301" t="n">
        <f aca="false">MOD(INT($A24/2),2)</f>
        <v>1</v>
      </c>
      <c r="H24" s="301" t="n">
        <f aca="false">MOD(A24,2)</f>
        <v>1</v>
      </c>
      <c r="I24" s="304" t="n">
        <f aca="false">SUM(Table122[[#This Row],[Sat]:[Su]])</f>
        <v>4</v>
      </c>
      <c r="L24" s="300" t="str">
        <f aca="false">Table122[[#This Row],[Sat2]]&amp;" "&amp;Table122[[#This Row],[Column2]]&amp;" "&amp;Table122[[#This Row],[Column3]]&amp;" "&amp;Table122[[#This Row],[Column4]]&amp;" "&amp;Table122[[#This Row],[Column5]]&amp;" "&amp;Table122[[#This Row],[Column6]]&amp;" "&amp;Table122[[#This Row],[Column7]]</f>
        <v>  Ju  Ma Mo Su</v>
      </c>
      <c r="M24" s="300" t="str">
        <f aca="false">IF(Table122[[#This Row],[Sat]],Table122[[#Headers],[Sat]],"")</f>
        <v/>
      </c>
      <c r="N24" s="300" t="str">
        <f aca="false">IF(Table122[[#This Row],[Ve]],Table122[[#Headers],[Ve]],"")</f>
        <v/>
      </c>
      <c r="O24" s="300" t="str">
        <f aca="false">IF(Table122[[#This Row],[Ju]],Table122[[#Headers],[Ju]],"")</f>
        <v>Ju</v>
      </c>
      <c r="P24" s="300" t="str">
        <f aca="false">IF(Table122[[#This Row],[Me]],Table122[[#Headers],[Me]],"")</f>
        <v/>
      </c>
      <c r="Q24" s="300" t="str">
        <f aca="false">IF(Table122[[#This Row],[Ma]],Table122[[#Headers],[Ma]],"")</f>
        <v>Ma</v>
      </c>
      <c r="R24" s="300" t="str">
        <f aca="false">IF(Table122[[#This Row],[Mo]],Table122[[#Headers],[Mo]],"")</f>
        <v>Mo</v>
      </c>
      <c r="S24" s="300" t="str">
        <f aca="false">IF(Table122[[#This Row],[Su]],Table122[[#Headers],[Su]],"")</f>
        <v>Su</v>
      </c>
    </row>
    <row r="25" customFormat="false" ht="15" hidden="false" customHeight="false" outlineLevel="0" collapsed="false">
      <c r="A25" s="303" t="n">
        <v>24</v>
      </c>
      <c r="B25" s="301" t="n">
        <f aca="false">MOD(INT($A25/64),2)</f>
        <v>0</v>
      </c>
      <c r="C25" s="301" t="n">
        <f aca="false">MOD(INT($A25/32),2)</f>
        <v>0</v>
      </c>
      <c r="D25" s="301" t="n">
        <f aca="false">MOD(INT($A25/16),2)</f>
        <v>1</v>
      </c>
      <c r="E25" s="301" t="n">
        <f aca="false">MOD(INT($A25/8),2)</f>
        <v>1</v>
      </c>
      <c r="F25" s="301" t="n">
        <f aca="false">MOD(INT($A25/4),2)</f>
        <v>0</v>
      </c>
      <c r="G25" s="301" t="n">
        <f aca="false">MOD(INT($A25/2),2)</f>
        <v>0</v>
      </c>
      <c r="H25" s="301" t="n">
        <f aca="false">MOD(A25,2)</f>
        <v>0</v>
      </c>
      <c r="I25" s="304" t="n">
        <f aca="false">SUM(Table122[[#This Row],[Sat]:[Su]])</f>
        <v>2</v>
      </c>
      <c r="L25" s="300" t="str">
        <f aca="false">Table122[[#This Row],[Sat2]]&amp;" "&amp;Table122[[#This Row],[Column2]]&amp;" "&amp;Table122[[#This Row],[Column3]]&amp;" "&amp;Table122[[#This Row],[Column4]]&amp;" "&amp;Table122[[#This Row],[Column5]]&amp;" "&amp;Table122[[#This Row],[Column6]]&amp;" "&amp;Table122[[#This Row],[Column7]]</f>
        <v>  Ju Me   </v>
      </c>
      <c r="M25" s="300" t="str">
        <f aca="false">IF(Table122[[#This Row],[Sat]],Table122[[#Headers],[Sat]],"")</f>
        <v/>
      </c>
      <c r="N25" s="300" t="str">
        <f aca="false">IF(Table122[[#This Row],[Ve]],Table122[[#Headers],[Ve]],"")</f>
        <v/>
      </c>
      <c r="O25" s="300" t="str">
        <f aca="false">IF(Table122[[#This Row],[Ju]],Table122[[#Headers],[Ju]],"")</f>
        <v>Ju</v>
      </c>
      <c r="P25" s="300" t="str">
        <f aca="false">IF(Table122[[#This Row],[Me]],Table122[[#Headers],[Me]],"")</f>
        <v>Me</v>
      </c>
      <c r="Q25" s="300" t="str">
        <f aca="false">IF(Table122[[#This Row],[Ma]],Table122[[#Headers],[Ma]],"")</f>
        <v/>
      </c>
      <c r="R25" s="300" t="str">
        <f aca="false">IF(Table122[[#This Row],[Mo]],Table122[[#Headers],[Mo]],"")</f>
        <v/>
      </c>
      <c r="S25" s="300" t="str">
        <f aca="false">IF(Table122[[#This Row],[Su]],Table122[[#Headers],[Su]],"")</f>
        <v/>
      </c>
    </row>
    <row r="26" customFormat="false" ht="15" hidden="true" customHeight="false" outlineLevel="0" collapsed="false">
      <c r="A26" s="303" t="n">
        <v>25</v>
      </c>
      <c r="B26" s="301" t="n">
        <f aca="false">MOD(INT($A26/64),2)</f>
        <v>0</v>
      </c>
      <c r="C26" s="301" t="n">
        <f aca="false">MOD(INT($A26/32),2)</f>
        <v>0</v>
      </c>
      <c r="D26" s="301" t="n">
        <f aca="false">MOD(INT($A26/16),2)</f>
        <v>1</v>
      </c>
      <c r="E26" s="301" t="n">
        <f aca="false">MOD(INT($A26/8),2)</f>
        <v>1</v>
      </c>
      <c r="F26" s="301" t="n">
        <f aca="false">MOD(INT($A26/4),2)</f>
        <v>0</v>
      </c>
      <c r="G26" s="301" t="n">
        <f aca="false">MOD(INT($A26/2),2)</f>
        <v>0</v>
      </c>
      <c r="H26" s="301" t="n">
        <f aca="false">MOD(A26,2)</f>
        <v>1</v>
      </c>
      <c r="I26" s="304" t="n">
        <f aca="false">SUM(Table122[[#This Row],[Sat]:[Su]])</f>
        <v>3</v>
      </c>
      <c r="L26" s="300" t="str">
        <f aca="false">Table122[[#This Row],[Sat2]]&amp;" "&amp;Table122[[#This Row],[Column2]]&amp;" "&amp;Table122[[#This Row],[Column3]]&amp;" "&amp;Table122[[#This Row],[Column4]]&amp;" "&amp;Table122[[#This Row],[Column5]]&amp;" "&amp;Table122[[#This Row],[Column6]]&amp;" "&amp;Table122[[#This Row],[Column7]]</f>
        <v>  Ju Me   Su</v>
      </c>
      <c r="M26" s="300" t="str">
        <f aca="false">IF(Table122[[#This Row],[Sat]],Table122[[#Headers],[Sat]],"")</f>
        <v/>
      </c>
      <c r="N26" s="300" t="str">
        <f aca="false">IF(Table122[[#This Row],[Ve]],Table122[[#Headers],[Ve]],"")</f>
        <v/>
      </c>
      <c r="O26" s="300" t="str">
        <f aca="false">IF(Table122[[#This Row],[Ju]],Table122[[#Headers],[Ju]],"")</f>
        <v>Ju</v>
      </c>
      <c r="P26" s="300" t="str">
        <f aca="false">IF(Table122[[#This Row],[Me]],Table122[[#Headers],[Me]],"")</f>
        <v>Me</v>
      </c>
      <c r="Q26" s="300" t="str">
        <f aca="false">IF(Table122[[#This Row],[Ma]],Table122[[#Headers],[Ma]],"")</f>
        <v/>
      </c>
      <c r="R26" s="300" t="str">
        <f aca="false">IF(Table122[[#This Row],[Mo]],Table122[[#Headers],[Mo]],"")</f>
        <v/>
      </c>
      <c r="S26" s="300" t="str">
        <f aca="false">IF(Table122[[#This Row],[Su]],Table122[[#Headers],[Su]],"")</f>
        <v>Su</v>
      </c>
    </row>
    <row r="27" customFormat="false" ht="15" hidden="true" customHeight="false" outlineLevel="0" collapsed="false">
      <c r="A27" s="303" t="n">
        <v>26</v>
      </c>
      <c r="B27" s="301" t="n">
        <f aca="false">MOD(INT($A27/64),2)</f>
        <v>0</v>
      </c>
      <c r="C27" s="301" t="n">
        <f aca="false">MOD(INT($A27/32),2)</f>
        <v>0</v>
      </c>
      <c r="D27" s="301" t="n">
        <f aca="false">MOD(INT($A27/16),2)</f>
        <v>1</v>
      </c>
      <c r="E27" s="301" t="n">
        <f aca="false">MOD(INT($A27/8),2)</f>
        <v>1</v>
      </c>
      <c r="F27" s="301" t="n">
        <f aca="false">MOD(INT($A27/4),2)</f>
        <v>0</v>
      </c>
      <c r="G27" s="301" t="n">
        <f aca="false">MOD(INT($A27/2),2)</f>
        <v>1</v>
      </c>
      <c r="H27" s="301" t="n">
        <f aca="false">MOD(A27,2)</f>
        <v>0</v>
      </c>
      <c r="I27" s="304" t="n">
        <f aca="false">SUM(Table122[[#This Row],[Sat]:[Su]])</f>
        <v>3</v>
      </c>
      <c r="L27" s="300" t="str">
        <f aca="false">Table122[[#This Row],[Sat2]]&amp;" "&amp;Table122[[#This Row],[Column2]]&amp;" "&amp;Table122[[#This Row],[Column3]]&amp;" "&amp;Table122[[#This Row],[Column4]]&amp;" "&amp;Table122[[#This Row],[Column5]]&amp;" "&amp;Table122[[#This Row],[Column6]]&amp;" "&amp;Table122[[#This Row],[Column7]]</f>
        <v>  Ju Me  Mo </v>
      </c>
      <c r="M27" s="300" t="str">
        <f aca="false">IF(Table122[[#This Row],[Sat]],Table122[[#Headers],[Sat]],"")</f>
        <v/>
      </c>
      <c r="N27" s="300" t="str">
        <f aca="false">IF(Table122[[#This Row],[Ve]],Table122[[#Headers],[Ve]],"")</f>
        <v/>
      </c>
      <c r="O27" s="300" t="str">
        <f aca="false">IF(Table122[[#This Row],[Ju]],Table122[[#Headers],[Ju]],"")</f>
        <v>Ju</v>
      </c>
      <c r="P27" s="300" t="str">
        <f aca="false">IF(Table122[[#This Row],[Me]],Table122[[#Headers],[Me]],"")</f>
        <v>Me</v>
      </c>
      <c r="Q27" s="300" t="str">
        <f aca="false">IF(Table122[[#This Row],[Ma]],Table122[[#Headers],[Ma]],"")</f>
        <v/>
      </c>
      <c r="R27" s="300" t="str">
        <f aca="false">IF(Table122[[#This Row],[Mo]],Table122[[#Headers],[Mo]],"")</f>
        <v>Mo</v>
      </c>
      <c r="S27" s="300" t="str">
        <f aca="false">IF(Table122[[#This Row],[Su]],Table122[[#Headers],[Su]],"")</f>
        <v/>
      </c>
    </row>
    <row r="28" customFormat="false" ht="15" hidden="true" customHeight="false" outlineLevel="0" collapsed="false">
      <c r="A28" s="303" t="n">
        <v>27</v>
      </c>
      <c r="B28" s="301" t="n">
        <f aca="false">MOD(INT($A28/64),2)</f>
        <v>0</v>
      </c>
      <c r="C28" s="301" t="n">
        <f aca="false">MOD(INT($A28/32),2)</f>
        <v>0</v>
      </c>
      <c r="D28" s="301" t="n">
        <f aca="false">MOD(INT($A28/16),2)</f>
        <v>1</v>
      </c>
      <c r="E28" s="301" t="n">
        <f aca="false">MOD(INT($A28/8),2)</f>
        <v>1</v>
      </c>
      <c r="F28" s="301" t="n">
        <f aca="false">MOD(INT($A28/4),2)</f>
        <v>0</v>
      </c>
      <c r="G28" s="301" t="n">
        <f aca="false">MOD(INT($A28/2),2)</f>
        <v>1</v>
      </c>
      <c r="H28" s="301" t="n">
        <f aca="false">MOD(A28,2)</f>
        <v>1</v>
      </c>
      <c r="I28" s="304" t="n">
        <f aca="false">SUM(Table122[[#This Row],[Sat]:[Su]])</f>
        <v>4</v>
      </c>
      <c r="L28" s="300" t="str">
        <f aca="false">Table122[[#This Row],[Sat2]]&amp;" "&amp;Table122[[#This Row],[Column2]]&amp;" "&amp;Table122[[#This Row],[Column3]]&amp;" "&amp;Table122[[#This Row],[Column4]]&amp;" "&amp;Table122[[#This Row],[Column5]]&amp;" "&amp;Table122[[#This Row],[Column6]]&amp;" "&amp;Table122[[#This Row],[Column7]]</f>
        <v>  Ju Me  Mo Su</v>
      </c>
      <c r="M28" s="300" t="str">
        <f aca="false">IF(Table122[[#This Row],[Sat]],Table122[[#Headers],[Sat]],"")</f>
        <v/>
      </c>
      <c r="N28" s="300" t="str">
        <f aca="false">IF(Table122[[#This Row],[Ve]],Table122[[#Headers],[Ve]],"")</f>
        <v/>
      </c>
      <c r="O28" s="300" t="str">
        <f aca="false">IF(Table122[[#This Row],[Ju]],Table122[[#Headers],[Ju]],"")</f>
        <v>Ju</v>
      </c>
      <c r="P28" s="300" t="str">
        <f aca="false">IF(Table122[[#This Row],[Me]],Table122[[#Headers],[Me]],"")</f>
        <v>Me</v>
      </c>
      <c r="Q28" s="300" t="str">
        <f aca="false">IF(Table122[[#This Row],[Ma]],Table122[[#Headers],[Ma]],"")</f>
        <v/>
      </c>
      <c r="R28" s="300" t="str">
        <f aca="false">IF(Table122[[#This Row],[Mo]],Table122[[#Headers],[Mo]],"")</f>
        <v>Mo</v>
      </c>
      <c r="S28" s="300" t="str">
        <f aca="false">IF(Table122[[#This Row],[Su]],Table122[[#Headers],[Su]],"")</f>
        <v>Su</v>
      </c>
    </row>
    <row r="29" customFormat="false" ht="15" hidden="true" customHeight="false" outlineLevel="0" collapsed="false">
      <c r="A29" s="303" t="n">
        <v>28</v>
      </c>
      <c r="B29" s="301" t="n">
        <f aca="false">MOD(INT($A29/64),2)</f>
        <v>0</v>
      </c>
      <c r="C29" s="301" t="n">
        <f aca="false">MOD(INT($A29/32),2)</f>
        <v>0</v>
      </c>
      <c r="D29" s="301" t="n">
        <f aca="false">MOD(INT($A29/16),2)</f>
        <v>1</v>
      </c>
      <c r="E29" s="301" t="n">
        <f aca="false">MOD(INT($A29/8),2)</f>
        <v>1</v>
      </c>
      <c r="F29" s="301" t="n">
        <f aca="false">MOD(INT($A29/4),2)</f>
        <v>1</v>
      </c>
      <c r="G29" s="301" t="n">
        <f aca="false">MOD(INT($A29/2),2)</f>
        <v>0</v>
      </c>
      <c r="H29" s="301" t="n">
        <f aca="false">MOD(A29,2)</f>
        <v>0</v>
      </c>
      <c r="I29" s="304" t="n">
        <f aca="false">SUM(Table122[[#This Row],[Sat]:[Su]])</f>
        <v>3</v>
      </c>
      <c r="L29" s="300" t="str">
        <f aca="false">Table122[[#This Row],[Sat2]]&amp;" "&amp;Table122[[#This Row],[Column2]]&amp;" "&amp;Table122[[#This Row],[Column3]]&amp;" "&amp;Table122[[#This Row],[Column4]]&amp;" "&amp;Table122[[#This Row],[Column5]]&amp;" "&amp;Table122[[#This Row],[Column6]]&amp;" "&amp;Table122[[#This Row],[Column7]]</f>
        <v>  Ju Me Ma  </v>
      </c>
      <c r="M29" s="300" t="str">
        <f aca="false">IF(Table122[[#This Row],[Sat]],Table122[[#Headers],[Sat]],"")</f>
        <v/>
      </c>
      <c r="N29" s="300" t="str">
        <f aca="false">IF(Table122[[#This Row],[Ve]],Table122[[#Headers],[Ve]],"")</f>
        <v/>
      </c>
      <c r="O29" s="300" t="str">
        <f aca="false">IF(Table122[[#This Row],[Ju]],Table122[[#Headers],[Ju]],"")</f>
        <v>Ju</v>
      </c>
      <c r="P29" s="300" t="str">
        <f aca="false">IF(Table122[[#This Row],[Me]],Table122[[#Headers],[Me]],"")</f>
        <v>Me</v>
      </c>
      <c r="Q29" s="300" t="str">
        <f aca="false">IF(Table122[[#This Row],[Ma]],Table122[[#Headers],[Ma]],"")</f>
        <v>Ma</v>
      </c>
      <c r="R29" s="300" t="str">
        <f aca="false">IF(Table122[[#This Row],[Mo]],Table122[[#Headers],[Mo]],"")</f>
        <v/>
      </c>
      <c r="S29" s="300" t="str">
        <f aca="false">IF(Table122[[#This Row],[Su]],Table122[[#Headers],[Su]],"")</f>
        <v/>
      </c>
    </row>
    <row r="30" customFormat="false" ht="15" hidden="true" customHeight="false" outlineLevel="0" collapsed="false">
      <c r="A30" s="303" t="n">
        <v>29</v>
      </c>
      <c r="B30" s="301" t="n">
        <f aca="false">MOD(INT($A30/64),2)</f>
        <v>0</v>
      </c>
      <c r="C30" s="301" t="n">
        <f aca="false">MOD(INT($A30/32),2)</f>
        <v>0</v>
      </c>
      <c r="D30" s="301" t="n">
        <f aca="false">MOD(INT($A30/16),2)</f>
        <v>1</v>
      </c>
      <c r="E30" s="301" t="n">
        <f aca="false">MOD(INT($A30/8),2)</f>
        <v>1</v>
      </c>
      <c r="F30" s="301" t="n">
        <f aca="false">MOD(INT($A30/4),2)</f>
        <v>1</v>
      </c>
      <c r="G30" s="301" t="n">
        <f aca="false">MOD(INT($A30/2),2)</f>
        <v>0</v>
      </c>
      <c r="H30" s="301" t="n">
        <f aca="false">MOD(A30,2)</f>
        <v>1</v>
      </c>
      <c r="I30" s="304" t="n">
        <f aca="false">SUM(Table122[[#This Row],[Sat]:[Su]])</f>
        <v>4</v>
      </c>
      <c r="J30" s="300" t="s">
        <v>495</v>
      </c>
      <c r="K30" s="300" t="s">
        <v>496</v>
      </c>
      <c r="L30" s="300" t="str">
        <f aca="false">Table122[[#This Row],[Sat2]]&amp;" "&amp;Table122[[#This Row],[Column2]]&amp;" "&amp;Table122[[#This Row],[Column3]]&amp;" "&amp;Table122[[#This Row],[Column4]]&amp;" "&amp;Table122[[#This Row],[Column5]]&amp;" "&amp;Table122[[#This Row],[Column6]]&amp;" "&amp;Table122[[#This Row],[Column7]]</f>
        <v>  Ju Me Ma  Su</v>
      </c>
      <c r="M30" s="300" t="str">
        <f aca="false">IF(Table122[[#This Row],[Sat]],Table122[[#Headers],[Sat]],"")</f>
        <v/>
      </c>
      <c r="N30" s="300" t="str">
        <f aca="false">IF(Table122[[#This Row],[Ve]],Table122[[#Headers],[Ve]],"")</f>
        <v/>
      </c>
      <c r="O30" s="300" t="str">
        <f aca="false">IF(Table122[[#This Row],[Ju]],Table122[[#Headers],[Ju]],"")</f>
        <v>Ju</v>
      </c>
      <c r="P30" s="300" t="str">
        <f aca="false">IF(Table122[[#This Row],[Me]],Table122[[#Headers],[Me]],"")</f>
        <v>Me</v>
      </c>
      <c r="Q30" s="300" t="str">
        <f aca="false">IF(Table122[[#This Row],[Ma]],Table122[[#Headers],[Ma]],"")</f>
        <v>Ma</v>
      </c>
      <c r="R30" s="300" t="str">
        <f aca="false">IF(Table122[[#This Row],[Mo]],Table122[[#Headers],[Mo]],"")</f>
        <v/>
      </c>
      <c r="S30" s="300" t="str">
        <f aca="false">IF(Table122[[#This Row],[Su]],Table122[[#Headers],[Su]],"")</f>
        <v>Su</v>
      </c>
    </row>
    <row r="31" customFormat="false" ht="15" hidden="true" customHeight="false" outlineLevel="0" collapsed="false">
      <c r="A31" s="303" t="n">
        <v>30</v>
      </c>
      <c r="B31" s="301" t="n">
        <f aca="false">MOD(INT($A31/64),2)</f>
        <v>0</v>
      </c>
      <c r="C31" s="301" t="n">
        <f aca="false">MOD(INT($A31/32),2)</f>
        <v>0</v>
      </c>
      <c r="D31" s="301" t="n">
        <f aca="false">MOD(INT($A31/16),2)</f>
        <v>1</v>
      </c>
      <c r="E31" s="301" t="n">
        <f aca="false">MOD(INT($A31/8),2)</f>
        <v>1</v>
      </c>
      <c r="F31" s="301" t="n">
        <f aca="false">MOD(INT($A31/4),2)</f>
        <v>1</v>
      </c>
      <c r="G31" s="301" t="n">
        <f aca="false">MOD(INT($A31/2),2)</f>
        <v>1</v>
      </c>
      <c r="H31" s="301" t="n">
        <f aca="false">MOD(A31,2)</f>
        <v>0</v>
      </c>
      <c r="I31" s="304" t="n">
        <f aca="false">SUM(Table122[[#This Row],[Sat]:[Su]])</f>
        <v>4</v>
      </c>
      <c r="J31" s="300" t="s">
        <v>497</v>
      </c>
      <c r="K31" s="300" t="s">
        <v>498</v>
      </c>
      <c r="L31" s="300" t="str">
        <f aca="false">Table122[[#This Row],[Sat2]]&amp;" "&amp;Table122[[#This Row],[Column2]]&amp;" "&amp;Table122[[#This Row],[Column3]]&amp;" "&amp;Table122[[#This Row],[Column4]]&amp;" "&amp;Table122[[#This Row],[Column5]]&amp;" "&amp;Table122[[#This Row],[Column6]]&amp;" "&amp;Table122[[#This Row],[Column7]]</f>
        <v>  Ju Me Ma Mo </v>
      </c>
      <c r="M31" s="300" t="str">
        <f aca="false">IF(Table122[[#This Row],[Sat]],Table122[[#Headers],[Sat]],"")</f>
        <v/>
      </c>
      <c r="N31" s="300" t="str">
        <f aca="false">IF(Table122[[#This Row],[Ve]],Table122[[#Headers],[Ve]],"")</f>
        <v/>
      </c>
      <c r="O31" s="300" t="str">
        <f aca="false">IF(Table122[[#This Row],[Ju]],Table122[[#Headers],[Ju]],"")</f>
        <v>Ju</v>
      </c>
      <c r="P31" s="300" t="str">
        <f aca="false">IF(Table122[[#This Row],[Me]],Table122[[#Headers],[Me]],"")</f>
        <v>Me</v>
      </c>
      <c r="Q31" s="300" t="str">
        <f aca="false">IF(Table122[[#This Row],[Ma]],Table122[[#Headers],[Ma]],"")</f>
        <v>Ma</v>
      </c>
      <c r="R31" s="300" t="str">
        <f aca="false">IF(Table122[[#This Row],[Mo]],Table122[[#Headers],[Mo]],"")</f>
        <v>Mo</v>
      </c>
      <c r="S31" s="300" t="str">
        <f aca="false">IF(Table122[[#This Row],[Su]],Table122[[#Headers],[Su]],"")</f>
        <v/>
      </c>
    </row>
    <row r="32" customFormat="false" ht="15" hidden="true" customHeight="false" outlineLevel="0" collapsed="false">
      <c r="A32" s="303" t="n">
        <v>31</v>
      </c>
      <c r="B32" s="301" t="n">
        <f aca="false">MOD(INT($A32/64),2)</f>
        <v>0</v>
      </c>
      <c r="C32" s="301" t="n">
        <f aca="false">MOD(INT($A32/32),2)</f>
        <v>0</v>
      </c>
      <c r="D32" s="301" t="n">
        <f aca="false">MOD(INT($A32/16),2)</f>
        <v>1</v>
      </c>
      <c r="E32" s="301" t="n">
        <f aca="false">MOD(INT($A32/8),2)</f>
        <v>1</v>
      </c>
      <c r="F32" s="301" t="n">
        <f aca="false">MOD(INT($A32/4),2)</f>
        <v>1</v>
      </c>
      <c r="G32" s="301" t="n">
        <f aca="false">MOD(INT($A32/2),2)</f>
        <v>1</v>
      </c>
      <c r="H32" s="301" t="n">
        <f aca="false">MOD(A32,2)</f>
        <v>1</v>
      </c>
      <c r="I32" s="304" t="n">
        <f aca="false">SUM(Table122[[#This Row],[Sat]:[Su]])</f>
        <v>5</v>
      </c>
      <c r="J32" s="300" t="s">
        <v>499</v>
      </c>
      <c r="K32" s="300" t="s">
        <v>500</v>
      </c>
      <c r="L32" s="300" t="str">
        <f aca="false">Table122[[#This Row],[Sat2]]&amp;" "&amp;Table122[[#This Row],[Column2]]&amp;" "&amp;Table122[[#This Row],[Column3]]&amp;" "&amp;Table122[[#This Row],[Column4]]&amp;" "&amp;Table122[[#This Row],[Column5]]&amp;" "&amp;Table122[[#This Row],[Column6]]&amp;" "&amp;Table122[[#This Row],[Column7]]</f>
        <v>  Ju Me Ma Mo Su</v>
      </c>
      <c r="M32" s="300" t="str">
        <f aca="false">IF(Table122[[#This Row],[Sat]],Table122[[#Headers],[Sat]],"")</f>
        <v/>
      </c>
      <c r="N32" s="300" t="str">
        <f aca="false">IF(Table122[[#This Row],[Ve]],Table122[[#Headers],[Ve]],"")</f>
        <v/>
      </c>
      <c r="O32" s="300" t="str">
        <f aca="false">IF(Table122[[#This Row],[Ju]],Table122[[#Headers],[Ju]],"")</f>
        <v>Ju</v>
      </c>
      <c r="P32" s="300" t="str">
        <f aca="false">IF(Table122[[#This Row],[Me]],Table122[[#Headers],[Me]],"")</f>
        <v>Me</v>
      </c>
      <c r="Q32" s="300" t="str">
        <f aca="false">IF(Table122[[#This Row],[Ma]],Table122[[#Headers],[Ma]],"")</f>
        <v>Ma</v>
      </c>
      <c r="R32" s="300" t="str">
        <f aca="false">IF(Table122[[#This Row],[Mo]],Table122[[#Headers],[Mo]],"")</f>
        <v>Mo</v>
      </c>
      <c r="S32" s="300" t="str">
        <f aca="false">IF(Table122[[#This Row],[Su]],Table122[[#Headers],[Su]],"")</f>
        <v>Su</v>
      </c>
    </row>
    <row r="33" customFormat="false" ht="15" hidden="true" customHeight="false" outlineLevel="0" collapsed="false">
      <c r="A33" s="303" t="n">
        <v>32</v>
      </c>
      <c r="B33" s="301" t="n">
        <f aca="false">MOD(INT($A33/64),2)</f>
        <v>0</v>
      </c>
      <c r="C33" s="301" t="n">
        <f aca="false">MOD(INT($A33/32),2)</f>
        <v>1</v>
      </c>
      <c r="D33" s="301" t="n">
        <f aca="false">MOD(INT($A33/16),2)</f>
        <v>0</v>
      </c>
      <c r="E33" s="301" t="n">
        <f aca="false">MOD(INT($A33/8),2)</f>
        <v>0</v>
      </c>
      <c r="F33" s="301" t="n">
        <f aca="false">MOD(INT($A33/4),2)</f>
        <v>0</v>
      </c>
      <c r="G33" s="301" t="n">
        <f aca="false">MOD(INT($A33/2),2)</f>
        <v>0</v>
      </c>
      <c r="H33" s="301" t="n">
        <f aca="false">MOD(A33,2)</f>
        <v>0</v>
      </c>
      <c r="I33" s="304" t="n">
        <f aca="false">SUM(Table122[[#This Row],[Sat]:[Su]])</f>
        <v>1</v>
      </c>
      <c r="L33" s="300" t="str">
        <f aca="false">Table122[[#This Row],[Sat2]]&amp;" "&amp;Table122[[#This Row],[Column2]]&amp;" "&amp;Table122[[#This Row],[Column3]]&amp;" "&amp;Table122[[#This Row],[Column4]]&amp;" "&amp;Table122[[#This Row],[Column5]]&amp;" "&amp;Table122[[#This Row],[Column6]]&amp;" "&amp;Table122[[#This Row],[Column7]]</f>
        <v> Ve     </v>
      </c>
      <c r="M33" s="300" t="str">
        <f aca="false">IF(Table122[[#This Row],[Sat]],Table122[[#Headers],[Sat]],"")</f>
        <v/>
      </c>
      <c r="N33" s="300" t="str">
        <f aca="false">IF(Table122[[#This Row],[Ve]],Table122[[#Headers],[Ve]],"")</f>
        <v>Ve</v>
      </c>
      <c r="O33" s="300" t="str">
        <f aca="false">IF(Table122[[#This Row],[Ju]],Table122[[#Headers],[Ju]],"")</f>
        <v/>
      </c>
      <c r="P33" s="300" t="str">
        <f aca="false">IF(Table122[[#This Row],[Me]],Table122[[#Headers],[Me]],"")</f>
        <v/>
      </c>
      <c r="Q33" s="300" t="str">
        <f aca="false">IF(Table122[[#This Row],[Ma]],Table122[[#Headers],[Ma]],"")</f>
        <v/>
      </c>
      <c r="R33" s="300" t="str">
        <f aca="false">IF(Table122[[#This Row],[Mo]],Table122[[#Headers],[Mo]],"")</f>
        <v/>
      </c>
      <c r="S33" s="300" t="str">
        <f aca="false">IF(Table122[[#This Row],[Su]],Table122[[#Headers],[Su]],"")</f>
        <v/>
      </c>
    </row>
    <row r="34" customFormat="false" ht="15" hidden="false" customHeight="false" outlineLevel="0" collapsed="false">
      <c r="A34" s="303" t="n">
        <v>33</v>
      </c>
      <c r="B34" s="301" t="n">
        <f aca="false">MOD(INT($A34/64),2)</f>
        <v>0</v>
      </c>
      <c r="C34" s="301" t="n">
        <f aca="false">MOD(INT($A34/32),2)</f>
        <v>1</v>
      </c>
      <c r="D34" s="301" t="n">
        <f aca="false">MOD(INT($A34/16),2)</f>
        <v>0</v>
      </c>
      <c r="E34" s="301" t="n">
        <f aca="false">MOD(INT($A34/8),2)</f>
        <v>0</v>
      </c>
      <c r="F34" s="301" t="n">
        <f aca="false">MOD(INT($A34/4),2)</f>
        <v>0</v>
      </c>
      <c r="G34" s="301" t="n">
        <f aca="false">MOD(INT($A34/2),2)</f>
        <v>0</v>
      </c>
      <c r="H34" s="301" t="n">
        <f aca="false">MOD(A34,2)</f>
        <v>1</v>
      </c>
      <c r="I34" s="304" t="n">
        <f aca="false">SUM(Table122[[#This Row],[Sat]:[Su]])</f>
        <v>2</v>
      </c>
      <c r="J34" s="300" t="s">
        <v>501</v>
      </c>
      <c r="K34" s="300" t="s">
        <v>485</v>
      </c>
      <c r="L34" s="300" t="str">
        <f aca="false">Table122[[#This Row],[Sat2]]&amp;" "&amp;Table122[[#This Row],[Column2]]&amp;" "&amp;Table122[[#This Row],[Column3]]&amp;" "&amp;Table122[[#This Row],[Column4]]&amp;" "&amp;Table122[[#This Row],[Column5]]&amp;" "&amp;Table122[[#This Row],[Column6]]&amp;" "&amp;Table122[[#This Row],[Column7]]</f>
        <v> Ve     Su</v>
      </c>
      <c r="M34" s="300" t="str">
        <f aca="false">IF(Table122[[#This Row],[Sat]],Table122[[#Headers],[Sat]],"")</f>
        <v/>
      </c>
      <c r="N34" s="300" t="str">
        <f aca="false">IF(Table122[[#This Row],[Ve]],Table122[[#Headers],[Ve]],"")</f>
        <v>Ve</v>
      </c>
      <c r="O34" s="300" t="str">
        <f aca="false">IF(Table122[[#This Row],[Ju]],Table122[[#Headers],[Ju]],"")</f>
        <v/>
      </c>
      <c r="P34" s="300" t="str">
        <f aca="false">IF(Table122[[#This Row],[Me]],Table122[[#Headers],[Me]],"")</f>
        <v/>
      </c>
      <c r="Q34" s="300" t="str">
        <f aca="false">IF(Table122[[#This Row],[Ma]],Table122[[#Headers],[Ma]],"")</f>
        <v/>
      </c>
      <c r="R34" s="300" t="str">
        <f aca="false">IF(Table122[[#This Row],[Mo]],Table122[[#Headers],[Mo]],"")</f>
        <v/>
      </c>
      <c r="S34" s="300" t="str">
        <f aca="false">IF(Table122[[#This Row],[Su]],Table122[[#Headers],[Su]],"")</f>
        <v>Su</v>
      </c>
    </row>
    <row r="35" customFormat="false" ht="15" hidden="false" customHeight="false" outlineLevel="0" collapsed="false">
      <c r="A35" s="303" t="n">
        <v>34</v>
      </c>
      <c r="B35" s="301" t="n">
        <f aca="false">MOD(INT($A35/64),2)</f>
        <v>0</v>
      </c>
      <c r="C35" s="301" t="n">
        <f aca="false">MOD(INT($A35/32),2)</f>
        <v>1</v>
      </c>
      <c r="D35" s="301" t="n">
        <f aca="false">MOD(INT($A35/16),2)</f>
        <v>0</v>
      </c>
      <c r="E35" s="301" t="n">
        <f aca="false">MOD(INT($A35/8),2)</f>
        <v>0</v>
      </c>
      <c r="F35" s="301" t="n">
        <f aca="false">MOD(INT($A35/4),2)</f>
        <v>0</v>
      </c>
      <c r="G35" s="301" t="n">
        <f aca="false">MOD(INT($A35/2),2)</f>
        <v>1</v>
      </c>
      <c r="H35" s="301" t="n">
        <f aca="false">MOD(A35,2)</f>
        <v>0</v>
      </c>
      <c r="I35" s="304" t="n">
        <f aca="false">SUM(Table122[[#This Row],[Sat]:[Su]])</f>
        <v>2</v>
      </c>
      <c r="J35" s="300" t="s">
        <v>502</v>
      </c>
      <c r="K35" s="300" t="s">
        <v>494</v>
      </c>
      <c r="L35" s="300" t="str">
        <f aca="false">Table122[[#This Row],[Sat2]]&amp;" "&amp;Table122[[#This Row],[Column2]]&amp;" "&amp;Table122[[#This Row],[Column3]]&amp;" "&amp;Table122[[#This Row],[Column4]]&amp;" "&amp;Table122[[#This Row],[Column5]]&amp;" "&amp;Table122[[#This Row],[Column6]]&amp;" "&amp;Table122[[#This Row],[Column7]]</f>
        <v> Ve    Mo </v>
      </c>
      <c r="M35" s="300" t="str">
        <f aca="false">IF(Table122[[#This Row],[Sat]],Table122[[#Headers],[Sat]],"")</f>
        <v/>
      </c>
      <c r="N35" s="300" t="str">
        <f aca="false">IF(Table122[[#This Row],[Ve]],Table122[[#Headers],[Ve]],"")</f>
        <v>Ve</v>
      </c>
      <c r="O35" s="300" t="str">
        <f aca="false">IF(Table122[[#This Row],[Ju]],Table122[[#Headers],[Ju]],"")</f>
        <v/>
      </c>
      <c r="P35" s="300" t="str">
        <f aca="false">IF(Table122[[#This Row],[Me]],Table122[[#Headers],[Me]],"")</f>
        <v/>
      </c>
      <c r="Q35" s="300" t="str">
        <f aca="false">IF(Table122[[#This Row],[Ma]],Table122[[#Headers],[Ma]],"")</f>
        <v/>
      </c>
      <c r="R35" s="300" t="str">
        <f aca="false">IF(Table122[[#This Row],[Mo]],Table122[[#Headers],[Mo]],"")</f>
        <v>Mo</v>
      </c>
      <c r="S35" s="300" t="str">
        <f aca="false">IF(Table122[[#This Row],[Su]],Table122[[#Headers],[Su]],"")</f>
        <v/>
      </c>
    </row>
    <row r="36" customFormat="false" ht="15" hidden="true" customHeight="false" outlineLevel="0" collapsed="false">
      <c r="A36" s="303" t="n">
        <v>35</v>
      </c>
      <c r="B36" s="301" t="n">
        <f aca="false">MOD(INT($A36/64),2)</f>
        <v>0</v>
      </c>
      <c r="C36" s="301" t="n">
        <f aca="false">MOD(INT($A36/32),2)</f>
        <v>1</v>
      </c>
      <c r="D36" s="301" t="n">
        <f aca="false">MOD(INT($A36/16),2)</f>
        <v>0</v>
      </c>
      <c r="E36" s="301" t="n">
        <f aca="false">MOD(INT($A36/8),2)</f>
        <v>0</v>
      </c>
      <c r="F36" s="301" t="n">
        <f aca="false">MOD(INT($A36/4),2)</f>
        <v>0</v>
      </c>
      <c r="G36" s="301" t="n">
        <f aca="false">MOD(INT($A36/2),2)</f>
        <v>1</v>
      </c>
      <c r="H36" s="301" t="n">
        <f aca="false">MOD(A36,2)</f>
        <v>1</v>
      </c>
      <c r="I36" s="304" t="n">
        <f aca="false">SUM(Table122[[#This Row],[Sat]:[Su]])</f>
        <v>3</v>
      </c>
      <c r="L36" s="300" t="str">
        <f aca="false">Table122[[#This Row],[Sat2]]&amp;" "&amp;Table122[[#This Row],[Column2]]&amp;" "&amp;Table122[[#This Row],[Column3]]&amp;" "&amp;Table122[[#This Row],[Column4]]&amp;" "&amp;Table122[[#This Row],[Column5]]&amp;" "&amp;Table122[[#This Row],[Column6]]&amp;" "&amp;Table122[[#This Row],[Column7]]</f>
        <v> Ve    Mo Su</v>
      </c>
      <c r="M36" s="300" t="str">
        <f aca="false">IF(Table122[[#This Row],[Sat]],Table122[[#Headers],[Sat]],"")</f>
        <v/>
      </c>
      <c r="N36" s="300" t="str">
        <f aca="false">IF(Table122[[#This Row],[Ve]],Table122[[#Headers],[Ve]],"")</f>
        <v>Ve</v>
      </c>
      <c r="O36" s="300" t="str">
        <f aca="false">IF(Table122[[#This Row],[Ju]],Table122[[#Headers],[Ju]],"")</f>
        <v/>
      </c>
      <c r="P36" s="300" t="str">
        <f aca="false">IF(Table122[[#This Row],[Me]],Table122[[#Headers],[Me]],"")</f>
        <v/>
      </c>
      <c r="Q36" s="300" t="str">
        <f aca="false">IF(Table122[[#This Row],[Ma]],Table122[[#Headers],[Ma]],"")</f>
        <v/>
      </c>
      <c r="R36" s="300" t="str">
        <f aca="false">IF(Table122[[#This Row],[Mo]],Table122[[#Headers],[Mo]],"")</f>
        <v>Mo</v>
      </c>
      <c r="S36" s="300" t="str">
        <f aca="false">IF(Table122[[#This Row],[Su]],Table122[[#Headers],[Su]],"")</f>
        <v>Su</v>
      </c>
    </row>
    <row r="37" customFormat="false" ht="15" hidden="false" customHeight="false" outlineLevel="0" collapsed="false">
      <c r="A37" s="303" t="n">
        <v>36</v>
      </c>
      <c r="B37" s="301" t="n">
        <f aca="false">MOD(INT($A37/64),2)</f>
        <v>0</v>
      </c>
      <c r="C37" s="301" t="n">
        <f aca="false">MOD(INT($A37/32),2)</f>
        <v>1</v>
      </c>
      <c r="D37" s="301" t="n">
        <f aca="false">MOD(INT($A37/16),2)</f>
        <v>0</v>
      </c>
      <c r="E37" s="301" t="n">
        <f aca="false">MOD(INT($A37/8),2)</f>
        <v>0</v>
      </c>
      <c r="F37" s="301" t="n">
        <f aca="false">MOD(INT($A37/4),2)</f>
        <v>1</v>
      </c>
      <c r="G37" s="301" t="n">
        <f aca="false">MOD(INT($A37/2),2)</f>
        <v>0</v>
      </c>
      <c r="H37" s="301" t="n">
        <f aca="false">MOD(A37,2)</f>
        <v>0</v>
      </c>
      <c r="I37" s="304" t="n">
        <f aca="false">SUM(Table122[[#This Row],[Sat]:[Su]])</f>
        <v>2</v>
      </c>
      <c r="L37" s="300" t="str">
        <f aca="false">Table122[[#This Row],[Sat2]]&amp;" "&amp;Table122[[#This Row],[Column2]]&amp;" "&amp;Table122[[#This Row],[Column3]]&amp;" "&amp;Table122[[#This Row],[Column4]]&amp;" "&amp;Table122[[#This Row],[Column5]]&amp;" "&amp;Table122[[#This Row],[Column6]]&amp;" "&amp;Table122[[#This Row],[Column7]]</f>
        <v> Ve   Ma  </v>
      </c>
      <c r="M37" s="300" t="str">
        <f aca="false">IF(Table122[[#This Row],[Sat]],Table122[[#Headers],[Sat]],"")</f>
        <v/>
      </c>
      <c r="N37" s="300" t="str">
        <f aca="false">IF(Table122[[#This Row],[Ve]],Table122[[#Headers],[Ve]],"")</f>
        <v>Ve</v>
      </c>
      <c r="O37" s="300" t="str">
        <f aca="false">IF(Table122[[#This Row],[Ju]],Table122[[#Headers],[Ju]],"")</f>
        <v/>
      </c>
      <c r="P37" s="300" t="str">
        <f aca="false">IF(Table122[[#This Row],[Me]],Table122[[#Headers],[Me]],"")</f>
        <v/>
      </c>
      <c r="Q37" s="300" t="str">
        <f aca="false">IF(Table122[[#This Row],[Ma]],Table122[[#Headers],[Ma]],"")</f>
        <v>Ma</v>
      </c>
      <c r="R37" s="300" t="str">
        <f aca="false">IF(Table122[[#This Row],[Mo]],Table122[[#Headers],[Mo]],"")</f>
        <v/>
      </c>
      <c r="S37" s="300" t="str">
        <f aca="false">IF(Table122[[#This Row],[Su]],Table122[[#Headers],[Su]],"")</f>
        <v/>
      </c>
    </row>
    <row r="38" customFormat="false" ht="15" hidden="true" customHeight="false" outlineLevel="0" collapsed="false">
      <c r="A38" s="303" t="n">
        <v>37</v>
      </c>
      <c r="B38" s="301" t="n">
        <f aca="false">MOD(INT($A38/64),2)</f>
        <v>0</v>
      </c>
      <c r="C38" s="301" t="n">
        <f aca="false">MOD(INT($A38/32),2)</f>
        <v>1</v>
      </c>
      <c r="D38" s="301" t="n">
        <f aca="false">MOD(INT($A38/16),2)</f>
        <v>0</v>
      </c>
      <c r="E38" s="301" t="n">
        <f aca="false">MOD(INT($A38/8),2)</f>
        <v>0</v>
      </c>
      <c r="F38" s="301" t="n">
        <f aca="false">MOD(INT($A38/4),2)</f>
        <v>1</v>
      </c>
      <c r="G38" s="301" t="n">
        <f aca="false">MOD(INT($A38/2),2)</f>
        <v>0</v>
      </c>
      <c r="H38" s="301" t="n">
        <f aca="false">MOD(A38,2)</f>
        <v>1</v>
      </c>
      <c r="I38" s="304" t="n">
        <f aca="false">SUM(Table122[[#This Row],[Sat]:[Su]])</f>
        <v>3</v>
      </c>
      <c r="L38" s="300" t="str">
        <f aca="false">Table122[[#This Row],[Sat2]]&amp;" "&amp;Table122[[#This Row],[Column2]]&amp;" "&amp;Table122[[#This Row],[Column3]]&amp;" "&amp;Table122[[#This Row],[Column4]]&amp;" "&amp;Table122[[#This Row],[Column5]]&amp;" "&amp;Table122[[#This Row],[Column6]]&amp;" "&amp;Table122[[#This Row],[Column7]]</f>
        <v> Ve   Ma  Su</v>
      </c>
      <c r="M38" s="300" t="str">
        <f aca="false">IF(Table122[[#This Row],[Sat]],Table122[[#Headers],[Sat]],"")</f>
        <v/>
      </c>
      <c r="N38" s="300" t="str">
        <f aca="false">IF(Table122[[#This Row],[Ve]],Table122[[#Headers],[Ve]],"")</f>
        <v>Ve</v>
      </c>
      <c r="O38" s="300" t="str">
        <f aca="false">IF(Table122[[#This Row],[Ju]],Table122[[#Headers],[Ju]],"")</f>
        <v/>
      </c>
      <c r="P38" s="300" t="str">
        <f aca="false">IF(Table122[[#This Row],[Me]],Table122[[#Headers],[Me]],"")</f>
        <v/>
      </c>
      <c r="Q38" s="300" t="str">
        <f aca="false">IF(Table122[[#This Row],[Ma]],Table122[[#Headers],[Ma]],"")</f>
        <v>Ma</v>
      </c>
      <c r="R38" s="300" t="str">
        <f aca="false">IF(Table122[[#This Row],[Mo]],Table122[[#Headers],[Mo]],"")</f>
        <v/>
      </c>
      <c r="S38" s="300" t="str">
        <f aca="false">IF(Table122[[#This Row],[Su]],Table122[[#Headers],[Su]],"")</f>
        <v>Su</v>
      </c>
    </row>
    <row r="39" customFormat="false" ht="15" hidden="true" customHeight="false" outlineLevel="0" collapsed="false">
      <c r="A39" s="303" t="n">
        <v>38</v>
      </c>
      <c r="B39" s="301" t="n">
        <f aca="false">MOD(INT($A39/64),2)</f>
        <v>0</v>
      </c>
      <c r="C39" s="301" t="n">
        <f aca="false">MOD(INT($A39/32),2)</f>
        <v>1</v>
      </c>
      <c r="D39" s="301" t="n">
        <f aca="false">MOD(INT($A39/16),2)</f>
        <v>0</v>
      </c>
      <c r="E39" s="301" t="n">
        <f aca="false">MOD(INT($A39/8),2)</f>
        <v>0</v>
      </c>
      <c r="F39" s="301" t="n">
        <f aca="false">MOD(INT($A39/4),2)</f>
        <v>1</v>
      </c>
      <c r="G39" s="301" t="n">
        <f aca="false">MOD(INT($A39/2),2)</f>
        <v>1</v>
      </c>
      <c r="H39" s="301" t="n">
        <f aca="false">MOD(A39,2)</f>
        <v>0</v>
      </c>
      <c r="I39" s="304" t="n">
        <f aca="false">SUM(Table122[[#This Row],[Sat]:[Su]])</f>
        <v>3</v>
      </c>
      <c r="L39" s="300" t="str">
        <f aca="false">Table122[[#This Row],[Sat2]]&amp;" "&amp;Table122[[#This Row],[Column2]]&amp;" "&amp;Table122[[#This Row],[Column3]]&amp;" "&amp;Table122[[#This Row],[Column4]]&amp;" "&amp;Table122[[#This Row],[Column5]]&amp;" "&amp;Table122[[#This Row],[Column6]]&amp;" "&amp;Table122[[#This Row],[Column7]]</f>
        <v> Ve   Ma Mo </v>
      </c>
      <c r="M39" s="300" t="str">
        <f aca="false">IF(Table122[[#This Row],[Sat]],Table122[[#Headers],[Sat]],"")</f>
        <v/>
      </c>
      <c r="N39" s="300" t="str">
        <f aca="false">IF(Table122[[#This Row],[Ve]],Table122[[#Headers],[Ve]],"")</f>
        <v>Ve</v>
      </c>
      <c r="O39" s="300" t="str">
        <f aca="false">IF(Table122[[#This Row],[Ju]],Table122[[#Headers],[Ju]],"")</f>
        <v/>
      </c>
      <c r="P39" s="300" t="str">
        <f aca="false">IF(Table122[[#This Row],[Me]],Table122[[#Headers],[Me]],"")</f>
        <v/>
      </c>
      <c r="Q39" s="300" t="str">
        <f aca="false">IF(Table122[[#This Row],[Ma]],Table122[[#Headers],[Ma]],"")</f>
        <v>Ma</v>
      </c>
      <c r="R39" s="300" t="str">
        <f aca="false">IF(Table122[[#This Row],[Mo]],Table122[[#Headers],[Mo]],"")</f>
        <v>Mo</v>
      </c>
      <c r="S39" s="300" t="str">
        <f aca="false">IF(Table122[[#This Row],[Su]],Table122[[#Headers],[Su]],"")</f>
        <v/>
      </c>
    </row>
    <row r="40" customFormat="false" ht="15" hidden="true" customHeight="false" outlineLevel="0" collapsed="false">
      <c r="A40" s="303" t="n">
        <v>39</v>
      </c>
      <c r="B40" s="301" t="n">
        <f aca="false">MOD(INT($A40/64),2)</f>
        <v>0</v>
      </c>
      <c r="C40" s="301" t="n">
        <f aca="false">MOD(INT($A40/32),2)</f>
        <v>1</v>
      </c>
      <c r="D40" s="301" t="n">
        <f aca="false">MOD(INT($A40/16),2)</f>
        <v>0</v>
      </c>
      <c r="E40" s="301" t="n">
        <f aca="false">MOD(INT($A40/8),2)</f>
        <v>0</v>
      </c>
      <c r="F40" s="301" t="n">
        <f aca="false">MOD(INT($A40/4),2)</f>
        <v>1</v>
      </c>
      <c r="G40" s="301" t="n">
        <f aca="false">MOD(INT($A40/2),2)</f>
        <v>1</v>
      </c>
      <c r="H40" s="301" t="n">
        <f aca="false">MOD(A40,2)</f>
        <v>1</v>
      </c>
      <c r="I40" s="304" t="n">
        <f aca="false">SUM(Table122[[#This Row],[Sat]:[Su]])</f>
        <v>4</v>
      </c>
      <c r="J40" s="300" t="s">
        <v>490</v>
      </c>
      <c r="K40" s="300" t="s">
        <v>503</v>
      </c>
      <c r="L40" s="300" t="str">
        <f aca="false">Table122[[#This Row],[Sat2]]&amp;" "&amp;Table122[[#This Row],[Column2]]&amp;" "&amp;Table122[[#This Row],[Column3]]&amp;" "&amp;Table122[[#This Row],[Column4]]&amp;" "&amp;Table122[[#This Row],[Column5]]&amp;" "&amp;Table122[[#This Row],[Column6]]&amp;" "&amp;Table122[[#This Row],[Column7]]</f>
        <v> Ve   Ma Mo Su</v>
      </c>
      <c r="M40" s="300" t="str">
        <f aca="false">IF(Table122[[#This Row],[Sat]],Table122[[#Headers],[Sat]],"")</f>
        <v/>
      </c>
      <c r="N40" s="300" t="str">
        <f aca="false">IF(Table122[[#This Row],[Ve]],Table122[[#Headers],[Ve]],"")</f>
        <v>Ve</v>
      </c>
      <c r="O40" s="300" t="str">
        <f aca="false">IF(Table122[[#This Row],[Ju]],Table122[[#Headers],[Ju]],"")</f>
        <v/>
      </c>
      <c r="P40" s="300" t="str">
        <f aca="false">IF(Table122[[#This Row],[Me]],Table122[[#Headers],[Me]],"")</f>
        <v/>
      </c>
      <c r="Q40" s="300" t="str">
        <f aca="false">IF(Table122[[#This Row],[Ma]],Table122[[#Headers],[Ma]],"")</f>
        <v>Ma</v>
      </c>
      <c r="R40" s="300" t="str">
        <f aca="false">IF(Table122[[#This Row],[Mo]],Table122[[#Headers],[Mo]],"")</f>
        <v>Mo</v>
      </c>
      <c r="S40" s="300" t="str">
        <f aca="false">IF(Table122[[#This Row],[Su]],Table122[[#Headers],[Su]],"")</f>
        <v>Su</v>
      </c>
    </row>
    <row r="41" customFormat="false" ht="15" hidden="false" customHeight="false" outlineLevel="0" collapsed="false">
      <c r="A41" s="303" t="n">
        <v>40</v>
      </c>
      <c r="B41" s="301" t="n">
        <f aca="false">MOD(INT($A41/64),2)</f>
        <v>0</v>
      </c>
      <c r="C41" s="301" t="n">
        <f aca="false">MOD(INT($A41/32),2)</f>
        <v>1</v>
      </c>
      <c r="D41" s="301" t="n">
        <f aca="false">MOD(INT($A41/16),2)</f>
        <v>0</v>
      </c>
      <c r="E41" s="301" t="n">
        <f aca="false">MOD(INT($A41/8),2)</f>
        <v>1</v>
      </c>
      <c r="F41" s="301" t="n">
        <f aca="false">MOD(INT($A41/4),2)</f>
        <v>0</v>
      </c>
      <c r="G41" s="301" t="n">
        <f aca="false">MOD(INT($A41/2),2)</f>
        <v>0</v>
      </c>
      <c r="H41" s="301" t="n">
        <f aca="false">MOD(A41,2)</f>
        <v>0</v>
      </c>
      <c r="I41" s="304" t="n">
        <f aca="false">SUM(Table122[[#This Row],[Sat]:[Su]])</f>
        <v>2</v>
      </c>
      <c r="L41" s="300" t="str">
        <f aca="false">Table122[[#This Row],[Sat2]]&amp;" "&amp;Table122[[#This Row],[Column2]]&amp;" "&amp;Table122[[#This Row],[Column3]]&amp;" "&amp;Table122[[#This Row],[Column4]]&amp;" "&amp;Table122[[#This Row],[Column5]]&amp;" "&amp;Table122[[#This Row],[Column6]]&amp;" "&amp;Table122[[#This Row],[Column7]]</f>
        <v> Ve  Me   </v>
      </c>
      <c r="M41" s="300" t="str">
        <f aca="false">IF(Table122[[#This Row],[Sat]],Table122[[#Headers],[Sat]],"")</f>
        <v/>
      </c>
      <c r="N41" s="300" t="str">
        <f aca="false">IF(Table122[[#This Row],[Ve]],Table122[[#Headers],[Ve]],"")</f>
        <v>Ve</v>
      </c>
      <c r="O41" s="300" t="str">
        <f aca="false">IF(Table122[[#This Row],[Ju]],Table122[[#Headers],[Ju]],"")</f>
        <v/>
      </c>
      <c r="P41" s="300" t="str">
        <f aca="false">IF(Table122[[#This Row],[Me]],Table122[[#Headers],[Me]],"")</f>
        <v>Me</v>
      </c>
      <c r="Q41" s="300" t="str">
        <f aca="false">IF(Table122[[#This Row],[Ma]],Table122[[#Headers],[Ma]],"")</f>
        <v/>
      </c>
      <c r="R41" s="300" t="str">
        <f aca="false">IF(Table122[[#This Row],[Mo]],Table122[[#Headers],[Mo]],"")</f>
        <v/>
      </c>
      <c r="S41" s="300" t="str">
        <f aca="false">IF(Table122[[#This Row],[Su]],Table122[[#Headers],[Su]],"")</f>
        <v/>
      </c>
    </row>
    <row r="42" customFormat="false" ht="15" hidden="true" customHeight="false" outlineLevel="0" collapsed="false">
      <c r="A42" s="303" t="n">
        <v>41</v>
      </c>
      <c r="B42" s="301" t="n">
        <f aca="false">MOD(INT($A42/64),2)</f>
        <v>0</v>
      </c>
      <c r="C42" s="301" t="n">
        <f aca="false">MOD(INT($A42/32),2)</f>
        <v>1</v>
      </c>
      <c r="D42" s="301" t="n">
        <f aca="false">MOD(INT($A42/16),2)</f>
        <v>0</v>
      </c>
      <c r="E42" s="301" t="n">
        <f aca="false">MOD(INT($A42/8),2)</f>
        <v>1</v>
      </c>
      <c r="F42" s="301" t="n">
        <f aca="false">MOD(INT($A42/4),2)</f>
        <v>0</v>
      </c>
      <c r="G42" s="301" t="n">
        <f aca="false">MOD(INT($A42/2),2)</f>
        <v>0</v>
      </c>
      <c r="H42" s="301" t="n">
        <f aca="false">MOD(A42,2)</f>
        <v>1</v>
      </c>
      <c r="I42" s="304" t="n">
        <f aca="false">SUM(Table122[[#This Row],[Sat]:[Su]])</f>
        <v>3</v>
      </c>
      <c r="L42" s="300" t="str">
        <f aca="false">Table122[[#This Row],[Sat2]]&amp;" "&amp;Table122[[#This Row],[Column2]]&amp;" "&amp;Table122[[#This Row],[Column3]]&amp;" "&amp;Table122[[#This Row],[Column4]]&amp;" "&amp;Table122[[#This Row],[Column5]]&amp;" "&amp;Table122[[#This Row],[Column6]]&amp;" "&amp;Table122[[#This Row],[Column7]]</f>
        <v> Ve  Me   Su</v>
      </c>
      <c r="M42" s="300" t="str">
        <f aca="false">IF(Table122[[#This Row],[Sat]],Table122[[#Headers],[Sat]],"")</f>
        <v/>
      </c>
      <c r="N42" s="300" t="str">
        <f aca="false">IF(Table122[[#This Row],[Ve]],Table122[[#Headers],[Ve]],"")</f>
        <v>Ve</v>
      </c>
      <c r="O42" s="300" t="str">
        <f aca="false">IF(Table122[[#This Row],[Ju]],Table122[[#Headers],[Ju]],"")</f>
        <v/>
      </c>
      <c r="P42" s="300" t="str">
        <f aca="false">IF(Table122[[#This Row],[Me]],Table122[[#Headers],[Me]],"")</f>
        <v>Me</v>
      </c>
      <c r="Q42" s="300" t="str">
        <f aca="false">IF(Table122[[#This Row],[Ma]],Table122[[#Headers],[Ma]],"")</f>
        <v/>
      </c>
      <c r="R42" s="300" t="str">
        <f aca="false">IF(Table122[[#This Row],[Mo]],Table122[[#Headers],[Mo]],"")</f>
        <v/>
      </c>
      <c r="S42" s="300" t="str">
        <f aca="false">IF(Table122[[#This Row],[Su]],Table122[[#Headers],[Su]],"")</f>
        <v>Su</v>
      </c>
    </row>
    <row r="43" customFormat="false" ht="15" hidden="true" customHeight="false" outlineLevel="0" collapsed="false">
      <c r="A43" s="303" t="n">
        <v>42</v>
      </c>
      <c r="B43" s="301" t="n">
        <f aca="false">MOD(INT($A43/64),2)</f>
        <v>0</v>
      </c>
      <c r="C43" s="301" t="n">
        <f aca="false">MOD(INT($A43/32),2)</f>
        <v>1</v>
      </c>
      <c r="D43" s="301" t="n">
        <f aca="false">MOD(INT($A43/16),2)</f>
        <v>0</v>
      </c>
      <c r="E43" s="301" t="n">
        <f aca="false">MOD(INT($A43/8),2)</f>
        <v>1</v>
      </c>
      <c r="F43" s="301" t="n">
        <f aca="false">MOD(INT($A43/4),2)</f>
        <v>0</v>
      </c>
      <c r="G43" s="301" t="n">
        <f aca="false">MOD(INT($A43/2),2)</f>
        <v>1</v>
      </c>
      <c r="H43" s="301" t="n">
        <f aca="false">MOD(A43,2)</f>
        <v>0</v>
      </c>
      <c r="I43" s="304" t="n">
        <f aca="false">SUM(Table122[[#This Row],[Sat]:[Su]])</f>
        <v>3</v>
      </c>
      <c r="L43" s="300" t="str">
        <f aca="false">Table122[[#This Row],[Sat2]]&amp;" "&amp;Table122[[#This Row],[Column2]]&amp;" "&amp;Table122[[#This Row],[Column3]]&amp;" "&amp;Table122[[#This Row],[Column4]]&amp;" "&amp;Table122[[#This Row],[Column5]]&amp;" "&amp;Table122[[#This Row],[Column6]]&amp;" "&amp;Table122[[#This Row],[Column7]]</f>
        <v> Ve  Me  Mo </v>
      </c>
      <c r="M43" s="300" t="str">
        <f aca="false">IF(Table122[[#This Row],[Sat]],Table122[[#Headers],[Sat]],"")</f>
        <v/>
      </c>
      <c r="N43" s="300" t="str">
        <f aca="false">IF(Table122[[#This Row],[Ve]],Table122[[#Headers],[Ve]],"")</f>
        <v>Ve</v>
      </c>
      <c r="O43" s="300" t="str">
        <f aca="false">IF(Table122[[#This Row],[Ju]],Table122[[#Headers],[Ju]],"")</f>
        <v/>
      </c>
      <c r="P43" s="300" t="str">
        <f aca="false">IF(Table122[[#This Row],[Me]],Table122[[#Headers],[Me]],"")</f>
        <v>Me</v>
      </c>
      <c r="Q43" s="300" t="str">
        <f aca="false">IF(Table122[[#This Row],[Ma]],Table122[[#Headers],[Ma]],"")</f>
        <v/>
      </c>
      <c r="R43" s="300" t="str">
        <f aca="false">IF(Table122[[#This Row],[Mo]],Table122[[#Headers],[Mo]],"")</f>
        <v>Mo</v>
      </c>
      <c r="S43" s="300" t="str">
        <f aca="false">IF(Table122[[#This Row],[Su]],Table122[[#Headers],[Su]],"")</f>
        <v/>
      </c>
    </row>
    <row r="44" customFormat="false" ht="15" hidden="true" customHeight="false" outlineLevel="0" collapsed="false">
      <c r="A44" s="303" t="n">
        <v>43</v>
      </c>
      <c r="B44" s="301" t="n">
        <f aca="false">MOD(INT($A44/64),2)</f>
        <v>0</v>
      </c>
      <c r="C44" s="301" t="n">
        <f aca="false">MOD(INT($A44/32),2)</f>
        <v>1</v>
      </c>
      <c r="D44" s="301" t="n">
        <f aca="false">MOD(INT($A44/16),2)</f>
        <v>0</v>
      </c>
      <c r="E44" s="301" t="n">
        <f aca="false">MOD(INT($A44/8),2)</f>
        <v>1</v>
      </c>
      <c r="F44" s="301" t="n">
        <f aca="false">MOD(INT($A44/4),2)</f>
        <v>0</v>
      </c>
      <c r="G44" s="301" t="n">
        <f aca="false">MOD(INT($A44/2),2)</f>
        <v>1</v>
      </c>
      <c r="H44" s="301" t="n">
        <f aca="false">MOD(A44,2)</f>
        <v>1</v>
      </c>
      <c r="I44" s="304" t="n">
        <f aca="false">SUM(Table122[[#This Row],[Sat]:[Su]])</f>
        <v>4</v>
      </c>
      <c r="J44" s="300" t="s">
        <v>504</v>
      </c>
      <c r="K44" s="300" t="s">
        <v>505</v>
      </c>
      <c r="L44" s="300" t="str">
        <f aca="false">Table122[[#This Row],[Sat2]]&amp;" "&amp;Table122[[#This Row],[Column2]]&amp;" "&amp;Table122[[#This Row],[Column3]]&amp;" "&amp;Table122[[#This Row],[Column4]]&amp;" "&amp;Table122[[#This Row],[Column5]]&amp;" "&amp;Table122[[#This Row],[Column6]]&amp;" "&amp;Table122[[#This Row],[Column7]]</f>
        <v> Ve  Me  Mo Su</v>
      </c>
      <c r="M44" s="300" t="str">
        <f aca="false">IF(Table122[[#This Row],[Sat]],Table122[[#Headers],[Sat]],"")</f>
        <v/>
      </c>
      <c r="N44" s="300" t="str">
        <f aca="false">IF(Table122[[#This Row],[Ve]],Table122[[#Headers],[Ve]],"")</f>
        <v>Ve</v>
      </c>
      <c r="O44" s="300" t="str">
        <f aca="false">IF(Table122[[#This Row],[Ju]],Table122[[#Headers],[Ju]],"")</f>
        <v/>
      </c>
      <c r="P44" s="300" t="str">
        <f aca="false">IF(Table122[[#This Row],[Me]],Table122[[#Headers],[Me]],"")</f>
        <v>Me</v>
      </c>
      <c r="Q44" s="300" t="str">
        <f aca="false">IF(Table122[[#This Row],[Ma]],Table122[[#Headers],[Ma]],"")</f>
        <v/>
      </c>
      <c r="R44" s="300" t="str">
        <f aca="false">IF(Table122[[#This Row],[Mo]],Table122[[#Headers],[Mo]],"")</f>
        <v>Mo</v>
      </c>
      <c r="S44" s="300" t="str">
        <f aca="false">IF(Table122[[#This Row],[Su]],Table122[[#Headers],[Su]],"")</f>
        <v>Su</v>
      </c>
    </row>
    <row r="45" customFormat="false" ht="15" hidden="true" customHeight="false" outlineLevel="0" collapsed="false">
      <c r="A45" s="303" t="n">
        <v>44</v>
      </c>
      <c r="B45" s="301" t="n">
        <f aca="false">MOD(INT($A45/64),2)</f>
        <v>0</v>
      </c>
      <c r="C45" s="301" t="n">
        <f aca="false">MOD(INT($A45/32),2)</f>
        <v>1</v>
      </c>
      <c r="D45" s="301" t="n">
        <f aca="false">MOD(INT($A45/16),2)</f>
        <v>0</v>
      </c>
      <c r="E45" s="301" t="n">
        <f aca="false">MOD(INT($A45/8),2)</f>
        <v>1</v>
      </c>
      <c r="F45" s="301" t="n">
        <f aca="false">MOD(INT($A45/4),2)</f>
        <v>1</v>
      </c>
      <c r="G45" s="301" t="n">
        <f aca="false">MOD(INT($A45/2),2)</f>
        <v>0</v>
      </c>
      <c r="H45" s="301" t="n">
        <f aca="false">MOD(A45,2)</f>
        <v>0</v>
      </c>
      <c r="I45" s="304" t="n">
        <f aca="false">SUM(Table122[[#This Row],[Sat]:[Su]])</f>
        <v>3</v>
      </c>
      <c r="L45" s="300" t="str">
        <f aca="false">Table122[[#This Row],[Sat2]]&amp;" "&amp;Table122[[#This Row],[Column2]]&amp;" "&amp;Table122[[#This Row],[Column3]]&amp;" "&amp;Table122[[#This Row],[Column4]]&amp;" "&amp;Table122[[#This Row],[Column5]]&amp;" "&amp;Table122[[#This Row],[Column6]]&amp;" "&amp;Table122[[#This Row],[Column7]]</f>
        <v> Ve  Me Ma  </v>
      </c>
      <c r="M45" s="300" t="str">
        <f aca="false">IF(Table122[[#This Row],[Sat]],Table122[[#Headers],[Sat]],"")</f>
        <v/>
      </c>
      <c r="N45" s="300" t="str">
        <f aca="false">IF(Table122[[#This Row],[Ve]],Table122[[#Headers],[Ve]],"")</f>
        <v>Ve</v>
      </c>
      <c r="O45" s="300" t="str">
        <f aca="false">IF(Table122[[#This Row],[Ju]],Table122[[#Headers],[Ju]],"")</f>
        <v/>
      </c>
      <c r="P45" s="300" t="str">
        <f aca="false">IF(Table122[[#This Row],[Me]],Table122[[#Headers],[Me]],"")</f>
        <v>Me</v>
      </c>
      <c r="Q45" s="300" t="str">
        <f aca="false">IF(Table122[[#This Row],[Ma]],Table122[[#Headers],[Ma]],"")</f>
        <v>Ma</v>
      </c>
      <c r="R45" s="300" t="str">
        <f aca="false">IF(Table122[[#This Row],[Mo]],Table122[[#Headers],[Mo]],"")</f>
        <v/>
      </c>
      <c r="S45" s="300" t="str">
        <f aca="false">IF(Table122[[#This Row],[Su]],Table122[[#Headers],[Su]],"")</f>
        <v/>
      </c>
    </row>
    <row r="46" customFormat="false" ht="15" hidden="true" customHeight="false" outlineLevel="0" collapsed="false">
      <c r="A46" s="303" t="n">
        <v>45</v>
      </c>
      <c r="B46" s="301" t="n">
        <f aca="false">MOD(INT($A46/64),2)</f>
        <v>0</v>
      </c>
      <c r="C46" s="301" t="n">
        <f aca="false">MOD(INT($A46/32),2)</f>
        <v>1</v>
      </c>
      <c r="D46" s="301" t="n">
        <f aca="false">MOD(INT($A46/16),2)</f>
        <v>0</v>
      </c>
      <c r="E46" s="301" t="n">
        <f aca="false">MOD(INT($A46/8),2)</f>
        <v>1</v>
      </c>
      <c r="F46" s="301" t="n">
        <f aca="false">MOD(INT($A46/4),2)</f>
        <v>1</v>
      </c>
      <c r="G46" s="301" t="n">
        <f aca="false">MOD(INT($A46/2),2)</f>
        <v>0</v>
      </c>
      <c r="H46" s="301" t="n">
        <f aca="false">MOD(A46,2)</f>
        <v>1</v>
      </c>
      <c r="I46" s="304" t="n">
        <f aca="false">SUM(Table122[[#This Row],[Sat]:[Su]])</f>
        <v>4</v>
      </c>
      <c r="J46" s="300" t="s">
        <v>497</v>
      </c>
      <c r="K46" s="300" t="s">
        <v>506</v>
      </c>
      <c r="L46" s="300" t="str">
        <f aca="false">Table122[[#This Row],[Sat2]]&amp;" "&amp;Table122[[#This Row],[Column2]]&amp;" "&amp;Table122[[#This Row],[Column3]]&amp;" "&amp;Table122[[#This Row],[Column4]]&amp;" "&amp;Table122[[#This Row],[Column5]]&amp;" "&amp;Table122[[#This Row],[Column6]]&amp;" "&amp;Table122[[#This Row],[Column7]]</f>
        <v> Ve  Me Ma  Su</v>
      </c>
      <c r="M46" s="300" t="str">
        <f aca="false">IF(Table122[[#This Row],[Sat]],Table122[[#Headers],[Sat]],"")</f>
        <v/>
      </c>
      <c r="N46" s="300" t="str">
        <f aca="false">IF(Table122[[#This Row],[Ve]],Table122[[#Headers],[Ve]],"")</f>
        <v>Ve</v>
      </c>
      <c r="O46" s="300" t="str">
        <f aca="false">IF(Table122[[#This Row],[Ju]],Table122[[#Headers],[Ju]],"")</f>
        <v/>
      </c>
      <c r="P46" s="300" t="str">
        <f aca="false">IF(Table122[[#This Row],[Me]],Table122[[#Headers],[Me]],"")</f>
        <v>Me</v>
      </c>
      <c r="Q46" s="300" t="str">
        <f aca="false">IF(Table122[[#This Row],[Ma]],Table122[[#Headers],[Ma]],"")</f>
        <v>Ma</v>
      </c>
      <c r="R46" s="300" t="str">
        <f aca="false">IF(Table122[[#This Row],[Mo]],Table122[[#Headers],[Mo]],"")</f>
        <v/>
      </c>
      <c r="S46" s="300" t="str">
        <f aca="false">IF(Table122[[#This Row],[Su]],Table122[[#Headers],[Su]],"")</f>
        <v>Su</v>
      </c>
    </row>
    <row r="47" customFormat="false" ht="15" hidden="true" customHeight="false" outlineLevel="0" collapsed="false">
      <c r="A47" s="303" t="n">
        <v>46</v>
      </c>
      <c r="B47" s="301" t="n">
        <f aca="false">MOD(INT($A47/64),2)</f>
        <v>0</v>
      </c>
      <c r="C47" s="301" t="n">
        <f aca="false">MOD(INT($A47/32),2)</f>
        <v>1</v>
      </c>
      <c r="D47" s="301" t="n">
        <f aca="false">MOD(INT($A47/16),2)</f>
        <v>0</v>
      </c>
      <c r="E47" s="301" t="n">
        <f aca="false">MOD(INT($A47/8),2)</f>
        <v>1</v>
      </c>
      <c r="F47" s="301" t="n">
        <f aca="false">MOD(INT($A47/4),2)</f>
        <v>1</v>
      </c>
      <c r="G47" s="301" t="n">
        <f aca="false">MOD(INT($A47/2),2)</f>
        <v>1</v>
      </c>
      <c r="H47" s="301" t="n">
        <f aca="false">MOD(A47,2)</f>
        <v>0</v>
      </c>
      <c r="I47" s="304" t="n">
        <f aca="false">SUM(Table122[[#This Row],[Sat]:[Su]])</f>
        <v>4</v>
      </c>
      <c r="J47" s="300" t="s">
        <v>490</v>
      </c>
      <c r="K47" s="300" t="s">
        <v>507</v>
      </c>
      <c r="L47" s="300" t="str">
        <f aca="false">Table122[[#This Row],[Sat2]]&amp;" "&amp;Table122[[#This Row],[Column2]]&amp;" "&amp;Table122[[#This Row],[Column3]]&amp;" "&amp;Table122[[#This Row],[Column4]]&amp;" "&amp;Table122[[#This Row],[Column5]]&amp;" "&amp;Table122[[#This Row],[Column6]]&amp;" "&amp;Table122[[#This Row],[Column7]]</f>
        <v> Ve  Me Ma Mo </v>
      </c>
      <c r="M47" s="300" t="str">
        <f aca="false">IF(Table122[[#This Row],[Sat]],Table122[[#Headers],[Sat]],"")</f>
        <v/>
      </c>
      <c r="N47" s="300" t="str">
        <f aca="false">IF(Table122[[#This Row],[Ve]],Table122[[#Headers],[Ve]],"")</f>
        <v>Ve</v>
      </c>
      <c r="O47" s="300" t="str">
        <f aca="false">IF(Table122[[#This Row],[Ju]],Table122[[#Headers],[Ju]],"")</f>
        <v/>
      </c>
      <c r="P47" s="300" t="str">
        <f aca="false">IF(Table122[[#This Row],[Me]],Table122[[#Headers],[Me]],"")</f>
        <v>Me</v>
      </c>
      <c r="Q47" s="300" t="str">
        <f aca="false">IF(Table122[[#This Row],[Ma]],Table122[[#Headers],[Ma]],"")</f>
        <v>Ma</v>
      </c>
      <c r="R47" s="300" t="str">
        <f aca="false">IF(Table122[[#This Row],[Mo]],Table122[[#Headers],[Mo]],"")</f>
        <v>Mo</v>
      </c>
      <c r="S47" s="300" t="str">
        <f aca="false">IF(Table122[[#This Row],[Su]],Table122[[#Headers],[Su]],"")</f>
        <v/>
      </c>
    </row>
    <row r="48" customFormat="false" ht="15" hidden="true" customHeight="false" outlineLevel="0" collapsed="false">
      <c r="A48" s="303" t="n">
        <v>47</v>
      </c>
      <c r="B48" s="301" t="n">
        <f aca="false">MOD(INT($A48/64),2)</f>
        <v>0</v>
      </c>
      <c r="C48" s="301" t="n">
        <f aca="false">MOD(INT($A48/32),2)</f>
        <v>1</v>
      </c>
      <c r="D48" s="301" t="n">
        <f aca="false">MOD(INT($A48/16),2)</f>
        <v>0</v>
      </c>
      <c r="E48" s="301" t="n">
        <f aca="false">MOD(INT($A48/8),2)</f>
        <v>1</v>
      </c>
      <c r="F48" s="301" t="n">
        <f aca="false">MOD(INT($A48/4),2)</f>
        <v>1</v>
      </c>
      <c r="G48" s="301" t="n">
        <f aca="false">MOD(INT($A48/2),2)</f>
        <v>1</v>
      </c>
      <c r="H48" s="301" t="n">
        <f aca="false">MOD(A48,2)</f>
        <v>1</v>
      </c>
      <c r="I48" s="304" t="n">
        <f aca="false">SUM(Table122[[#This Row],[Sat]:[Su]])</f>
        <v>5</v>
      </c>
      <c r="J48" s="300" t="s">
        <v>499</v>
      </c>
      <c r="K48" s="300" t="s">
        <v>500</v>
      </c>
      <c r="L48" s="300" t="str">
        <f aca="false">Table122[[#This Row],[Sat2]]&amp;" "&amp;Table122[[#This Row],[Column2]]&amp;" "&amp;Table122[[#This Row],[Column3]]&amp;" "&amp;Table122[[#This Row],[Column4]]&amp;" "&amp;Table122[[#This Row],[Column5]]&amp;" "&amp;Table122[[#This Row],[Column6]]&amp;" "&amp;Table122[[#This Row],[Column7]]</f>
        <v> Ve  Me Ma Mo Su</v>
      </c>
      <c r="M48" s="300" t="str">
        <f aca="false">IF(Table122[[#This Row],[Sat]],Table122[[#Headers],[Sat]],"")</f>
        <v/>
      </c>
      <c r="N48" s="300" t="str">
        <f aca="false">IF(Table122[[#This Row],[Ve]],Table122[[#Headers],[Ve]],"")</f>
        <v>Ve</v>
      </c>
      <c r="O48" s="300" t="str">
        <f aca="false">IF(Table122[[#This Row],[Ju]],Table122[[#Headers],[Ju]],"")</f>
        <v/>
      </c>
      <c r="P48" s="300" t="str">
        <f aca="false">IF(Table122[[#This Row],[Me]],Table122[[#Headers],[Me]],"")</f>
        <v>Me</v>
      </c>
      <c r="Q48" s="300" t="str">
        <f aca="false">IF(Table122[[#This Row],[Ma]],Table122[[#Headers],[Ma]],"")</f>
        <v>Ma</v>
      </c>
      <c r="R48" s="300" t="str">
        <f aca="false">IF(Table122[[#This Row],[Mo]],Table122[[#Headers],[Mo]],"")</f>
        <v>Mo</v>
      </c>
      <c r="S48" s="300" t="str">
        <f aca="false">IF(Table122[[#This Row],[Su]],Table122[[#Headers],[Su]],"")</f>
        <v>Su</v>
      </c>
    </row>
    <row r="49" customFormat="false" ht="15" hidden="false" customHeight="false" outlineLevel="0" collapsed="false">
      <c r="A49" s="303" t="n">
        <v>48</v>
      </c>
      <c r="B49" s="301" t="n">
        <f aca="false">MOD(INT($A49/64),2)</f>
        <v>0</v>
      </c>
      <c r="C49" s="301" t="n">
        <f aca="false">MOD(INT($A49/32),2)</f>
        <v>1</v>
      </c>
      <c r="D49" s="301" t="n">
        <f aca="false">MOD(INT($A49/16),2)</f>
        <v>1</v>
      </c>
      <c r="E49" s="301" t="n">
        <f aca="false">MOD(INT($A49/8),2)</f>
        <v>0</v>
      </c>
      <c r="F49" s="301" t="n">
        <f aca="false">MOD(INT($A49/4),2)</f>
        <v>0</v>
      </c>
      <c r="G49" s="301" t="n">
        <f aca="false">MOD(INT($A49/2),2)</f>
        <v>0</v>
      </c>
      <c r="H49" s="301" t="n">
        <f aca="false">MOD(A49,2)</f>
        <v>0</v>
      </c>
      <c r="I49" s="304" t="n">
        <f aca="false">SUM(Table122[[#This Row],[Sat]:[Su]])</f>
        <v>2</v>
      </c>
      <c r="J49" s="300" t="s">
        <v>508</v>
      </c>
      <c r="L49" s="300" t="str">
        <f aca="false">Table122[[#This Row],[Sat2]]&amp;" "&amp;Table122[[#This Row],[Column2]]&amp;" "&amp;Table122[[#This Row],[Column3]]&amp;" "&amp;Table122[[#This Row],[Column4]]&amp;" "&amp;Table122[[#This Row],[Column5]]&amp;" "&amp;Table122[[#This Row],[Column6]]&amp;" "&amp;Table122[[#This Row],[Column7]]</f>
        <v> Ve Ju    </v>
      </c>
      <c r="M49" s="300" t="str">
        <f aca="false">IF(Table122[[#This Row],[Sat]],Table122[[#Headers],[Sat]],"")</f>
        <v/>
      </c>
      <c r="N49" s="300" t="str">
        <f aca="false">IF(Table122[[#This Row],[Ve]],Table122[[#Headers],[Ve]],"")</f>
        <v>Ve</v>
      </c>
      <c r="O49" s="300" t="str">
        <f aca="false">IF(Table122[[#This Row],[Ju]],Table122[[#Headers],[Ju]],"")</f>
        <v>Ju</v>
      </c>
      <c r="P49" s="300" t="str">
        <f aca="false">IF(Table122[[#This Row],[Me]],Table122[[#Headers],[Me]],"")</f>
        <v/>
      </c>
      <c r="Q49" s="300" t="str">
        <f aca="false">IF(Table122[[#This Row],[Ma]],Table122[[#Headers],[Ma]],"")</f>
        <v/>
      </c>
      <c r="R49" s="300" t="str">
        <f aca="false">IF(Table122[[#This Row],[Mo]],Table122[[#Headers],[Mo]],"")</f>
        <v/>
      </c>
      <c r="S49" s="300" t="str">
        <f aca="false">IF(Table122[[#This Row],[Su]],Table122[[#Headers],[Su]],"")</f>
        <v/>
      </c>
    </row>
    <row r="50" customFormat="false" ht="15" hidden="true" customHeight="false" outlineLevel="0" collapsed="false">
      <c r="A50" s="303" t="n">
        <v>49</v>
      </c>
      <c r="B50" s="301" t="n">
        <f aca="false">MOD(INT($A50/64),2)</f>
        <v>0</v>
      </c>
      <c r="C50" s="301" t="n">
        <f aca="false">MOD(INT($A50/32),2)</f>
        <v>1</v>
      </c>
      <c r="D50" s="301" t="n">
        <f aca="false">MOD(INT($A50/16),2)</f>
        <v>1</v>
      </c>
      <c r="E50" s="301" t="n">
        <f aca="false">MOD(INT($A50/8),2)</f>
        <v>0</v>
      </c>
      <c r="F50" s="301" t="n">
        <f aca="false">MOD(INT($A50/4),2)</f>
        <v>0</v>
      </c>
      <c r="G50" s="301" t="n">
        <f aca="false">MOD(INT($A50/2),2)</f>
        <v>0</v>
      </c>
      <c r="H50" s="301" t="n">
        <f aca="false">MOD(A50,2)</f>
        <v>1</v>
      </c>
      <c r="I50" s="304" t="n">
        <f aca="false">SUM(Table122[[#This Row],[Sat]:[Su]])</f>
        <v>3</v>
      </c>
      <c r="L50" s="300" t="str">
        <f aca="false">Table122[[#This Row],[Sat2]]&amp;" "&amp;Table122[[#This Row],[Column2]]&amp;" "&amp;Table122[[#This Row],[Column3]]&amp;" "&amp;Table122[[#This Row],[Column4]]&amp;" "&amp;Table122[[#This Row],[Column5]]&amp;" "&amp;Table122[[#This Row],[Column6]]&amp;" "&amp;Table122[[#This Row],[Column7]]</f>
        <v> Ve Ju    Su</v>
      </c>
      <c r="M50" s="300" t="str">
        <f aca="false">IF(Table122[[#This Row],[Sat]],Table122[[#Headers],[Sat]],"")</f>
        <v/>
      </c>
      <c r="N50" s="300" t="str">
        <f aca="false">IF(Table122[[#This Row],[Ve]],Table122[[#Headers],[Ve]],"")</f>
        <v>Ve</v>
      </c>
      <c r="O50" s="300" t="str">
        <f aca="false">IF(Table122[[#This Row],[Ju]],Table122[[#Headers],[Ju]],"")</f>
        <v>Ju</v>
      </c>
      <c r="P50" s="300" t="str">
        <f aca="false">IF(Table122[[#This Row],[Me]],Table122[[#Headers],[Me]],"")</f>
        <v/>
      </c>
      <c r="Q50" s="300" t="str">
        <f aca="false">IF(Table122[[#This Row],[Ma]],Table122[[#Headers],[Ma]],"")</f>
        <v/>
      </c>
      <c r="R50" s="300" t="str">
        <f aca="false">IF(Table122[[#This Row],[Mo]],Table122[[#Headers],[Mo]],"")</f>
        <v/>
      </c>
      <c r="S50" s="300" t="str">
        <f aca="false">IF(Table122[[#This Row],[Su]],Table122[[#Headers],[Su]],"")</f>
        <v>Su</v>
      </c>
    </row>
    <row r="51" customFormat="false" ht="15" hidden="true" customHeight="false" outlineLevel="0" collapsed="false">
      <c r="A51" s="303" t="n">
        <v>50</v>
      </c>
      <c r="B51" s="301" t="n">
        <f aca="false">MOD(INT($A51/64),2)</f>
        <v>0</v>
      </c>
      <c r="C51" s="301" t="n">
        <f aca="false">MOD(INT($A51/32),2)</f>
        <v>1</v>
      </c>
      <c r="D51" s="301" t="n">
        <f aca="false">MOD(INT($A51/16),2)</f>
        <v>1</v>
      </c>
      <c r="E51" s="301" t="n">
        <f aca="false">MOD(INT($A51/8),2)</f>
        <v>0</v>
      </c>
      <c r="F51" s="301" t="n">
        <f aca="false">MOD(INT($A51/4),2)</f>
        <v>0</v>
      </c>
      <c r="G51" s="301" t="n">
        <f aca="false">MOD(INT($A51/2),2)</f>
        <v>1</v>
      </c>
      <c r="H51" s="301" t="n">
        <f aca="false">MOD(A51,2)</f>
        <v>0</v>
      </c>
      <c r="I51" s="304" t="n">
        <f aca="false">SUM(Table122[[#This Row],[Sat]:[Su]])</f>
        <v>3</v>
      </c>
      <c r="L51" s="300" t="str">
        <f aca="false">Table122[[#This Row],[Sat2]]&amp;" "&amp;Table122[[#This Row],[Column2]]&amp;" "&amp;Table122[[#This Row],[Column3]]&amp;" "&amp;Table122[[#This Row],[Column4]]&amp;" "&amp;Table122[[#This Row],[Column5]]&amp;" "&amp;Table122[[#This Row],[Column6]]&amp;" "&amp;Table122[[#This Row],[Column7]]</f>
        <v> Ve Ju   Mo </v>
      </c>
      <c r="M51" s="300" t="str">
        <f aca="false">IF(Table122[[#This Row],[Sat]],Table122[[#Headers],[Sat]],"")</f>
        <v/>
      </c>
      <c r="N51" s="300" t="str">
        <f aca="false">IF(Table122[[#This Row],[Ve]],Table122[[#Headers],[Ve]],"")</f>
        <v>Ve</v>
      </c>
      <c r="O51" s="300" t="str">
        <f aca="false">IF(Table122[[#This Row],[Ju]],Table122[[#Headers],[Ju]],"")</f>
        <v>Ju</v>
      </c>
      <c r="P51" s="300" t="str">
        <f aca="false">IF(Table122[[#This Row],[Me]],Table122[[#Headers],[Me]],"")</f>
        <v/>
      </c>
      <c r="Q51" s="300" t="str">
        <f aca="false">IF(Table122[[#This Row],[Ma]],Table122[[#Headers],[Ma]],"")</f>
        <v/>
      </c>
      <c r="R51" s="300" t="str">
        <f aca="false">IF(Table122[[#This Row],[Mo]],Table122[[#Headers],[Mo]],"")</f>
        <v>Mo</v>
      </c>
      <c r="S51" s="300" t="str">
        <f aca="false">IF(Table122[[#This Row],[Su]],Table122[[#Headers],[Su]],"")</f>
        <v/>
      </c>
    </row>
    <row r="52" customFormat="false" ht="15" hidden="true" customHeight="false" outlineLevel="0" collapsed="false">
      <c r="A52" s="303" t="n">
        <v>51</v>
      </c>
      <c r="B52" s="301" t="n">
        <f aca="false">MOD(INT($A52/64),2)</f>
        <v>0</v>
      </c>
      <c r="C52" s="301" t="n">
        <f aca="false">MOD(INT($A52/32),2)</f>
        <v>1</v>
      </c>
      <c r="D52" s="301" t="n">
        <f aca="false">MOD(INT($A52/16),2)</f>
        <v>1</v>
      </c>
      <c r="E52" s="301" t="n">
        <f aca="false">MOD(INT($A52/8),2)</f>
        <v>0</v>
      </c>
      <c r="F52" s="301" t="n">
        <f aca="false">MOD(INT($A52/4),2)</f>
        <v>0</v>
      </c>
      <c r="G52" s="301" t="n">
        <f aca="false">MOD(INT($A52/2),2)</f>
        <v>1</v>
      </c>
      <c r="H52" s="301" t="n">
        <f aca="false">MOD(A52,2)</f>
        <v>1</v>
      </c>
      <c r="I52" s="304" t="n">
        <f aca="false">SUM(Table122[[#This Row],[Sat]:[Su]])</f>
        <v>4</v>
      </c>
      <c r="L52" s="300" t="str">
        <f aca="false">Table122[[#This Row],[Sat2]]&amp;" "&amp;Table122[[#This Row],[Column2]]&amp;" "&amp;Table122[[#This Row],[Column3]]&amp;" "&amp;Table122[[#This Row],[Column4]]&amp;" "&amp;Table122[[#This Row],[Column5]]&amp;" "&amp;Table122[[#This Row],[Column6]]&amp;" "&amp;Table122[[#This Row],[Column7]]</f>
        <v> Ve Ju   Mo Su</v>
      </c>
      <c r="M52" s="300" t="str">
        <f aca="false">IF(Table122[[#This Row],[Sat]],Table122[[#Headers],[Sat]],"")</f>
        <v/>
      </c>
      <c r="N52" s="300" t="str">
        <f aca="false">IF(Table122[[#This Row],[Ve]],Table122[[#Headers],[Ve]],"")</f>
        <v>Ve</v>
      </c>
      <c r="O52" s="300" t="str">
        <f aca="false">IF(Table122[[#This Row],[Ju]],Table122[[#Headers],[Ju]],"")</f>
        <v>Ju</v>
      </c>
      <c r="P52" s="300" t="str">
        <f aca="false">IF(Table122[[#This Row],[Me]],Table122[[#Headers],[Me]],"")</f>
        <v/>
      </c>
      <c r="Q52" s="300" t="str">
        <f aca="false">IF(Table122[[#This Row],[Ma]],Table122[[#Headers],[Ma]],"")</f>
        <v/>
      </c>
      <c r="R52" s="300" t="str">
        <f aca="false">IF(Table122[[#This Row],[Mo]],Table122[[#Headers],[Mo]],"")</f>
        <v>Mo</v>
      </c>
      <c r="S52" s="300" t="str">
        <f aca="false">IF(Table122[[#This Row],[Su]],Table122[[#Headers],[Su]],"")</f>
        <v>Su</v>
      </c>
    </row>
    <row r="53" customFormat="false" ht="15" hidden="true" customHeight="false" outlineLevel="0" collapsed="false">
      <c r="A53" s="303" t="n">
        <v>52</v>
      </c>
      <c r="B53" s="301" t="n">
        <f aca="false">MOD(INT($A53/64),2)</f>
        <v>0</v>
      </c>
      <c r="C53" s="301" t="n">
        <f aca="false">MOD(INT($A53/32),2)</f>
        <v>1</v>
      </c>
      <c r="D53" s="301" t="n">
        <f aca="false">MOD(INT($A53/16),2)</f>
        <v>1</v>
      </c>
      <c r="E53" s="301" t="n">
        <f aca="false">MOD(INT($A53/8),2)</f>
        <v>0</v>
      </c>
      <c r="F53" s="301" t="n">
        <f aca="false">MOD(INT($A53/4),2)</f>
        <v>1</v>
      </c>
      <c r="G53" s="301" t="n">
        <f aca="false">MOD(INT($A53/2),2)</f>
        <v>0</v>
      </c>
      <c r="H53" s="301" t="n">
        <f aca="false">MOD(A53,2)</f>
        <v>0</v>
      </c>
      <c r="I53" s="304" t="n">
        <f aca="false">SUM(Table122[[#This Row],[Sat]:[Su]])</f>
        <v>3</v>
      </c>
      <c r="L53" s="300" t="str">
        <f aca="false">Table122[[#This Row],[Sat2]]&amp;" "&amp;Table122[[#This Row],[Column2]]&amp;" "&amp;Table122[[#This Row],[Column3]]&amp;" "&amp;Table122[[#This Row],[Column4]]&amp;" "&amp;Table122[[#This Row],[Column5]]&amp;" "&amp;Table122[[#This Row],[Column6]]&amp;" "&amp;Table122[[#This Row],[Column7]]</f>
        <v> Ve Ju  Ma  </v>
      </c>
      <c r="M53" s="300" t="str">
        <f aca="false">IF(Table122[[#This Row],[Sat]],Table122[[#Headers],[Sat]],"")</f>
        <v/>
      </c>
      <c r="N53" s="300" t="str">
        <f aca="false">IF(Table122[[#This Row],[Ve]],Table122[[#Headers],[Ve]],"")</f>
        <v>Ve</v>
      </c>
      <c r="O53" s="300" t="str">
        <f aca="false">IF(Table122[[#This Row],[Ju]],Table122[[#Headers],[Ju]],"")</f>
        <v>Ju</v>
      </c>
      <c r="P53" s="300" t="str">
        <f aca="false">IF(Table122[[#This Row],[Me]],Table122[[#Headers],[Me]],"")</f>
        <v/>
      </c>
      <c r="Q53" s="300" t="str">
        <f aca="false">IF(Table122[[#This Row],[Ma]],Table122[[#Headers],[Ma]],"")</f>
        <v>Ma</v>
      </c>
      <c r="R53" s="300" t="str">
        <f aca="false">IF(Table122[[#This Row],[Mo]],Table122[[#Headers],[Mo]],"")</f>
        <v/>
      </c>
      <c r="S53" s="300" t="str">
        <f aca="false">IF(Table122[[#This Row],[Su]],Table122[[#Headers],[Su]],"")</f>
        <v/>
      </c>
    </row>
    <row r="54" customFormat="false" ht="15" hidden="true" customHeight="false" outlineLevel="0" collapsed="false">
      <c r="A54" s="303" t="n">
        <v>53</v>
      </c>
      <c r="B54" s="301" t="n">
        <f aca="false">MOD(INT($A54/64),2)</f>
        <v>0</v>
      </c>
      <c r="C54" s="301" t="n">
        <f aca="false">MOD(INT($A54/32),2)</f>
        <v>1</v>
      </c>
      <c r="D54" s="301" t="n">
        <f aca="false">MOD(INT($A54/16),2)</f>
        <v>1</v>
      </c>
      <c r="E54" s="301" t="n">
        <f aca="false">MOD(INT($A54/8),2)</f>
        <v>0</v>
      </c>
      <c r="F54" s="301" t="n">
        <f aca="false">MOD(INT($A54/4),2)</f>
        <v>1</v>
      </c>
      <c r="G54" s="301" t="n">
        <f aca="false">MOD(INT($A54/2),2)</f>
        <v>0</v>
      </c>
      <c r="H54" s="301" t="n">
        <f aca="false">MOD(A54,2)</f>
        <v>1</v>
      </c>
      <c r="I54" s="304" t="n">
        <f aca="false">SUM(Table122[[#This Row],[Sat]:[Su]])</f>
        <v>4</v>
      </c>
      <c r="L54" s="300" t="str">
        <f aca="false">Table122[[#This Row],[Sat2]]&amp;" "&amp;Table122[[#This Row],[Column2]]&amp;" "&amp;Table122[[#This Row],[Column3]]&amp;" "&amp;Table122[[#This Row],[Column4]]&amp;" "&amp;Table122[[#This Row],[Column5]]&amp;" "&amp;Table122[[#This Row],[Column6]]&amp;" "&amp;Table122[[#This Row],[Column7]]</f>
        <v> Ve Ju  Ma  Su</v>
      </c>
      <c r="M54" s="300" t="str">
        <f aca="false">IF(Table122[[#This Row],[Sat]],Table122[[#Headers],[Sat]],"")</f>
        <v/>
      </c>
      <c r="N54" s="300" t="str">
        <f aca="false">IF(Table122[[#This Row],[Ve]],Table122[[#Headers],[Ve]],"")</f>
        <v>Ve</v>
      </c>
      <c r="O54" s="300" t="str">
        <f aca="false">IF(Table122[[#This Row],[Ju]],Table122[[#Headers],[Ju]],"")</f>
        <v>Ju</v>
      </c>
      <c r="P54" s="300" t="str">
        <f aca="false">IF(Table122[[#This Row],[Me]],Table122[[#Headers],[Me]],"")</f>
        <v/>
      </c>
      <c r="Q54" s="300" t="str">
        <f aca="false">IF(Table122[[#This Row],[Ma]],Table122[[#Headers],[Ma]],"")</f>
        <v>Ma</v>
      </c>
      <c r="R54" s="300" t="str">
        <f aca="false">IF(Table122[[#This Row],[Mo]],Table122[[#Headers],[Mo]],"")</f>
        <v/>
      </c>
      <c r="S54" s="300" t="str">
        <f aca="false">IF(Table122[[#This Row],[Su]],Table122[[#Headers],[Su]],"")</f>
        <v>Su</v>
      </c>
    </row>
    <row r="55" customFormat="false" ht="15" hidden="true" customHeight="false" outlineLevel="0" collapsed="false">
      <c r="A55" s="303" t="n">
        <v>54</v>
      </c>
      <c r="B55" s="301" t="n">
        <f aca="false">MOD(INT($A55/64),2)</f>
        <v>0</v>
      </c>
      <c r="C55" s="301" t="n">
        <f aca="false">MOD(INT($A55/32),2)</f>
        <v>1</v>
      </c>
      <c r="D55" s="301" t="n">
        <f aca="false">MOD(INT($A55/16),2)</f>
        <v>1</v>
      </c>
      <c r="E55" s="301" t="n">
        <f aca="false">MOD(INT($A55/8),2)</f>
        <v>0</v>
      </c>
      <c r="F55" s="301" t="n">
        <f aca="false">MOD(INT($A55/4),2)</f>
        <v>1</v>
      </c>
      <c r="G55" s="301" t="n">
        <f aca="false">MOD(INT($A55/2),2)</f>
        <v>1</v>
      </c>
      <c r="H55" s="301" t="n">
        <f aca="false">MOD(A55,2)</f>
        <v>0</v>
      </c>
      <c r="I55" s="304" t="n">
        <f aca="false">SUM(Table122[[#This Row],[Sat]:[Su]])</f>
        <v>4</v>
      </c>
      <c r="L55" s="300" t="str">
        <f aca="false">Table122[[#This Row],[Sat2]]&amp;" "&amp;Table122[[#This Row],[Column2]]&amp;" "&amp;Table122[[#This Row],[Column3]]&amp;" "&amp;Table122[[#This Row],[Column4]]&amp;" "&amp;Table122[[#This Row],[Column5]]&amp;" "&amp;Table122[[#This Row],[Column6]]&amp;" "&amp;Table122[[#This Row],[Column7]]</f>
        <v> Ve Ju  Ma Mo </v>
      </c>
      <c r="M55" s="300" t="str">
        <f aca="false">IF(Table122[[#This Row],[Sat]],Table122[[#Headers],[Sat]],"")</f>
        <v/>
      </c>
      <c r="N55" s="300" t="str">
        <f aca="false">IF(Table122[[#This Row],[Ve]],Table122[[#Headers],[Ve]],"")</f>
        <v>Ve</v>
      </c>
      <c r="O55" s="300" t="str">
        <f aca="false">IF(Table122[[#This Row],[Ju]],Table122[[#Headers],[Ju]],"")</f>
        <v>Ju</v>
      </c>
      <c r="P55" s="300" t="str">
        <f aca="false">IF(Table122[[#This Row],[Me]],Table122[[#Headers],[Me]],"")</f>
        <v/>
      </c>
      <c r="Q55" s="300" t="str">
        <f aca="false">IF(Table122[[#This Row],[Ma]],Table122[[#Headers],[Ma]],"")</f>
        <v>Ma</v>
      </c>
      <c r="R55" s="300" t="str">
        <f aca="false">IF(Table122[[#This Row],[Mo]],Table122[[#Headers],[Mo]],"")</f>
        <v>Mo</v>
      </c>
      <c r="S55" s="300" t="str">
        <f aca="false">IF(Table122[[#This Row],[Su]],Table122[[#Headers],[Su]],"")</f>
        <v/>
      </c>
    </row>
    <row r="56" customFormat="false" ht="15" hidden="true" customHeight="false" outlineLevel="0" collapsed="false">
      <c r="A56" s="303" t="n">
        <v>55</v>
      </c>
      <c r="B56" s="301" t="n">
        <f aca="false">MOD(INT($A56/64),2)</f>
        <v>0</v>
      </c>
      <c r="C56" s="301" t="n">
        <f aca="false">MOD(INT($A56/32),2)</f>
        <v>1</v>
      </c>
      <c r="D56" s="301" t="n">
        <f aca="false">MOD(INT($A56/16),2)</f>
        <v>1</v>
      </c>
      <c r="E56" s="301" t="n">
        <f aca="false">MOD(INT($A56/8),2)</f>
        <v>0</v>
      </c>
      <c r="F56" s="301" t="n">
        <f aca="false">MOD(INT($A56/4),2)</f>
        <v>1</v>
      </c>
      <c r="G56" s="301" t="n">
        <f aca="false">MOD(INT($A56/2),2)</f>
        <v>1</v>
      </c>
      <c r="H56" s="301" t="n">
        <f aca="false">MOD(A56,2)</f>
        <v>1</v>
      </c>
      <c r="I56" s="304" t="n">
        <f aca="false">SUM(Table122[[#This Row],[Sat]:[Su]])</f>
        <v>5</v>
      </c>
      <c r="L56" s="300" t="str">
        <f aca="false">Table122[[#This Row],[Sat2]]&amp;" "&amp;Table122[[#This Row],[Column2]]&amp;" "&amp;Table122[[#This Row],[Column3]]&amp;" "&amp;Table122[[#This Row],[Column4]]&amp;" "&amp;Table122[[#This Row],[Column5]]&amp;" "&amp;Table122[[#This Row],[Column6]]&amp;" "&amp;Table122[[#This Row],[Column7]]</f>
        <v> Ve Ju  Ma Mo Su</v>
      </c>
      <c r="M56" s="300" t="str">
        <f aca="false">IF(Table122[[#This Row],[Sat]],Table122[[#Headers],[Sat]],"")</f>
        <v/>
      </c>
      <c r="N56" s="300" t="str">
        <f aca="false">IF(Table122[[#This Row],[Ve]],Table122[[#Headers],[Ve]],"")</f>
        <v>Ve</v>
      </c>
      <c r="O56" s="300" t="str">
        <f aca="false">IF(Table122[[#This Row],[Ju]],Table122[[#Headers],[Ju]],"")</f>
        <v>Ju</v>
      </c>
      <c r="P56" s="300" t="str">
        <f aca="false">IF(Table122[[#This Row],[Me]],Table122[[#Headers],[Me]],"")</f>
        <v/>
      </c>
      <c r="Q56" s="300" t="str">
        <f aca="false">IF(Table122[[#This Row],[Ma]],Table122[[#Headers],[Ma]],"")</f>
        <v>Ma</v>
      </c>
      <c r="R56" s="300" t="str">
        <f aca="false">IF(Table122[[#This Row],[Mo]],Table122[[#Headers],[Mo]],"")</f>
        <v>Mo</v>
      </c>
      <c r="S56" s="300" t="str">
        <f aca="false">IF(Table122[[#This Row],[Su]],Table122[[#Headers],[Su]],"")</f>
        <v>Su</v>
      </c>
    </row>
    <row r="57" customFormat="false" ht="15" hidden="true" customHeight="false" outlineLevel="0" collapsed="false">
      <c r="A57" s="303" t="n">
        <v>56</v>
      </c>
      <c r="B57" s="301" t="n">
        <f aca="false">MOD(INT($A57/64),2)</f>
        <v>0</v>
      </c>
      <c r="C57" s="301" t="n">
        <f aca="false">MOD(INT($A57/32),2)</f>
        <v>1</v>
      </c>
      <c r="D57" s="301" t="n">
        <f aca="false">MOD(INT($A57/16),2)</f>
        <v>1</v>
      </c>
      <c r="E57" s="301" t="n">
        <f aca="false">MOD(INT($A57/8),2)</f>
        <v>1</v>
      </c>
      <c r="F57" s="301" t="n">
        <f aca="false">MOD(INT($A57/4),2)</f>
        <v>0</v>
      </c>
      <c r="G57" s="301" t="n">
        <f aca="false">MOD(INT($A57/2),2)</f>
        <v>0</v>
      </c>
      <c r="H57" s="301" t="n">
        <f aca="false">MOD(A57,2)</f>
        <v>0</v>
      </c>
      <c r="I57" s="304" t="n">
        <f aca="false">SUM(Table122[[#This Row],[Sat]:[Su]])</f>
        <v>3</v>
      </c>
      <c r="L57" s="300" t="str">
        <f aca="false">Table122[[#This Row],[Sat2]]&amp;" "&amp;Table122[[#This Row],[Column2]]&amp;" "&amp;Table122[[#This Row],[Column3]]&amp;" "&amp;Table122[[#This Row],[Column4]]&amp;" "&amp;Table122[[#This Row],[Column5]]&amp;" "&amp;Table122[[#This Row],[Column6]]&amp;" "&amp;Table122[[#This Row],[Column7]]</f>
        <v> Ve Ju Me   </v>
      </c>
      <c r="M57" s="300" t="str">
        <f aca="false">IF(Table122[[#This Row],[Sat]],Table122[[#Headers],[Sat]],"")</f>
        <v/>
      </c>
      <c r="N57" s="300" t="str">
        <f aca="false">IF(Table122[[#This Row],[Ve]],Table122[[#Headers],[Ve]],"")</f>
        <v>Ve</v>
      </c>
      <c r="O57" s="300" t="str">
        <f aca="false">IF(Table122[[#This Row],[Ju]],Table122[[#Headers],[Ju]],"")</f>
        <v>Ju</v>
      </c>
      <c r="P57" s="300" t="str">
        <f aca="false">IF(Table122[[#This Row],[Me]],Table122[[#Headers],[Me]],"")</f>
        <v>Me</v>
      </c>
      <c r="Q57" s="300" t="str">
        <f aca="false">IF(Table122[[#This Row],[Ma]],Table122[[#Headers],[Ma]],"")</f>
        <v/>
      </c>
      <c r="R57" s="300" t="str">
        <f aca="false">IF(Table122[[#This Row],[Mo]],Table122[[#Headers],[Mo]],"")</f>
        <v/>
      </c>
      <c r="S57" s="300" t="str">
        <f aca="false">IF(Table122[[#This Row],[Su]],Table122[[#Headers],[Su]],"")</f>
        <v/>
      </c>
    </row>
    <row r="58" customFormat="false" ht="15" hidden="true" customHeight="false" outlineLevel="0" collapsed="false">
      <c r="A58" s="303" t="n">
        <v>57</v>
      </c>
      <c r="B58" s="301" t="n">
        <f aca="false">MOD(INT($A58/64),2)</f>
        <v>0</v>
      </c>
      <c r="C58" s="301" t="n">
        <f aca="false">MOD(INT($A58/32),2)</f>
        <v>1</v>
      </c>
      <c r="D58" s="301" t="n">
        <f aca="false">MOD(INT($A58/16),2)</f>
        <v>1</v>
      </c>
      <c r="E58" s="301" t="n">
        <f aca="false">MOD(INT($A58/8),2)</f>
        <v>1</v>
      </c>
      <c r="F58" s="301" t="n">
        <f aca="false">MOD(INT($A58/4),2)</f>
        <v>0</v>
      </c>
      <c r="G58" s="301" t="n">
        <f aca="false">MOD(INT($A58/2),2)</f>
        <v>0</v>
      </c>
      <c r="H58" s="301" t="n">
        <f aca="false">MOD(A58,2)</f>
        <v>1</v>
      </c>
      <c r="I58" s="304" t="n">
        <f aca="false">SUM(Table122[[#This Row],[Sat]:[Su]])</f>
        <v>4</v>
      </c>
      <c r="L58" s="300" t="str">
        <f aca="false">Table122[[#This Row],[Sat2]]&amp;" "&amp;Table122[[#This Row],[Column2]]&amp;" "&amp;Table122[[#This Row],[Column3]]&amp;" "&amp;Table122[[#This Row],[Column4]]&amp;" "&amp;Table122[[#This Row],[Column5]]&amp;" "&amp;Table122[[#This Row],[Column6]]&amp;" "&amp;Table122[[#This Row],[Column7]]</f>
        <v> Ve Ju Me   Su</v>
      </c>
      <c r="M58" s="300" t="str">
        <f aca="false">IF(Table122[[#This Row],[Sat]],Table122[[#Headers],[Sat]],"")</f>
        <v/>
      </c>
      <c r="N58" s="300" t="str">
        <f aca="false">IF(Table122[[#This Row],[Ve]],Table122[[#Headers],[Ve]],"")</f>
        <v>Ve</v>
      </c>
      <c r="O58" s="300" t="str">
        <f aca="false">IF(Table122[[#This Row],[Ju]],Table122[[#Headers],[Ju]],"")</f>
        <v>Ju</v>
      </c>
      <c r="P58" s="300" t="str">
        <f aca="false">IF(Table122[[#This Row],[Me]],Table122[[#Headers],[Me]],"")</f>
        <v>Me</v>
      </c>
      <c r="Q58" s="300" t="str">
        <f aca="false">IF(Table122[[#This Row],[Ma]],Table122[[#Headers],[Ma]],"")</f>
        <v/>
      </c>
      <c r="R58" s="300" t="str">
        <f aca="false">IF(Table122[[#This Row],[Mo]],Table122[[#Headers],[Mo]],"")</f>
        <v/>
      </c>
      <c r="S58" s="300" t="str">
        <f aca="false">IF(Table122[[#This Row],[Su]],Table122[[#Headers],[Su]],"")</f>
        <v>Su</v>
      </c>
    </row>
    <row r="59" customFormat="false" ht="15" hidden="true" customHeight="false" outlineLevel="0" collapsed="false">
      <c r="A59" s="303" t="n">
        <v>58</v>
      </c>
      <c r="B59" s="301" t="n">
        <f aca="false">MOD(INT($A59/64),2)</f>
        <v>0</v>
      </c>
      <c r="C59" s="301" t="n">
        <f aca="false">MOD(INT($A59/32),2)</f>
        <v>1</v>
      </c>
      <c r="D59" s="301" t="n">
        <f aca="false">MOD(INT($A59/16),2)</f>
        <v>1</v>
      </c>
      <c r="E59" s="301" t="n">
        <f aca="false">MOD(INT($A59/8),2)</f>
        <v>1</v>
      </c>
      <c r="F59" s="301" t="n">
        <f aca="false">MOD(INT($A59/4),2)</f>
        <v>0</v>
      </c>
      <c r="G59" s="301" t="n">
        <f aca="false">MOD(INT($A59/2),2)</f>
        <v>1</v>
      </c>
      <c r="H59" s="301" t="n">
        <f aca="false">MOD(A59,2)</f>
        <v>0</v>
      </c>
      <c r="I59" s="304" t="n">
        <f aca="false">SUM(Table122[[#This Row],[Sat]:[Su]])</f>
        <v>4</v>
      </c>
      <c r="L59" s="300" t="str">
        <f aca="false">Table122[[#This Row],[Sat2]]&amp;" "&amp;Table122[[#This Row],[Column2]]&amp;" "&amp;Table122[[#This Row],[Column3]]&amp;" "&amp;Table122[[#This Row],[Column4]]&amp;" "&amp;Table122[[#This Row],[Column5]]&amp;" "&amp;Table122[[#This Row],[Column6]]&amp;" "&amp;Table122[[#This Row],[Column7]]</f>
        <v> Ve Ju Me  Mo </v>
      </c>
      <c r="M59" s="300" t="str">
        <f aca="false">IF(Table122[[#This Row],[Sat]],Table122[[#Headers],[Sat]],"")</f>
        <v/>
      </c>
      <c r="N59" s="300" t="str">
        <f aca="false">IF(Table122[[#This Row],[Ve]],Table122[[#Headers],[Ve]],"")</f>
        <v>Ve</v>
      </c>
      <c r="O59" s="300" t="str">
        <f aca="false">IF(Table122[[#This Row],[Ju]],Table122[[#Headers],[Ju]],"")</f>
        <v>Ju</v>
      </c>
      <c r="P59" s="300" t="str">
        <f aca="false">IF(Table122[[#This Row],[Me]],Table122[[#Headers],[Me]],"")</f>
        <v>Me</v>
      </c>
      <c r="Q59" s="300" t="str">
        <f aca="false">IF(Table122[[#This Row],[Ma]],Table122[[#Headers],[Ma]],"")</f>
        <v/>
      </c>
      <c r="R59" s="300" t="str">
        <f aca="false">IF(Table122[[#This Row],[Mo]],Table122[[#Headers],[Mo]],"")</f>
        <v>Mo</v>
      </c>
      <c r="S59" s="300" t="str">
        <f aca="false">IF(Table122[[#This Row],[Su]],Table122[[#Headers],[Su]],"")</f>
        <v/>
      </c>
    </row>
    <row r="60" customFormat="false" ht="15" hidden="true" customHeight="false" outlineLevel="0" collapsed="false">
      <c r="A60" s="303" t="n">
        <v>59</v>
      </c>
      <c r="B60" s="301" t="n">
        <f aca="false">MOD(INT($A60/64),2)</f>
        <v>0</v>
      </c>
      <c r="C60" s="301" t="n">
        <f aca="false">MOD(INT($A60/32),2)</f>
        <v>1</v>
      </c>
      <c r="D60" s="301" t="n">
        <f aca="false">MOD(INT($A60/16),2)</f>
        <v>1</v>
      </c>
      <c r="E60" s="301" t="n">
        <f aca="false">MOD(INT($A60/8),2)</f>
        <v>1</v>
      </c>
      <c r="F60" s="301" t="n">
        <f aca="false">MOD(INT($A60/4),2)</f>
        <v>0</v>
      </c>
      <c r="G60" s="301" t="n">
        <f aca="false">MOD(INT($A60/2),2)</f>
        <v>1</v>
      </c>
      <c r="H60" s="301" t="n">
        <f aca="false">MOD(A60,2)</f>
        <v>1</v>
      </c>
      <c r="I60" s="304" t="n">
        <f aca="false">SUM(Table122[[#This Row],[Sat]:[Su]])</f>
        <v>5</v>
      </c>
      <c r="L60" s="300" t="str">
        <f aca="false">Table122[[#This Row],[Sat2]]&amp;" "&amp;Table122[[#This Row],[Column2]]&amp;" "&amp;Table122[[#This Row],[Column3]]&amp;" "&amp;Table122[[#This Row],[Column4]]&amp;" "&amp;Table122[[#This Row],[Column5]]&amp;" "&amp;Table122[[#This Row],[Column6]]&amp;" "&amp;Table122[[#This Row],[Column7]]</f>
        <v> Ve Ju Me  Mo Su</v>
      </c>
      <c r="M60" s="300" t="str">
        <f aca="false">IF(Table122[[#This Row],[Sat]],Table122[[#Headers],[Sat]],"")</f>
        <v/>
      </c>
      <c r="N60" s="300" t="str">
        <f aca="false">IF(Table122[[#This Row],[Ve]],Table122[[#Headers],[Ve]],"")</f>
        <v>Ve</v>
      </c>
      <c r="O60" s="300" t="str">
        <f aca="false">IF(Table122[[#This Row],[Ju]],Table122[[#Headers],[Ju]],"")</f>
        <v>Ju</v>
      </c>
      <c r="P60" s="300" t="str">
        <f aca="false">IF(Table122[[#This Row],[Me]],Table122[[#Headers],[Me]],"")</f>
        <v>Me</v>
      </c>
      <c r="Q60" s="300" t="str">
        <f aca="false">IF(Table122[[#This Row],[Ma]],Table122[[#Headers],[Ma]],"")</f>
        <v/>
      </c>
      <c r="R60" s="300" t="str">
        <f aca="false">IF(Table122[[#This Row],[Mo]],Table122[[#Headers],[Mo]],"")</f>
        <v>Mo</v>
      </c>
      <c r="S60" s="300" t="str">
        <f aca="false">IF(Table122[[#This Row],[Su]],Table122[[#Headers],[Su]],"")</f>
        <v>Su</v>
      </c>
    </row>
    <row r="61" customFormat="false" ht="15" hidden="true" customHeight="false" outlineLevel="0" collapsed="false">
      <c r="A61" s="303" t="n">
        <v>60</v>
      </c>
      <c r="B61" s="301" t="n">
        <f aca="false">MOD(INT($A61/64),2)</f>
        <v>0</v>
      </c>
      <c r="C61" s="301" t="n">
        <f aca="false">MOD(INT($A61/32),2)</f>
        <v>1</v>
      </c>
      <c r="D61" s="301" t="n">
        <f aca="false">MOD(INT($A61/16),2)</f>
        <v>1</v>
      </c>
      <c r="E61" s="301" t="n">
        <f aca="false">MOD(INT($A61/8),2)</f>
        <v>1</v>
      </c>
      <c r="F61" s="301" t="n">
        <f aca="false">MOD(INT($A61/4),2)</f>
        <v>1</v>
      </c>
      <c r="G61" s="301" t="n">
        <f aca="false">MOD(INT($A61/2),2)</f>
        <v>0</v>
      </c>
      <c r="H61" s="301" t="n">
        <f aca="false">MOD(A61,2)</f>
        <v>0</v>
      </c>
      <c r="I61" s="304" t="n">
        <f aca="false">SUM(Table122[[#This Row],[Sat]:[Su]])</f>
        <v>4</v>
      </c>
      <c r="L61" s="300" t="str">
        <f aca="false">Table122[[#This Row],[Sat2]]&amp;" "&amp;Table122[[#This Row],[Column2]]&amp;" "&amp;Table122[[#This Row],[Column3]]&amp;" "&amp;Table122[[#This Row],[Column4]]&amp;" "&amp;Table122[[#This Row],[Column5]]&amp;" "&amp;Table122[[#This Row],[Column6]]&amp;" "&amp;Table122[[#This Row],[Column7]]</f>
        <v> Ve Ju Me Ma  </v>
      </c>
      <c r="M61" s="300" t="str">
        <f aca="false">IF(Table122[[#This Row],[Sat]],Table122[[#Headers],[Sat]],"")</f>
        <v/>
      </c>
      <c r="N61" s="300" t="str">
        <f aca="false">IF(Table122[[#This Row],[Ve]],Table122[[#Headers],[Ve]],"")</f>
        <v>Ve</v>
      </c>
      <c r="O61" s="300" t="str">
        <f aca="false">IF(Table122[[#This Row],[Ju]],Table122[[#Headers],[Ju]],"")</f>
        <v>Ju</v>
      </c>
      <c r="P61" s="300" t="str">
        <f aca="false">IF(Table122[[#This Row],[Me]],Table122[[#Headers],[Me]],"")</f>
        <v>Me</v>
      </c>
      <c r="Q61" s="300" t="str">
        <f aca="false">IF(Table122[[#This Row],[Ma]],Table122[[#Headers],[Ma]],"")</f>
        <v>Ma</v>
      </c>
      <c r="R61" s="300" t="str">
        <f aca="false">IF(Table122[[#This Row],[Mo]],Table122[[#Headers],[Mo]],"")</f>
        <v/>
      </c>
      <c r="S61" s="300" t="str">
        <f aca="false">IF(Table122[[#This Row],[Su]],Table122[[#Headers],[Su]],"")</f>
        <v/>
      </c>
    </row>
    <row r="62" customFormat="false" ht="15" hidden="true" customHeight="false" outlineLevel="0" collapsed="false">
      <c r="A62" s="303" t="n">
        <v>61</v>
      </c>
      <c r="B62" s="301" t="n">
        <f aca="false">MOD(INT($A62/64),2)</f>
        <v>0</v>
      </c>
      <c r="C62" s="301" t="n">
        <f aca="false">MOD(INT($A62/32),2)</f>
        <v>1</v>
      </c>
      <c r="D62" s="301" t="n">
        <f aca="false">MOD(INT($A62/16),2)</f>
        <v>1</v>
      </c>
      <c r="E62" s="301" t="n">
        <f aca="false">MOD(INT($A62/8),2)</f>
        <v>1</v>
      </c>
      <c r="F62" s="301" t="n">
        <f aca="false">MOD(INT($A62/4),2)</f>
        <v>1</v>
      </c>
      <c r="G62" s="301" t="n">
        <f aca="false">MOD(INT($A62/2),2)</f>
        <v>0</v>
      </c>
      <c r="H62" s="301" t="n">
        <f aca="false">MOD(A62,2)</f>
        <v>1</v>
      </c>
      <c r="I62" s="304" t="n">
        <f aca="false">SUM(Table122[[#This Row],[Sat]:[Su]])</f>
        <v>5</v>
      </c>
      <c r="L62" s="300" t="str">
        <f aca="false">Table122[[#This Row],[Sat2]]&amp;" "&amp;Table122[[#This Row],[Column2]]&amp;" "&amp;Table122[[#This Row],[Column3]]&amp;" "&amp;Table122[[#This Row],[Column4]]&amp;" "&amp;Table122[[#This Row],[Column5]]&amp;" "&amp;Table122[[#This Row],[Column6]]&amp;" "&amp;Table122[[#This Row],[Column7]]</f>
        <v> Ve Ju Me Ma  Su</v>
      </c>
      <c r="M62" s="300" t="str">
        <f aca="false">IF(Table122[[#This Row],[Sat]],Table122[[#Headers],[Sat]],"")</f>
        <v/>
      </c>
      <c r="N62" s="300" t="str">
        <f aca="false">IF(Table122[[#This Row],[Ve]],Table122[[#Headers],[Ve]],"")</f>
        <v>Ve</v>
      </c>
      <c r="O62" s="300" t="str">
        <f aca="false">IF(Table122[[#This Row],[Ju]],Table122[[#Headers],[Ju]],"")</f>
        <v>Ju</v>
      </c>
      <c r="P62" s="300" t="str">
        <f aca="false">IF(Table122[[#This Row],[Me]],Table122[[#Headers],[Me]],"")</f>
        <v>Me</v>
      </c>
      <c r="Q62" s="300" t="str">
        <f aca="false">IF(Table122[[#This Row],[Ma]],Table122[[#Headers],[Ma]],"")</f>
        <v>Ma</v>
      </c>
      <c r="R62" s="300" t="str">
        <f aca="false">IF(Table122[[#This Row],[Mo]],Table122[[#Headers],[Mo]],"")</f>
        <v/>
      </c>
      <c r="S62" s="300" t="str">
        <f aca="false">IF(Table122[[#This Row],[Su]],Table122[[#Headers],[Su]],"")</f>
        <v>Su</v>
      </c>
    </row>
    <row r="63" customFormat="false" ht="15" hidden="true" customHeight="false" outlineLevel="0" collapsed="false">
      <c r="A63" s="303" t="n">
        <v>62</v>
      </c>
      <c r="B63" s="301" t="n">
        <f aca="false">MOD(INT($A63/64),2)</f>
        <v>0</v>
      </c>
      <c r="C63" s="301" t="n">
        <f aca="false">MOD(INT($A63/32),2)</f>
        <v>1</v>
      </c>
      <c r="D63" s="301" t="n">
        <f aca="false">MOD(INT($A63/16),2)</f>
        <v>1</v>
      </c>
      <c r="E63" s="301" t="n">
        <f aca="false">MOD(INT($A63/8),2)</f>
        <v>1</v>
      </c>
      <c r="F63" s="301" t="n">
        <f aca="false">MOD(INT($A63/4),2)</f>
        <v>1</v>
      </c>
      <c r="G63" s="301" t="n">
        <f aca="false">MOD(INT($A63/2),2)</f>
        <v>1</v>
      </c>
      <c r="H63" s="301" t="n">
        <f aca="false">MOD(A63,2)</f>
        <v>0</v>
      </c>
      <c r="I63" s="304" t="n">
        <f aca="false">SUM(Table122[[#This Row],[Sat]:[Su]])</f>
        <v>5</v>
      </c>
      <c r="J63" s="300" t="s">
        <v>509</v>
      </c>
      <c r="K63" s="300" t="s">
        <v>510</v>
      </c>
      <c r="L63" s="300" t="str">
        <f aca="false">Table122[[#This Row],[Sat2]]&amp;" "&amp;Table122[[#This Row],[Column2]]&amp;" "&amp;Table122[[#This Row],[Column3]]&amp;" "&amp;Table122[[#This Row],[Column4]]&amp;" "&amp;Table122[[#This Row],[Column5]]&amp;" "&amp;Table122[[#This Row],[Column6]]&amp;" "&amp;Table122[[#This Row],[Column7]]</f>
        <v> Ve Ju Me Ma Mo </v>
      </c>
      <c r="M63" s="300" t="str">
        <f aca="false">IF(Table122[[#This Row],[Sat]],Table122[[#Headers],[Sat]],"")</f>
        <v/>
      </c>
      <c r="N63" s="300" t="str">
        <f aca="false">IF(Table122[[#This Row],[Ve]],Table122[[#Headers],[Ve]],"")</f>
        <v>Ve</v>
      </c>
      <c r="O63" s="300" t="str">
        <f aca="false">IF(Table122[[#This Row],[Ju]],Table122[[#Headers],[Ju]],"")</f>
        <v>Ju</v>
      </c>
      <c r="P63" s="300" t="str">
        <f aca="false">IF(Table122[[#This Row],[Me]],Table122[[#Headers],[Me]],"")</f>
        <v>Me</v>
      </c>
      <c r="Q63" s="300" t="str">
        <f aca="false">IF(Table122[[#This Row],[Ma]],Table122[[#Headers],[Ma]],"")</f>
        <v>Ma</v>
      </c>
      <c r="R63" s="300" t="str">
        <f aca="false">IF(Table122[[#This Row],[Mo]],Table122[[#Headers],[Mo]],"")</f>
        <v>Mo</v>
      </c>
      <c r="S63" s="300" t="str">
        <f aca="false">IF(Table122[[#This Row],[Su]],Table122[[#Headers],[Su]],"")</f>
        <v/>
      </c>
    </row>
    <row r="64" customFormat="false" ht="15" hidden="true" customHeight="false" outlineLevel="0" collapsed="false">
      <c r="A64" s="303" t="n">
        <v>63</v>
      </c>
      <c r="B64" s="301" t="n">
        <f aca="false">MOD(INT($A64/64),2)</f>
        <v>0</v>
      </c>
      <c r="C64" s="301" t="n">
        <f aca="false">MOD(INT($A64/32),2)</f>
        <v>1</v>
      </c>
      <c r="D64" s="301" t="n">
        <f aca="false">MOD(INT($A64/16),2)</f>
        <v>1</v>
      </c>
      <c r="E64" s="301" t="n">
        <f aca="false">MOD(INT($A64/8),2)</f>
        <v>1</v>
      </c>
      <c r="F64" s="301" t="n">
        <f aca="false">MOD(INT($A64/4),2)</f>
        <v>1</v>
      </c>
      <c r="G64" s="301" t="n">
        <f aca="false">MOD(INT($A64/2),2)</f>
        <v>1</v>
      </c>
      <c r="H64" s="301" t="n">
        <f aca="false">MOD(A64,2)</f>
        <v>1</v>
      </c>
      <c r="I64" s="304" t="n">
        <f aca="false">SUM(Table122[[#This Row],[Sat]:[Su]])</f>
        <v>6</v>
      </c>
      <c r="J64" s="300" t="s">
        <v>511</v>
      </c>
      <c r="K64" s="300" t="s">
        <v>512</v>
      </c>
      <c r="L64" s="300" t="str">
        <f aca="false">Table122[[#This Row],[Sat2]]&amp;" "&amp;Table122[[#This Row],[Column2]]&amp;" "&amp;Table122[[#This Row],[Column3]]&amp;" "&amp;Table122[[#This Row],[Column4]]&amp;" "&amp;Table122[[#This Row],[Column5]]&amp;" "&amp;Table122[[#This Row],[Column6]]&amp;" "&amp;Table122[[#This Row],[Column7]]</f>
        <v> Ve Ju Me Ma Mo Su</v>
      </c>
      <c r="M64" s="300" t="str">
        <f aca="false">IF(Table122[[#This Row],[Sat]],Table122[[#Headers],[Sat]],"")</f>
        <v/>
      </c>
      <c r="N64" s="300" t="str">
        <f aca="false">IF(Table122[[#This Row],[Ve]],Table122[[#Headers],[Ve]],"")</f>
        <v>Ve</v>
      </c>
      <c r="O64" s="300" t="str">
        <f aca="false">IF(Table122[[#This Row],[Ju]],Table122[[#Headers],[Ju]],"")</f>
        <v>Ju</v>
      </c>
      <c r="P64" s="300" t="str">
        <f aca="false">IF(Table122[[#This Row],[Me]],Table122[[#Headers],[Me]],"")</f>
        <v>Me</v>
      </c>
      <c r="Q64" s="300" t="str">
        <f aca="false">IF(Table122[[#This Row],[Ma]],Table122[[#Headers],[Ma]],"")</f>
        <v>Ma</v>
      </c>
      <c r="R64" s="300" t="str">
        <f aca="false">IF(Table122[[#This Row],[Mo]],Table122[[#Headers],[Mo]],"")</f>
        <v>Mo</v>
      </c>
      <c r="S64" s="300" t="str">
        <f aca="false">IF(Table122[[#This Row],[Su]],Table122[[#Headers],[Su]],"")</f>
        <v>Su</v>
      </c>
    </row>
    <row r="65" customFormat="false" ht="15" hidden="true" customHeight="false" outlineLevel="0" collapsed="false">
      <c r="A65" s="303" t="n">
        <v>64</v>
      </c>
      <c r="B65" s="301" t="n">
        <f aca="false">MOD(INT($A65/64),2)</f>
        <v>1</v>
      </c>
      <c r="C65" s="301" t="n">
        <f aca="false">MOD(INT($A65/32),2)</f>
        <v>0</v>
      </c>
      <c r="D65" s="301" t="n">
        <f aca="false">MOD(INT($A65/16),2)</f>
        <v>0</v>
      </c>
      <c r="E65" s="301" t="n">
        <f aca="false">MOD(INT($A65/8),2)</f>
        <v>0</v>
      </c>
      <c r="F65" s="301" t="n">
        <f aca="false">MOD(INT($A65/4),2)</f>
        <v>0</v>
      </c>
      <c r="G65" s="301" t="n">
        <f aca="false">MOD(INT($A65/2),2)</f>
        <v>0</v>
      </c>
      <c r="H65" s="301" t="n">
        <f aca="false">MOD(A65,2)</f>
        <v>0</v>
      </c>
      <c r="I65" s="304" t="n">
        <f aca="false">SUM(Table122[[#This Row],[Sat]:[Su]])</f>
        <v>1</v>
      </c>
      <c r="L65" s="300" t="str">
        <f aca="false">Table122[[#This Row],[Sat2]]&amp;" "&amp;Table122[[#This Row],[Column2]]&amp;" "&amp;Table122[[#This Row],[Column3]]&amp;" "&amp;Table122[[#This Row],[Column4]]&amp;" "&amp;Table122[[#This Row],[Column5]]&amp;" "&amp;Table122[[#This Row],[Column6]]&amp;" "&amp;Table122[[#This Row],[Column7]]</f>
        <v>Sat      </v>
      </c>
      <c r="M65" s="300" t="str">
        <f aca="false">IF(Table122[[#This Row],[Sat]],Table122[[#Headers],[Sat]],"")</f>
        <v>Sat</v>
      </c>
      <c r="N65" s="300" t="str">
        <f aca="false">IF(Table122[[#This Row],[Ve]],Table122[[#Headers],[Ve]],"")</f>
        <v/>
      </c>
      <c r="O65" s="300" t="str">
        <f aca="false">IF(Table122[[#This Row],[Ju]],Table122[[#Headers],[Ju]],"")</f>
        <v/>
      </c>
      <c r="P65" s="300" t="str">
        <f aca="false">IF(Table122[[#This Row],[Me]],Table122[[#Headers],[Me]],"")</f>
        <v/>
      </c>
      <c r="Q65" s="300" t="str">
        <f aca="false">IF(Table122[[#This Row],[Ma]],Table122[[#Headers],[Ma]],"")</f>
        <v/>
      </c>
      <c r="R65" s="300" t="str">
        <f aca="false">IF(Table122[[#This Row],[Mo]],Table122[[#Headers],[Mo]],"")</f>
        <v/>
      </c>
      <c r="S65" s="300" t="str">
        <f aca="false">IF(Table122[[#This Row],[Su]],Table122[[#Headers],[Su]],"")</f>
        <v/>
      </c>
    </row>
    <row r="66" customFormat="false" ht="15" hidden="false" customHeight="false" outlineLevel="0" collapsed="false">
      <c r="A66" s="303" t="n">
        <v>65</v>
      </c>
      <c r="B66" s="301" t="n">
        <f aca="false">MOD(INT($A66/64),2)</f>
        <v>1</v>
      </c>
      <c r="C66" s="301" t="n">
        <f aca="false">MOD(INT($A66/32),2)</f>
        <v>0</v>
      </c>
      <c r="D66" s="301" t="n">
        <f aca="false">MOD(INT($A66/16),2)</f>
        <v>0</v>
      </c>
      <c r="E66" s="301" t="n">
        <f aca="false">MOD(INT($A66/8),2)</f>
        <v>0</v>
      </c>
      <c r="F66" s="301" t="n">
        <f aca="false">MOD(INT($A66/4),2)</f>
        <v>0</v>
      </c>
      <c r="G66" s="301" t="n">
        <f aca="false">MOD(INT($A66/2),2)</f>
        <v>0</v>
      </c>
      <c r="H66" s="301" t="n">
        <f aca="false">MOD(A66,2)</f>
        <v>1</v>
      </c>
      <c r="I66" s="304" t="n">
        <f aca="false">SUM(Table122[[#This Row],[Sat]:[Su]])</f>
        <v>2</v>
      </c>
      <c r="J66" s="300" t="s">
        <v>513</v>
      </c>
      <c r="K66" s="300" t="s">
        <v>485</v>
      </c>
      <c r="L66" s="300" t="str">
        <f aca="false">Table122[[#This Row],[Sat2]]&amp;" "&amp;Table122[[#This Row],[Column2]]&amp;" "&amp;Table122[[#This Row],[Column3]]&amp;" "&amp;Table122[[#This Row],[Column4]]&amp;" "&amp;Table122[[#This Row],[Column5]]&amp;" "&amp;Table122[[#This Row],[Column6]]&amp;" "&amp;Table122[[#This Row],[Column7]]</f>
        <v>Sat      Su</v>
      </c>
      <c r="M66" s="300" t="str">
        <f aca="false">IF(Table122[[#This Row],[Sat]],Table122[[#Headers],[Sat]],"")</f>
        <v>Sat</v>
      </c>
      <c r="N66" s="300" t="str">
        <f aca="false">IF(Table122[[#This Row],[Ve]],Table122[[#Headers],[Ve]],"")</f>
        <v/>
      </c>
      <c r="O66" s="300" t="str">
        <f aca="false">IF(Table122[[#This Row],[Ju]],Table122[[#Headers],[Ju]],"")</f>
        <v/>
      </c>
      <c r="P66" s="300" t="str">
        <f aca="false">IF(Table122[[#This Row],[Me]],Table122[[#Headers],[Me]],"")</f>
        <v/>
      </c>
      <c r="Q66" s="300" t="str">
        <f aca="false">IF(Table122[[#This Row],[Ma]],Table122[[#Headers],[Ma]],"")</f>
        <v/>
      </c>
      <c r="R66" s="300" t="str">
        <f aca="false">IF(Table122[[#This Row],[Mo]],Table122[[#Headers],[Mo]],"")</f>
        <v/>
      </c>
      <c r="S66" s="300" t="str">
        <f aca="false">IF(Table122[[#This Row],[Su]],Table122[[#Headers],[Su]],"")</f>
        <v>Su</v>
      </c>
    </row>
    <row r="67" customFormat="false" ht="15" hidden="false" customHeight="false" outlineLevel="0" collapsed="false">
      <c r="A67" s="303" t="n">
        <v>66</v>
      </c>
      <c r="B67" s="301" t="n">
        <f aca="false">MOD(INT($A67/64),2)</f>
        <v>1</v>
      </c>
      <c r="C67" s="301" t="n">
        <f aca="false">MOD(INT($A67/32),2)</f>
        <v>0</v>
      </c>
      <c r="D67" s="301" t="n">
        <f aca="false">MOD(INT($A67/16),2)</f>
        <v>0</v>
      </c>
      <c r="E67" s="301" t="n">
        <f aca="false">MOD(INT($A67/8),2)</f>
        <v>0</v>
      </c>
      <c r="F67" s="301" t="n">
        <f aca="false">MOD(INT($A67/4),2)</f>
        <v>0</v>
      </c>
      <c r="G67" s="301" t="n">
        <f aca="false">MOD(INT($A67/2),2)</f>
        <v>1</v>
      </c>
      <c r="H67" s="301" t="n">
        <f aca="false">MOD(A67,2)</f>
        <v>0</v>
      </c>
      <c r="I67" s="304" t="n">
        <f aca="false">SUM(Table122[[#This Row],[Sat]:[Su]])</f>
        <v>2</v>
      </c>
      <c r="J67" s="300" t="s">
        <v>514</v>
      </c>
      <c r="K67" s="300" t="s">
        <v>494</v>
      </c>
      <c r="L67" s="300" t="str">
        <f aca="false">Table122[[#This Row],[Sat2]]&amp;" "&amp;Table122[[#This Row],[Column2]]&amp;" "&amp;Table122[[#This Row],[Column3]]&amp;" "&amp;Table122[[#This Row],[Column4]]&amp;" "&amp;Table122[[#This Row],[Column5]]&amp;" "&amp;Table122[[#This Row],[Column6]]&amp;" "&amp;Table122[[#This Row],[Column7]]</f>
        <v>Sat     Mo </v>
      </c>
      <c r="M67" s="300" t="str">
        <f aca="false">IF(Table122[[#This Row],[Sat]],Table122[[#Headers],[Sat]],"")</f>
        <v>Sat</v>
      </c>
      <c r="N67" s="300" t="str">
        <f aca="false">IF(Table122[[#This Row],[Ve]],Table122[[#Headers],[Ve]],"")</f>
        <v/>
      </c>
      <c r="O67" s="300" t="str">
        <f aca="false">IF(Table122[[#This Row],[Ju]],Table122[[#Headers],[Ju]],"")</f>
        <v/>
      </c>
      <c r="P67" s="300" t="str">
        <f aca="false">IF(Table122[[#This Row],[Me]],Table122[[#Headers],[Me]],"")</f>
        <v/>
      </c>
      <c r="Q67" s="300" t="str">
        <f aca="false">IF(Table122[[#This Row],[Ma]],Table122[[#Headers],[Ma]],"")</f>
        <v/>
      </c>
      <c r="R67" s="300" t="str">
        <f aca="false">IF(Table122[[#This Row],[Mo]],Table122[[#Headers],[Mo]],"")</f>
        <v>Mo</v>
      </c>
      <c r="S67" s="300" t="str">
        <f aca="false">IF(Table122[[#This Row],[Su]],Table122[[#Headers],[Su]],"")</f>
        <v/>
      </c>
    </row>
    <row r="68" customFormat="false" ht="15" hidden="true" customHeight="false" outlineLevel="0" collapsed="false">
      <c r="A68" s="303" t="n">
        <v>67</v>
      </c>
      <c r="B68" s="301" t="n">
        <f aca="false">MOD(INT($A68/64),2)</f>
        <v>1</v>
      </c>
      <c r="C68" s="301" t="n">
        <f aca="false">MOD(INT($A68/32),2)</f>
        <v>0</v>
      </c>
      <c r="D68" s="301" t="n">
        <f aca="false">MOD(INT($A68/16),2)</f>
        <v>0</v>
      </c>
      <c r="E68" s="301" t="n">
        <f aca="false">MOD(INT($A68/8),2)</f>
        <v>0</v>
      </c>
      <c r="F68" s="301" t="n">
        <f aca="false">MOD(INT($A68/4),2)</f>
        <v>0</v>
      </c>
      <c r="G68" s="301" t="n">
        <f aca="false">MOD(INT($A68/2),2)</f>
        <v>1</v>
      </c>
      <c r="H68" s="301" t="n">
        <f aca="false">MOD(A68,2)</f>
        <v>1</v>
      </c>
      <c r="I68" s="304" t="n">
        <f aca="false">SUM(Table122[[#This Row],[Sat]:[Su]])</f>
        <v>3</v>
      </c>
      <c r="L68" s="300" t="str">
        <f aca="false">Table122[[#This Row],[Sat2]]&amp;" "&amp;Table122[[#This Row],[Column2]]&amp;" "&amp;Table122[[#This Row],[Column3]]&amp;" "&amp;Table122[[#This Row],[Column4]]&amp;" "&amp;Table122[[#This Row],[Column5]]&amp;" "&amp;Table122[[#This Row],[Column6]]&amp;" "&amp;Table122[[#This Row],[Column7]]</f>
        <v>Sat     Mo Su</v>
      </c>
      <c r="M68" s="300" t="str">
        <f aca="false">IF(Table122[[#This Row],[Sat]],Table122[[#Headers],[Sat]],"")</f>
        <v>Sat</v>
      </c>
      <c r="N68" s="300" t="str">
        <f aca="false">IF(Table122[[#This Row],[Ve]],Table122[[#Headers],[Ve]],"")</f>
        <v/>
      </c>
      <c r="O68" s="300" t="str">
        <f aca="false">IF(Table122[[#This Row],[Ju]],Table122[[#Headers],[Ju]],"")</f>
        <v/>
      </c>
      <c r="P68" s="300" t="str">
        <f aca="false">IF(Table122[[#This Row],[Me]],Table122[[#Headers],[Me]],"")</f>
        <v/>
      </c>
      <c r="Q68" s="300" t="str">
        <f aca="false">IF(Table122[[#This Row],[Ma]],Table122[[#Headers],[Ma]],"")</f>
        <v/>
      </c>
      <c r="R68" s="300" t="str">
        <f aca="false">IF(Table122[[#This Row],[Mo]],Table122[[#Headers],[Mo]],"")</f>
        <v>Mo</v>
      </c>
      <c r="S68" s="300" t="str">
        <f aca="false">IF(Table122[[#This Row],[Su]],Table122[[#Headers],[Su]],"")</f>
        <v>Su</v>
      </c>
    </row>
    <row r="69" customFormat="false" ht="15" hidden="false" customHeight="false" outlineLevel="0" collapsed="false">
      <c r="A69" s="303" t="n">
        <v>68</v>
      </c>
      <c r="B69" s="301" t="n">
        <f aca="false">MOD(INT($A69/64),2)</f>
        <v>1</v>
      </c>
      <c r="C69" s="301" t="n">
        <f aca="false">MOD(INT($A69/32),2)</f>
        <v>0</v>
      </c>
      <c r="D69" s="301" t="n">
        <f aca="false">MOD(INT($A69/16),2)</f>
        <v>0</v>
      </c>
      <c r="E69" s="301" t="n">
        <f aca="false">MOD(INT($A69/8),2)</f>
        <v>0</v>
      </c>
      <c r="F69" s="301" t="n">
        <f aca="false">MOD(INT($A69/4),2)</f>
        <v>1</v>
      </c>
      <c r="G69" s="301" t="n">
        <f aca="false">MOD(INT($A69/2),2)</f>
        <v>0</v>
      </c>
      <c r="H69" s="301" t="n">
        <f aca="false">MOD(A69,2)</f>
        <v>0</v>
      </c>
      <c r="I69" s="304" t="n">
        <f aca="false">SUM(Table122[[#This Row],[Sat]:[Su]])</f>
        <v>2</v>
      </c>
      <c r="L69" s="300" t="str">
        <f aca="false">Table122[[#This Row],[Sat2]]&amp;" "&amp;Table122[[#This Row],[Column2]]&amp;" "&amp;Table122[[#This Row],[Column3]]&amp;" "&amp;Table122[[#This Row],[Column4]]&amp;" "&amp;Table122[[#This Row],[Column5]]&amp;" "&amp;Table122[[#This Row],[Column6]]&amp;" "&amp;Table122[[#This Row],[Column7]]</f>
        <v>Sat    Ma  </v>
      </c>
      <c r="M69" s="300" t="str">
        <f aca="false">IF(Table122[[#This Row],[Sat]],Table122[[#Headers],[Sat]],"")</f>
        <v>Sat</v>
      </c>
      <c r="N69" s="300" t="str">
        <f aca="false">IF(Table122[[#This Row],[Ve]],Table122[[#Headers],[Ve]],"")</f>
        <v/>
      </c>
      <c r="O69" s="300" t="str">
        <f aca="false">IF(Table122[[#This Row],[Ju]],Table122[[#Headers],[Ju]],"")</f>
        <v/>
      </c>
      <c r="P69" s="300" t="str">
        <f aca="false">IF(Table122[[#This Row],[Me]],Table122[[#Headers],[Me]],"")</f>
        <v/>
      </c>
      <c r="Q69" s="300" t="str">
        <f aca="false">IF(Table122[[#This Row],[Ma]],Table122[[#Headers],[Ma]],"")</f>
        <v>Ma</v>
      </c>
      <c r="R69" s="300" t="str">
        <f aca="false">IF(Table122[[#This Row],[Mo]],Table122[[#Headers],[Mo]],"")</f>
        <v/>
      </c>
      <c r="S69" s="300" t="str">
        <f aca="false">IF(Table122[[#This Row],[Su]],Table122[[#Headers],[Su]],"")</f>
        <v/>
      </c>
    </row>
    <row r="70" customFormat="false" ht="15" hidden="true" customHeight="false" outlineLevel="0" collapsed="false">
      <c r="A70" s="303" t="n">
        <v>69</v>
      </c>
      <c r="B70" s="301" t="n">
        <f aca="false">MOD(INT($A70/64),2)</f>
        <v>1</v>
      </c>
      <c r="C70" s="301" t="n">
        <f aca="false">MOD(INT($A70/32),2)</f>
        <v>0</v>
      </c>
      <c r="D70" s="301" t="n">
        <f aca="false">MOD(INT($A70/16),2)</f>
        <v>0</v>
      </c>
      <c r="E70" s="301" t="n">
        <f aca="false">MOD(INT($A70/8),2)</f>
        <v>0</v>
      </c>
      <c r="F70" s="301" t="n">
        <f aca="false">MOD(INT($A70/4),2)</f>
        <v>1</v>
      </c>
      <c r="G70" s="301" t="n">
        <f aca="false">MOD(INT($A70/2),2)</f>
        <v>0</v>
      </c>
      <c r="H70" s="301" t="n">
        <f aca="false">MOD(A70,2)</f>
        <v>1</v>
      </c>
      <c r="I70" s="304" t="n">
        <f aca="false">SUM(Table122[[#This Row],[Sat]:[Su]])</f>
        <v>3</v>
      </c>
      <c r="L70" s="300" t="str">
        <f aca="false">Table122[[#This Row],[Sat2]]&amp;" "&amp;Table122[[#This Row],[Column2]]&amp;" "&amp;Table122[[#This Row],[Column3]]&amp;" "&amp;Table122[[#This Row],[Column4]]&amp;" "&amp;Table122[[#This Row],[Column5]]&amp;" "&amp;Table122[[#This Row],[Column6]]&amp;" "&amp;Table122[[#This Row],[Column7]]</f>
        <v>Sat    Ma  Su</v>
      </c>
      <c r="M70" s="300" t="str">
        <f aca="false">IF(Table122[[#This Row],[Sat]],Table122[[#Headers],[Sat]],"")</f>
        <v>Sat</v>
      </c>
      <c r="N70" s="300" t="str">
        <f aca="false">IF(Table122[[#This Row],[Ve]],Table122[[#Headers],[Ve]],"")</f>
        <v/>
      </c>
      <c r="O70" s="300" t="str">
        <f aca="false">IF(Table122[[#This Row],[Ju]],Table122[[#Headers],[Ju]],"")</f>
        <v/>
      </c>
      <c r="P70" s="300" t="str">
        <f aca="false">IF(Table122[[#This Row],[Me]],Table122[[#Headers],[Me]],"")</f>
        <v/>
      </c>
      <c r="Q70" s="300" t="str">
        <f aca="false">IF(Table122[[#This Row],[Ma]],Table122[[#Headers],[Ma]],"")</f>
        <v>Ma</v>
      </c>
      <c r="R70" s="300" t="str">
        <f aca="false">IF(Table122[[#This Row],[Mo]],Table122[[#Headers],[Mo]],"")</f>
        <v/>
      </c>
      <c r="S70" s="300" t="str">
        <f aca="false">IF(Table122[[#This Row],[Su]],Table122[[#Headers],[Su]],"")</f>
        <v>Su</v>
      </c>
    </row>
    <row r="71" customFormat="false" ht="15" hidden="true" customHeight="false" outlineLevel="0" collapsed="false">
      <c r="A71" s="303" t="n">
        <v>70</v>
      </c>
      <c r="B71" s="301" t="n">
        <f aca="false">MOD(INT($A71/64),2)</f>
        <v>1</v>
      </c>
      <c r="C71" s="301" t="n">
        <f aca="false">MOD(INT($A71/32),2)</f>
        <v>0</v>
      </c>
      <c r="D71" s="301" t="n">
        <f aca="false">MOD(INT($A71/16),2)</f>
        <v>0</v>
      </c>
      <c r="E71" s="301" t="n">
        <f aca="false">MOD(INT($A71/8),2)</f>
        <v>0</v>
      </c>
      <c r="F71" s="301" t="n">
        <f aca="false">MOD(INT($A71/4),2)</f>
        <v>1</v>
      </c>
      <c r="G71" s="301" t="n">
        <f aca="false">MOD(INT($A71/2),2)</f>
        <v>1</v>
      </c>
      <c r="H71" s="301" t="n">
        <f aca="false">MOD(A71,2)</f>
        <v>0</v>
      </c>
      <c r="I71" s="304" t="n">
        <f aca="false">SUM(Table122[[#This Row],[Sat]:[Su]])</f>
        <v>3</v>
      </c>
      <c r="L71" s="300" t="str">
        <f aca="false">Table122[[#This Row],[Sat2]]&amp;" "&amp;Table122[[#This Row],[Column2]]&amp;" "&amp;Table122[[#This Row],[Column3]]&amp;" "&amp;Table122[[#This Row],[Column4]]&amp;" "&amp;Table122[[#This Row],[Column5]]&amp;" "&amp;Table122[[#This Row],[Column6]]&amp;" "&amp;Table122[[#This Row],[Column7]]</f>
        <v>Sat    Ma Mo </v>
      </c>
      <c r="M71" s="300" t="str">
        <f aca="false">IF(Table122[[#This Row],[Sat]],Table122[[#Headers],[Sat]],"")</f>
        <v>Sat</v>
      </c>
      <c r="N71" s="300" t="str">
        <f aca="false">IF(Table122[[#This Row],[Ve]],Table122[[#Headers],[Ve]],"")</f>
        <v/>
      </c>
      <c r="O71" s="300" t="str">
        <f aca="false">IF(Table122[[#This Row],[Ju]],Table122[[#Headers],[Ju]],"")</f>
        <v/>
      </c>
      <c r="P71" s="300" t="str">
        <f aca="false">IF(Table122[[#This Row],[Me]],Table122[[#Headers],[Me]],"")</f>
        <v/>
      </c>
      <c r="Q71" s="300" t="str">
        <f aca="false">IF(Table122[[#This Row],[Ma]],Table122[[#Headers],[Ma]],"")</f>
        <v>Ma</v>
      </c>
      <c r="R71" s="300" t="str">
        <f aca="false">IF(Table122[[#This Row],[Mo]],Table122[[#Headers],[Mo]],"")</f>
        <v>Mo</v>
      </c>
      <c r="S71" s="300" t="str">
        <f aca="false">IF(Table122[[#This Row],[Su]],Table122[[#Headers],[Su]],"")</f>
        <v/>
      </c>
    </row>
    <row r="72" customFormat="false" ht="15" hidden="true" customHeight="false" outlineLevel="0" collapsed="false">
      <c r="A72" s="303" t="n">
        <v>71</v>
      </c>
      <c r="B72" s="301" t="n">
        <f aca="false">MOD(INT($A72/64),2)</f>
        <v>1</v>
      </c>
      <c r="C72" s="301" t="n">
        <f aca="false">MOD(INT($A72/32),2)</f>
        <v>0</v>
      </c>
      <c r="D72" s="301" t="n">
        <f aca="false">MOD(INT($A72/16),2)</f>
        <v>0</v>
      </c>
      <c r="E72" s="301" t="n">
        <f aca="false">MOD(INT($A72/8),2)</f>
        <v>0</v>
      </c>
      <c r="F72" s="301" t="n">
        <f aca="false">MOD(INT($A72/4),2)</f>
        <v>1</v>
      </c>
      <c r="G72" s="301" t="n">
        <f aca="false">MOD(INT($A72/2),2)</f>
        <v>1</v>
      </c>
      <c r="H72" s="301" t="n">
        <f aca="false">MOD(A72,2)</f>
        <v>1</v>
      </c>
      <c r="I72" s="304" t="n">
        <f aca="false">SUM(Table122[[#This Row],[Sat]:[Su]])</f>
        <v>4</v>
      </c>
      <c r="L72" s="300" t="str">
        <f aca="false">Table122[[#This Row],[Sat2]]&amp;" "&amp;Table122[[#This Row],[Column2]]&amp;" "&amp;Table122[[#This Row],[Column3]]&amp;" "&amp;Table122[[#This Row],[Column4]]&amp;" "&amp;Table122[[#This Row],[Column5]]&amp;" "&amp;Table122[[#This Row],[Column6]]&amp;" "&amp;Table122[[#This Row],[Column7]]</f>
        <v>Sat    Ma Mo Su</v>
      </c>
      <c r="M72" s="300" t="str">
        <f aca="false">IF(Table122[[#This Row],[Sat]],Table122[[#Headers],[Sat]],"")</f>
        <v>Sat</v>
      </c>
      <c r="N72" s="300" t="str">
        <f aca="false">IF(Table122[[#This Row],[Ve]],Table122[[#Headers],[Ve]],"")</f>
        <v/>
      </c>
      <c r="O72" s="300" t="str">
        <f aca="false">IF(Table122[[#This Row],[Ju]],Table122[[#Headers],[Ju]],"")</f>
        <v/>
      </c>
      <c r="P72" s="300" t="str">
        <f aca="false">IF(Table122[[#This Row],[Me]],Table122[[#Headers],[Me]],"")</f>
        <v/>
      </c>
      <c r="Q72" s="300" t="str">
        <f aca="false">IF(Table122[[#This Row],[Ma]],Table122[[#Headers],[Ma]],"")</f>
        <v>Ma</v>
      </c>
      <c r="R72" s="300" t="str">
        <f aca="false">IF(Table122[[#This Row],[Mo]],Table122[[#Headers],[Mo]],"")</f>
        <v>Mo</v>
      </c>
      <c r="S72" s="300" t="str">
        <f aca="false">IF(Table122[[#This Row],[Su]],Table122[[#Headers],[Su]],"")</f>
        <v>Su</v>
      </c>
    </row>
    <row r="73" customFormat="false" ht="15" hidden="false" customHeight="false" outlineLevel="0" collapsed="false">
      <c r="A73" s="303" t="n">
        <v>72</v>
      </c>
      <c r="B73" s="301" t="n">
        <f aca="false">MOD(INT($A73/64),2)</f>
        <v>1</v>
      </c>
      <c r="C73" s="301" t="n">
        <f aca="false">MOD(INT($A73/32),2)</f>
        <v>0</v>
      </c>
      <c r="D73" s="301" t="n">
        <f aca="false">MOD(INT($A73/16),2)</f>
        <v>0</v>
      </c>
      <c r="E73" s="301" t="n">
        <f aca="false">MOD(INT($A73/8),2)</f>
        <v>1</v>
      </c>
      <c r="F73" s="301" t="n">
        <f aca="false">MOD(INT($A73/4),2)</f>
        <v>0</v>
      </c>
      <c r="G73" s="301" t="n">
        <f aca="false">MOD(INT($A73/2),2)</f>
        <v>0</v>
      </c>
      <c r="H73" s="301" t="n">
        <f aca="false">MOD(A73,2)</f>
        <v>0</v>
      </c>
      <c r="I73" s="304" t="n">
        <f aca="false">SUM(Table122[[#This Row],[Sat]:[Su]])</f>
        <v>2</v>
      </c>
      <c r="L73" s="300" t="str">
        <f aca="false">Table122[[#This Row],[Sat2]]&amp;" "&amp;Table122[[#This Row],[Column2]]&amp;" "&amp;Table122[[#This Row],[Column3]]&amp;" "&amp;Table122[[#This Row],[Column4]]&amp;" "&amp;Table122[[#This Row],[Column5]]&amp;" "&amp;Table122[[#This Row],[Column6]]&amp;" "&amp;Table122[[#This Row],[Column7]]</f>
        <v>Sat   Me   </v>
      </c>
      <c r="M73" s="300" t="str">
        <f aca="false">IF(Table122[[#This Row],[Sat]],Table122[[#Headers],[Sat]],"")</f>
        <v>Sat</v>
      </c>
      <c r="N73" s="300" t="str">
        <f aca="false">IF(Table122[[#This Row],[Ve]],Table122[[#Headers],[Ve]],"")</f>
        <v/>
      </c>
      <c r="O73" s="300" t="str">
        <f aca="false">IF(Table122[[#This Row],[Ju]],Table122[[#Headers],[Ju]],"")</f>
        <v/>
      </c>
      <c r="P73" s="300" t="str">
        <f aca="false">IF(Table122[[#This Row],[Me]],Table122[[#Headers],[Me]],"")</f>
        <v>Me</v>
      </c>
      <c r="Q73" s="300" t="str">
        <f aca="false">IF(Table122[[#This Row],[Ma]],Table122[[#Headers],[Ma]],"")</f>
        <v/>
      </c>
      <c r="R73" s="300" t="str">
        <f aca="false">IF(Table122[[#This Row],[Mo]],Table122[[#Headers],[Mo]],"")</f>
        <v/>
      </c>
      <c r="S73" s="300" t="str">
        <f aca="false">IF(Table122[[#This Row],[Su]],Table122[[#Headers],[Su]],"")</f>
        <v/>
      </c>
    </row>
    <row r="74" customFormat="false" ht="15" hidden="true" customHeight="false" outlineLevel="0" collapsed="false">
      <c r="A74" s="303" t="n">
        <v>73</v>
      </c>
      <c r="B74" s="301" t="n">
        <f aca="false">MOD(INT($A74/64),2)</f>
        <v>1</v>
      </c>
      <c r="C74" s="301" t="n">
        <f aca="false">MOD(INT($A74/32),2)</f>
        <v>0</v>
      </c>
      <c r="D74" s="301" t="n">
        <f aca="false">MOD(INT($A74/16),2)</f>
        <v>0</v>
      </c>
      <c r="E74" s="301" t="n">
        <f aca="false">MOD(INT($A74/8),2)</f>
        <v>1</v>
      </c>
      <c r="F74" s="301" t="n">
        <f aca="false">MOD(INT($A74/4),2)</f>
        <v>0</v>
      </c>
      <c r="G74" s="301" t="n">
        <f aca="false">MOD(INT($A74/2),2)</f>
        <v>0</v>
      </c>
      <c r="H74" s="301" t="n">
        <f aca="false">MOD(A74,2)</f>
        <v>1</v>
      </c>
      <c r="I74" s="304" t="n">
        <f aca="false">SUM(Table122[[#This Row],[Sat]:[Su]])</f>
        <v>3</v>
      </c>
      <c r="L74" s="300" t="str">
        <f aca="false">Table122[[#This Row],[Sat2]]&amp;" "&amp;Table122[[#This Row],[Column2]]&amp;" "&amp;Table122[[#This Row],[Column3]]&amp;" "&amp;Table122[[#This Row],[Column4]]&amp;" "&amp;Table122[[#This Row],[Column5]]&amp;" "&amp;Table122[[#This Row],[Column6]]&amp;" "&amp;Table122[[#This Row],[Column7]]</f>
        <v>Sat   Me   Su</v>
      </c>
      <c r="M74" s="300" t="str">
        <f aca="false">IF(Table122[[#This Row],[Sat]],Table122[[#Headers],[Sat]],"")</f>
        <v>Sat</v>
      </c>
      <c r="N74" s="300" t="str">
        <f aca="false">IF(Table122[[#This Row],[Ve]],Table122[[#Headers],[Ve]],"")</f>
        <v/>
      </c>
      <c r="O74" s="300" t="str">
        <f aca="false">IF(Table122[[#This Row],[Ju]],Table122[[#Headers],[Ju]],"")</f>
        <v/>
      </c>
      <c r="P74" s="300" t="str">
        <f aca="false">IF(Table122[[#This Row],[Me]],Table122[[#Headers],[Me]],"")</f>
        <v>Me</v>
      </c>
      <c r="Q74" s="300" t="str">
        <f aca="false">IF(Table122[[#This Row],[Ma]],Table122[[#Headers],[Ma]],"")</f>
        <v/>
      </c>
      <c r="R74" s="300" t="str">
        <f aca="false">IF(Table122[[#This Row],[Mo]],Table122[[#Headers],[Mo]],"")</f>
        <v/>
      </c>
      <c r="S74" s="300" t="str">
        <f aca="false">IF(Table122[[#This Row],[Su]],Table122[[#Headers],[Su]],"")</f>
        <v>Su</v>
      </c>
    </row>
    <row r="75" customFormat="false" ht="15" hidden="true" customHeight="false" outlineLevel="0" collapsed="false">
      <c r="A75" s="303" t="n">
        <v>74</v>
      </c>
      <c r="B75" s="301" t="n">
        <f aca="false">MOD(INT($A75/64),2)</f>
        <v>1</v>
      </c>
      <c r="C75" s="301" t="n">
        <f aca="false">MOD(INT($A75/32),2)</f>
        <v>0</v>
      </c>
      <c r="D75" s="301" t="n">
        <f aca="false">MOD(INT($A75/16),2)</f>
        <v>0</v>
      </c>
      <c r="E75" s="301" t="n">
        <f aca="false">MOD(INT($A75/8),2)</f>
        <v>1</v>
      </c>
      <c r="F75" s="301" t="n">
        <f aca="false">MOD(INT($A75/4),2)</f>
        <v>0</v>
      </c>
      <c r="G75" s="301" t="n">
        <f aca="false">MOD(INT($A75/2),2)</f>
        <v>1</v>
      </c>
      <c r="H75" s="301" t="n">
        <f aca="false">MOD(A75,2)</f>
        <v>0</v>
      </c>
      <c r="I75" s="304" t="n">
        <f aca="false">SUM(Table122[[#This Row],[Sat]:[Su]])</f>
        <v>3</v>
      </c>
      <c r="L75" s="300" t="str">
        <f aca="false">Table122[[#This Row],[Sat2]]&amp;" "&amp;Table122[[#This Row],[Column2]]&amp;" "&amp;Table122[[#This Row],[Column3]]&amp;" "&amp;Table122[[#This Row],[Column4]]&amp;" "&amp;Table122[[#This Row],[Column5]]&amp;" "&amp;Table122[[#This Row],[Column6]]&amp;" "&amp;Table122[[#This Row],[Column7]]</f>
        <v>Sat   Me  Mo </v>
      </c>
      <c r="M75" s="300" t="str">
        <f aca="false">IF(Table122[[#This Row],[Sat]],Table122[[#Headers],[Sat]],"")</f>
        <v>Sat</v>
      </c>
      <c r="N75" s="300" t="str">
        <f aca="false">IF(Table122[[#This Row],[Ve]],Table122[[#Headers],[Ve]],"")</f>
        <v/>
      </c>
      <c r="O75" s="300" t="str">
        <f aca="false">IF(Table122[[#This Row],[Ju]],Table122[[#Headers],[Ju]],"")</f>
        <v/>
      </c>
      <c r="P75" s="300" t="str">
        <f aca="false">IF(Table122[[#This Row],[Me]],Table122[[#Headers],[Me]],"")</f>
        <v>Me</v>
      </c>
      <c r="Q75" s="300" t="str">
        <f aca="false">IF(Table122[[#This Row],[Ma]],Table122[[#Headers],[Ma]],"")</f>
        <v/>
      </c>
      <c r="R75" s="300" t="str">
        <f aca="false">IF(Table122[[#This Row],[Mo]],Table122[[#Headers],[Mo]],"")</f>
        <v>Mo</v>
      </c>
      <c r="S75" s="300" t="str">
        <f aca="false">IF(Table122[[#This Row],[Su]],Table122[[#Headers],[Su]],"")</f>
        <v/>
      </c>
    </row>
    <row r="76" customFormat="false" ht="15" hidden="true" customHeight="false" outlineLevel="0" collapsed="false">
      <c r="A76" s="303" t="n">
        <v>75</v>
      </c>
      <c r="B76" s="301" t="n">
        <f aca="false">MOD(INT($A76/64),2)</f>
        <v>1</v>
      </c>
      <c r="C76" s="301" t="n">
        <f aca="false">MOD(INT($A76/32),2)</f>
        <v>0</v>
      </c>
      <c r="D76" s="301" t="n">
        <f aca="false">MOD(INT($A76/16),2)</f>
        <v>0</v>
      </c>
      <c r="E76" s="301" t="n">
        <f aca="false">MOD(INT($A76/8),2)</f>
        <v>1</v>
      </c>
      <c r="F76" s="301" t="n">
        <f aca="false">MOD(INT($A76/4),2)</f>
        <v>0</v>
      </c>
      <c r="G76" s="301" t="n">
        <f aca="false">MOD(INT($A76/2),2)</f>
        <v>1</v>
      </c>
      <c r="H76" s="301" t="n">
        <f aca="false">MOD(A76,2)</f>
        <v>1</v>
      </c>
      <c r="I76" s="304" t="n">
        <f aca="false">SUM(Table122[[#This Row],[Sat]:[Su]])</f>
        <v>4</v>
      </c>
      <c r="L76" s="300" t="str">
        <f aca="false">Table122[[#This Row],[Sat2]]&amp;" "&amp;Table122[[#This Row],[Column2]]&amp;" "&amp;Table122[[#This Row],[Column3]]&amp;" "&amp;Table122[[#This Row],[Column4]]&amp;" "&amp;Table122[[#This Row],[Column5]]&amp;" "&amp;Table122[[#This Row],[Column6]]&amp;" "&amp;Table122[[#This Row],[Column7]]</f>
        <v>Sat   Me  Mo Su</v>
      </c>
      <c r="M76" s="300" t="str">
        <f aca="false">IF(Table122[[#This Row],[Sat]],Table122[[#Headers],[Sat]],"")</f>
        <v>Sat</v>
      </c>
      <c r="N76" s="300" t="str">
        <f aca="false">IF(Table122[[#This Row],[Ve]],Table122[[#Headers],[Ve]],"")</f>
        <v/>
      </c>
      <c r="O76" s="300" t="str">
        <f aca="false">IF(Table122[[#This Row],[Ju]],Table122[[#Headers],[Ju]],"")</f>
        <v/>
      </c>
      <c r="P76" s="300" t="str">
        <f aca="false">IF(Table122[[#This Row],[Me]],Table122[[#Headers],[Me]],"")</f>
        <v>Me</v>
      </c>
      <c r="Q76" s="300" t="str">
        <f aca="false">IF(Table122[[#This Row],[Ma]],Table122[[#Headers],[Ma]],"")</f>
        <v/>
      </c>
      <c r="R76" s="300" t="str">
        <f aca="false">IF(Table122[[#This Row],[Mo]],Table122[[#Headers],[Mo]],"")</f>
        <v>Mo</v>
      </c>
      <c r="S76" s="300" t="str">
        <f aca="false">IF(Table122[[#This Row],[Su]],Table122[[#Headers],[Su]],"")</f>
        <v>Su</v>
      </c>
    </row>
    <row r="77" customFormat="false" ht="15" hidden="true" customHeight="false" outlineLevel="0" collapsed="false">
      <c r="A77" s="303" t="n">
        <v>76</v>
      </c>
      <c r="B77" s="301" t="n">
        <f aca="false">MOD(INT($A77/64),2)</f>
        <v>1</v>
      </c>
      <c r="C77" s="301" t="n">
        <f aca="false">MOD(INT($A77/32),2)</f>
        <v>0</v>
      </c>
      <c r="D77" s="301" t="n">
        <f aca="false">MOD(INT($A77/16),2)</f>
        <v>0</v>
      </c>
      <c r="E77" s="301" t="n">
        <f aca="false">MOD(INT($A77/8),2)</f>
        <v>1</v>
      </c>
      <c r="F77" s="301" t="n">
        <f aca="false">MOD(INT($A77/4),2)</f>
        <v>1</v>
      </c>
      <c r="G77" s="301" t="n">
        <f aca="false">MOD(INT($A77/2),2)</f>
        <v>0</v>
      </c>
      <c r="H77" s="301" t="n">
        <f aca="false">MOD(A77,2)</f>
        <v>0</v>
      </c>
      <c r="I77" s="304" t="n">
        <f aca="false">SUM(Table122[[#This Row],[Sat]:[Su]])</f>
        <v>3</v>
      </c>
      <c r="L77" s="300" t="str">
        <f aca="false">Table122[[#This Row],[Sat2]]&amp;" "&amp;Table122[[#This Row],[Column2]]&amp;" "&amp;Table122[[#This Row],[Column3]]&amp;" "&amp;Table122[[#This Row],[Column4]]&amp;" "&amp;Table122[[#This Row],[Column5]]&amp;" "&amp;Table122[[#This Row],[Column6]]&amp;" "&amp;Table122[[#This Row],[Column7]]</f>
        <v>Sat   Me Ma  </v>
      </c>
      <c r="M77" s="300" t="str">
        <f aca="false">IF(Table122[[#This Row],[Sat]],Table122[[#Headers],[Sat]],"")</f>
        <v>Sat</v>
      </c>
      <c r="N77" s="300" t="str">
        <f aca="false">IF(Table122[[#This Row],[Ve]],Table122[[#Headers],[Ve]],"")</f>
        <v/>
      </c>
      <c r="O77" s="300" t="str">
        <f aca="false">IF(Table122[[#This Row],[Ju]],Table122[[#Headers],[Ju]],"")</f>
        <v/>
      </c>
      <c r="P77" s="300" t="str">
        <f aca="false">IF(Table122[[#This Row],[Me]],Table122[[#Headers],[Me]],"")</f>
        <v>Me</v>
      </c>
      <c r="Q77" s="300" t="str">
        <f aca="false">IF(Table122[[#This Row],[Ma]],Table122[[#Headers],[Ma]],"")</f>
        <v>Ma</v>
      </c>
      <c r="R77" s="300" t="str">
        <f aca="false">IF(Table122[[#This Row],[Mo]],Table122[[#Headers],[Mo]],"")</f>
        <v/>
      </c>
      <c r="S77" s="300" t="str">
        <f aca="false">IF(Table122[[#This Row],[Su]],Table122[[#Headers],[Su]],"")</f>
        <v/>
      </c>
    </row>
    <row r="78" customFormat="false" ht="15" hidden="true" customHeight="false" outlineLevel="0" collapsed="false">
      <c r="A78" s="303" t="n">
        <v>77</v>
      </c>
      <c r="B78" s="301" t="n">
        <f aca="false">MOD(INT($A78/64),2)</f>
        <v>1</v>
      </c>
      <c r="C78" s="301" t="n">
        <f aca="false">MOD(INT($A78/32),2)</f>
        <v>0</v>
      </c>
      <c r="D78" s="301" t="n">
        <f aca="false">MOD(INT($A78/16),2)</f>
        <v>0</v>
      </c>
      <c r="E78" s="301" t="n">
        <f aca="false">MOD(INT($A78/8),2)</f>
        <v>1</v>
      </c>
      <c r="F78" s="301" t="n">
        <f aca="false">MOD(INT($A78/4),2)</f>
        <v>1</v>
      </c>
      <c r="G78" s="301" t="n">
        <f aca="false">MOD(INT($A78/2),2)</f>
        <v>0</v>
      </c>
      <c r="H78" s="301" t="n">
        <f aca="false">MOD(A78,2)</f>
        <v>1</v>
      </c>
      <c r="I78" s="304" t="n">
        <f aca="false">SUM(Table122[[#This Row],[Sat]:[Su]])</f>
        <v>4</v>
      </c>
      <c r="L78" s="300" t="str">
        <f aca="false">Table122[[#This Row],[Sat2]]&amp;" "&amp;Table122[[#This Row],[Column2]]&amp;" "&amp;Table122[[#This Row],[Column3]]&amp;" "&amp;Table122[[#This Row],[Column4]]&amp;" "&amp;Table122[[#This Row],[Column5]]&amp;" "&amp;Table122[[#This Row],[Column6]]&amp;" "&amp;Table122[[#This Row],[Column7]]</f>
        <v>Sat   Me Ma  Su</v>
      </c>
      <c r="M78" s="300" t="str">
        <f aca="false">IF(Table122[[#This Row],[Sat]],Table122[[#Headers],[Sat]],"")</f>
        <v>Sat</v>
      </c>
      <c r="N78" s="300" t="str">
        <f aca="false">IF(Table122[[#This Row],[Ve]],Table122[[#Headers],[Ve]],"")</f>
        <v/>
      </c>
      <c r="O78" s="300" t="str">
        <f aca="false">IF(Table122[[#This Row],[Ju]],Table122[[#Headers],[Ju]],"")</f>
        <v/>
      </c>
      <c r="P78" s="300" t="str">
        <f aca="false">IF(Table122[[#This Row],[Me]],Table122[[#Headers],[Me]],"")</f>
        <v>Me</v>
      </c>
      <c r="Q78" s="300" t="str">
        <f aca="false">IF(Table122[[#This Row],[Ma]],Table122[[#Headers],[Ma]],"")</f>
        <v>Ma</v>
      </c>
      <c r="R78" s="300" t="str">
        <f aca="false">IF(Table122[[#This Row],[Mo]],Table122[[#Headers],[Mo]],"")</f>
        <v/>
      </c>
      <c r="S78" s="300" t="str">
        <f aca="false">IF(Table122[[#This Row],[Su]],Table122[[#Headers],[Su]],"")</f>
        <v>Su</v>
      </c>
    </row>
    <row r="79" customFormat="false" ht="15" hidden="true" customHeight="false" outlineLevel="0" collapsed="false">
      <c r="A79" s="303" t="n">
        <v>78</v>
      </c>
      <c r="B79" s="301" t="n">
        <f aca="false">MOD(INT($A79/64),2)</f>
        <v>1</v>
      </c>
      <c r="C79" s="301" t="n">
        <f aca="false">MOD(INT($A79/32),2)</f>
        <v>0</v>
      </c>
      <c r="D79" s="301" t="n">
        <f aca="false">MOD(INT($A79/16),2)</f>
        <v>0</v>
      </c>
      <c r="E79" s="301" t="n">
        <f aca="false">MOD(INT($A79/8),2)</f>
        <v>1</v>
      </c>
      <c r="F79" s="301" t="n">
        <f aca="false">MOD(INT($A79/4),2)</f>
        <v>1</v>
      </c>
      <c r="G79" s="301" t="n">
        <f aca="false">MOD(INT($A79/2),2)</f>
        <v>1</v>
      </c>
      <c r="H79" s="301" t="n">
        <f aca="false">MOD(A79,2)</f>
        <v>0</v>
      </c>
      <c r="I79" s="304" t="n">
        <f aca="false">SUM(Table122[[#This Row],[Sat]:[Su]])</f>
        <v>4</v>
      </c>
      <c r="J79" s="300" t="s">
        <v>515</v>
      </c>
      <c r="K79" s="300" t="s">
        <v>516</v>
      </c>
      <c r="L79" s="300" t="str">
        <f aca="false">Table122[[#This Row],[Sat2]]&amp;" "&amp;Table122[[#This Row],[Column2]]&amp;" "&amp;Table122[[#This Row],[Column3]]&amp;" "&amp;Table122[[#This Row],[Column4]]&amp;" "&amp;Table122[[#This Row],[Column5]]&amp;" "&amp;Table122[[#This Row],[Column6]]&amp;" "&amp;Table122[[#This Row],[Column7]]</f>
        <v>Sat   Me Ma Mo </v>
      </c>
      <c r="M79" s="300" t="str">
        <f aca="false">IF(Table122[[#This Row],[Sat]],Table122[[#Headers],[Sat]],"")</f>
        <v>Sat</v>
      </c>
      <c r="N79" s="300" t="str">
        <f aca="false">IF(Table122[[#This Row],[Ve]],Table122[[#Headers],[Ve]],"")</f>
        <v/>
      </c>
      <c r="O79" s="300" t="str">
        <f aca="false">IF(Table122[[#This Row],[Ju]],Table122[[#Headers],[Ju]],"")</f>
        <v/>
      </c>
      <c r="P79" s="300" t="str">
        <f aca="false">IF(Table122[[#This Row],[Me]],Table122[[#Headers],[Me]],"")</f>
        <v>Me</v>
      </c>
      <c r="Q79" s="300" t="str">
        <f aca="false">IF(Table122[[#This Row],[Ma]],Table122[[#Headers],[Ma]],"")</f>
        <v>Ma</v>
      </c>
      <c r="R79" s="300" t="str">
        <f aca="false">IF(Table122[[#This Row],[Mo]],Table122[[#Headers],[Mo]],"")</f>
        <v>Mo</v>
      </c>
      <c r="S79" s="300" t="str">
        <f aca="false">IF(Table122[[#This Row],[Su]],Table122[[#Headers],[Su]],"")</f>
        <v/>
      </c>
    </row>
    <row r="80" customFormat="false" ht="15" hidden="true" customHeight="false" outlineLevel="0" collapsed="false">
      <c r="A80" s="303" t="n">
        <v>79</v>
      </c>
      <c r="B80" s="301" t="n">
        <f aca="false">MOD(INT($A80/64),2)</f>
        <v>1</v>
      </c>
      <c r="C80" s="301" t="n">
        <f aca="false">MOD(INT($A80/32),2)</f>
        <v>0</v>
      </c>
      <c r="D80" s="301" t="n">
        <f aca="false">MOD(INT($A80/16),2)</f>
        <v>0</v>
      </c>
      <c r="E80" s="301" t="n">
        <f aca="false">MOD(INT($A80/8),2)</f>
        <v>1</v>
      </c>
      <c r="F80" s="301" t="n">
        <f aca="false">MOD(INT($A80/4),2)</f>
        <v>1</v>
      </c>
      <c r="G80" s="301" t="n">
        <f aca="false">MOD(INT($A80/2),2)</f>
        <v>1</v>
      </c>
      <c r="H80" s="301" t="n">
        <f aca="false">MOD(A80,2)</f>
        <v>1</v>
      </c>
      <c r="I80" s="304" t="n">
        <f aca="false">SUM(Table122[[#This Row],[Sat]:[Su]])</f>
        <v>5</v>
      </c>
      <c r="J80" s="300" t="s">
        <v>517</v>
      </c>
      <c r="K80" s="300" t="s">
        <v>518</v>
      </c>
      <c r="L80" s="300" t="str">
        <f aca="false">Table122[[#This Row],[Sat2]]&amp;" "&amp;Table122[[#This Row],[Column2]]&amp;" "&amp;Table122[[#This Row],[Column3]]&amp;" "&amp;Table122[[#This Row],[Column4]]&amp;" "&amp;Table122[[#This Row],[Column5]]&amp;" "&amp;Table122[[#This Row],[Column6]]&amp;" "&amp;Table122[[#This Row],[Column7]]</f>
        <v>Sat   Me Ma Mo Su</v>
      </c>
      <c r="M80" s="300" t="str">
        <f aca="false">IF(Table122[[#This Row],[Sat]],Table122[[#Headers],[Sat]],"")</f>
        <v>Sat</v>
      </c>
      <c r="N80" s="300" t="str">
        <f aca="false">IF(Table122[[#This Row],[Ve]],Table122[[#Headers],[Ve]],"")</f>
        <v/>
      </c>
      <c r="O80" s="300" t="str">
        <f aca="false">IF(Table122[[#This Row],[Ju]],Table122[[#Headers],[Ju]],"")</f>
        <v/>
      </c>
      <c r="P80" s="300" t="str">
        <f aca="false">IF(Table122[[#This Row],[Me]],Table122[[#Headers],[Me]],"")</f>
        <v>Me</v>
      </c>
      <c r="Q80" s="300" t="str">
        <f aca="false">IF(Table122[[#This Row],[Ma]],Table122[[#Headers],[Ma]],"")</f>
        <v>Ma</v>
      </c>
      <c r="R80" s="300" t="str">
        <f aca="false">IF(Table122[[#This Row],[Mo]],Table122[[#Headers],[Mo]],"")</f>
        <v>Mo</v>
      </c>
      <c r="S80" s="300" t="str">
        <f aca="false">IF(Table122[[#This Row],[Su]],Table122[[#Headers],[Su]],"")</f>
        <v>Su</v>
      </c>
    </row>
    <row r="81" customFormat="false" ht="15" hidden="false" customHeight="false" outlineLevel="0" collapsed="false">
      <c r="A81" s="303" t="n">
        <v>80</v>
      </c>
      <c r="B81" s="301" t="n">
        <f aca="false">MOD(INT($A81/64),2)</f>
        <v>1</v>
      </c>
      <c r="C81" s="301" t="n">
        <f aca="false">MOD(INT($A81/32),2)</f>
        <v>0</v>
      </c>
      <c r="D81" s="301" t="n">
        <f aca="false">MOD(INT($A81/16),2)</f>
        <v>1</v>
      </c>
      <c r="E81" s="301" t="n">
        <f aca="false">MOD(INT($A81/8),2)</f>
        <v>0</v>
      </c>
      <c r="F81" s="301" t="n">
        <f aca="false">MOD(INT($A81/4),2)</f>
        <v>0</v>
      </c>
      <c r="G81" s="301" t="n">
        <f aca="false">MOD(INT($A81/2),2)</f>
        <v>0</v>
      </c>
      <c r="H81" s="301" t="n">
        <f aca="false">MOD(A81,2)</f>
        <v>0</v>
      </c>
      <c r="I81" s="304" t="n">
        <f aca="false">SUM(Table122[[#This Row],[Sat]:[Su]])</f>
        <v>2</v>
      </c>
      <c r="L81" s="300" t="str">
        <f aca="false">Table122[[#This Row],[Sat2]]&amp;" "&amp;Table122[[#This Row],[Column2]]&amp;" "&amp;Table122[[#This Row],[Column3]]&amp;" "&amp;Table122[[#This Row],[Column4]]&amp;" "&amp;Table122[[#This Row],[Column5]]&amp;" "&amp;Table122[[#This Row],[Column6]]&amp;" "&amp;Table122[[#This Row],[Column7]]</f>
        <v>Sat  Ju    </v>
      </c>
      <c r="M81" s="300" t="str">
        <f aca="false">IF(Table122[[#This Row],[Sat]],Table122[[#Headers],[Sat]],"")</f>
        <v>Sat</v>
      </c>
      <c r="N81" s="300" t="str">
        <f aca="false">IF(Table122[[#This Row],[Ve]],Table122[[#Headers],[Ve]],"")</f>
        <v/>
      </c>
      <c r="O81" s="300" t="str">
        <f aca="false">IF(Table122[[#This Row],[Ju]],Table122[[#Headers],[Ju]],"")</f>
        <v>Ju</v>
      </c>
      <c r="P81" s="300" t="str">
        <f aca="false">IF(Table122[[#This Row],[Me]],Table122[[#Headers],[Me]],"")</f>
        <v/>
      </c>
      <c r="Q81" s="300" t="str">
        <f aca="false">IF(Table122[[#This Row],[Ma]],Table122[[#Headers],[Ma]],"")</f>
        <v/>
      </c>
      <c r="R81" s="300" t="str">
        <f aca="false">IF(Table122[[#This Row],[Mo]],Table122[[#Headers],[Mo]],"")</f>
        <v/>
      </c>
      <c r="S81" s="300" t="str">
        <f aca="false">IF(Table122[[#This Row],[Su]],Table122[[#Headers],[Su]],"")</f>
        <v/>
      </c>
    </row>
    <row r="82" customFormat="false" ht="15" hidden="true" customHeight="false" outlineLevel="0" collapsed="false">
      <c r="A82" s="303" t="n">
        <v>81</v>
      </c>
      <c r="B82" s="301" t="n">
        <f aca="false">MOD(INT($A82/64),2)</f>
        <v>1</v>
      </c>
      <c r="C82" s="301" t="n">
        <f aca="false">MOD(INT($A82/32),2)</f>
        <v>0</v>
      </c>
      <c r="D82" s="301" t="n">
        <f aca="false">MOD(INT($A82/16),2)</f>
        <v>1</v>
      </c>
      <c r="E82" s="301" t="n">
        <f aca="false">MOD(INT($A82/8),2)</f>
        <v>0</v>
      </c>
      <c r="F82" s="301" t="n">
        <f aca="false">MOD(INT($A82/4),2)</f>
        <v>0</v>
      </c>
      <c r="G82" s="301" t="n">
        <f aca="false">MOD(INT($A82/2),2)</f>
        <v>0</v>
      </c>
      <c r="H82" s="301" t="n">
        <f aca="false">MOD(A82,2)</f>
        <v>1</v>
      </c>
      <c r="I82" s="304" t="n">
        <f aca="false">SUM(Table122[[#This Row],[Sat]:[Su]])</f>
        <v>3</v>
      </c>
      <c r="L82" s="300" t="str">
        <f aca="false">Table122[[#This Row],[Sat2]]&amp;" "&amp;Table122[[#This Row],[Column2]]&amp;" "&amp;Table122[[#This Row],[Column3]]&amp;" "&amp;Table122[[#This Row],[Column4]]&amp;" "&amp;Table122[[#This Row],[Column5]]&amp;" "&amp;Table122[[#This Row],[Column6]]&amp;" "&amp;Table122[[#This Row],[Column7]]</f>
        <v>Sat  Ju    Su</v>
      </c>
      <c r="M82" s="300" t="str">
        <f aca="false">IF(Table122[[#This Row],[Sat]],Table122[[#Headers],[Sat]],"")</f>
        <v>Sat</v>
      </c>
      <c r="N82" s="300" t="str">
        <f aca="false">IF(Table122[[#This Row],[Ve]],Table122[[#Headers],[Ve]],"")</f>
        <v/>
      </c>
      <c r="O82" s="300" t="str">
        <f aca="false">IF(Table122[[#This Row],[Ju]],Table122[[#Headers],[Ju]],"")</f>
        <v>Ju</v>
      </c>
      <c r="P82" s="300" t="str">
        <f aca="false">IF(Table122[[#This Row],[Me]],Table122[[#Headers],[Me]],"")</f>
        <v/>
      </c>
      <c r="Q82" s="300" t="str">
        <f aca="false">IF(Table122[[#This Row],[Ma]],Table122[[#Headers],[Ma]],"")</f>
        <v/>
      </c>
      <c r="R82" s="300" t="str">
        <f aca="false">IF(Table122[[#This Row],[Mo]],Table122[[#Headers],[Mo]],"")</f>
        <v/>
      </c>
      <c r="S82" s="300" t="str">
        <f aca="false">IF(Table122[[#This Row],[Su]],Table122[[#Headers],[Su]],"")</f>
        <v>Su</v>
      </c>
    </row>
    <row r="83" customFormat="false" ht="15" hidden="true" customHeight="false" outlineLevel="0" collapsed="false">
      <c r="A83" s="303" t="n">
        <v>82</v>
      </c>
      <c r="B83" s="301" t="n">
        <f aca="false">MOD(INT($A83/64),2)</f>
        <v>1</v>
      </c>
      <c r="C83" s="301" t="n">
        <f aca="false">MOD(INT($A83/32),2)</f>
        <v>0</v>
      </c>
      <c r="D83" s="301" t="n">
        <f aca="false">MOD(INT($A83/16),2)</f>
        <v>1</v>
      </c>
      <c r="E83" s="301" t="n">
        <f aca="false">MOD(INT($A83/8),2)</f>
        <v>0</v>
      </c>
      <c r="F83" s="301" t="n">
        <f aca="false">MOD(INT($A83/4),2)</f>
        <v>0</v>
      </c>
      <c r="G83" s="301" t="n">
        <f aca="false">MOD(INT($A83/2),2)</f>
        <v>1</v>
      </c>
      <c r="H83" s="301" t="n">
        <f aca="false">MOD(A83,2)</f>
        <v>0</v>
      </c>
      <c r="I83" s="304" t="n">
        <f aca="false">SUM(Table122[[#This Row],[Sat]:[Su]])</f>
        <v>3</v>
      </c>
      <c r="L83" s="300" t="str">
        <f aca="false">Table122[[#This Row],[Sat2]]&amp;" "&amp;Table122[[#This Row],[Column2]]&amp;" "&amp;Table122[[#This Row],[Column3]]&amp;" "&amp;Table122[[#This Row],[Column4]]&amp;" "&amp;Table122[[#This Row],[Column5]]&amp;" "&amp;Table122[[#This Row],[Column6]]&amp;" "&amp;Table122[[#This Row],[Column7]]</f>
        <v>Sat  Ju   Mo </v>
      </c>
      <c r="M83" s="300" t="str">
        <f aca="false">IF(Table122[[#This Row],[Sat]],Table122[[#Headers],[Sat]],"")</f>
        <v>Sat</v>
      </c>
      <c r="N83" s="300" t="str">
        <f aca="false">IF(Table122[[#This Row],[Ve]],Table122[[#Headers],[Ve]],"")</f>
        <v/>
      </c>
      <c r="O83" s="300" t="str">
        <f aca="false">IF(Table122[[#This Row],[Ju]],Table122[[#Headers],[Ju]],"")</f>
        <v>Ju</v>
      </c>
      <c r="P83" s="300" t="str">
        <f aca="false">IF(Table122[[#This Row],[Me]],Table122[[#Headers],[Me]],"")</f>
        <v/>
      </c>
      <c r="Q83" s="300" t="str">
        <f aca="false">IF(Table122[[#This Row],[Ma]],Table122[[#Headers],[Ma]],"")</f>
        <v/>
      </c>
      <c r="R83" s="300" t="str">
        <f aca="false">IF(Table122[[#This Row],[Mo]],Table122[[#Headers],[Mo]],"")</f>
        <v>Mo</v>
      </c>
      <c r="S83" s="300" t="str">
        <f aca="false">IF(Table122[[#This Row],[Su]],Table122[[#Headers],[Su]],"")</f>
        <v/>
      </c>
    </row>
    <row r="84" customFormat="false" ht="15" hidden="true" customHeight="false" outlineLevel="0" collapsed="false">
      <c r="A84" s="303" t="n">
        <v>83</v>
      </c>
      <c r="B84" s="301" t="n">
        <f aca="false">MOD(INT($A84/64),2)</f>
        <v>1</v>
      </c>
      <c r="C84" s="301" t="n">
        <f aca="false">MOD(INT($A84/32),2)</f>
        <v>0</v>
      </c>
      <c r="D84" s="301" t="n">
        <f aca="false">MOD(INT($A84/16),2)</f>
        <v>1</v>
      </c>
      <c r="E84" s="301" t="n">
        <f aca="false">MOD(INT($A84/8),2)</f>
        <v>0</v>
      </c>
      <c r="F84" s="301" t="n">
        <f aca="false">MOD(INT($A84/4),2)</f>
        <v>0</v>
      </c>
      <c r="G84" s="301" t="n">
        <f aca="false">MOD(INT($A84/2),2)</f>
        <v>1</v>
      </c>
      <c r="H84" s="301" t="n">
        <f aca="false">MOD(A84,2)</f>
        <v>1</v>
      </c>
      <c r="I84" s="304" t="n">
        <f aca="false">SUM(Table122[[#This Row],[Sat]:[Su]])</f>
        <v>4</v>
      </c>
      <c r="J84" s="300" t="s">
        <v>495</v>
      </c>
      <c r="K84" s="300" t="s">
        <v>519</v>
      </c>
      <c r="L84" s="300" t="str">
        <f aca="false">Table122[[#This Row],[Sat2]]&amp;" "&amp;Table122[[#This Row],[Column2]]&amp;" "&amp;Table122[[#This Row],[Column3]]&amp;" "&amp;Table122[[#This Row],[Column4]]&amp;" "&amp;Table122[[#This Row],[Column5]]&amp;" "&amp;Table122[[#This Row],[Column6]]&amp;" "&amp;Table122[[#This Row],[Column7]]</f>
        <v>Sat  Ju   Mo Su</v>
      </c>
      <c r="M84" s="300" t="str">
        <f aca="false">IF(Table122[[#This Row],[Sat]],Table122[[#Headers],[Sat]],"")</f>
        <v>Sat</v>
      </c>
      <c r="N84" s="300" t="str">
        <f aca="false">IF(Table122[[#This Row],[Ve]],Table122[[#Headers],[Ve]],"")</f>
        <v/>
      </c>
      <c r="O84" s="300" t="str">
        <f aca="false">IF(Table122[[#This Row],[Ju]],Table122[[#Headers],[Ju]],"")</f>
        <v>Ju</v>
      </c>
      <c r="P84" s="300" t="str">
        <f aca="false">IF(Table122[[#This Row],[Me]],Table122[[#Headers],[Me]],"")</f>
        <v/>
      </c>
      <c r="Q84" s="300" t="str">
        <f aca="false">IF(Table122[[#This Row],[Ma]],Table122[[#Headers],[Ma]],"")</f>
        <v/>
      </c>
      <c r="R84" s="300" t="str">
        <f aca="false">IF(Table122[[#This Row],[Mo]],Table122[[#Headers],[Mo]],"")</f>
        <v>Mo</v>
      </c>
      <c r="S84" s="300" t="str">
        <f aca="false">IF(Table122[[#This Row],[Su]],Table122[[#Headers],[Su]],"")</f>
        <v>Su</v>
      </c>
    </row>
    <row r="85" customFormat="false" ht="15" hidden="true" customHeight="false" outlineLevel="0" collapsed="false">
      <c r="A85" s="303" t="n">
        <v>84</v>
      </c>
      <c r="B85" s="301" t="n">
        <f aca="false">MOD(INT($A85/64),2)</f>
        <v>1</v>
      </c>
      <c r="C85" s="301" t="n">
        <f aca="false">MOD(INT($A85/32),2)</f>
        <v>0</v>
      </c>
      <c r="D85" s="301" t="n">
        <f aca="false">MOD(INT($A85/16),2)</f>
        <v>1</v>
      </c>
      <c r="E85" s="301" t="n">
        <f aca="false">MOD(INT($A85/8),2)</f>
        <v>0</v>
      </c>
      <c r="F85" s="301" t="n">
        <f aca="false">MOD(INT($A85/4),2)</f>
        <v>1</v>
      </c>
      <c r="G85" s="301" t="n">
        <f aca="false">MOD(INT($A85/2),2)</f>
        <v>0</v>
      </c>
      <c r="H85" s="301" t="n">
        <f aca="false">MOD(A85,2)</f>
        <v>0</v>
      </c>
      <c r="I85" s="304" t="n">
        <f aca="false">SUM(Table122[[#This Row],[Sat]:[Su]])</f>
        <v>3</v>
      </c>
      <c r="L85" s="300" t="str">
        <f aca="false">Table122[[#This Row],[Sat2]]&amp;" "&amp;Table122[[#This Row],[Column2]]&amp;" "&amp;Table122[[#This Row],[Column3]]&amp;" "&amp;Table122[[#This Row],[Column4]]&amp;" "&amp;Table122[[#This Row],[Column5]]&amp;" "&amp;Table122[[#This Row],[Column6]]&amp;" "&amp;Table122[[#This Row],[Column7]]</f>
        <v>Sat  Ju  Ma  </v>
      </c>
      <c r="M85" s="300" t="str">
        <f aca="false">IF(Table122[[#This Row],[Sat]],Table122[[#Headers],[Sat]],"")</f>
        <v>Sat</v>
      </c>
      <c r="N85" s="300" t="str">
        <f aca="false">IF(Table122[[#This Row],[Ve]],Table122[[#Headers],[Ve]],"")</f>
        <v/>
      </c>
      <c r="O85" s="300" t="str">
        <f aca="false">IF(Table122[[#This Row],[Ju]],Table122[[#Headers],[Ju]],"")</f>
        <v>Ju</v>
      </c>
      <c r="P85" s="300" t="str">
        <f aca="false">IF(Table122[[#This Row],[Me]],Table122[[#Headers],[Me]],"")</f>
        <v/>
      </c>
      <c r="Q85" s="300" t="str">
        <f aca="false">IF(Table122[[#This Row],[Ma]],Table122[[#Headers],[Ma]],"")</f>
        <v>Ma</v>
      </c>
      <c r="R85" s="300" t="str">
        <f aca="false">IF(Table122[[#This Row],[Mo]],Table122[[#Headers],[Mo]],"")</f>
        <v/>
      </c>
      <c r="S85" s="300" t="str">
        <f aca="false">IF(Table122[[#This Row],[Su]],Table122[[#Headers],[Su]],"")</f>
        <v/>
      </c>
    </row>
    <row r="86" customFormat="false" ht="15" hidden="true" customHeight="false" outlineLevel="0" collapsed="false">
      <c r="A86" s="303" t="n">
        <v>85</v>
      </c>
      <c r="B86" s="301" t="n">
        <f aca="false">MOD(INT($A86/64),2)</f>
        <v>1</v>
      </c>
      <c r="C86" s="301" t="n">
        <f aca="false">MOD(INT($A86/32),2)</f>
        <v>0</v>
      </c>
      <c r="D86" s="301" t="n">
        <f aca="false">MOD(INT($A86/16),2)</f>
        <v>1</v>
      </c>
      <c r="E86" s="301" t="n">
        <f aca="false">MOD(INT($A86/8),2)</f>
        <v>0</v>
      </c>
      <c r="F86" s="301" t="n">
        <f aca="false">MOD(INT($A86/4),2)</f>
        <v>1</v>
      </c>
      <c r="G86" s="301" t="n">
        <f aca="false">MOD(INT($A86/2),2)</f>
        <v>0</v>
      </c>
      <c r="H86" s="301" t="n">
        <f aca="false">MOD(A86,2)</f>
        <v>1</v>
      </c>
      <c r="I86" s="304" t="n">
        <f aca="false">SUM(Table122[[#This Row],[Sat]:[Su]])</f>
        <v>4</v>
      </c>
      <c r="L86" s="300" t="str">
        <f aca="false">Table122[[#This Row],[Sat2]]&amp;" "&amp;Table122[[#This Row],[Column2]]&amp;" "&amp;Table122[[#This Row],[Column3]]&amp;" "&amp;Table122[[#This Row],[Column4]]&amp;" "&amp;Table122[[#This Row],[Column5]]&amp;" "&amp;Table122[[#This Row],[Column6]]&amp;" "&amp;Table122[[#This Row],[Column7]]</f>
        <v>Sat  Ju  Ma  Su</v>
      </c>
      <c r="M86" s="300" t="str">
        <f aca="false">IF(Table122[[#This Row],[Sat]],Table122[[#Headers],[Sat]],"")</f>
        <v>Sat</v>
      </c>
      <c r="N86" s="300" t="str">
        <f aca="false">IF(Table122[[#This Row],[Ve]],Table122[[#Headers],[Ve]],"")</f>
        <v/>
      </c>
      <c r="O86" s="300" t="str">
        <f aca="false">IF(Table122[[#This Row],[Ju]],Table122[[#Headers],[Ju]],"")</f>
        <v>Ju</v>
      </c>
      <c r="P86" s="300" t="str">
        <f aca="false">IF(Table122[[#This Row],[Me]],Table122[[#Headers],[Me]],"")</f>
        <v/>
      </c>
      <c r="Q86" s="300" t="str">
        <f aca="false">IF(Table122[[#This Row],[Ma]],Table122[[#Headers],[Ma]],"")</f>
        <v>Ma</v>
      </c>
      <c r="R86" s="300" t="str">
        <f aca="false">IF(Table122[[#This Row],[Mo]],Table122[[#Headers],[Mo]],"")</f>
        <v/>
      </c>
      <c r="S86" s="300" t="str">
        <f aca="false">IF(Table122[[#This Row],[Su]],Table122[[#Headers],[Su]],"")</f>
        <v>Su</v>
      </c>
    </row>
    <row r="87" customFormat="false" ht="15" hidden="true" customHeight="false" outlineLevel="0" collapsed="false">
      <c r="A87" s="303" t="n">
        <v>86</v>
      </c>
      <c r="B87" s="301" t="n">
        <f aca="false">MOD(INT($A87/64),2)</f>
        <v>1</v>
      </c>
      <c r="C87" s="301" t="n">
        <f aca="false">MOD(INT($A87/32),2)</f>
        <v>0</v>
      </c>
      <c r="D87" s="301" t="n">
        <f aca="false">MOD(INT($A87/16),2)</f>
        <v>1</v>
      </c>
      <c r="E87" s="301" t="n">
        <f aca="false">MOD(INT($A87/8),2)</f>
        <v>0</v>
      </c>
      <c r="F87" s="301" t="n">
        <f aca="false">MOD(INT($A87/4),2)</f>
        <v>1</v>
      </c>
      <c r="G87" s="301" t="n">
        <f aca="false">MOD(INT($A87/2),2)</f>
        <v>1</v>
      </c>
      <c r="H87" s="301" t="n">
        <f aca="false">MOD(A87,2)</f>
        <v>0</v>
      </c>
      <c r="I87" s="304" t="n">
        <f aca="false">SUM(Table122[[#This Row],[Sat]:[Su]])</f>
        <v>4</v>
      </c>
      <c r="J87" s="300" t="s">
        <v>520</v>
      </c>
      <c r="K87" s="300" t="s">
        <v>521</v>
      </c>
      <c r="L87" s="300" t="str">
        <f aca="false">Table122[[#This Row],[Sat2]]&amp;" "&amp;Table122[[#This Row],[Column2]]&amp;" "&amp;Table122[[#This Row],[Column3]]&amp;" "&amp;Table122[[#This Row],[Column4]]&amp;" "&amp;Table122[[#This Row],[Column5]]&amp;" "&amp;Table122[[#This Row],[Column6]]&amp;" "&amp;Table122[[#This Row],[Column7]]</f>
        <v>Sat  Ju  Ma Mo </v>
      </c>
      <c r="M87" s="300" t="str">
        <f aca="false">IF(Table122[[#This Row],[Sat]],Table122[[#Headers],[Sat]],"")</f>
        <v>Sat</v>
      </c>
      <c r="N87" s="300" t="str">
        <f aca="false">IF(Table122[[#This Row],[Ve]],Table122[[#Headers],[Ve]],"")</f>
        <v/>
      </c>
      <c r="O87" s="300" t="str">
        <f aca="false">IF(Table122[[#This Row],[Ju]],Table122[[#Headers],[Ju]],"")</f>
        <v>Ju</v>
      </c>
      <c r="P87" s="300" t="str">
        <f aca="false">IF(Table122[[#This Row],[Me]],Table122[[#Headers],[Me]],"")</f>
        <v/>
      </c>
      <c r="Q87" s="300" t="str">
        <f aca="false">IF(Table122[[#This Row],[Ma]],Table122[[#Headers],[Ma]],"")</f>
        <v>Ma</v>
      </c>
      <c r="R87" s="300" t="str">
        <f aca="false">IF(Table122[[#This Row],[Mo]],Table122[[#Headers],[Mo]],"")</f>
        <v>Mo</v>
      </c>
      <c r="S87" s="300" t="str">
        <f aca="false">IF(Table122[[#This Row],[Su]],Table122[[#Headers],[Su]],"")</f>
        <v/>
      </c>
    </row>
    <row r="88" customFormat="false" ht="15" hidden="true" customHeight="false" outlineLevel="0" collapsed="false">
      <c r="A88" s="303" t="n">
        <v>87</v>
      </c>
      <c r="B88" s="301" t="n">
        <f aca="false">MOD(INT($A88/64),2)</f>
        <v>1</v>
      </c>
      <c r="C88" s="301" t="n">
        <f aca="false">MOD(INT($A88/32),2)</f>
        <v>0</v>
      </c>
      <c r="D88" s="301" t="n">
        <f aca="false">MOD(INT($A88/16),2)</f>
        <v>1</v>
      </c>
      <c r="E88" s="301" t="n">
        <f aca="false">MOD(INT($A88/8),2)</f>
        <v>0</v>
      </c>
      <c r="F88" s="301" t="n">
        <f aca="false">MOD(INT($A88/4),2)</f>
        <v>1</v>
      </c>
      <c r="G88" s="301" t="n">
        <f aca="false">MOD(INT($A88/2),2)</f>
        <v>1</v>
      </c>
      <c r="H88" s="301" t="n">
        <f aca="false">MOD(A88,2)</f>
        <v>1</v>
      </c>
      <c r="I88" s="304" t="n">
        <f aca="false">SUM(Table122[[#This Row],[Sat]:[Su]])</f>
        <v>5</v>
      </c>
      <c r="J88" s="300" t="s">
        <v>522</v>
      </c>
      <c r="K88" s="300" t="s">
        <v>523</v>
      </c>
      <c r="L88" s="300" t="str">
        <f aca="false">Table122[[#This Row],[Sat2]]&amp;" "&amp;Table122[[#This Row],[Column2]]&amp;" "&amp;Table122[[#This Row],[Column3]]&amp;" "&amp;Table122[[#This Row],[Column4]]&amp;" "&amp;Table122[[#This Row],[Column5]]&amp;" "&amp;Table122[[#This Row],[Column6]]&amp;" "&amp;Table122[[#This Row],[Column7]]</f>
        <v>Sat  Ju  Ma Mo Su</v>
      </c>
      <c r="M88" s="300" t="str">
        <f aca="false">IF(Table122[[#This Row],[Sat]],Table122[[#Headers],[Sat]],"")</f>
        <v>Sat</v>
      </c>
      <c r="N88" s="300" t="str">
        <f aca="false">IF(Table122[[#This Row],[Ve]],Table122[[#Headers],[Ve]],"")</f>
        <v/>
      </c>
      <c r="O88" s="300" t="str">
        <f aca="false">IF(Table122[[#This Row],[Ju]],Table122[[#Headers],[Ju]],"")</f>
        <v>Ju</v>
      </c>
      <c r="P88" s="300" t="str">
        <f aca="false">IF(Table122[[#This Row],[Me]],Table122[[#Headers],[Me]],"")</f>
        <v/>
      </c>
      <c r="Q88" s="300" t="str">
        <f aca="false">IF(Table122[[#This Row],[Ma]],Table122[[#Headers],[Ma]],"")</f>
        <v>Ma</v>
      </c>
      <c r="R88" s="300" t="str">
        <f aca="false">IF(Table122[[#This Row],[Mo]],Table122[[#Headers],[Mo]],"")</f>
        <v>Mo</v>
      </c>
      <c r="S88" s="300" t="str">
        <f aca="false">IF(Table122[[#This Row],[Su]],Table122[[#Headers],[Su]],"")</f>
        <v>Su</v>
      </c>
    </row>
    <row r="89" customFormat="false" ht="15" hidden="true" customHeight="false" outlineLevel="0" collapsed="false">
      <c r="A89" s="303" t="n">
        <v>88</v>
      </c>
      <c r="B89" s="301" t="n">
        <f aca="false">MOD(INT($A89/64),2)</f>
        <v>1</v>
      </c>
      <c r="C89" s="301" t="n">
        <f aca="false">MOD(INT($A89/32),2)</f>
        <v>0</v>
      </c>
      <c r="D89" s="301" t="n">
        <f aca="false">MOD(INT($A89/16),2)</f>
        <v>1</v>
      </c>
      <c r="E89" s="301" t="n">
        <f aca="false">MOD(INT($A89/8),2)</f>
        <v>1</v>
      </c>
      <c r="F89" s="301" t="n">
        <f aca="false">MOD(INT($A89/4),2)</f>
        <v>0</v>
      </c>
      <c r="G89" s="301" t="n">
        <f aca="false">MOD(INT($A89/2),2)</f>
        <v>0</v>
      </c>
      <c r="H89" s="301" t="n">
        <f aca="false">MOD(A89,2)</f>
        <v>0</v>
      </c>
      <c r="I89" s="304" t="n">
        <f aca="false">SUM(Table122[[#This Row],[Sat]:[Su]])</f>
        <v>3</v>
      </c>
      <c r="L89" s="300" t="str">
        <f aca="false">Table122[[#This Row],[Sat2]]&amp;" "&amp;Table122[[#This Row],[Column2]]&amp;" "&amp;Table122[[#This Row],[Column3]]&amp;" "&amp;Table122[[#This Row],[Column4]]&amp;" "&amp;Table122[[#This Row],[Column5]]&amp;" "&amp;Table122[[#This Row],[Column6]]&amp;" "&amp;Table122[[#This Row],[Column7]]</f>
        <v>Sat  Ju Me   </v>
      </c>
      <c r="M89" s="300" t="str">
        <f aca="false">IF(Table122[[#This Row],[Sat]],Table122[[#Headers],[Sat]],"")</f>
        <v>Sat</v>
      </c>
      <c r="N89" s="300" t="str">
        <f aca="false">IF(Table122[[#This Row],[Ve]],Table122[[#Headers],[Ve]],"")</f>
        <v/>
      </c>
      <c r="O89" s="300" t="str">
        <f aca="false">IF(Table122[[#This Row],[Ju]],Table122[[#Headers],[Ju]],"")</f>
        <v>Ju</v>
      </c>
      <c r="P89" s="300" t="str">
        <f aca="false">IF(Table122[[#This Row],[Me]],Table122[[#Headers],[Me]],"")</f>
        <v>Me</v>
      </c>
      <c r="Q89" s="300" t="str">
        <f aca="false">IF(Table122[[#This Row],[Ma]],Table122[[#Headers],[Ma]],"")</f>
        <v/>
      </c>
      <c r="R89" s="300" t="str">
        <f aca="false">IF(Table122[[#This Row],[Mo]],Table122[[#Headers],[Mo]],"")</f>
        <v/>
      </c>
      <c r="S89" s="300" t="str">
        <f aca="false">IF(Table122[[#This Row],[Su]],Table122[[#Headers],[Su]],"")</f>
        <v/>
      </c>
    </row>
    <row r="90" customFormat="false" ht="15" hidden="true" customHeight="false" outlineLevel="0" collapsed="false">
      <c r="A90" s="303" t="n">
        <v>89</v>
      </c>
      <c r="B90" s="301" t="n">
        <f aca="false">MOD(INT($A90/64),2)</f>
        <v>1</v>
      </c>
      <c r="C90" s="301" t="n">
        <f aca="false">MOD(INT($A90/32),2)</f>
        <v>0</v>
      </c>
      <c r="D90" s="301" t="n">
        <f aca="false">MOD(INT($A90/16),2)</f>
        <v>1</v>
      </c>
      <c r="E90" s="301" t="n">
        <f aca="false">MOD(INT($A90/8),2)</f>
        <v>1</v>
      </c>
      <c r="F90" s="301" t="n">
        <f aca="false">MOD(INT($A90/4),2)</f>
        <v>0</v>
      </c>
      <c r="G90" s="301" t="n">
        <f aca="false">MOD(INT($A90/2),2)</f>
        <v>0</v>
      </c>
      <c r="H90" s="301" t="n">
        <f aca="false">MOD(A90,2)</f>
        <v>1</v>
      </c>
      <c r="I90" s="304" t="n">
        <f aca="false">SUM(Table122[[#This Row],[Sat]:[Su]])</f>
        <v>4</v>
      </c>
      <c r="L90" s="300" t="str">
        <f aca="false">Table122[[#This Row],[Sat2]]&amp;" "&amp;Table122[[#This Row],[Column2]]&amp;" "&amp;Table122[[#This Row],[Column3]]&amp;" "&amp;Table122[[#This Row],[Column4]]&amp;" "&amp;Table122[[#This Row],[Column5]]&amp;" "&amp;Table122[[#This Row],[Column6]]&amp;" "&amp;Table122[[#This Row],[Column7]]</f>
        <v>Sat  Ju Me   Su</v>
      </c>
      <c r="M90" s="300" t="str">
        <f aca="false">IF(Table122[[#This Row],[Sat]],Table122[[#Headers],[Sat]],"")</f>
        <v>Sat</v>
      </c>
      <c r="N90" s="300" t="str">
        <f aca="false">IF(Table122[[#This Row],[Ve]],Table122[[#Headers],[Ve]],"")</f>
        <v/>
      </c>
      <c r="O90" s="300" t="str">
        <f aca="false">IF(Table122[[#This Row],[Ju]],Table122[[#Headers],[Ju]],"")</f>
        <v>Ju</v>
      </c>
      <c r="P90" s="300" t="str">
        <f aca="false">IF(Table122[[#This Row],[Me]],Table122[[#Headers],[Me]],"")</f>
        <v>Me</v>
      </c>
      <c r="Q90" s="300" t="str">
        <f aca="false">IF(Table122[[#This Row],[Ma]],Table122[[#Headers],[Ma]],"")</f>
        <v/>
      </c>
      <c r="R90" s="300" t="str">
        <f aca="false">IF(Table122[[#This Row],[Mo]],Table122[[#Headers],[Mo]],"")</f>
        <v/>
      </c>
      <c r="S90" s="300" t="str">
        <f aca="false">IF(Table122[[#This Row],[Su]],Table122[[#Headers],[Su]],"")</f>
        <v>Su</v>
      </c>
    </row>
    <row r="91" customFormat="false" ht="15" hidden="true" customHeight="false" outlineLevel="0" collapsed="false">
      <c r="A91" s="303" t="n">
        <v>90</v>
      </c>
      <c r="B91" s="301" t="n">
        <f aca="false">MOD(INT($A91/64),2)</f>
        <v>1</v>
      </c>
      <c r="C91" s="301" t="n">
        <f aca="false">MOD(INT($A91/32),2)</f>
        <v>0</v>
      </c>
      <c r="D91" s="301" t="n">
        <f aca="false">MOD(INT($A91/16),2)</f>
        <v>1</v>
      </c>
      <c r="E91" s="301" t="n">
        <f aca="false">MOD(INT($A91/8),2)</f>
        <v>1</v>
      </c>
      <c r="F91" s="301" t="n">
        <f aca="false">MOD(INT($A91/4),2)</f>
        <v>0</v>
      </c>
      <c r="G91" s="301" t="n">
        <f aca="false">MOD(INT($A91/2),2)</f>
        <v>1</v>
      </c>
      <c r="H91" s="301" t="n">
        <f aca="false">MOD(A91,2)</f>
        <v>0</v>
      </c>
      <c r="I91" s="304" t="n">
        <f aca="false">SUM(Table122[[#This Row],[Sat]:[Su]])</f>
        <v>4</v>
      </c>
      <c r="L91" s="300" t="str">
        <f aca="false">Table122[[#This Row],[Sat2]]&amp;" "&amp;Table122[[#This Row],[Column2]]&amp;" "&amp;Table122[[#This Row],[Column3]]&amp;" "&amp;Table122[[#This Row],[Column4]]&amp;" "&amp;Table122[[#This Row],[Column5]]&amp;" "&amp;Table122[[#This Row],[Column6]]&amp;" "&amp;Table122[[#This Row],[Column7]]</f>
        <v>Sat  Ju Me  Mo </v>
      </c>
      <c r="M91" s="300" t="str">
        <f aca="false">IF(Table122[[#This Row],[Sat]],Table122[[#Headers],[Sat]],"")</f>
        <v>Sat</v>
      </c>
      <c r="N91" s="300" t="str">
        <f aca="false">IF(Table122[[#This Row],[Ve]],Table122[[#Headers],[Ve]],"")</f>
        <v/>
      </c>
      <c r="O91" s="300" t="str">
        <f aca="false">IF(Table122[[#This Row],[Ju]],Table122[[#Headers],[Ju]],"")</f>
        <v>Ju</v>
      </c>
      <c r="P91" s="300" t="str">
        <f aca="false">IF(Table122[[#This Row],[Me]],Table122[[#Headers],[Me]],"")</f>
        <v>Me</v>
      </c>
      <c r="Q91" s="300" t="str">
        <f aca="false">IF(Table122[[#This Row],[Ma]],Table122[[#Headers],[Ma]],"")</f>
        <v/>
      </c>
      <c r="R91" s="300" t="str">
        <f aca="false">IF(Table122[[#This Row],[Mo]],Table122[[#Headers],[Mo]],"")</f>
        <v>Mo</v>
      </c>
      <c r="S91" s="300" t="str">
        <f aca="false">IF(Table122[[#This Row],[Su]],Table122[[#Headers],[Su]],"")</f>
        <v/>
      </c>
    </row>
    <row r="92" customFormat="false" ht="15" hidden="true" customHeight="false" outlineLevel="0" collapsed="false">
      <c r="A92" s="303" t="n">
        <v>91</v>
      </c>
      <c r="B92" s="301" t="n">
        <f aca="false">MOD(INT($A92/64),2)</f>
        <v>1</v>
      </c>
      <c r="C92" s="301" t="n">
        <f aca="false">MOD(INT($A92/32),2)</f>
        <v>0</v>
      </c>
      <c r="D92" s="301" t="n">
        <f aca="false">MOD(INT($A92/16),2)</f>
        <v>1</v>
      </c>
      <c r="E92" s="301" t="n">
        <f aca="false">MOD(INT($A92/8),2)</f>
        <v>1</v>
      </c>
      <c r="F92" s="301" t="n">
        <f aca="false">MOD(INT($A92/4),2)</f>
        <v>0</v>
      </c>
      <c r="G92" s="301" t="n">
        <f aca="false">MOD(INT($A92/2),2)</f>
        <v>1</v>
      </c>
      <c r="H92" s="301" t="n">
        <f aca="false">MOD(A92,2)</f>
        <v>1</v>
      </c>
      <c r="I92" s="304" t="n">
        <f aca="false">SUM(Table122[[#This Row],[Sat]:[Su]])</f>
        <v>5</v>
      </c>
      <c r="L92" s="300" t="str">
        <f aca="false">Table122[[#This Row],[Sat2]]&amp;" "&amp;Table122[[#This Row],[Column2]]&amp;" "&amp;Table122[[#This Row],[Column3]]&amp;" "&amp;Table122[[#This Row],[Column4]]&amp;" "&amp;Table122[[#This Row],[Column5]]&amp;" "&amp;Table122[[#This Row],[Column6]]&amp;" "&amp;Table122[[#This Row],[Column7]]</f>
        <v>Sat  Ju Me  Mo Su</v>
      </c>
      <c r="M92" s="300" t="str">
        <f aca="false">IF(Table122[[#This Row],[Sat]],Table122[[#Headers],[Sat]],"")</f>
        <v>Sat</v>
      </c>
      <c r="N92" s="300" t="str">
        <f aca="false">IF(Table122[[#This Row],[Ve]],Table122[[#Headers],[Ve]],"")</f>
        <v/>
      </c>
      <c r="O92" s="300" t="str">
        <f aca="false">IF(Table122[[#This Row],[Ju]],Table122[[#Headers],[Ju]],"")</f>
        <v>Ju</v>
      </c>
      <c r="P92" s="300" t="str">
        <f aca="false">IF(Table122[[#This Row],[Me]],Table122[[#Headers],[Me]],"")</f>
        <v>Me</v>
      </c>
      <c r="Q92" s="300" t="str">
        <f aca="false">IF(Table122[[#This Row],[Ma]],Table122[[#Headers],[Ma]],"")</f>
        <v/>
      </c>
      <c r="R92" s="300" t="str">
        <f aca="false">IF(Table122[[#This Row],[Mo]],Table122[[#Headers],[Mo]],"")</f>
        <v>Mo</v>
      </c>
      <c r="S92" s="300" t="str">
        <f aca="false">IF(Table122[[#This Row],[Su]],Table122[[#Headers],[Su]],"")</f>
        <v>Su</v>
      </c>
    </row>
    <row r="93" customFormat="false" ht="15" hidden="true" customHeight="false" outlineLevel="0" collapsed="false">
      <c r="A93" s="303" t="n">
        <v>92</v>
      </c>
      <c r="B93" s="301" t="n">
        <f aca="false">MOD(INT($A93/64),2)</f>
        <v>1</v>
      </c>
      <c r="C93" s="301" t="n">
        <f aca="false">MOD(INT($A93/32),2)</f>
        <v>0</v>
      </c>
      <c r="D93" s="301" t="n">
        <f aca="false">MOD(INT($A93/16),2)</f>
        <v>1</v>
      </c>
      <c r="E93" s="301" t="n">
        <f aca="false">MOD(INT($A93/8),2)</f>
        <v>1</v>
      </c>
      <c r="F93" s="301" t="n">
        <f aca="false">MOD(INT($A93/4),2)</f>
        <v>1</v>
      </c>
      <c r="G93" s="301" t="n">
        <f aca="false">MOD(INT($A93/2),2)</f>
        <v>0</v>
      </c>
      <c r="H93" s="301" t="n">
        <f aca="false">MOD(A93,2)</f>
        <v>0</v>
      </c>
      <c r="I93" s="304" t="n">
        <f aca="false">SUM(Table122[[#This Row],[Sat]:[Su]])</f>
        <v>4</v>
      </c>
      <c r="J93" s="300" t="s">
        <v>515</v>
      </c>
      <c r="K93" s="300" t="s">
        <v>524</v>
      </c>
      <c r="L93" s="300" t="str">
        <f aca="false">Table122[[#This Row],[Sat2]]&amp;" "&amp;Table122[[#This Row],[Column2]]&amp;" "&amp;Table122[[#This Row],[Column3]]&amp;" "&amp;Table122[[#This Row],[Column4]]&amp;" "&amp;Table122[[#This Row],[Column5]]&amp;" "&amp;Table122[[#This Row],[Column6]]&amp;" "&amp;Table122[[#This Row],[Column7]]</f>
        <v>Sat  Ju Me Ma  </v>
      </c>
      <c r="M93" s="300" t="str">
        <f aca="false">IF(Table122[[#This Row],[Sat]],Table122[[#Headers],[Sat]],"")</f>
        <v>Sat</v>
      </c>
      <c r="N93" s="300" t="str">
        <f aca="false">IF(Table122[[#This Row],[Ve]],Table122[[#Headers],[Ve]],"")</f>
        <v/>
      </c>
      <c r="O93" s="300" t="str">
        <f aca="false">IF(Table122[[#This Row],[Ju]],Table122[[#Headers],[Ju]],"")</f>
        <v>Ju</v>
      </c>
      <c r="P93" s="300" t="str">
        <f aca="false">IF(Table122[[#This Row],[Me]],Table122[[#Headers],[Me]],"")</f>
        <v>Me</v>
      </c>
      <c r="Q93" s="300" t="str">
        <f aca="false">IF(Table122[[#This Row],[Ma]],Table122[[#Headers],[Ma]],"")</f>
        <v>Ma</v>
      </c>
      <c r="R93" s="300" t="str">
        <f aca="false">IF(Table122[[#This Row],[Mo]],Table122[[#Headers],[Mo]],"")</f>
        <v/>
      </c>
      <c r="S93" s="300" t="str">
        <f aca="false">IF(Table122[[#This Row],[Su]],Table122[[#Headers],[Su]],"")</f>
        <v/>
      </c>
    </row>
    <row r="94" customFormat="false" ht="15" hidden="true" customHeight="false" outlineLevel="0" collapsed="false">
      <c r="A94" s="303" t="n">
        <v>93</v>
      </c>
      <c r="B94" s="301" t="n">
        <f aca="false">MOD(INT($A94/64),2)</f>
        <v>1</v>
      </c>
      <c r="C94" s="301" t="n">
        <f aca="false">MOD(INT($A94/32),2)</f>
        <v>0</v>
      </c>
      <c r="D94" s="301" t="n">
        <f aca="false">MOD(INT($A94/16),2)</f>
        <v>1</v>
      </c>
      <c r="E94" s="301" t="n">
        <f aca="false">MOD(INT($A94/8),2)</f>
        <v>1</v>
      </c>
      <c r="F94" s="301" t="n">
        <f aca="false">MOD(INT($A94/4),2)</f>
        <v>1</v>
      </c>
      <c r="G94" s="301" t="n">
        <f aca="false">MOD(INT($A94/2),2)</f>
        <v>0</v>
      </c>
      <c r="H94" s="301" t="n">
        <f aca="false">MOD(A94,2)</f>
        <v>1</v>
      </c>
      <c r="I94" s="304" t="n">
        <f aca="false">SUM(Table122[[#This Row],[Sat]:[Su]])</f>
        <v>5</v>
      </c>
      <c r="J94" s="300" t="s">
        <v>509</v>
      </c>
      <c r="K94" s="300" t="s">
        <v>525</v>
      </c>
      <c r="L94" s="300" t="str">
        <f aca="false">Table122[[#This Row],[Sat2]]&amp;" "&amp;Table122[[#This Row],[Column2]]&amp;" "&amp;Table122[[#This Row],[Column3]]&amp;" "&amp;Table122[[#This Row],[Column4]]&amp;" "&amp;Table122[[#This Row],[Column5]]&amp;" "&amp;Table122[[#This Row],[Column6]]&amp;" "&amp;Table122[[#This Row],[Column7]]</f>
        <v>Sat  Ju Me Ma  Su</v>
      </c>
      <c r="M94" s="300" t="str">
        <f aca="false">IF(Table122[[#This Row],[Sat]],Table122[[#Headers],[Sat]],"")</f>
        <v>Sat</v>
      </c>
      <c r="N94" s="300" t="str">
        <f aca="false">IF(Table122[[#This Row],[Ve]],Table122[[#Headers],[Ve]],"")</f>
        <v/>
      </c>
      <c r="O94" s="300" t="str">
        <f aca="false">IF(Table122[[#This Row],[Ju]],Table122[[#Headers],[Ju]],"")</f>
        <v>Ju</v>
      </c>
      <c r="P94" s="300" t="str">
        <f aca="false">IF(Table122[[#This Row],[Me]],Table122[[#Headers],[Me]],"")</f>
        <v>Me</v>
      </c>
      <c r="Q94" s="300" t="str">
        <f aca="false">IF(Table122[[#This Row],[Ma]],Table122[[#Headers],[Ma]],"")</f>
        <v>Ma</v>
      </c>
      <c r="R94" s="300" t="str">
        <f aca="false">IF(Table122[[#This Row],[Mo]],Table122[[#Headers],[Mo]],"")</f>
        <v/>
      </c>
      <c r="S94" s="300" t="str">
        <f aca="false">IF(Table122[[#This Row],[Su]],Table122[[#Headers],[Su]],"")</f>
        <v>Su</v>
      </c>
    </row>
    <row r="95" customFormat="false" ht="15" hidden="true" customHeight="false" outlineLevel="0" collapsed="false">
      <c r="A95" s="303" t="n">
        <v>94</v>
      </c>
      <c r="B95" s="301" t="n">
        <f aca="false">MOD(INT($A95/64),2)</f>
        <v>1</v>
      </c>
      <c r="C95" s="301" t="n">
        <f aca="false">MOD(INT($A95/32),2)</f>
        <v>0</v>
      </c>
      <c r="D95" s="301" t="n">
        <f aca="false">MOD(INT($A95/16),2)</f>
        <v>1</v>
      </c>
      <c r="E95" s="301" t="n">
        <f aca="false">MOD(INT($A95/8),2)</f>
        <v>1</v>
      </c>
      <c r="F95" s="301" t="n">
        <f aca="false">MOD(INT($A95/4),2)</f>
        <v>1</v>
      </c>
      <c r="G95" s="301" t="n">
        <f aca="false">MOD(INT($A95/2),2)</f>
        <v>1</v>
      </c>
      <c r="H95" s="301" t="n">
        <f aca="false">MOD(A95,2)</f>
        <v>0</v>
      </c>
      <c r="I95" s="304" t="n">
        <f aca="false">SUM(Table122[[#This Row],[Sat]:[Su]])</f>
        <v>5</v>
      </c>
      <c r="J95" s="300" t="s">
        <v>526</v>
      </c>
      <c r="K95" s="300" t="s">
        <v>527</v>
      </c>
      <c r="L95" s="300" t="str">
        <f aca="false">Table122[[#This Row],[Sat2]]&amp;" "&amp;Table122[[#This Row],[Column2]]&amp;" "&amp;Table122[[#This Row],[Column3]]&amp;" "&amp;Table122[[#This Row],[Column4]]&amp;" "&amp;Table122[[#This Row],[Column5]]&amp;" "&amp;Table122[[#This Row],[Column6]]&amp;" "&amp;Table122[[#This Row],[Column7]]</f>
        <v>Sat  Ju Me Ma Mo </v>
      </c>
      <c r="M95" s="300" t="str">
        <f aca="false">IF(Table122[[#This Row],[Sat]],Table122[[#Headers],[Sat]],"")</f>
        <v>Sat</v>
      </c>
      <c r="N95" s="300" t="str">
        <f aca="false">IF(Table122[[#This Row],[Ve]],Table122[[#Headers],[Ve]],"")</f>
        <v/>
      </c>
      <c r="O95" s="300" t="str">
        <f aca="false">IF(Table122[[#This Row],[Ju]],Table122[[#Headers],[Ju]],"")</f>
        <v>Ju</v>
      </c>
      <c r="P95" s="300" t="str">
        <f aca="false">IF(Table122[[#This Row],[Me]],Table122[[#Headers],[Me]],"")</f>
        <v>Me</v>
      </c>
      <c r="Q95" s="300" t="str">
        <f aca="false">IF(Table122[[#This Row],[Ma]],Table122[[#Headers],[Ma]],"")</f>
        <v>Ma</v>
      </c>
      <c r="R95" s="300" t="str">
        <f aca="false">IF(Table122[[#This Row],[Mo]],Table122[[#Headers],[Mo]],"")</f>
        <v>Mo</v>
      </c>
      <c r="S95" s="300" t="str">
        <f aca="false">IF(Table122[[#This Row],[Su]],Table122[[#Headers],[Su]],"")</f>
        <v/>
      </c>
    </row>
    <row r="96" customFormat="false" ht="15" hidden="true" customHeight="false" outlineLevel="0" collapsed="false">
      <c r="A96" s="303" t="n">
        <v>95</v>
      </c>
      <c r="B96" s="301" t="n">
        <f aca="false">MOD(INT($A96/64),2)</f>
        <v>1</v>
      </c>
      <c r="C96" s="301" t="n">
        <f aca="false">MOD(INT($A96/32),2)</f>
        <v>0</v>
      </c>
      <c r="D96" s="301" t="n">
        <f aca="false">MOD(INT($A96/16),2)</f>
        <v>1</v>
      </c>
      <c r="E96" s="301" t="n">
        <f aca="false">MOD(INT($A96/8),2)</f>
        <v>1</v>
      </c>
      <c r="F96" s="301" t="n">
        <f aca="false">MOD(INT($A96/4),2)</f>
        <v>1</v>
      </c>
      <c r="G96" s="301" t="n">
        <f aca="false">MOD(INT($A96/2),2)</f>
        <v>1</v>
      </c>
      <c r="H96" s="301" t="n">
        <f aca="false">MOD(A96,2)</f>
        <v>1</v>
      </c>
      <c r="I96" s="304" t="n">
        <f aca="false">SUM(Table122[[#This Row],[Sat]:[Su]])</f>
        <v>6</v>
      </c>
      <c r="J96" s="300" t="s">
        <v>528</v>
      </c>
      <c r="K96" s="300" t="s">
        <v>529</v>
      </c>
      <c r="L96" s="300" t="str">
        <f aca="false">Table122[[#This Row],[Sat2]]&amp;" "&amp;Table122[[#This Row],[Column2]]&amp;" "&amp;Table122[[#This Row],[Column3]]&amp;" "&amp;Table122[[#This Row],[Column4]]&amp;" "&amp;Table122[[#This Row],[Column5]]&amp;" "&amp;Table122[[#This Row],[Column6]]&amp;" "&amp;Table122[[#This Row],[Column7]]</f>
        <v>Sat  Ju Me Ma Mo Su</v>
      </c>
      <c r="M96" s="300" t="str">
        <f aca="false">IF(Table122[[#This Row],[Sat]],Table122[[#Headers],[Sat]],"")</f>
        <v>Sat</v>
      </c>
      <c r="N96" s="300" t="str">
        <f aca="false">IF(Table122[[#This Row],[Ve]],Table122[[#Headers],[Ve]],"")</f>
        <v/>
      </c>
      <c r="O96" s="300" t="str">
        <f aca="false">IF(Table122[[#This Row],[Ju]],Table122[[#Headers],[Ju]],"")</f>
        <v>Ju</v>
      </c>
      <c r="P96" s="300" t="str">
        <f aca="false">IF(Table122[[#This Row],[Me]],Table122[[#Headers],[Me]],"")</f>
        <v>Me</v>
      </c>
      <c r="Q96" s="300" t="str">
        <f aca="false">IF(Table122[[#This Row],[Ma]],Table122[[#Headers],[Ma]],"")</f>
        <v>Ma</v>
      </c>
      <c r="R96" s="300" t="str">
        <f aca="false">IF(Table122[[#This Row],[Mo]],Table122[[#Headers],[Mo]],"")</f>
        <v>Mo</v>
      </c>
      <c r="S96" s="300" t="str">
        <f aca="false">IF(Table122[[#This Row],[Su]],Table122[[#Headers],[Su]],"")</f>
        <v>Su</v>
      </c>
    </row>
    <row r="97" customFormat="false" ht="15" hidden="false" customHeight="false" outlineLevel="0" collapsed="false">
      <c r="A97" s="303" t="n">
        <v>96</v>
      </c>
      <c r="B97" s="301" t="n">
        <f aca="false">MOD(INT($A97/64),2)</f>
        <v>1</v>
      </c>
      <c r="C97" s="301" t="n">
        <f aca="false">MOD(INT($A97/32),2)</f>
        <v>1</v>
      </c>
      <c r="D97" s="301" t="n">
        <f aca="false">MOD(INT($A97/16),2)</f>
        <v>0</v>
      </c>
      <c r="E97" s="301" t="n">
        <f aca="false">MOD(INT($A97/8),2)</f>
        <v>0</v>
      </c>
      <c r="F97" s="301" t="n">
        <f aca="false">MOD(INT($A97/4),2)</f>
        <v>0</v>
      </c>
      <c r="G97" s="301" t="n">
        <f aca="false">MOD(INT($A97/2),2)</f>
        <v>0</v>
      </c>
      <c r="H97" s="301" t="n">
        <f aca="false">MOD(A97,2)</f>
        <v>0</v>
      </c>
      <c r="I97" s="304" t="n">
        <f aca="false">SUM(Table122[[#This Row],[Sat]:[Su]])</f>
        <v>2</v>
      </c>
      <c r="L97" s="300" t="str">
        <f aca="false">Table122[[#This Row],[Sat2]]&amp;" "&amp;Table122[[#This Row],[Column2]]&amp;" "&amp;Table122[[#This Row],[Column3]]&amp;" "&amp;Table122[[#This Row],[Column4]]&amp;" "&amp;Table122[[#This Row],[Column5]]&amp;" "&amp;Table122[[#This Row],[Column6]]&amp;" "&amp;Table122[[#This Row],[Column7]]</f>
        <v>Sat Ve     </v>
      </c>
      <c r="M97" s="300" t="str">
        <f aca="false">IF(Table122[[#This Row],[Sat]],Table122[[#Headers],[Sat]],"")</f>
        <v>Sat</v>
      </c>
      <c r="N97" s="300" t="str">
        <f aca="false">IF(Table122[[#This Row],[Ve]],Table122[[#Headers],[Ve]],"")</f>
        <v>Ve</v>
      </c>
      <c r="O97" s="300" t="str">
        <f aca="false">IF(Table122[[#This Row],[Ju]],Table122[[#Headers],[Ju]],"")</f>
        <v/>
      </c>
      <c r="P97" s="300" t="str">
        <f aca="false">IF(Table122[[#This Row],[Me]],Table122[[#Headers],[Me]],"")</f>
        <v/>
      </c>
      <c r="Q97" s="300" t="str">
        <f aca="false">IF(Table122[[#This Row],[Ma]],Table122[[#Headers],[Ma]],"")</f>
        <v/>
      </c>
      <c r="R97" s="300" t="str">
        <f aca="false">IF(Table122[[#This Row],[Mo]],Table122[[#Headers],[Mo]],"")</f>
        <v/>
      </c>
      <c r="S97" s="300" t="str">
        <f aca="false">IF(Table122[[#This Row],[Su]],Table122[[#Headers],[Su]],"")</f>
        <v/>
      </c>
    </row>
    <row r="98" customFormat="false" ht="15" hidden="true" customHeight="false" outlineLevel="0" collapsed="false">
      <c r="A98" s="303" t="n">
        <v>97</v>
      </c>
      <c r="B98" s="301" t="n">
        <f aca="false">MOD(INT($A98/64),2)</f>
        <v>1</v>
      </c>
      <c r="C98" s="301" t="n">
        <f aca="false">MOD(INT($A98/32),2)</f>
        <v>1</v>
      </c>
      <c r="D98" s="301" t="n">
        <f aca="false">MOD(INT($A98/16),2)</f>
        <v>0</v>
      </c>
      <c r="E98" s="301" t="n">
        <f aca="false">MOD(INT($A98/8),2)</f>
        <v>0</v>
      </c>
      <c r="F98" s="301" t="n">
        <f aca="false">MOD(INT($A98/4),2)</f>
        <v>0</v>
      </c>
      <c r="G98" s="301" t="n">
        <f aca="false">MOD(INT($A98/2),2)</f>
        <v>0</v>
      </c>
      <c r="H98" s="301" t="n">
        <f aca="false">MOD(A98,2)</f>
        <v>1</v>
      </c>
      <c r="I98" s="304" t="n">
        <f aca="false">SUM(Table122[[#This Row],[Sat]:[Su]])</f>
        <v>3</v>
      </c>
      <c r="L98" s="300" t="str">
        <f aca="false">Table122[[#This Row],[Sat2]]&amp;" "&amp;Table122[[#This Row],[Column2]]&amp;" "&amp;Table122[[#This Row],[Column3]]&amp;" "&amp;Table122[[#This Row],[Column4]]&amp;" "&amp;Table122[[#This Row],[Column5]]&amp;" "&amp;Table122[[#This Row],[Column6]]&amp;" "&amp;Table122[[#This Row],[Column7]]</f>
        <v>Sat Ve     Su</v>
      </c>
      <c r="M98" s="300" t="str">
        <f aca="false">IF(Table122[[#This Row],[Sat]],Table122[[#Headers],[Sat]],"")</f>
        <v>Sat</v>
      </c>
      <c r="N98" s="300" t="str">
        <f aca="false">IF(Table122[[#This Row],[Ve]],Table122[[#Headers],[Ve]],"")</f>
        <v>Ve</v>
      </c>
      <c r="O98" s="300" t="str">
        <f aca="false">IF(Table122[[#This Row],[Ju]],Table122[[#Headers],[Ju]],"")</f>
        <v/>
      </c>
      <c r="P98" s="300" t="str">
        <f aca="false">IF(Table122[[#This Row],[Me]],Table122[[#Headers],[Me]],"")</f>
        <v/>
      </c>
      <c r="Q98" s="300" t="str">
        <f aca="false">IF(Table122[[#This Row],[Ma]],Table122[[#Headers],[Ma]],"")</f>
        <v/>
      </c>
      <c r="R98" s="300" t="str">
        <f aca="false">IF(Table122[[#This Row],[Mo]],Table122[[#Headers],[Mo]],"")</f>
        <v/>
      </c>
      <c r="S98" s="300" t="str">
        <f aca="false">IF(Table122[[#This Row],[Su]],Table122[[#Headers],[Su]],"")</f>
        <v>Su</v>
      </c>
    </row>
    <row r="99" customFormat="false" ht="15" hidden="true" customHeight="false" outlineLevel="0" collapsed="false">
      <c r="A99" s="303" t="n">
        <v>98</v>
      </c>
      <c r="B99" s="301" t="n">
        <f aca="false">MOD(INT($A99/64),2)</f>
        <v>1</v>
      </c>
      <c r="C99" s="301" t="n">
        <f aca="false">MOD(INT($A99/32),2)</f>
        <v>1</v>
      </c>
      <c r="D99" s="301" t="n">
        <f aca="false">MOD(INT($A99/16),2)</f>
        <v>0</v>
      </c>
      <c r="E99" s="301" t="n">
        <f aca="false">MOD(INT($A99/8),2)</f>
        <v>0</v>
      </c>
      <c r="F99" s="301" t="n">
        <f aca="false">MOD(INT($A99/4),2)</f>
        <v>0</v>
      </c>
      <c r="G99" s="301" t="n">
        <f aca="false">MOD(INT($A99/2),2)</f>
        <v>1</v>
      </c>
      <c r="H99" s="301" t="n">
        <f aca="false">MOD(A99,2)</f>
        <v>0</v>
      </c>
      <c r="I99" s="304" t="n">
        <f aca="false">SUM(Table122[[#This Row],[Sat]:[Su]])</f>
        <v>3</v>
      </c>
      <c r="L99" s="300" t="str">
        <f aca="false">Table122[[#This Row],[Sat2]]&amp;" "&amp;Table122[[#This Row],[Column2]]&amp;" "&amp;Table122[[#This Row],[Column3]]&amp;" "&amp;Table122[[#This Row],[Column4]]&amp;" "&amp;Table122[[#This Row],[Column5]]&amp;" "&amp;Table122[[#This Row],[Column6]]&amp;" "&amp;Table122[[#This Row],[Column7]]</f>
        <v>Sat Ve    Mo </v>
      </c>
      <c r="M99" s="300" t="str">
        <f aca="false">IF(Table122[[#This Row],[Sat]],Table122[[#Headers],[Sat]],"")</f>
        <v>Sat</v>
      </c>
      <c r="N99" s="300" t="str">
        <f aca="false">IF(Table122[[#This Row],[Ve]],Table122[[#Headers],[Ve]],"")</f>
        <v>Ve</v>
      </c>
      <c r="O99" s="300" t="str">
        <f aca="false">IF(Table122[[#This Row],[Ju]],Table122[[#Headers],[Ju]],"")</f>
        <v/>
      </c>
      <c r="P99" s="300" t="str">
        <f aca="false">IF(Table122[[#This Row],[Me]],Table122[[#Headers],[Me]],"")</f>
        <v/>
      </c>
      <c r="Q99" s="300" t="str">
        <f aca="false">IF(Table122[[#This Row],[Ma]],Table122[[#Headers],[Ma]],"")</f>
        <v/>
      </c>
      <c r="R99" s="300" t="str">
        <f aca="false">IF(Table122[[#This Row],[Mo]],Table122[[#Headers],[Mo]],"")</f>
        <v>Mo</v>
      </c>
      <c r="S99" s="300" t="str">
        <f aca="false">IF(Table122[[#This Row],[Su]],Table122[[#Headers],[Su]],"")</f>
        <v/>
      </c>
    </row>
    <row r="100" customFormat="false" ht="15" hidden="true" customHeight="false" outlineLevel="0" collapsed="false">
      <c r="A100" s="303" t="n">
        <v>99</v>
      </c>
      <c r="B100" s="301" t="n">
        <f aca="false">MOD(INT($A100/64),2)</f>
        <v>1</v>
      </c>
      <c r="C100" s="301" t="n">
        <f aca="false">MOD(INT($A100/32),2)</f>
        <v>1</v>
      </c>
      <c r="D100" s="301" t="n">
        <f aca="false">MOD(INT($A100/16),2)</f>
        <v>0</v>
      </c>
      <c r="E100" s="301" t="n">
        <f aca="false">MOD(INT($A100/8),2)</f>
        <v>0</v>
      </c>
      <c r="F100" s="301" t="n">
        <f aca="false">MOD(INT($A100/4),2)</f>
        <v>0</v>
      </c>
      <c r="G100" s="301" t="n">
        <f aca="false">MOD(INT($A100/2),2)</f>
        <v>1</v>
      </c>
      <c r="H100" s="301" t="n">
        <f aca="false">MOD(A100,2)</f>
        <v>1</v>
      </c>
      <c r="I100" s="304" t="n">
        <f aca="false">SUM(Table122[[#This Row],[Sat]:[Su]])</f>
        <v>4</v>
      </c>
      <c r="J100" s="300" t="s">
        <v>495</v>
      </c>
      <c r="K100" s="300" t="s">
        <v>530</v>
      </c>
      <c r="L100" s="300" t="str">
        <f aca="false">Table122[[#This Row],[Sat2]]&amp;" "&amp;Table122[[#This Row],[Column2]]&amp;" "&amp;Table122[[#This Row],[Column3]]&amp;" "&amp;Table122[[#This Row],[Column4]]&amp;" "&amp;Table122[[#This Row],[Column5]]&amp;" "&amp;Table122[[#This Row],[Column6]]&amp;" "&amp;Table122[[#This Row],[Column7]]</f>
        <v>Sat Ve    Mo Su</v>
      </c>
      <c r="M100" s="300" t="str">
        <f aca="false">IF(Table122[[#This Row],[Sat]],Table122[[#Headers],[Sat]],"")</f>
        <v>Sat</v>
      </c>
      <c r="N100" s="300" t="str">
        <f aca="false">IF(Table122[[#This Row],[Ve]],Table122[[#Headers],[Ve]],"")</f>
        <v>Ve</v>
      </c>
      <c r="O100" s="300" t="str">
        <f aca="false">IF(Table122[[#This Row],[Ju]],Table122[[#Headers],[Ju]],"")</f>
        <v/>
      </c>
      <c r="P100" s="300" t="str">
        <f aca="false">IF(Table122[[#This Row],[Me]],Table122[[#Headers],[Me]],"")</f>
        <v/>
      </c>
      <c r="Q100" s="300" t="str">
        <f aca="false">IF(Table122[[#This Row],[Ma]],Table122[[#Headers],[Ma]],"")</f>
        <v/>
      </c>
      <c r="R100" s="300" t="str">
        <f aca="false">IF(Table122[[#This Row],[Mo]],Table122[[#Headers],[Mo]],"")</f>
        <v>Mo</v>
      </c>
      <c r="S100" s="300" t="str">
        <f aca="false">IF(Table122[[#This Row],[Su]],Table122[[#Headers],[Su]],"")</f>
        <v>Su</v>
      </c>
    </row>
    <row r="101" customFormat="false" ht="15" hidden="true" customHeight="false" outlineLevel="0" collapsed="false">
      <c r="A101" s="303" t="n">
        <v>100</v>
      </c>
      <c r="B101" s="301" t="n">
        <f aca="false">MOD(INT($A101/64),2)</f>
        <v>1</v>
      </c>
      <c r="C101" s="301" t="n">
        <f aca="false">MOD(INT($A101/32),2)</f>
        <v>1</v>
      </c>
      <c r="D101" s="301" t="n">
        <f aca="false">MOD(INT($A101/16),2)</f>
        <v>0</v>
      </c>
      <c r="E101" s="301" t="n">
        <f aca="false">MOD(INT($A101/8),2)</f>
        <v>0</v>
      </c>
      <c r="F101" s="301" t="n">
        <f aca="false">MOD(INT($A101/4),2)</f>
        <v>1</v>
      </c>
      <c r="G101" s="301" t="n">
        <f aca="false">MOD(INT($A101/2),2)</f>
        <v>0</v>
      </c>
      <c r="H101" s="301" t="n">
        <f aca="false">MOD(A101,2)</f>
        <v>0</v>
      </c>
      <c r="I101" s="304" t="n">
        <f aca="false">SUM(Table122[[#This Row],[Sat]:[Su]])</f>
        <v>3</v>
      </c>
      <c r="L101" s="300" t="str">
        <f aca="false">Table122[[#This Row],[Sat2]]&amp;" "&amp;Table122[[#This Row],[Column2]]&amp;" "&amp;Table122[[#This Row],[Column3]]&amp;" "&amp;Table122[[#This Row],[Column4]]&amp;" "&amp;Table122[[#This Row],[Column5]]&amp;" "&amp;Table122[[#This Row],[Column6]]&amp;" "&amp;Table122[[#This Row],[Column7]]</f>
        <v>Sat Ve   Ma  </v>
      </c>
      <c r="M101" s="300" t="str">
        <f aca="false">IF(Table122[[#This Row],[Sat]],Table122[[#Headers],[Sat]],"")</f>
        <v>Sat</v>
      </c>
      <c r="N101" s="300" t="str">
        <f aca="false">IF(Table122[[#This Row],[Ve]],Table122[[#Headers],[Ve]],"")</f>
        <v>Ve</v>
      </c>
      <c r="O101" s="300" t="str">
        <f aca="false">IF(Table122[[#This Row],[Ju]],Table122[[#Headers],[Ju]],"")</f>
        <v/>
      </c>
      <c r="P101" s="300" t="str">
        <f aca="false">IF(Table122[[#This Row],[Me]],Table122[[#Headers],[Me]],"")</f>
        <v/>
      </c>
      <c r="Q101" s="300" t="str">
        <f aca="false">IF(Table122[[#This Row],[Ma]],Table122[[#Headers],[Ma]],"")</f>
        <v>Ma</v>
      </c>
      <c r="R101" s="300" t="str">
        <f aca="false">IF(Table122[[#This Row],[Mo]],Table122[[#Headers],[Mo]],"")</f>
        <v/>
      </c>
      <c r="S101" s="300" t="str">
        <f aca="false">IF(Table122[[#This Row],[Su]],Table122[[#Headers],[Su]],"")</f>
        <v/>
      </c>
    </row>
    <row r="102" customFormat="false" ht="15" hidden="true" customHeight="false" outlineLevel="0" collapsed="false">
      <c r="A102" s="303" t="n">
        <v>101</v>
      </c>
      <c r="B102" s="301" t="n">
        <f aca="false">MOD(INT($A102/64),2)</f>
        <v>1</v>
      </c>
      <c r="C102" s="301" t="n">
        <f aca="false">MOD(INT($A102/32),2)</f>
        <v>1</v>
      </c>
      <c r="D102" s="301" t="n">
        <f aca="false">MOD(INT($A102/16),2)</f>
        <v>0</v>
      </c>
      <c r="E102" s="301" t="n">
        <f aca="false">MOD(INT($A102/8),2)</f>
        <v>0</v>
      </c>
      <c r="F102" s="301" t="n">
        <f aca="false">MOD(INT($A102/4),2)</f>
        <v>1</v>
      </c>
      <c r="G102" s="301" t="n">
        <f aca="false">MOD(INT($A102/2),2)</f>
        <v>0</v>
      </c>
      <c r="H102" s="301" t="n">
        <f aca="false">MOD(A102,2)</f>
        <v>1</v>
      </c>
      <c r="I102" s="304" t="n">
        <f aca="false">SUM(Table122[[#This Row],[Sat]:[Su]])</f>
        <v>4</v>
      </c>
      <c r="J102" s="300" t="s">
        <v>520</v>
      </c>
      <c r="K102" s="300" t="s">
        <v>521</v>
      </c>
      <c r="L102" s="300" t="str">
        <f aca="false">Table122[[#This Row],[Sat2]]&amp;" "&amp;Table122[[#This Row],[Column2]]&amp;" "&amp;Table122[[#This Row],[Column3]]&amp;" "&amp;Table122[[#This Row],[Column4]]&amp;" "&amp;Table122[[#This Row],[Column5]]&amp;" "&amp;Table122[[#This Row],[Column6]]&amp;" "&amp;Table122[[#This Row],[Column7]]</f>
        <v>Sat Ve   Ma  Su</v>
      </c>
      <c r="M102" s="300" t="str">
        <f aca="false">IF(Table122[[#This Row],[Sat]],Table122[[#Headers],[Sat]],"")</f>
        <v>Sat</v>
      </c>
      <c r="N102" s="300" t="str">
        <f aca="false">IF(Table122[[#This Row],[Ve]],Table122[[#Headers],[Ve]],"")</f>
        <v>Ve</v>
      </c>
      <c r="O102" s="300" t="str">
        <f aca="false">IF(Table122[[#This Row],[Ju]],Table122[[#Headers],[Ju]],"")</f>
        <v/>
      </c>
      <c r="P102" s="300" t="str">
        <f aca="false">IF(Table122[[#This Row],[Me]],Table122[[#Headers],[Me]],"")</f>
        <v/>
      </c>
      <c r="Q102" s="300" t="str">
        <f aca="false">IF(Table122[[#This Row],[Ma]],Table122[[#Headers],[Ma]],"")</f>
        <v>Ma</v>
      </c>
      <c r="R102" s="300" t="str">
        <f aca="false">IF(Table122[[#This Row],[Mo]],Table122[[#Headers],[Mo]],"")</f>
        <v/>
      </c>
      <c r="S102" s="300" t="str">
        <f aca="false">IF(Table122[[#This Row],[Su]],Table122[[#Headers],[Su]],"")</f>
        <v>Su</v>
      </c>
    </row>
    <row r="103" customFormat="false" ht="15" hidden="true" customHeight="false" outlineLevel="0" collapsed="false">
      <c r="A103" s="303" t="n">
        <v>102</v>
      </c>
      <c r="B103" s="301" t="n">
        <f aca="false">MOD(INT($A103/64),2)</f>
        <v>1</v>
      </c>
      <c r="C103" s="301" t="n">
        <f aca="false">MOD(INT($A103/32),2)</f>
        <v>1</v>
      </c>
      <c r="D103" s="301" t="n">
        <f aca="false">MOD(INT($A103/16),2)</f>
        <v>0</v>
      </c>
      <c r="E103" s="301" t="n">
        <f aca="false">MOD(INT($A103/8),2)</f>
        <v>0</v>
      </c>
      <c r="F103" s="301" t="n">
        <f aca="false">MOD(INT($A103/4),2)</f>
        <v>1</v>
      </c>
      <c r="G103" s="301" t="n">
        <f aca="false">MOD(INT($A103/2),2)</f>
        <v>1</v>
      </c>
      <c r="H103" s="301" t="n">
        <f aca="false">MOD(A103,2)</f>
        <v>0</v>
      </c>
      <c r="I103" s="304" t="n">
        <f aca="false">SUM(Table122[[#This Row],[Sat]:[Su]])</f>
        <v>4</v>
      </c>
      <c r="L103" s="300" t="str">
        <f aca="false">Table122[[#This Row],[Sat2]]&amp;" "&amp;Table122[[#This Row],[Column2]]&amp;" "&amp;Table122[[#This Row],[Column3]]&amp;" "&amp;Table122[[#This Row],[Column4]]&amp;" "&amp;Table122[[#This Row],[Column5]]&amp;" "&amp;Table122[[#This Row],[Column6]]&amp;" "&amp;Table122[[#This Row],[Column7]]</f>
        <v>Sat Ve   Ma Mo </v>
      </c>
      <c r="M103" s="300" t="str">
        <f aca="false">IF(Table122[[#This Row],[Sat]],Table122[[#Headers],[Sat]],"")</f>
        <v>Sat</v>
      </c>
      <c r="N103" s="300" t="str">
        <f aca="false">IF(Table122[[#This Row],[Ve]],Table122[[#Headers],[Ve]],"")</f>
        <v>Ve</v>
      </c>
      <c r="O103" s="300" t="str">
        <f aca="false">IF(Table122[[#This Row],[Ju]],Table122[[#Headers],[Ju]],"")</f>
        <v/>
      </c>
      <c r="P103" s="300" t="str">
        <f aca="false">IF(Table122[[#This Row],[Me]],Table122[[#Headers],[Me]],"")</f>
        <v/>
      </c>
      <c r="Q103" s="300" t="str">
        <f aca="false">IF(Table122[[#This Row],[Ma]],Table122[[#Headers],[Ma]],"")</f>
        <v>Ma</v>
      </c>
      <c r="R103" s="300" t="str">
        <f aca="false">IF(Table122[[#This Row],[Mo]],Table122[[#Headers],[Mo]],"")</f>
        <v>Mo</v>
      </c>
      <c r="S103" s="300" t="str">
        <f aca="false">IF(Table122[[#This Row],[Su]],Table122[[#Headers],[Su]],"")</f>
        <v/>
      </c>
    </row>
    <row r="104" customFormat="false" ht="15" hidden="true" customHeight="false" outlineLevel="0" collapsed="false">
      <c r="A104" s="303" t="n">
        <v>103</v>
      </c>
      <c r="B104" s="301" t="n">
        <f aca="false">MOD(INT($A104/64),2)</f>
        <v>1</v>
      </c>
      <c r="C104" s="301" t="n">
        <f aca="false">MOD(INT($A104/32),2)</f>
        <v>1</v>
      </c>
      <c r="D104" s="301" t="n">
        <f aca="false">MOD(INT($A104/16),2)</f>
        <v>0</v>
      </c>
      <c r="E104" s="301" t="n">
        <f aca="false">MOD(INT($A104/8),2)</f>
        <v>0</v>
      </c>
      <c r="F104" s="301" t="n">
        <f aca="false">MOD(INT($A104/4),2)</f>
        <v>1</v>
      </c>
      <c r="G104" s="301" t="n">
        <f aca="false">MOD(INT($A104/2),2)</f>
        <v>1</v>
      </c>
      <c r="H104" s="301" t="n">
        <f aca="false">MOD(A104,2)</f>
        <v>1</v>
      </c>
      <c r="I104" s="304" t="n">
        <f aca="false">SUM(Table122[[#This Row],[Sat]:[Su]])</f>
        <v>5</v>
      </c>
      <c r="J104" s="300" t="s">
        <v>522</v>
      </c>
      <c r="K104" s="300" t="s">
        <v>523</v>
      </c>
      <c r="L104" s="300" t="str">
        <f aca="false">Table122[[#This Row],[Sat2]]&amp;" "&amp;Table122[[#This Row],[Column2]]&amp;" "&amp;Table122[[#This Row],[Column3]]&amp;" "&amp;Table122[[#This Row],[Column4]]&amp;" "&amp;Table122[[#This Row],[Column5]]&amp;" "&amp;Table122[[#This Row],[Column6]]&amp;" "&amp;Table122[[#This Row],[Column7]]</f>
        <v>Sat Ve   Ma Mo Su</v>
      </c>
      <c r="M104" s="300" t="str">
        <f aca="false">IF(Table122[[#This Row],[Sat]],Table122[[#Headers],[Sat]],"")</f>
        <v>Sat</v>
      </c>
      <c r="N104" s="300" t="str">
        <f aca="false">IF(Table122[[#This Row],[Ve]],Table122[[#Headers],[Ve]],"")</f>
        <v>Ve</v>
      </c>
      <c r="O104" s="300" t="str">
        <f aca="false">IF(Table122[[#This Row],[Ju]],Table122[[#Headers],[Ju]],"")</f>
        <v/>
      </c>
      <c r="P104" s="300" t="str">
        <f aca="false">IF(Table122[[#This Row],[Me]],Table122[[#Headers],[Me]],"")</f>
        <v/>
      </c>
      <c r="Q104" s="300" t="str">
        <f aca="false">IF(Table122[[#This Row],[Ma]],Table122[[#Headers],[Ma]],"")</f>
        <v>Ma</v>
      </c>
      <c r="R104" s="300" t="str">
        <f aca="false">IF(Table122[[#This Row],[Mo]],Table122[[#Headers],[Mo]],"")</f>
        <v>Mo</v>
      </c>
      <c r="S104" s="300" t="str">
        <f aca="false">IF(Table122[[#This Row],[Su]],Table122[[#Headers],[Su]],"")</f>
        <v>Su</v>
      </c>
    </row>
    <row r="105" customFormat="false" ht="15" hidden="true" customHeight="false" outlineLevel="0" collapsed="false">
      <c r="A105" s="303" t="n">
        <v>104</v>
      </c>
      <c r="B105" s="301" t="n">
        <f aca="false">MOD(INT($A105/64),2)</f>
        <v>1</v>
      </c>
      <c r="C105" s="301" t="n">
        <f aca="false">MOD(INT($A105/32),2)</f>
        <v>1</v>
      </c>
      <c r="D105" s="301" t="n">
        <f aca="false">MOD(INT($A105/16),2)</f>
        <v>0</v>
      </c>
      <c r="E105" s="301" t="n">
        <f aca="false">MOD(INT($A105/8),2)</f>
        <v>1</v>
      </c>
      <c r="F105" s="301" t="n">
        <f aca="false">MOD(INT($A105/4),2)</f>
        <v>0</v>
      </c>
      <c r="G105" s="301" t="n">
        <f aca="false">MOD(INT($A105/2),2)</f>
        <v>0</v>
      </c>
      <c r="H105" s="301" t="n">
        <f aca="false">MOD(A105,2)</f>
        <v>0</v>
      </c>
      <c r="I105" s="304" t="n">
        <f aca="false">SUM(Table122[[#This Row],[Sat]:[Su]])</f>
        <v>3</v>
      </c>
      <c r="L105" s="300" t="str">
        <f aca="false">Table122[[#This Row],[Sat2]]&amp;" "&amp;Table122[[#This Row],[Column2]]&amp;" "&amp;Table122[[#This Row],[Column3]]&amp;" "&amp;Table122[[#This Row],[Column4]]&amp;" "&amp;Table122[[#This Row],[Column5]]&amp;" "&amp;Table122[[#This Row],[Column6]]&amp;" "&amp;Table122[[#This Row],[Column7]]</f>
        <v>Sat Ve  Me   </v>
      </c>
      <c r="M105" s="300" t="str">
        <f aca="false">IF(Table122[[#This Row],[Sat]],Table122[[#Headers],[Sat]],"")</f>
        <v>Sat</v>
      </c>
      <c r="N105" s="300" t="str">
        <f aca="false">IF(Table122[[#This Row],[Ve]],Table122[[#Headers],[Ve]],"")</f>
        <v>Ve</v>
      </c>
      <c r="O105" s="300" t="str">
        <f aca="false">IF(Table122[[#This Row],[Ju]],Table122[[#Headers],[Ju]],"")</f>
        <v/>
      </c>
      <c r="P105" s="300" t="str">
        <f aca="false">IF(Table122[[#This Row],[Me]],Table122[[#Headers],[Me]],"")</f>
        <v>Me</v>
      </c>
      <c r="Q105" s="300" t="str">
        <f aca="false">IF(Table122[[#This Row],[Ma]],Table122[[#Headers],[Ma]],"")</f>
        <v/>
      </c>
      <c r="R105" s="300" t="str">
        <f aca="false">IF(Table122[[#This Row],[Mo]],Table122[[#Headers],[Mo]],"")</f>
        <v/>
      </c>
      <c r="S105" s="300" t="str">
        <f aca="false">IF(Table122[[#This Row],[Su]],Table122[[#Headers],[Su]],"")</f>
        <v/>
      </c>
    </row>
    <row r="106" customFormat="false" ht="15" hidden="true" customHeight="false" outlineLevel="0" collapsed="false">
      <c r="A106" s="303" t="n">
        <v>105</v>
      </c>
      <c r="B106" s="301" t="n">
        <f aca="false">MOD(INT($A106/64),2)</f>
        <v>1</v>
      </c>
      <c r="C106" s="301" t="n">
        <f aca="false">MOD(INT($A106/32),2)</f>
        <v>1</v>
      </c>
      <c r="D106" s="301" t="n">
        <f aca="false">MOD(INT($A106/16),2)</f>
        <v>0</v>
      </c>
      <c r="E106" s="301" t="n">
        <f aca="false">MOD(INT($A106/8),2)</f>
        <v>1</v>
      </c>
      <c r="F106" s="301" t="n">
        <f aca="false">MOD(INT($A106/4),2)</f>
        <v>0</v>
      </c>
      <c r="G106" s="301" t="n">
        <f aca="false">MOD(INT($A106/2),2)</f>
        <v>0</v>
      </c>
      <c r="H106" s="301" t="n">
        <f aca="false">MOD(A106,2)</f>
        <v>1</v>
      </c>
      <c r="I106" s="304" t="n">
        <f aca="false">SUM(Table122[[#This Row],[Sat]:[Su]])</f>
        <v>4</v>
      </c>
      <c r="L106" s="300" t="str">
        <f aca="false">Table122[[#This Row],[Sat2]]&amp;" "&amp;Table122[[#This Row],[Column2]]&amp;" "&amp;Table122[[#This Row],[Column3]]&amp;" "&amp;Table122[[#This Row],[Column4]]&amp;" "&amp;Table122[[#This Row],[Column5]]&amp;" "&amp;Table122[[#This Row],[Column6]]&amp;" "&amp;Table122[[#This Row],[Column7]]</f>
        <v>Sat Ve  Me   Su</v>
      </c>
      <c r="M106" s="300" t="str">
        <f aca="false">IF(Table122[[#This Row],[Sat]],Table122[[#Headers],[Sat]],"")</f>
        <v>Sat</v>
      </c>
      <c r="N106" s="300" t="str">
        <f aca="false">IF(Table122[[#This Row],[Ve]],Table122[[#Headers],[Ve]],"")</f>
        <v>Ve</v>
      </c>
      <c r="O106" s="300" t="str">
        <f aca="false">IF(Table122[[#This Row],[Ju]],Table122[[#Headers],[Ju]],"")</f>
        <v/>
      </c>
      <c r="P106" s="300" t="str">
        <f aca="false">IF(Table122[[#This Row],[Me]],Table122[[#Headers],[Me]],"")</f>
        <v>Me</v>
      </c>
      <c r="Q106" s="300" t="str">
        <f aca="false">IF(Table122[[#This Row],[Ma]],Table122[[#Headers],[Ma]],"")</f>
        <v/>
      </c>
      <c r="R106" s="300" t="str">
        <f aca="false">IF(Table122[[#This Row],[Mo]],Table122[[#Headers],[Mo]],"")</f>
        <v/>
      </c>
      <c r="S106" s="300" t="str">
        <f aca="false">IF(Table122[[#This Row],[Su]],Table122[[#Headers],[Su]],"")</f>
        <v>Su</v>
      </c>
    </row>
    <row r="107" customFormat="false" ht="15" hidden="true" customHeight="false" outlineLevel="0" collapsed="false">
      <c r="A107" s="303" t="n">
        <v>106</v>
      </c>
      <c r="B107" s="301" t="n">
        <f aca="false">MOD(INT($A107/64),2)</f>
        <v>1</v>
      </c>
      <c r="C107" s="301" t="n">
        <f aca="false">MOD(INT($A107/32),2)</f>
        <v>1</v>
      </c>
      <c r="D107" s="301" t="n">
        <f aca="false">MOD(INT($A107/16),2)</f>
        <v>0</v>
      </c>
      <c r="E107" s="301" t="n">
        <f aca="false">MOD(INT($A107/8),2)</f>
        <v>1</v>
      </c>
      <c r="F107" s="301" t="n">
        <f aca="false">MOD(INT($A107/4),2)</f>
        <v>0</v>
      </c>
      <c r="G107" s="301" t="n">
        <f aca="false">MOD(INT($A107/2),2)</f>
        <v>1</v>
      </c>
      <c r="H107" s="301" t="n">
        <f aca="false">MOD(A107,2)</f>
        <v>0</v>
      </c>
      <c r="I107" s="304" t="n">
        <f aca="false">SUM(Table122[[#This Row],[Sat]:[Su]])</f>
        <v>4</v>
      </c>
      <c r="L107" s="300" t="str">
        <f aca="false">Table122[[#This Row],[Sat2]]&amp;" "&amp;Table122[[#This Row],[Column2]]&amp;" "&amp;Table122[[#This Row],[Column3]]&amp;" "&amp;Table122[[#This Row],[Column4]]&amp;" "&amp;Table122[[#This Row],[Column5]]&amp;" "&amp;Table122[[#This Row],[Column6]]&amp;" "&amp;Table122[[#This Row],[Column7]]</f>
        <v>Sat Ve  Me  Mo </v>
      </c>
      <c r="M107" s="300" t="str">
        <f aca="false">IF(Table122[[#This Row],[Sat]],Table122[[#Headers],[Sat]],"")</f>
        <v>Sat</v>
      </c>
      <c r="N107" s="300" t="str">
        <f aca="false">IF(Table122[[#This Row],[Ve]],Table122[[#Headers],[Ve]],"")</f>
        <v>Ve</v>
      </c>
      <c r="O107" s="300" t="str">
        <f aca="false">IF(Table122[[#This Row],[Ju]],Table122[[#Headers],[Ju]],"")</f>
        <v/>
      </c>
      <c r="P107" s="300" t="str">
        <f aca="false">IF(Table122[[#This Row],[Me]],Table122[[#Headers],[Me]],"")</f>
        <v>Me</v>
      </c>
      <c r="Q107" s="300" t="str">
        <f aca="false">IF(Table122[[#This Row],[Ma]],Table122[[#Headers],[Ma]],"")</f>
        <v/>
      </c>
      <c r="R107" s="300" t="str">
        <f aca="false">IF(Table122[[#This Row],[Mo]],Table122[[#Headers],[Mo]],"")</f>
        <v>Mo</v>
      </c>
      <c r="S107" s="300" t="str">
        <f aca="false">IF(Table122[[#This Row],[Su]],Table122[[#Headers],[Su]],"")</f>
        <v/>
      </c>
    </row>
    <row r="108" customFormat="false" ht="15" hidden="true" customHeight="false" outlineLevel="0" collapsed="false">
      <c r="A108" s="303" t="n">
        <v>107</v>
      </c>
      <c r="B108" s="301" t="n">
        <f aca="false">MOD(INT($A108/64),2)</f>
        <v>1</v>
      </c>
      <c r="C108" s="301" t="n">
        <f aca="false">MOD(INT($A108/32),2)</f>
        <v>1</v>
      </c>
      <c r="D108" s="301" t="n">
        <f aca="false">MOD(INT($A108/16),2)</f>
        <v>0</v>
      </c>
      <c r="E108" s="301" t="n">
        <f aca="false">MOD(INT($A108/8),2)</f>
        <v>1</v>
      </c>
      <c r="F108" s="301" t="n">
        <f aca="false">MOD(INT($A108/4),2)</f>
        <v>0</v>
      </c>
      <c r="G108" s="301" t="n">
        <f aca="false">MOD(INT($A108/2),2)</f>
        <v>1</v>
      </c>
      <c r="H108" s="301" t="n">
        <f aca="false">MOD(A108,2)</f>
        <v>1</v>
      </c>
      <c r="I108" s="304" t="n">
        <f aca="false">SUM(Table122[[#This Row],[Sat]:[Su]])</f>
        <v>5</v>
      </c>
      <c r="L108" s="300" t="str">
        <f aca="false">Table122[[#This Row],[Sat2]]&amp;" "&amp;Table122[[#This Row],[Column2]]&amp;" "&amp;Table122[[#This Row],[Column3]]&amp;" "&amp;Table122[[#This Row],[Column4]]&amp;" "&amp;Table122[[#This Row],[Column5]]&amp;" "&amp;Table122[[#This Row],[Column6]]&amp;" "&amp;Table122[[#This Row],[Column7]]</f>
        <v>Sat Ve  Me  Mo Su</v>
      </c>
      <c r="M108" s="300" t="str">
        <f aca="false">IF(Table122[[#This Row],[Sat]],Table122[[#Headers],[Sat]],"")</f>
        <v>Sat</v>
      </c>
      <c r="N108" s="300" t="str">
        <f aca="false">IF(Table122[[#This Row],[Ve]],Table122[[#Headers],[Ve]],"")</f>
        <v>Ve</v>
      </c>
      <c r="O108" s="300" t="str">
        <f aca="false">IF(Table122[[#This Row],[Ju]],Table122[[#Headers],[Ju]],"")</f>
        <v/>
      </c>
      <c r="P108" s="300" t="str">
        <f aca="false">IF(Table122[[#This Row],[Me]],Table122[[#Headers],[Me]],"")</f>
        <v>Me</v>
      </c>
      <c r="Q108" s="300" t="str">
        <f aca="false">IF(Table122[[#This Row],[Ma]],Table122[[#Headers],[Ma]],"")</f>
        <v/>
      </c>
      <c r="R108" s="300" t="str">
        <f aca="false">IF(Table122[[#This Row],[Mo]],Table122[[#Headers],[Mo]],"")</f>
        <v>Mo</v>
      </c>
      <c r="S108" s="300" t="str">
        <f aca="false">IF(Table122[[#This Row],[Su]],Table122[[#Headers],[Su]],"")</f>
        <v>Su</v>
      </c>
    </row>
    <row r="109" customFormat="false" ht="15" hidden="true" customHeight="false" outlineLevel="0" collapsed="false">
      <c r="A109" s="303" t="n">
        <v>108</v>
      </c>
      <c r="B109" s="301" t="n">
        <f aca="false">MOD(INT($A109/64),2)</f>
        <v>1</v>
      </c>
      <c r="C109" s="301" t="n">
        <f aca="false">MOD(INT($A109/32),2)</f>
        <v>1</v>
      </c>
      <c r="D109" s="301" t="n">
        <f aca="false">MOD(INT($A109/16),2)</f>
        <v>0</v>
      </c>
      <c r="E109" s="301" t="n">
        <f aca="false">MOD(INT($A109/8),2)</f>
        <v>1</v>
      </c>
      <c r="F109" s="301" t="n">
        <f aca="false">MOD(INT($A109/4),2)</f>
        <v>1</v>
      </c>
      <c r="G109" s="301" t="n">
        <f aca="false">MOD(INT($A109/2),2)</f>
        <v>0</v>
      </c>
      <c r="H109" s="301" t="n">
        <f aca="false">MOD(A109,2)</f>
        <v>0</v>
      </c>
      <c r="I109" s="304" t="n">
        <f aca="false">SUM(Table122[[#This Row],[Sat]:[Su]])</f>
        <v>4</v>
      </c>
      <c r="J109" s="300" t="s">
        <v>504</v>
      </c>
      <c r="K109" s="300" t="s">
        <v>531</v>
      </c>
      <c r="L109" s="300" t="str">
        <f aca="false">Table122[[#This Row],[Sat2]]&amp;" "&amp;Table122[[#This Row],[Column2]]&amp;" "&amp;Table122[[#This Row],[Column3]]&amp;" "&amp;Table122[[#This Row],[Column4]]&amp;" "&amp;Table122[[#This Row],[Column5]]&amp;" "&amp;Table122[[#This Row],[Column6]]&amp;" "&amp;Table122[[#This Row],[Column7]]</f>
        <v>Sat Ve  Me Ma  </v>
      </c>
      <c r="M109" s="300" t="str">
        <f aca="false">IF(Table122[[#This Row],[Sat]],Table122[[#Headers],[Sat]],"")</f>
        <v>Sat</v>
      </c>
      <c r="N109" s="300" t="str">
        <f aca="false">IF(Table122[[#This Row],[Ve]],Table122[[#Headers],[Ve]],"")</f>
        <v>Ve</v>
      </c>
      <c r="O109" s="300" t="str">
        <f aca="false">IF(Table122[[#This Row],[Ju]],Table122[[#Headers],[Ju]],"")</f>
        <v/>
      </c>
      <c r="P109" s="300" t="str">
        <f aca="false">IF(Table122[[#This Row],[Me]],Table122[[#Headers],[Me]],"")</f>
        <v>Me</v>
      </c>
      <c r="Q109" s="300" t="str">
        <f aca="false">IF(Table122[[#This Row],[Ma]],Table122[[#Headers],[Ma]],"")</f>
        <v>Ma</v>
      </c>
      <c r="R109" s="300" t="str">
        <f aca="false">IF(Table122[[#This Row],[Mo]],Table122[[#Headers],[Mo]],"")</f>
        <v/>
      </c>
      <c r="S109" s="300" t="str">
        <f aca="false">IF(Table122[[#This Row],[Su]],Table122[[#Headers],[Su]],"")</f>
        <v/>
      </c>
    </row>
    <row r="110" customFormat="false" ht="15" hidden="true" customHeight="false" outlineLevel="0" collapsed="false">
      <c r="A110" s="303" t="n">
        <v>109</v>
      </c>
      <c r="B110" s="301" t="n">
        <f aca="false">MOD(INT($A110/64),2)</f>
        <v>1</v>
      </c>
      <c r="C110" s="301" t="n">
        <f aca="false">MOD(INT($A110/32),2)</f>
        <v>1</v>
      </c>
      <c r="D110" s="301" t="n">
        <f aca="false">MOD(INT($A110/16),2)</f>
        <v>0</v>
      </c>
      <c r="E110" s="301" t="n">
        <f aca="false">MOD(INT($A110/8),2)</f>
        <v>1</v>
      </c>
      <c r="F110" s="301" t="n">
        <f aca="false">MOD(INT($A110/4),2)</f>
        <v>1</v>
      </c>
      <c r="G110" s="301" t="n">
        <f aca="false">MOD(INT($A110/2),2)</f>
        <v>0</v>
      </c>
      <c r="H110" s="301" t="n">
        <f aca="false">MOD(A110,2)</f>
        <v>1</v>
      </c>
      <c r="I110" s="304" t="n">
        <f aca="false">SUM(Table122[[#This Row],[Sat]:[Su]])</f>
        <v>5</v>
      </c>
      <c r="J110" s="300" t="s">
        <v>522</v>
      </c>
      <c r="K110" s="300" t="s">
        <v>523</v>
      </c>
      <c r="L110" s="300" t="str">
        <f aca="false">Table122[[#This Row],[Sat2]]&amp;" "&amp;Table122[[#This Row],[Column2]]&amp;" "&amp;Table122[[#This Row],[Column3]]&amp;" "&amp;Table122[[#This Row],[Column4]]&amp;" "&amp;Table122[[#This Row],[Column5]]&amp;" "&amp;Table122[[#This Row],[Column6]]&amp;" "&amp;Table122[[#This Row],[Column7]]</f>
        <v>Sat Ve  Me Ma  Su</v>
      </c>
      <c r="M110" s="300" t="str">
        <f aca="false">IF(Table122[[#This Row],[Sat]],Table122[[#Headers],[Sat]],"")</f>
        <v>Sat</v>
      </c>
      <c r="N110" s="300" t="str">
        <f aca="false">IF(Table122[[#This Row],[Ve]],Table122[[#Headers],[Ve]],"")</f>
        <v>Ve</v>
      </c>
      <c r="O110" s="300" t="str">
        <f aca="false">IF(Table122[[#This Row],[Ju]],Table122[[#Headers],[Ju]],"")</f>
        <v/>
      </c>
      <c r="P110" s="300" t="str">
        <f aca="false">IF(Table122[[#This Row],[Me]],Table122[[#Headers],[Me]],"")</f>
        <v>Me</v>
      </c>
      <c r="Q110" s="300" t="str">
        <f aca="false">IF(Table122[[#This Row],[Ma]],Table122[[#Headers],[Ma]],"")</f>
        <v>Ma</v>
      </c>
      <c r="R110" s="300" t="str">
        <f aca="false">IF(Table122[[#This Row],[Mo]],Table122[[#Headers],[Mo]],"")</f>
        <v/>
      </c>
      <c r="S110" s="300" t="str">
        <f aca="false">IF(Table122[[#This Row],[Su]],Table122[[#Headers],[Su]],"")</f>
        <v>Su</v>
      </c>
    </row>
    <row r="111" customFormat="false" ht="15" hidden="true" customHeight="false" outlineLevel="0" collapsed="false">
      <c r="A111" s="303" t="n">
        <v>110</v>
      </c>
      <c r="B111" s="301" t="n">
        <f aca="false">MOD(INT($A111/64),2)</f>
        <v>1</v>
      </c>
      <c r="C111" s="301" t="n">
        <f aca="false">MOD(INT($A111/32),2)</f>
        <v>1</v>
      </c>
      <c r="D111" s="301" t="n">
        <f aca="false">MOD(INT($A111/16),2)</f>
        <v>0</v>
      </c>
      <c r="E111" s="301" t="n">
        <f aca="false">MOD(INT($A111/8),2)</f>
        <v>1</v>
      </c>
      <c r="F111" s="301" t="n">
        <f aca="false">MOD(INT($A111/4),2)</f>
        <v>1</v>
      </c>
      <c r="G111" s="301" t="n">
        <f aca="false">MOD(INT($A111/2),2)</f>
        <v>1</v>
      </c>
      <c r="H111" s="301" t="n">
        <f aca="false">MOD(A111,2)</f>
        <v>0</v>
      </c>
      <c r="I111" s="304" t="n">
        <f aca="false">SUM(Table122[[#This Row],[Sat]:[Su]])</f>
        <v>5</v>
      </c>
      <c r="J111" s="300" t="s">
        <v>526</v>
      </c>
      <c r="K111" s="300" t="s">
        <v>527</v>
      </c>
      <c r="L111" s="300" t="str">
        <f aca="false">Table122[[#This Row],[Sat2]]&amp;" "&amp;Table122[[#This Row],[Column2]]&amp;" "&amp;Table122[[#This Row],[Column3]]&amp;" "&amp;Table122[[#This Row],[Column4]]&amp;" "&amp;Table122[[#This Row],[Column5]]&amp;" "&amp;Table122[[#This Row],[Column6]]&amp;" "&amp;Table122[[#This Row],[Column7]]</f>
        <v>Sat Ve  Me Ma Mo </v>
      </c>
      <c r="M111" s="300" t="str">
        <f aca="false">IF(Table122[[#This Row],[Sat]],Table122[[#Headers],[Sat]],"")</f>
        <v>Sat</v>
      </c>
      <c r="N111" s="300" t="str">
        <f aca="false">IF(Table122[[#This Row],[Ve]],Table122[[#Headers],[Ve]],"")</f>
        <v>Ve</v>
      </c>
      <c r="O111" s="300" t="str">
        <f aca="false">IF(Table122[[#This Row],[Ju]],Table122[[#Headers],[Ju]],"")</f>
        <v/>
      </c>
      <c r="P111" s="300" t="str">
        <f aca="false">IF(Table122[[#This Row],[Me]],Table122[[#Headers],[Me]],"")</f>
        <v>Me</v>
      </c>
      <c r="Q111" s="300" t="str">
        <f aca="false">IF(Table122[[#This Row],[Ma]],Table122[[#Headers],[Ma]],"")</f>
        <v>Ma</v>
      </c>
      <c r="R111" s="300" t="str">
        <f aca="false">IF(Table122[[#This Row],[Mo]],Table122[[#Headers],[Mo]],"")</f>
        <v>Mo</v>
      </c>
      <c r="S111" s="300" t="str">
        <f aca="false">IF(Table122[[#This Row],[Su]],Table122[[#Headers],[Su]],"")</f>
        <v/>
      </c>
    </row>
    <row r="112" customFormat="false" ht="15" hidden="true" customHeight="false" outlineLevel="0" collapsed="false">
      <c r="A112" s="303" t="n">
        <v>111</v>
      </c>
      <c r="B112" s="301" t="n">
        <f aca="false">MOD(INT($A112/64),2)</f>
        <v>1</v>
      </c>
      <c r="C112" s="301" t="n">
        <f aca="false">MOD(INT($A112/32),2)</f>
        <v>1</v>
      </c>
      <c r="D112" s="301" t="n">
        <f aca="false">MOD(INT($A112/16),2)</f>
        <v>0</v>
      </c>
      <c r="E112" s="301" t="n">
        <f aca="false">MOD(INT($A112/8),2)</f>
        <v>1</v>
      </c>
      <c r="F112" s="301" t="n">
        <f aca="false">MOD(INT($A112/4),2)</f>
        <v>1</v>
      </c>
      <c r="G112" s="301" t="n">
        <f aca="false">MOD(INT($A112/2),2)</f>
        <v>1</v>
      </c>
      <c r="H112" s="301" t="n">
        <f aca="false">MOD(A112,2)</f>
        <v>1</v>
      </c>
      <c r="I112" s="304" t="n">
        <f aca="false">SUM(Table122[[#This Row],[Sat]:[Su]])</f>
        <v>6</v>
      </c>
      <c r="J112" s="300" t="s">
        <v>528</v>
      </c>
      <c r="K112" s="300" t="s">
        <v>532</v>
      </c>
      <c r="L112" s="300" t="str">
        <f aca="false">Table122[[#This Row],[Sat2]]&amp;" "&amp;Table122[[#This Row],[Column2]]&amp;" "&amp;Table122[[#This Row],[Column3]]&amp;" "&amp;Table122[[#This Row],[Column4]]&amp;" "&amp;Table122[[#This Row],[Column5]]&amp;" "&amp;Table122[[#This Row],[Column6]]&amp;" "&amp;Table122[[#This Row],[Column7]]</f>
        <v>Sat Ve  Me Ma Mo Su</v>
      </c>
      <c r="M112" s="300" t="str">
        <f aca="false">IF(Table122[[#This Row],[Sat]],Table122[[#Headers],[Sat]],"")</f>
        <v>Sat</v>
      </c>
      <c r="N112" s="300" t="str">
        <f aca="false">IF(Table122[[#This Row],[Ve]],Table122[[#Headers],[Ve]],"")</f>
        <v>Ve</v>
      </c>
      <c r="O112" s="300" t="str">
        <f aca="false">IF(Table122[[#This Row],[Ju]],Table122[[#Headers],[Ju]],"")</f>
        <v/>
      </c>
      <c r="P112" s="300" t="str">
        <f aca="false">IF(Table122[[#This Row],[Me]],Table122[[#Headers],[Me]],"")</f>
        <v>Me</v>
      </c>
      <c r="Q112" s="300" t="str">
        <f aca="false">IF(Table122[[#This Row],[Ma]],Table122[[#Headers],[Ma]],"")</f>
        <v>Ma</v>
      </c>
      <c r="R112" s="300" t="str">
        <f aca="false">IF(Table122[[#This Row],[Mo]],Table122[[#Headers],[Mo]],"")</f>
        <v>Mo</v>
      </c>
      <c r="S112" s="300" t="str">
        <f aca="false">IF(Table122[[#This Row],[Su]],Table122[[#Headers],[Su]],"")</f>
        <v>Su</v>
      </c>
    </row>
    <row r="113" customFormat="false" ht="15" hidden="true" customHeight="false" outlineLevel="0" collapsed="false">
      <c r="A113" s="303" t="n">
        <v>112</v>
      </c>
      <c r="B113" s="301" t="n">
        <f aca="false">MOD(INT($A113/64),2)</f>
        <v>1</v>
      </c>
      <c r="C113" s="301" t="n">
        <f aca="false">MOD(INT($A113/32),2)</f>
        <v>1</v>
      </c>
      <c r="D113" s="301" t="n">
        <f aca="false">MOD(INT($A113/16),2)</f>
        <v>1</v>
      </c>
      <c r="E113" s="301" t="n">
        <f aca="false">MOD(INT($A113/8),2)</f>
        <v>0</v>
      </c>
      <c r="F113" s="301" t="n">
        <f aca="false">MOD(INT($A113/4),2)</f>
        <v>0</v>
      </c>
      <c r="G113" s="301" t="n">
        <f aca="false">MOD(INT($A113/2),2)</f>
        <v>0</v>
      </c>
      <c r="H113" s="301" t="n">
        <f aca="false">MOD(A113,2)</f>
        <v>0</v>
      </c>
      <c r="I113" s="304" t="n">
        <f aca="false">SUM(Table122[[#This Row],[Sat]:[Su]])</f>
        <v>3</v>
      </c>
      <c r="L113" s="300" t="str">
        <f aca="false">Table122[[#This Row],[Sat2]]&amp;" "&amp;Table122[[#This Row],[Column2]]&amp;" "&amp;Table122[[#This Row],[Column3]]&amp;" "&amp;Table122[[#This Row],[Column4]]&amp;" "&amp;Table122[[#This Row],[Column5]]&amp;" "&amp;Table122[[#This Row],[Column6]]&amp;" "&amp;Table122[[#This Row],[Column7]]</f>
        <v>Sat Ve Ju    </v>
      </c>
      <c r="M113" s="300" t="str">
        <f aca="false">IF(Table122[[#This Row],[Sat]],Table122[[#Headers],[Sat]],"")</f>
        <v>Sat</v>
      </c>
      <c r="N113" s="300" t="str">
        <f aca="false">IF(Table122[[#This Row],[Ve]],Table122[[#Headers],[Ve]],"")</f>
        <v>Ve</v>
      </c>
      <c r="O113" s="300" t="str">
        <f aca="false">IF(Table122[[#This Row],[Ju]],Table122[[#Headers],[Ju]],"")</f>
        <v>Ju</v>
      </c>
      <c r="P113" s="300" t="str">
        <f aca="false">IF(Table122[[#This Row],[Me]],Table122[[#Headers],[Me]],"")</f>
        <v/>
      </c>
      <c r="Q113" s="300" t="str">
        <f aca="false">IF(Table122[[#This Row],[Ma]],Table122[[#Headers],[Ma]],"")</f>
        <v/>
      </c>
      <c r="R113" s="300" t="str">
        <f aca="false">IF(Table122[[#This Row],[Mo]],Table122[[#Headers],[Mo]],"")</f>
        <v/>
      </c>
      <c r="S113" s="300" t="str">
        <f aca="false">IF(Table122[[#This Row],[Su]],Table122[[#Headers],[Su]],"")</f>
        <v/>
      </c>
    </row>
    <row r="114" customFormat="false" ht="15" hidden="true" customHeight="false" outlineLevel="0" collapsed="false">
      <c r="A114" s="303" t="n">
        <v>113</v>
      </c>
      <c r="B114" s="301" t="n">
        <f aca="false">MOD(INT($A114/64),2)</f>
        <v>1</v>
      </c>
      <c r="C114" s="301" t="n">
        <f aca="false">MOD(INT($A114/32),2)</f>
        <v>1</v>
      </c>
      <c r="D114" s="301" t="n">
        <f aca="false">MOD(INT($A114/16),2)</f>
        <v>1</v>
      </c>
      <c r="E114" s="301" t="n">
        <f aca="false">MOD(INT($A114/8),2)</f>
        <v>0</v>
      </c>
      <c r="F114" s="301" t="n">
        <f aca="false">MOD(INT($A114/4),2)</f>
        <v>0</v>
      </c>
      <c r="G114" s="301" t="n">
        <f aca="false">MOD(INT($A114/2),2)</f>
        <v>0</v>
      </c>
      <c r="H114" s="301" t="n">
        <f aca="false">MOD(A114,2)</f>
        <v>1</v>
      </c>
      <c r="I114" s="304" t="n">
        <f aca="false">SUM(Table122[[#This Row],[Sat]:[Su]])</f>
        <v>4</v>
      </c>
      <c r="J114" s="300" t="s">
        <v>490</v>
      </c>
      <c r="K114" s="300" t="s">
        <v>533</v>
      </c>
      <c r="L114" s="300" t="str">
        <f aca="false">Table122[[#This Row],[Sat2]]&amp;" "&amp;Table122[[#This Row],[Column2]]&amp;" "&amp;Table122[[#This Row],[Column3]]&amp;" "&amp;Table122[[#This Row],[Column4]]&amp;" "&amp;Table122[[#This Row],[Column5]]&amp;" "&amp;Table122[[#This Row],[Column6]]&amp;" "&amp;Table122[[#This Row],[Column7]]</f>
        <v>Sat Ve Ju    Su</v>
      </c>
      <c r="M114" s="300" t="str">
        <f aca="false">IF(Table122[[#This Row],[Sat]],Table122[[#Headers],[Sat]],"")</f>
        <v>Sat</v>
      </c>
      <c r="N114" s="300" t="str">
        <f aca="false">IF(Table122[[#This Row],[Ve]],Table122[[#Headers],[Ve]],"")</f>
        <v>Ve</v>
      </c>
      <c r="O114" s="300" t="str">
        <f aca="false">IF(Table122[[#This Row],[Ju]],Table122[[#Headers],[Ju]],"")</f>
        <v>Ju</v>
      </c>
      <c r="P114" s="300" t="str">
        <f aca="false">IF(Table122[[#This Row],[Me]],Table122[[#Headers],[Me]],"")</f>
        <v/>
      </c>
      <c r="Q114" s="300" t="str">
        <f aca="false">IF(Table122[[#This Row],[Ma]],Table122[[#Headers],[Ma]],"")</f>
        <v/>
      </c>
      <c r="R114" s="300" t="str">
        <f aca="false">IF(Table122[[#This Row],[Mo]],Table122[[#Headers],[Mo]],"")</f>
        <v/>
      </c>
      <c r="S114" s="300" t="str">
        <f aca="false">IF(Table122[[#This Row],[Su]],Table122[[#Headers],[Su]],"")</f>
        <v>Su</v>
      </c>
    </row>
    <row r="115" customFormat="false" ht="15" hidden="true" customHeight="false" outlineLevel="0" collapsed="false">
      <c r="A115" s="303" t="n">
        <v>114</v>
      </c>
      <c r="B115" s="301" t="n">
        <f aca="false">MOD(INT($A115/64),2)</f>
        <v>1</v>
      </c>
      <c r="C115" s="301" t="n">
        <f aca="false">MOD(INT($A115/32),2)</f>
        <v>1</v>
      </c>
      <c r="D115" s="301" t="n">
        <f aca="false">MOD(INT($A115/16),2)</f>
        <v>1</v>
      </c>
      <c r="E115" s="301" t="n">
        <f aca="false">MOD(INT($A115/8),2)</f>
        <v>0</v>
      </c>
      <c r="F115" s="301" t="n">
        <f aca="false">MOD(INT($A115/4),2)</f>
        <v>0</v>
      </c>
      <c r="G115" s="301" t="n">
        <f aca="false">MOD(INT($A115/2),2)</f>
        <v>1</v>
      </c>
      <c r="H115" s="301" t="n">
        <f aca="false">MOD(A115,2)</f>
        <v>0</v>
      </c>
      <c r="I115" s="304" t="n">
        <f aca="false">SUM(Table122[[#This Row],[Sat]:[Su]])</f>
        <v>4</v>
      </c>
      <c r="J115" s="300" t="s">
        <v>534</v>
      </c>
      <c r="K115" s="300" t="s">
        <v>535</v>
      </c>
      <c r="L115" s="300" t="str">
        <f aca="false">Table122[[#This Row],[Sat2]]&amp;" "&amp;Table122[[#This Row],[Column2]]&amp;" "&amp;Table122[[#This Row],[Column3]]&amp;" "&amp;Table122[[#This Row],[Column4]]&amp;" "&amp;Table122[[#This Row],[Column5]]&amp;" "&amp;Table122[[#This Row],[Column6]]&amp;" "&amp;Table122[[#This Row],[Column7]]</f>
        <v>Sat Ve Ju   Mo </v>
      </c>
      <c r="M115" s="300" t="str">
        <f aca="false">IF(Table122[[#This Row],[Sat]],Table122[[#Headers],[Sat]],"")</f>
        <v>Sat</v>
      </c>
      <c r="N115" s="300" t="str">
        <f aca="false">IF(Table122[[#This Row],[Ve]],Table122[[#Headers],[Ve]],"")</f>
        <v>Ve</v>
      </c>
      <c r="O115" s="300" t="str">
        <f aca="false">IF(Table122[[#This Row],[Ju]],Table122[[#Headers],[Ju]],"")</f>
        <v>Ju</v>
      </c>
      <c r="P115" s="300" t="str">
        <f aca="false">IF(Table122[[#This Row],[Me]],Table122[[#Headers],[Me]],"")</f>
        <v/>
      </c>
      <c r="Q115" s="300" t="str">
        <f aca="false">IF(Table122[[#This Row],[Ma]],Table122[[#Headers],[Ma]],"")</f>
        <v/>
      </c>
      <c r="R115" s="300" t="str">
        <f aca="false">IF(Table122[[#This Row],[Mo]],Table122[[#Headers],[Mo]],"")</f>
        <v>Mo</v>
      </c>
      <c r="S115" s="300" t="str">
        <f aca="false">IF(Table122[[#This Row],[Su]],Table122[[#Headers],[Su]],"")</f>
        <v/>
      </c>
    </row>
    <row r="116" customFormat="false" ht="15" hidden="true" customHeight="false" outlineLevel="0" collapsed="false">
      <c r="A116" s="303" t="n">
        <v>115</v>
      </c>
      <c r="B116" s="301" t="n">
        <f aca="false">MOD(INT($A116/64),2)</f>
        <v>1</v>
      </c>
      <c r="C116" s="301" t="n">
        <f aca="false">MOD(INT($A116/32),2)</f>
        <v>1</v>
      </c>
      <c r="D116" s="301" t="n">
        <f aca="false">MOD(INT($A116/16),2)</f>
        <v>1</v>
      </c>
      <c r="E116" s="301" t="n">
        <f aca="false">MOD(INT($A116/8),2)</f>
        <v>0</v>
      </c>
      <c r="F116" s="301" t="n">
        <f aca="false">MOD(INT($A116/4),2)</f>
        <v>0</v>
      </c>
      <c r="G116" s="301" t="n">
        <f aca="false">MOD(INT($A116/2),2)</f>
        <v>1</v>
      </c>
      <c r="H116" s="301" t="n">
        <f aca="false">MOD(A116,2)</f>
        <v>1</v>
      </c>
      <c r="I116" s="304" t="n">
        <f aca="false">SUM(Table122[[#This Row],[Sat]:[Su]])</f>
        <v>5</v>
      </c>
      <c r="L116" s="300" t="str">
        <f aca="false">Table122[[#This Row],[Sat2]]&amp;" "&amp;Table122[[#This Row],[Column2]]&amp;" "&amp;Table122[[#This Row],[Column3]]&amp;" "&amp;Table122[[#This Row],[Column4]]&amp;" "&amp;Table122[[#This Row],[Column5]]&amp;" "&amp;Table122[[#This Row],[Column6]]&amp;" "&amp;Table122[[#This Row],[Column7]]</f>
        <v>Sat Ve Ju   Mo Su</v>
      </c>
      <c r="M116" s="300" t="str">
        <f aca="false">IF(Table122[[#This Row],[Sat]],Table122[[#Headers],[Sat]],"")</f>
        <v>Sat</v>
      </c>
      <c r="N116" s="300" t="str">
        <f aca="false">IF(Table122[[#This Row],[Ve]],Table122[[#Headers],[Ve]],"")</f>
        <v>Ve</v>
      </c>
      <c r="O116" s="300" t="str">
        <f aca="false">IF(Table122[[#This Row],[Ju]],Table122[[#Headers],[Ju]],"")</f>
        <v>Ju</v>
      </c>
      <c r="P116" s="300" t="str">
        <f aca="false">IF(Table122[[#This Row],[Me]],Table122[[#Headers],[Me]],"")</f>
        <v/>
      </c>
      <c r="Q116" s="300" t="str">
        <f aca="false">IF(Table122[[#This Row],[Ma]],Table122[[#Headers],[Ma]],"")</f>
        <v/>
      </c>
      <c r="R116" s="300" t="str">
        <f aca="false">IF(Table122[[#This Row],[Mo]],Table122[[#Headers],[Mo]],"")</f>
        <v>Mo</v>
      </c>
      <c r="S116" s="300" t="str">
        <f aca="false">IF(Table122[[#This Row],[Su]],Table122[[#Headers],[Su]],"")</f>
        <v>Su</v>
      </c>
    </row>
    <row r="117" customFormat="false" ht="15" hidden="true" customHeight="false" outlineLevel="0" collapsed="false">
      <c r="A117" s="303" t="n">
        <v>116</v>
      </c>
      <c r="B117" s="301" t="n">
        <f aca="false">MOD(INT($A117/64),2)</f>
        <v>1</v>
      </c>
      <c r="C117" s="301" t="n">
        <f aca="false">MOD(INT($A117/32),2)</f>
        <v>1</v>
      </c>
      <c r="D117" s="301" t="n">
        <f aca="false">MOD(INT($A117/16),2)</f>
        <v>1</v>
      </c>
      <c r="E117" s="301" t="n">
        <f aca="false">MOD(INT($A117/8),2)</f>
        <v>0</v>
      </c>
      <c r="F117" s="301" t="n">
        <f aca="false">MOD(INT($A117/4),2)</f>
        <v>1</v>
      </c>
      <c r="G117" s="301" t="n">
        <f aca="false">MOD(INT($A117/2),2)</f>
        <v>0</v>
      </c>
      <c r="H117" s="301" t="n">
        <f aca="false">MOD(A117,2)</f>
        <v>0</v>
      </c>
      <c r="I117" s="304" t="n">
        <f aca="false">SUM(Table122[[#This Row],[Sat]:[Su]])</f>
        <v>4</v>
      </c>
      <c r="L117" s="300" t="str">
        <f aca="false">Table122[[#This Row],[Sat2]]&amp;" "&amp;Table122[[#This Row],[Column2]]&amp;" "&amp;Table122[[#This Row],[Column3]]&amp;" "&amp;Table122[[#This Row],[Column4]]&amp;" "&amp;Table122[[#This Row],[Column5]]&amp;" "&amp;Table122[[#This Row],[Column6]]&amp;" "&amp;Table122[[#This Row],[Column7]]</f>
        <v>Sat Ve Ju  Ma  </v>
      </c>
      <c r="M117" s="300" t="str">
        <f aca="false">IF(Table122[[#This Row],[Sat]],Table122[[#Headers],[Sat]],"")</f>
        <v>Sat</v>
      </c>
      <c r="N117" s="300" t="str">
        <f aca="false">IF(Table122[[#This Row],[Ve]],Table122[[#Headers],[Ve]],"")</f>
        <v>Ve</v>
      </c>
      <c r="O117" s="300" t="str">
        <f aca="false">IF(Table122[[#This Row],[Ju]],Table122[[#Headers],[Ju]],"")</f>
        <v>Ju</v>
      </c>
      <c r="P117" s="300" t="str">
        <f aca="false">IF(Table122[[#This Row],[Me]],Table122[[#Headers],[Me]],"")</f>
        <v/>
      </c>
      <c r="Q117" s="300" t="str">
        <f aca="false">IF(Table122[[#This Row],[Ma]],Table122[[#Headers],[Ma]],"")</f>
        <v>Ma</v>
      </c>
      <c r="R117" s="300" t="str">
        <f aca="false">IF(Table122[[#This Row],[Mo]],Table122[[#Headers],[Mo]],"")</f>
        <v/>
      </c>
      <c r="S117" s="300" t="str">
        <f aca="false">IF(Table122[[#This Row],[Su]],Table122[[#Headers],[Su]],"")</f>
        <v/>
      </c>
    </row>
    <row r="118" customFormat="false" ht="15" hidden="true" customHeight="false" outlineLevel="0" collapsed="false">
      <c r="A118" s="303" t="n">
        <v>117</v>
      </c>
      <c r="B118" s="301" t="n">
        <f aca="false">MOD(INT($A118/64),2)</f>
        <v>1</v>
      </c>
      <c r="C118" s="301" t="n">
        <f aca="false">MOD(INT($A118/32),2)</f>
        <v>1</v>
      </c>
      <c r="D118" s="301" t="n">
        <f aca="false">MOD(INT($A118/16),2)</f>
        <v>1</v>
      </c>
      <c r="E118" s="301" t="n">
        <f aca="false">MOD(INT($A118/8),2)</f>
        <v>0</v>
      </c>
      <c r="F118" s="301" t="n">
        <f aca="false">MOD(INT($A118/4),2)</f>
        <v>1</v>
      </c>
      <c r="G118" s="301" t="n">
        <f aca="false">MOD(INT($A118/2),2)</f>
        <v>0</v>
      </c>
      <c r="H118" s="301" t="n">
        <f aca="false">MOD(A118,2)</f>
        <v>1</v>
      </c>
      <c r="I118" s="304" t="n">
        <f aca="false">SUM(Table122[[#This Row],[Sat]:[Su]])</f>
        <v>5</v>
      </c>
      <c r="J118" s="300" t="s">
        <v>526</v>
      </c>
      <c r="K118" s="300" t="s">
        <v>527</v>
      </c>
      <c r="L118" s="300" t="str">
        <f aca="false">Table122[[#This Row],[Sat2]]&amp;" "&amp;Table122[[#This Row],[Column2]]&amp;" "&amp;Table122[[#This Row],[Column3]]&amp;" "&amp;Table122[[#This Row],[Column4]]&amp;" "&amp;Table122[[#This Row],[Column5]]&amp;" "&amp;Table122[[#This Row],[Column6]]&amp;" "&amp;Table122[[#This Row],[Column7]]</f>
        <v>Sat Ve Ju  Ma  Su</v>
      </c>
      <c r="M118" s="300" t="str">
        <f aca="false">IF(Table122[[#This Row],[Sat]],Table122[[#Headers],[Sat]],"")</f>
        <v>Sat</v>
      </c>
      <c r="N118" s="300" t="str">
        <f aca="false">IF(Table122[[#This Row],[Ve]],Table122[[#Headers],[Ve]],"")</f>
        <v>Ve</v>
      </c>
      <c r="O118" s="300" t="str">
        <f aca="false">IF(Table122[[#This Row],[Ju]],Table122[[#Headers],[Ju]],"")</f>
        <v>Ju</v>
      </c>
      <c r="P118" s="300" t="str">
        <f aca="false">IF(Table122[[#This Row],[Me]],Table122[[#Headers],[Me]],"")</f>
        <v/>
      </c>
      <c r="Q118" s="300" t="str">
        <f aca="false">IF(Table122[[#This Row],[Ma]],Table122[[#Headers],[Ma]],"")</f>
        <v>Ma</v>
      </c>
      <c r="R118" s="300" t="str">
        <f aca="false">IF(Table122[[#This Row],[Mo]],Table122[[#Headers],[Mo]],"")</f>
        <v/>
      </c>
      <c r="S118" s="300" t="str">
        <f aca="false">IF(Table122[[#This Row],[Su]],Table122[[#Headers],[Su]],"")</f>
        <v>Su</v>
      </c>
    </row>
    <row r="119" customFormat="false" ht="15" hidden="true" customHeight="false" outlineLevel="0" collapsed="false">
      <c r="A119" s="303" t="n">
        <v>118</v>
      </c>
      <c r="B119" s="301" t="n">
        <f aca="false">MOD(INT($A119/64),2)</f>
        <v>1</v>
      </c>
      <c r="C119" s="301" t="n">
        <f aca="false">MOD(INT($A119/32),2)</f>
        <v>1</v>
      </c>
      <c r="D119" s="301" t="n">
        <f aca="false">MOD(INT($A119/16),2)</f>
        <v>1</v>
      </c>
      <c r="E119" s="301" t="n">
        <f aca="false">MOD(INT($A119/8),2)</f>
        <v>0</v>
      </c>
      <c r="F119" s="301" t="n">
        <f aca="false">MOD(INT($A119/4),2)</f>
        <v>1</v>
      </c>
      <c r="G119" s="301" t="n">
        <f aca="false">MOD(INT($A119/2),2)</f>
        <v>1</v>
      </c>
      <c r="H119" s="301" t="n">
        <f aca="false">MOD(A119,2)</f>
        <v>0</v>
      </c>
      <c r="I119" s="304" t="n">
        <f aca="false">SUM(Table122[[#This Row],[Sat]:[Su]])</f>
        <v>5</v>
      </c>
      <c r="J119" s="300" t="s">
        <v>509</v>
      </c>
      <c r="K119" s="300" t="s">
        <v>536</v>
      </c>
      <c r="L119" s="300" t="str">
        <f aca="false">Table122[[#This Row],[Sat2]]&amp;" "&amp;Table122[[#This Row],[Column2]]&amp;" "&amp;Table122[[#This Row],[Column3]]&amp;" "&amp;Table122[[#This Row],[Column4]]&amp;" "&amp;Table122[[#This Row],[Column5]]&amp;" "&amp;Table122[[#This Row],[Column6]]&amp;" "&amp;Table122[[#This Row],[Column7]]</f>
        <v>Sat Ve Ju  Ma Mo </v>
      </c>
      <c r="M119" s="300" t="str">
        <f aca="false">IF(Table122[[#This Row],[Sat]],Table122[[#Headers],[Sat]],"")</f>
        <v>Sat</v>
      </c>
      <c r="N119" s="300" t="str">
        <f aca="false">IF(Table122[[#This Row],[Ve]],Table122[[#Headers],[Ve]],"")</f>
        <v>Ve</v>
      </c>
      <c r="O119" s="300" t="str">
        <f aca="false">IF(Table122[[#This Row],[Ju]],Table122[[#Headers],[Ju]],"")</f>
        <v>Ju</v>
      </c>
      <c r="P119" s="300" t="str">
        <f aca="false">IF(Table122[[#This Row],[Me]],Table122[[#Headers],[Me]],"")</f>
        <v/>
      </c>
      <c r="Q119" s="300" t="str">
        <f aca="false">IF(Table122[[#This Row],[Ma]],Table122[[#Headers],[Ma]],"")</f>
        <v>Ma</v>
      </c>
      <c r="R119" s="300" t="str">
        <f aca="false">IF(Table122[[#This Row],[Mo]],Table122[[#Headers],[Mo]],"")</f>
        <v>Mo</v>
      </c>
      <c r="S119" s="300" t="str">
        <f aca="false">IF(Table122[[#This Row],[Su]],Table122[[#Headers],[Su]],"")</f>
        <v/>
      </c>
    </row>
    <row r="120" customFormat="false" ht="15" hidden="true" customHeight="false" outlineLevel="0" collapsed="false">
      <c r="A120" s="303" t="n">
        <v>119</v>
      </c>
      <c r="B120" s="301" t="n">
        <f aca="false">MOD(INT($A120/64),2)</f>
        <v>1</v>
      </c>
      <c r="C120" s="301" t="n">
        <f aca="false">MOD(INT($A120/32),2)</f>
        <v>1</v>
      </c>
      <c r="D120" s="301" t="n">
        <f aca="false">MOD(INT($A120/16),2)</f>
        <v>1</v>
      </c>
      <c r="E120" s="301" t="n">
        <f aca="false">MOD(INT($A120/8),2)</f>
        <v>0</v>
      </c>
      <c r="F120" s="301" t="n">
        <f aca="false">MOD(INT($A120/4),2)</f>
        <v>1</v>
      </c>
      <c r="G120" s="301" t="n">
        <f aca="false">MOD(INT($A120/2),2)</f>
        <v>1</v>
      </c>
      <c r="H120" s="301" t="n">
        <f aca="false">MOD(A120,2)</f>
        <v>1</v>
      </c>
      <c r="I120" s="304" t="n">
        <f aca="false">SUM(Table122[[#This Row],[Sat]:[Su]])</f>
        <v>6</v>
      </c>
      <c r="J120" s="300" t="s">
        <v>537</v>
      </c>
      <c r="K120" s="300" t="s">
        <v>538</v>
      </c>
      <c r="L120" s="300" t="str">
        <f aca="false">Table122[[#This Row],[Sat2]]&amp;" "&amp;Table122[[#This Row],[Column2]]&amp;" "&amp;Table122[[#This Row],[Column3]]&amp;" "&amp;Table122[[#This Row],[Column4]]&amp;" "&amp;Table122[[#This Row],[Column5]]&amp;" "&amp;Table122[[#This Row],[Column6]]&amp;" "&amp;Table122[[#This Row],[Column7]]</f>
        <v>Sat Ve Ju  Ma Mo Su</v>
      </c>
      <c r="M120" s="300" t="str">
        <f aca="false">IF(Table122[[#This Row],[Sat]],Table122[[#Headers],[Sat]],"")</f>
        <v>Sat</v>
      </c>
      <c r="N120" s="300" t="str">
        <f aca="false">IF(Table122[[#This Row],[Ve]],Table122[[#Headers],[Ve]],"")</f>
        <v>Ve</v>
      </c>
      <c r="O120" s="300" t="str">
        <f aca="false">IF(Table122[[#This Row],[Ju]],Table122[[#Headers],[Ju]],"")</f>
        <v>Ju</v>
      </c>
      <c r="P120" s="300" t="str">
        <f aca="false">IF(Table122[[#This Row],[Me]],Table122[[#Headers],[Me]],"")</f>
        <v/>
      </c>
      <c r="Q120" s="300" t="str">
        <f aca="false">IF(Table122[[#This Row],[Ma]],Table122[[#Headers],[Ma]],"")</f>
        <v>Ma</v>
      </c>
      <c r="R120" s="300" t="str">
        <f aca="false">IF(Table122[[#This Row],[Mo]],Table122[[#Headers],[Mo]],"")</f>
        <v>Mo</v>
      </c>
      <c r="S120" s="300" t="str">
        <f aca="false">IF(Table122[[#This Row],[Su]],Table122[[#Headers],[Su]],"")</f>
        <v>Su</v>
      </c>
    </row>
    <row r="121" customFormat="false" ht="15" hidden="true" customHeight="false" outlineLevel="0" collapsed="false">
      <c r="A121" s="303" t="n">
        <v>120</v>
      </c>
      <c r="B121" s="301" t="n">
        <f aca="false">MOD(INT($A121/64),2)</f>
        <v>1</v>
      </c>
      <c r="C121" s="301" t="n">
        <f aca="false">MOD(INT($A121/32),2)</f>
        <v>1</v>
      </c>
      <c r="D121" s="301" t="n">
        <f aca="false">MOD(INT($A121/16),2)</f>
        <v>1</v>
      </c>
      <c r="E121" s="301" t="n">
        <f aca="false">MOD(INT($A121/8),2)</f>
        <v>1</v>
      </c>
      <c r="F121" s="301" t="n">
        <f aca="false">MOD(INT($A121/4),2)</f>
        <v>0</v>
      </c>
      <c r="G121" s="301" t="n">
        <f aca="false">MOD(INT($A121/2),2)</f>
        <v>0</v>
      </c>
      <c r="H121" s="301" t="n">
        <f aca="false">MOD(A121,2)</f>
        <v>0</v>
      </c>
      <c r="I121" s="304" t="n">
        <f aca="false">SUM(Table122[[#This Row],[Sat]:[Su]])</f>
        <v>4</v>
      </c>
      <c r="L121" s="300" t="str">
        <f aca="false">Table122[[#This Row],[Sat2]]&amp;" "&amp;Table122[[#This Row],[Column2]]&amp;" "&amp;Table122[[#This Row],[Column3]]&amp;" "&amp;Table122[[#This Row],[Column4]]&amp;" "&amp;Table122[[#This Row],[Column5]]&amp;" "&amp;Table122[[#This Row],[Column6]]&amp;" "&amp;Table122[[#This Row],[Column7]]</f>
        <v>Sat Ve Ju Me   </v>
      </c>
      <c r="M121" s="300" t="str">
        <f aca="false">IF(Table122[[#This Row],[Sat]],Table122[[#Headers],[Sat]],"")</f>
        <v>Sat</v>
      </c>
      <c r="N121" s="300" t="str">
        <f aca="false">IF(Table122[[#This Row],[Ve]],Table122[[#Headers],[Ve]],"")</f>
        <v>Ve</v>
      </c>
      <c r="O121" s="300" t="str">
        <f aca="false">IF(Table122[[#This Row],[Ju]],Table122[[#Headers],[Ju]],"")</f>
        <v>Ju</v>
      </c>
      <c r="P121" s="300" t="str">
        <f aca="false">IF(Table122[[#This Row],[Me]],Table122[[#Headers],[Me]],"")</f>
        <v>Me</v>
      </c>
      <c r="Q121" s="300" t="str">
        <f aca="false">IF(Table122[[#This Row],[Ma]],Table122[[#Headers],[Ma]],"")</f>
        <v/>
      </c>
      <c r="R121" s="300" t="str">
        <f aca="false">IF(Table122[[#This Row],[Mo]],Table122[[#Headers],[Mo]],"")</f>
        <v/>
      </c>
      <c r="S121" s="300" t="str">
        <f aca="false">IF(Table122[[#This Row],[Su]],Table122[[#Headers],[Su]],"")</f>
        <v/>
      </c>
    </row>
    <row r="122" customFormat="false" ht="15" hidden="true" customHeight="false" outlineLevel="0" collapsed="false">
      <c r="A122" s="303" t="n">
        <v>121</v>
      </c>
      <c r="B122" s="301" t="n">
        <f aca="false">MOD(INT($A122/64),2)</f>
        <v>1</v>
      </c>
      <c r="C122" s="301" t="n">
        <f aca="false">MOD(INT($A122/32),2)</f>
        <v>1</v>
      </c>
      <c r="D122" s="301" t="n">
        <f aca="false">MOD(INT($A122/16),2)</f>
        <v>1</v>
      </c>
      <c r="E122" s="301" t="n">
        <f aca="false">MOD(INT($A122/8),2)</f>
        <v>1</v>
      </c>
      <c r="F122" s="301" t="n">
        <f aca="false">MOD(INT($A122/4),2)</f>
        <v>0</v>
      </c>
      <c r="G122" s="301" t="n">
        <f aca="false">MOD(INT($A122/2),2)</f>
        <v>0</v>
      </c>
      <c r="H122" s="301" t="n">
        <f aca="false">MOD(A122,2)</f>
        <v>1</v>
      </c>
      <c r="I122" s="304" t="n">
        <f aca="false">SUM(Table122[[#This Row],[Sat]:[Su]])</f>
        <v>5</v>
      </c>
      <c r="L122" s="300" t="str">
        <f aca="false">Table122[[#This Row],[Sat2]]&amp;" "&amp;Table122[[#This Row],[Column2]]&amp;" "&amp;Table122[[#This Row],[Column3]]&amp;" "&amp;Table122[[#This Row],[Column4]]&amp;" "&amp;Table122[[#This Row],[Column5]]&amp;" "&amp;Table122[[#This Row],[Column6]]&amp;" "&amp;Table122[[#This Row],[Column7]]</f>
        <v>Sat Ve Ju Me   Su</v>
      </c>
      <c r="M122" s="300" t="str">
        <f aca="false">IF(Table122[[#This Row],[Sat]],Table122[[#Headers],[Sat]],"")</f>
        <v>Sat</v>
      </c>
      <c r="N122" s="300" t="str">
        <f aca="false">IF(Table122[[#This Row],[Ve]],Table122[[#Headers],[Ve]],"")</f>
        <v>Ve</v>
      </c>
      <c r="O122" s="300" t="str">
        <f aca="false">IF(Table122[[#This Row],[Ju]],Table122[[#Headers],[Ju]],"")</f>
        <v>Ju</v>
      </c>
      <c r="P122" s="300" t="str">
        <f aca="false">IF(Table122[[#This Row],[Me]],Table122[[#Headers],[Me]],"")</f>
        <v>Me</v>
      </c>
      <c r="Q122" s="300" t="str">
        <f aca="false">IF(Table122[[#This Row],[Ma]],Table122[[#Headers],[Ma]],"")</f>
        <v/>
      </c>
      <c r="R122" s="300" t="str">
        <f aca="false">IF(Table122[[#This Row],[Mo]],Table122[[#Headers],[Mo]],"")</f>
        <v/>
      </c>
      <c r="S122" s="300" t="str">
        <f aca="false">IF(Table122[[#This Row],[Su]],Table122[[#Headers],[Su]],"")</f>
        <v>Su</v>
      </c>
    </row>
    <row r="123" customFormat="false" ht="15" hidden="true" customHeight="false" outlineLevel="0" collapsed="false">
      <c r="A123" s="303" t="n">
        <v>122</v>
      </c>
      <c r="B123" s="301" t="n">
        <f aca="false">MOD(INT($A123/64),2)</f>
        <v>1</v>
      </c>
      <c r="C123" s="301" t="n">
        <f aca="false">MOD(INT($A123/32),2)</f>
        <v>1</v>
      </c>
      <c r="D123" s="301" t="n">
        <f aca="false">MOD(INT($A123/16),2)</f>
        <v>1</v>
      </c>
      <c r="E123" s="301" t="n">
        <f aca="false">MOD(INT($A123/8),2)</f>
        <v>1</v>
      </c>
      <c r="F123" s="301" t="n">
        <f aca="false">MOD(INT($A123/4),2)</f>
        <v>0</v>
      </c>
      <c r="G123" s="301" t="n">
        <f aca="false">MOD(INT($A123/2),2)</f>
        <v>1</v>
      </c>
      <c r="H123" s="301" t="n">
        <f aca="false">MOD(A123,2)</f>
        <v>0</v>
      </c>
      <c r="I123" s="304" t="n">
        <f aca="false">SUM(Table122[[#This Row],[Sat]:[Su]])</f>
        <v>5</v>
      </c>
      <c r="L123" s="300" t="str">
        <f aca="false">Table122[[#This Row],[Sat2]]&amp;" "&amp;Table122[[#This Row],[Column2]]&amp;" "&amp;Table122[[#This Row],[Column3]]&amp;" "&amp;Table122[[#This Row],[Column4]]&amp;" "&amp;Table122[[#This Row],[Column5]]&amp;" "&amp;Table122[[#This Row],[Column6]]&amp;" "&amp;Table122[[#This Row],[Column7]]</f>
        <v>Sat Ve Ju Me  Mo </v>
      </c>
      <c r="M123" s="300" t="str">
        <f aca="false">IF(Table122[[#This Row],[Sat]],Table122[[#Headers],[Sat]],"")</f>
        <v>Sat</v>
      </c>
      <c r="N123" s="300" t="str">
        <f aca="false">IF(Table122[[#This Row],[Ve]],Table122[[#Headers],[Ve]],"")</f>
        <v>Ve</v>
      </c>
      <c r="O123" s="300" t="str">
        <f aca="false">IF(Table122[[#This Row],[Ju]],Table122[[#Headers],[Ju]],"")</f>
        <v>Ju</v>
      </c>
      <c r="P123" s="300" t="str">
        <f aca="false">IF(Table122[[#This Row],[Me]],Table122[[#Headers],[Me]],"")</f>
        <v>Me</v>
      </c>
      <c r="Q123" s="300" t="str">
        <f aca="false">IF(Table122[[#This Row],[Ma]],Table122[[#Headers],[Ma]],"")</f>
        <v/>
      </c>
      <c r="R123" s="300" t="str">
        <f aca="false">IF(Table122[[#This Row],[Mo]],Table122[[#Headers],[Mo]],"")</f>
        <v>Mo</v>
      </c>
      <c r="S123" s="300" t="str">
        <f aca="false">IF(Table122[[#This Row],[Su]],Table122[[#Headers],[Su]],"")</f>
        <v/>
      </c>
    </row>
    <row r="124" customFormat="false" ht="15" hidden="true" customHeight="false" outlineLevel="0" collapsed="false">
      <c r="A124" s="303" t="n">
        <v>123</v>
      </c>
      <c r="B124" s="301" t="n">
        <f aca="false">MOD(INT($A124/64),2)</f>
        <v>1</v>
      </c>
      <c r="C124" s="301" t="n">
        <f aca="false">MOD(INT($A124/32),2)</f>
        <v>1</v>
      </c>
      <c r="D124" s="301" t="n">
        <f aca="false">MOD(INT($A124/16),2)</f>
        <v>1</v>
      </c>
      <c r="E124" s="301" t="n">
        <f aca="false">MOD(INT($A124/8),2)</f>
        <v>1</v>
      </c>
      <c r="F124" s="301" t="n">
        <f aca="false">MOD(INT($A124/4),2)</f>
        <v>0</v>
      </c>
      <c r="G124" s="301" t="n">
        <f aca="false">MOD(INT($A124/2),2)</f>
        <v>1</v>
      </c>
      <c r="H124" s="301" t="n">
        <f aca="false">MOD(A124,2)</f>
        <v>1</v>
      </c>
      <c r="I124" s="304" t="n">
        <f aca="false">SUM(Table122[[#This Row],[Sat]:[Su]])</f>
        <v>6</v>
      </c>
      <c r="J124" s="300" t="s">
        <v>539</v>
      </c>
      <c r="K124" s="300" t="s">
        <v>540</v>
      </c>
      <c r="L124" s="300" t="str">
        <f aca="false">Table122[[#This Row],[Sat2]]&amp;" "&amp;Table122[[#This Row],[Column2]]&amp;" "&amp;Table122[[#This Row],[Column3]]&amp;" "&amp;Table122[[#This Row],[Column4]]&amp;" "&amp;Table122[[#This Row],[Column5]]&amp;" "&amp;Table122[[#This Row],[Column6]]&amp;" "&amp;Table122[[#This Row],[Column7]]</f>
        <v>Sat Ve Ju Me  Mo Su</v>
      </c>
      <c r="M124" s="300" t="str">
        <f aca="false">IF(Table122[[#This Row],[Sat]],Table122[[#Headers],[Sat]],"")</f>
        <v>Sat</v>
      </c>
      <c r="N124" s="300" t="str">
        <f aca="false">IF(Table122[[#This Row],[Ve]],Table122[[#Headers],[Ve]],"")</f>
        <v>Ve</v>
      </c>
      <c r="O124" s="300" t="str">
        <f aca="false">IF(Table122[[#This Row],[Ju]],Table122[[#Headers],[Ju]],"")</f>
        <v>Ju</v>
      </c>
      <c r="P124" s="300" t="str">
        <f aca="false">IF(Table122[[#This Row],[Me]],Table122[[#Headers],[Me]],"")</f>
        <v>Me</v>
      </c>
      <c r="Q124" s="300" t="str">
        <f aca="false">IF(Table122[[#This Row],[Ma]],Table122[[#Headers],[Ma]],"")</f>
        <v/>
      </c>
      <c r="R124" s="300" t="str">
        <f aca="false">IF(Table122[[#This Row],[Mo]],Table122[[#Headers],[Mo]],"")</f>
        <v>Mo</v>
      </c>
      <c r="S124" s="300" t="str">
        <f aca="false">IF(Table122[[#This Row],[Su]],Table122[[#Headers],[Su]],"")</f>
        <v>Su</v>
      </c>
    </row>
    <row r="125" customFormat="false" ht="15" hidden="true" customHeight="false" outlineLevel="0" collapsed="false">
      <c r="A125" s="303" t="n">
        <v>124</v>
      </c>
      <c r="B125" s="301" t="n">
        <f aca="false">MOD(INT($A125/64),2)</f>
        <v>1</v>
      </c>
      <c r="C125" s="301" t="n">
        <f aca="false">MOD(INT($A125/32),2)</f>
        <v>1</v>
      </c>
      <c r="D125" s="301" t="n">
        <f aca="false">MOD(INT($A125/16),2)</f>
        <v>1</v>
      </c>
      <c r="E125" s="301" t="n">
        <f aca="false">MOD(INT($A125/8),2)</f>
        <v>1</v>
      </c>
      <c r="F125" s="301" t="n">
        <f aca="false">MOD(INT($A125/4),2)</f>
        <v>1</v>
      </c>
      <c r="G125" s="301" t="n">
        <f aca="false">MOD(INT($A125/2),2)</f>
        <v>0</v>
      </c>
      <c r="H125" s="301" t="n">
        <f aca="false">MOD(A125,2)</f>
        <v>0</v>
      </c>
      <c r="I125" s="304" t="n">
        <f aca="false">SUM(Table122[[#This Row],[Sat]:[Su]])</f>
        <v>5</v>
      </c>
      <c r="J125" s="300" t="s">
        <v>517</v>
      </c>
      <c r="K125" s="300" t="s">
        <v>541</v>
      </c>
      <c r="L125" s="300" t="str">
        <f aca="false">Table122[[#This Row],[Sat2]]&amp;" "&amp;Table122[[#This Row],[Column2]]&amp;" "&amp;Table122[[#This Row],[Column3]]&amp;" "&amp;Table122[[#This Row],[Column4]]&amp;" "&amp;Table122[[#This Row],[Column5]]&amp;" "&amp;Table122[[#This Row],[Column6]]&amp;" "&amp;Table122[[#This Row],[Column7]]</f>
        <v>Sat Ve Ju Me Ma  </v>
      </c>
      <c r="M125" s="300" t="str">
        <f aca="false">IF(Table122[[#This Row],[Sat]],Table122[[#Headers],[Sat]],"")</f>
        <v>Sat</v>
      </c>
      <c r="N125" s="300" t="str">
        <f aca="false">IF(Table122[[#This Row],[Ve]],Table122[[#Headers],[Ve]],"")</f>
        <v>Ve</v>
      </c>
      <c r="O125" s="300" t="str">
        <f aca="false">IF(Table122[[#This Row],[Ju]],Table122[[#Headers],[Ju]],"")</f>
        <v>Ju</v>
      </c>
      <c r="P125" s="300" t="str">
        <f aca="false">IF(Table122[[#This Row],[Me]],Table122[[#Headers],[Me]],"")</f>
        <v>Me</v>
      </c>
      <c r="Q125" s="300" t="str">
        <f aca="false">IF(Table122[[#This Row],[Ma]],Table122[[#Headers],[Ma]],"")</f>
        <v>Ma</v>
      </c>
      <c r="R125" s="300" t="str">
        <f aca="false">IF(Table122[[#This Row],[Mo]],Table122[[#Headers],[Mo]],"")</f>
        <v/>
      </c>
      <c r="S125" s="300" t="str">
        <f aca="false">IF(Table122[[#This Row],[Su]],Table122[[#Headers],[Su]],"")</f>
        <v/>
      </c>
    </row>
    <row r="126" customFormat="false" ht="15" hidden="true" customHeight="false" outlineLevel="0" collapsed="false">
      <c r="A126" s="303" t="n">
        <v>125</v>
      </c>
      <c r="B126" s="301" t="n">
        <f aca="false">MOD(INT($A126/64),2)</f>
        <v>1</v>
      </c>
      <c r="C126" s="301" t="n">
        <f aca="false">MOD(INT($A126/32),2)</f>
        <v>1</v>
      </c>
      <c r="D126" s="301" t="n">
        <f aca="false">MOD(INT($A126/16),2)</f>
        <v>1</v>
      </c>
      <c r="E126" s="301" t="n">
        <f aca="false">MOD(INT($A126/8),2)</f>
        <v>1</v>
      </c>
      <c r="F126" s="301" t="n">
        <f aca="false">MOD(INT($A126/4),2)</f>
        <v>1</v>
      </c>
      <c r="G126" s="301" t="n">
        <f aca="false">MOD(INT($A126/2),2)</f>
        <v>0</v>
      </c>
      <c r="H126" s="301" t="n">
        <f aca="false">MOD(A126,2)</f>
        <v>1</v>
      </c>
      <c r="I126" s="304" t="n">
        <f aca="false">SUM(Table122[[#This Row],[Sat]:[Su]])</f>
        <v>6</v>
      </c>
      <c r="J126" s="300" t="s">
        <v>542</v>
      </c>
      <c r="K126" s="300" t="s">
        <v>543</v>
      </c>
      <c r="L126" s="300" t="str">
        <f aca="false">Table122[[#This Row],[Sat2]]&amp;" "&amp;Table122[[#This Row],[Column2]]&amp;" "&amp;Table122[[#This Row],[Column3]]&amp;" "&amp;Table122[[#This Row],[Column4]]&amp;" "&amp;Table122[[#This Row],[Column5]]&amp;" "&amp;Table122[[#This Row],[Column6]]&amp;" "&amp;Table122[[#This Row],[Column7]]</f>
        <v>Sat Ve Ju Me Ma  Su</v>
      </c>
      <c r="M126" s="300" t="str">
        <f aca="false">IF(Table122[[#This Row],[Sat]],Table122[[#Headers],[Sat]],"")</f>
        <v>Sat</v>
      </c>
      <c r="N126" s="300" t="str">
        <f aca="false">IF(Table122[[#This Row],[Ve]],Table122[[#Headers],[Ve]],"")</f>
        <v>Ve</v>
      </c>
      <c r="O126" s="300" t="str">
        <f aca="false">IF(Table122[[#This Row],[Ju]],Table122[[#Headers],[Ju]],"")</f>
        <v>Ju</v>
      </c>
      <c r="P126" s="300" t="str">
        <f aca="false">IF(Table122[[#This Row],[Me]],Table122[[#Headers],[Me]],"")</f>
        <v>Me</v>
      </c>
      <c r="Q126" s="300" t="str">
        <f aca="false">IF(Table122[[#This Row],[Ma]],Table122[[#Headers],[Ma]],"")</f>
        <v>Ma</v>
      </c>
      <c r="R126" s="300" t="str">
        <f aca="false">IF(Table122[[#This Row],[Mo]],Table122[[#Headers],[Mo]],"")</f>
        <v/>
      </c>
      <c r="S126" s="300" t="str">
        <f aca="false">IF(Table122[[#This Row],[Su]],Table122[[#Headers],[Su]],"")</f>
        <v>Su</v>
      </c>
    </row>
    <row r="127" customFormat="false" ht="15" hidden="true" customHeight="false" outlineLevel="0" collapsed="false">
      <c r="A127" s="303" t="n">
        <v>126</v>
      </c>
      <c r="B127" s="301" t="n">
        <f aca="false">MOD(INT($A127/64),2)</f>
        <v>1</v>
      </c>
      <c r="C127" s="301" t="n">
        <f aca="false">MOD(INT($A127/32),2)</f>
        <v>1</v>
      </c>
      <c r="D127" s="301" t="n">
        <f aca="false">MOD(INT($A127/16),2)</f>
        <v>1</v>
      </c>
      <c r="E127" s="301" t="n">
        <f aca="false">MOD(INT($A127/8),2)</f>
        <v>1</v>
      </c>
      <c r="F127" s="301" t="n">
        <f aca="false">MOD(INT($A127/4),2)</f>
        <v>1</v>
      </c>
      <c r="G127" s="301" t="n">
        <f aca="false">MOD(INT($A127/2),2)</f>
        <v>1</v>
      </c>
      <c r="H127" s="301" t="n">
        <f aca="false">MOD(A127,2)</f>
        <v>0</v>
      </c>
      <c r="I127" s="304" t="n">
        <f aca="false">SUM(Table122[[#This Row],[Sat]:[Su]])</f>
        <v>6</v>
      </c>
      <c r="J127" s="300" t="s">
        <v>542</v>
      </c>
      <c r="K127" s="300" t="s">
        <v>544</v>
      </c>
      <c r="L127" s="300" t="str">
        <f aca="false">Table122[[#This Row],[Sat2]]&amp;" "&amp;Table122[[#This Row],[Column2]]&amp;" "&amp;Table122[[#This Row],[Column3]]&amp;" "&amp;Table122[[#This Row],[Column4]]&amp;" "&amp;Table122[[#This Row],[Column5]]&amp;" "&amp;Table122[[#This Row],[Column6]]&amp;" "&amp;Table122[[#This Row],[Column7]]</f>
        <v>Sat Ve Ju Me Ma Mo </v>
      </c>
      <c r="M127" s="300" t="str">
        <f aca="false">IF(Table122[[#This Row],[Sat]],Table122[[#Headers],[Sat]],"")</f>
        <v>Sat</v>
      </c>
      <c r="N127" s="300" t="str">
        <f aca="false">IF(Table122[[#This Row],[Ve]],Table122[[#Headers],[Ve]],"")</f>
        <v>Ve</v>
      </c>
      <c r="O127" s="300" t="str">
        <f aca="false">IF(Table122[[#This Row],[Ju]],Table122[[#Headers],[Ju]],"")</f>
        <v>Ju</v>
      </c>
      <c r="P127" s="300" t="str">
        <f aca="false">IF(Table122[[#This Row],[Me]],Table122[[#Headers],[Me]],"")</f>
        <v>Me</v>
      </c>
      <c r="Q127" s="300" t="str">
        <f aca="false">IF(Table122[[#This Row],[Ma]],Table122[[#Headers],[Ma]],"")</f>
        <v>Ma</v>
      </c>
      <c r="R127" s="300" t="str">
        <f aca="false">IF(Table122[[#This Row],[Mo]],Table122[[#Headers],[Mo]],"")</f>
        <v>Mo</v>
      </c>
      <c r="S127" s="300" t="str">
        <f aca="false">IF(Table122[[#This Row],[Su]],Table122[[#Headers],[Su]],"")</f>
        <v/>
      </c>
    </row>
    <row r="128" customFormat="false" ht="15" hidden="true" customHeight="false" outlineLevel="0" collapsed="false">
      <c r="A128" s="303" t="n">
        <v>127</v>
      </c>
      <c r="B128" s="301" t="n">
        <f aca="false">MOD(INT($A128/64),2)</f>
        <v>1</v>
      </c>
      <c r="C128" s="301" t="n">
        <f aca="false">MOD(INT($A128/32),2)</f>
        <v>1</v>
      </c>
      <c r="D128" s="301" t="n">
        <f aca="false">MOD(INT($A128/16),2)</f>
        <v>1</v>
      </c>
      <c r="E128" s="301" t="n">
        <f aca="false">MOD(INT($A128/8),2)</f>
        <v>1</v>
      </c>
      <c r="F128" s="301" t="n">
        <f aca="false">MOD(INT($A128/4),2)</f>
        <v>1</v>
      </c>
      <c r="G128" s="301" t="n">
        <f aca="false">MOD(INT($A128/2),2)</f>
        <v>1</v>
      </c>
      <c r="H128" s="301" t="n">
        <f aca="false">MOD(A128,2)</f>
        <v>1</v>
      </c>
      <c r="I128" s="304" t="n">
        <f aca="false">SUM(Table122[[#This Row],[Sat]:[Su]])</f>
        <v>7</v>
      </c>
      <c r="J128" s="300" t="s">
        <v>545</v>
      </c>
      <c r="K128" s="300" t="s">
        <v>546</v>
      </c>
      <c r="L128" s="300" t="str">
        <f aca="false">Table122[[#This Row],[Sat2]]&amp;" "&amp;Table122[[#This Row],[Column2]]&amp;" "&amp;Table122[[#This Row],[Column3]]&amp;" "&amp;Table122[[#This Row],[Column4]]&amp;" "&amp;Table122[[#This Row],[Column5]]&amp;" "&amp;Table122[[#This Row],[Column6]]&amp;" "&amp;Table122[[#This Row],[Column7]]</f>
        <v>Sat Ve Ju Me Ma Mo Su</v>
      </c>
      <c r="M128" s="300" t="str">
        <f aca="false">IF(Table122[[#This Row],[Sat]],Table122[[#Headers],[Sat]],"")</f>
        <v>Sat</v>
      </c>
      <c r="N128" s="300" t="str">
        <f aca="false">IF(Table122[[#This Row],[Ve]],Table122[[#Headers],[Ve]],"")</f>
        <v>Ve</v>
      </c>
      <c r="O128" s="300" t="str">
        <f aca="false">IF(Table122[[#This Row],[Ju]],Table122[[#Headers],[Ju]],"")</f>
        <v>Ju</v>
      </c>
      <c r="P128" s="300" t="str">
        <f aca="false">IF(Table122[[#This Row],[Me]],Table122[[#Headers],[Me]],"")</f>
        <v>Me</v>
      </c>
      <c r="Q128" s="300" t="str">
        <f aca="false">IF(Table122[[#This Row],[Ma]],Table122[[#Headers],[Ma]],"")</f>
        <v>Ma</v>
      </c>
      <c r="R128" s="300" t="str">
        <f aca="false">IF(Table122[[#This Row],[Mo]],Table122[[#Headers],[Mo]],"")</f>
        <v>Mo</v>
      </c>
      <c r="S128" s="300" t="str">
        <f aca="false">IF(Table122[[#This Row],[Su]],Table122[[#Headers],[Su]],"")</f>
        <v>Su</v>
      </c>
    </row>
  </sheetData>
  <conditionalFormatting sqref="B2:H128">
    <cfRule type="cellIs" priority="2" operator="equal" aboveAverage="0" equalAverage="0" bottom="0" percent="0" rank="0" text="" dxfId="12">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31"/>
  <sheetViews>
    <sheetView showFormulas="false" showGridLines="true" showRowColHeaders="true" showZeros="true" rightToLeft="false" tabSelected="false" showOutlineSymbols="true" defaultGridColor="true" view="normal" topLeftCell="F7" colorId="64" zoomScale="181" zoomScaleNormal="181" zoomScalePageLayoutView="100" workbookViewId="0">
      <selection pane="topLeft" activeCell="F74" activeCellId="0" sqref="F74"/>
    </sheetView>
  </sheetViews>
  <sheetFormatPr defaultColWidth="7.1484375" defaultRowHeight="15" customHeight="true" zeroHeight="false" outlineLevelRow="0" outlineLevelCol="0"/>
  <cols>
    <col collapsed="false" customWidth="true" hidden="false" outlineLevel="0" max="1" min="1" style="52" width="4.86"/>
    <col collapsed="false" customWidth="true" hidden="false" outlineLevel="0" max="2" min="2" style="52" width="13.86"/>
    <col collapsed="false" customWidth="true" hidden="false" outlineLevel="0" max="3" min="3" style="52" width="12.71"/>
    <col collapsed="false" customWidth="true" hidden="false" outlineLevel="0" max="4" min="4" style="52" width="12.29"/>
    <col collapsed="false" customWidth="true" hidden="false" outlineLevel="0" max="5" min="5" style="52" width="13.29"/>
    <col collapsed="false" customWidth="true" hidden="false" outlineLevel="0" max="7" min="6" style="52" width="11.71"/>
    <col collapsed="false" customWidth="true" hidden="false" outlineLevel="0" max="8" min="8" style="52" width="8.15"/>
    <col collapsed="false" customWidth="true" hidden="false" outlineLevel="0" max="9" min="9" style="52" width="7.42"/>
    <col collapsed="false" customWidth="true" hidden="false" outlineLevel="0" max="10" min="10" style="52" width="9.29"/>
    <col collapsed="false" customWidth="true" hidden="false" outlineLevel="0" max="11" min="11" style="52" width="8.42"/>
    <col collapsed="false" customWidth="true" hidden="false" outlineLevel="0" max="12" min="12" style="52" width="8.15"/>
    <col collapsed="false" customWidth="true" hidden="false" outlineLevel="0" max="13" min="13" style="52" width="13.29"/>
    <col collapsed="false" customWidth="true" hidden="false" outlineLevel="0" max="15" min="14" style="52" width="11.71"/>
    <col collapsed="false" customWidth="true" hidden="false" outlineLevel="0" max="16" min="16" style="52" width="7.86"/>
    <col collapsed="false" customWidth="true" hidden="false" outlineLevel="0" max="17" min="17" style="52" width="15.98"/>
    <col collapsed="false" customWidth="true" hidden="false" outlineLevel="0" max="18" min="18" style="52" width="19.29"/>
    <col collapsed="false" customWidth="true" hidden="false" outlineLevel="0" max="19" min="19" style="52" width="8.29"/>
    <col collapsed="false" customWidth="true" hidden="false" outlineLevel="0" max="20" min="20" style="52" width="8.15"/>
    <col collapsed="false" customWidth="true" hidden="false" outlineLevel="0" max="21" min="21" style="52" width="11.43"/>
    <col collapsed="false" customWidth="true" hidden="false" outlineLevel="0" max="23" min="22" style="52" width="11.71"/>
    <col collapsed="false" customWidth="true" hidden="false" outlineLevel="0" max="24" min="24" style="52" width="8.15"/>
    <col collapsed="false" customWidth="true" hidden="false" outlineLevel="0" max="25" min="25" style="52" width="15.14"/>
    <col collapsed="false" customWidth="true" hidden="false" outlineLevel="0" max="26" min="26" style="52" width="8.15"/>
    <col collapsed="false" customWidth="true" hidden="false" outlineLevel="0" max="27" min="27" style="52" width="11.43"/>
    <col collapsed="false" customWidth="true" hidden="false" outlineLevel="0" max="28" min="28" style="52" width="9.42"/>
    <col collapsed="false" customWidth="true" hidden="false" outlineLevel="0" max="29" min="29" style="52" width="10.29"/>
    <col collapsed="false" customWidth="false" hidden="false" outlineLevel="0" max="1024" min="30" style="52" width="7.16"/>
  </cols>
  <sheetData>
    <row r="1" customFormat="false" ht="15" hidden="false" customHeight="false" outlineLevel="0" collapsed="false">
      <c r="A1" s="52" t="s">
        <v>243</v>
      </c>
      <c r="B1" s="314" t="s">
        <v>547</v>
      </c>
      <c r="C1" s="315" t="s">
        <v>548</v>
      </c>
      <c r="D1" s="315" t="s">
        <v>140</v>
      </c>
      <c r="E1" s="315" t="s">
        <v>549</v>
      </c>
      <c r="F1" s="315" t="s">
        <v>469</v>
      </c>
      <c r="G1" s="315"/>
      <c r="H1" s="315"/>
      <c r="I1" s="315"/>
      <c r="J1" s="315"/>
      <c r="K1" s="315"/>
      <c r="L1" s="315"/>
      <c r="M1" s="315"/>
      <c r="N1" s="315"/>
      <c r="O1" s="315"/>
      <c r="P1" s="315"/>
      <c r="Q1" s="316" t="s">
        <v>550</v>
      </c>
      <c r="R1" s="316" t="s">
        <v>551</v>
      </c>
    </row>
    <row r="2" customFormat="false" ht="15" hidden="false" customHeight="false" outlineLevel="0" collapsed="false">
      <c r="A2" s="52" t="n">
        <v>1</v>
      </c>
      <c r="B2" s="317" t="s">
        <v>552</v>
      </c>
      <c r="C2" s="318" t="n">
        <v>120</v>
      </c>
      <c r="D2" s="318" t="s">
        <v>553</v>
      </c>
      <c r="E2" s="318" t="n">
        <v>27</v>
      </c>
      <c r="F2" s="319" t="n">
        <v>9</v>
      </c>
      <c r="G2" s="318" t="s">
        <v>385</v>
      </c>
      <c r="H2" s="318" t="s">
        <v>158</v>
      </c>
      <c r="I2" s="318" t="s">
        <v>159</v>
      </c>
      <c r="J2" s="318" t="s">
        <v>160</v>
      </c>
      <c r="K2" s="318" t="s">
        <v>165</v>
      </c>
      <c r="L2" s="318" t="s">
        <v>162</v>
      </c>
      <c r="M2" s="318" t="s">
        <v>164</v>
      </c>
      <c r="N2" s="318" t="s">
        <v>161</v>
      </c>
      <c r="O2" s="318" t="s">
        <v>166</v>
      </c>
      <c r="P2" s="318" t="s">
        <v>163</v>
      </c>
      <c r="Q2" s="320"/>
      <c r="R2" s="320" t="s">
        <v>554</v>
      </c>
    </row>
    <row r="3" customFormat="false" ht="15" hidden="false" customHeight="false" outlineLevel="0" collapsed="false">
      <c r="B3" s="321"/>
      <c r="C3" s="322" t="n">
        <f aca="false">SUM(H3:P3)</f>
        <v>120</v>
      </c>
      <c r="D3" s="322" t="str">
        <f aca="false">VLOOKUP(D2,NakshatraTbl,24,0)</f>
        <v>Aïgiras</v>
      </c>
      <c r="E3" s="322" t="s">
        <v>555</v>
      </c>
      <c r="F3" s="322"/>
      <c r="G3" s="322" t="s">
        <v>400</v>
      </c>
      <c r="H3" s="322" t="n">
        <v>6</v>
      </c>
      <c r="I3" s="322" t="n">
        <v>10</v>
      </c>
      <c r="J3" s="322" t="n">
        <v>7</v>
      </c>
      <c r="K3" s="322" t="n">
        <v>18</v>
      </c>
      <c r="L3" s="322" t="n">
        <v>16</v>
      </c>
      <c r="M3" s="322" t="n">
        <v>19</v>
      </c>
      <c r="N3" s="322" t="n">
        <v>17</v>
      </c>
      <c r="O3" s="322" t="n">
        <v>7</v>
      </c>
      <c r="P3" s="322" t="n">
        <v>20</v>
      </c>
      <c r="Q3" s="323"/>
      <c r="R3" s="323"/>
    </row>
    <row r="4" customFormat="false" ht="15" hidden="false" customHeight="false" outlineLevel="0" collapsed="false">
      <c r="A4" s="52" t="n">
        <v>2</v>
      </c>
      <c r="B4" s="317" t="s">
        <v>556</v>
      </c>
      <c r="C4" s="318" t="n">
        <v>108</v>
      </c>
      <c r="D4" s="324" t="s">
        <v>557</v>
      </c>
      <c r="E4" s="318" t="n">
        <v>28</v>
      </c>
      <c r="F4" s="325" t="n">
        <v>8</v>
      </c>
      <c r="G4" s="318" t="s">
        <v>385</v>
      </c>
      <c r="H4" s="318" t="s">
        <v>158</v>
      </c>
      <c r="I4" s="318" t="s">
        <v>159</v>
      </c>
      <c r="J4" s="318" t="s">
        <v>160</v>
      </c>
      <c r="K4" s="318" t="s">
        <v>161</v>
      </c>
      <c r="L4" s="318" t="s">
        <v>164</v>
      </c>
      <c r="M4" s="318" t="s">
        <v>162</v>
      </c>
      <c r="N4" s="318" t="s">
        <v>165</v>
      </c>
      <c r="O4" s="318" t="s">
        <v>163</v>
      </c>
      <c r="P4" s="318"/>
      <c r="Q4" s="320" t="s">
        <v>558</v>
      </c>
      <c r="R4" s="320" t="s">
        <v>163</v>
      </c>
    </row>
    <row r="5" customFormat="false" ht="15" hidden="false" customHeight="false" outlineLevel="0" collapsed="false">
      <c r="B5" s="326" t="s">
        <v>559</v>
      </c>
      <c r="C5" s="322" t="s">
        <v>560</v>
      </c>
      <c r="D5" s="322" t="str">
        <f aca="false">VLOOKUP(D4,NakshatraTbl,24,0)</f>
        <v>Pulaha</v>
      </c>
      <c r="E5" s="322" t="s">
        <v>561</v>
      </c>
      <c r="F5" s="322" t="s">
        <v>562</v>
      </c>
      <c r="G5" s="322" t="s">
        <v>400</v>
      </c>
      <c r="H5" s="327" t="n">
        <v>6</v>
      </c>
      <c r="I5" s="327" t="n">
        <v>15</v>
      </c>
      <c r="J5" s="322" t="n">
        <v>8</v>
      </c>
      <c r="K5" s="322" t="n">
        <v>17</v>
      </c>
      <c r="L5" s="322" t="n">
        <v>10</v>
      </c>
      <c r="M5" s="322" t="n">
        <v>19</v>
      </c>
      <c r="N5" s="322" t="n">
        <v>12</v>
      </c>
      <c r="O5" s="322" t="n">
        <v>21</v>
      </c>
      <c r="P5" s="322"/>
      <c r="Q5" s="323" t="s">
        <v>563</v>
      </c>
      <c r="R5" s="323" t="s">
        <v>564</v>
      </c>
    </row>
    <row r="6" customFormat="false" ht="15" hidden="false" customHeight="false" outlineLevel="0" collapsed="false">
      <c r="A6" s="52" t="n">
        <v>3</v>
      </c>
      <c r="B6" s="317" t="s">
        <v>565</v>
      </c>
      <c r="C6" s="318" t="n">
        <v>116</v>
      </c>
      <c r="D6" s="328" t="s">
        <v>566</v>
      </c>
      <c r="E6" s="318" t="n">
        <v>28</v>
      </c>
      <c r="F6" s="325" t="n">
        <v>8</v>
      </c>
      <c r="G6" s="318" t="s">
        <v>385</v>
      </c>
      <c r="H6" s="318" t="s">
        <v>158</v>
      </c>
      <c r="I6" s="318" t="s">
        <v>160</v>
      </c>
      <c r="J6" s="318" t="s">
        <v>162</v>
      </c>
      <c r="K6" s="318" t="s">
        <v>164</v>
      </c>
      <c r="L6" s="318" t="s">
        <v>166</v>
      </c>
      <c r="M6" s="318" t="s">
        <v>159</v>
      </c>
      <c r="N6" s="318" t="s">
        <v>161</v>
      </c>
      <c r="O6" s="318" t="s">
        <v>163</v>
      </c>
      <c r="P6" s="318"/>
      <c r="Q6" s="320" t="s">
        <v>567</v>
      </c>
      <c r="R6" s="320" t="s">
        <v>568</v>
      </c>
    </row>
    <row r="7" customFormat="false" ht="15" hidden="false" customHeight="false" outlineLevel="0" collapsed="false">
      <c r="B7" s="326" t="s">
        <v>569</v>
      </c>
      <c r="C7" s="322" t="s">
        <v>570</v>
      </c>
      <c r="D7" s="322" t="str">
        <f aca="false">VLOOKUP(D6,NakshatraTbl,24,0)</f>
        <v>Marichi</v>
      </c>
      <c r="E7" s="322"/>
      <c r="F7" s="322" t="s">
        <v>571</v>
      </c>
      <c r="G7" s="322" t="s">
        <v>400</v>
      </c>
      <c r="H7" s="322" t="n">
        <v>11</v>
      </c>
      <c r="I7" s="322" t="n">
        <v>12</v>
      </c>
      <c r="J7" s="322" t="n">
        <v>13</v>
      </c>
      <c r="K7" s="322" t="n">
        <v>14</v>
      </c>
      <c r="L7" s="322" t="n">
        <v>15</v>
      </c>
      <c r="M7" s="322" t="n">
        <v>16</v>
      </c>
      <c r="N7" s="322" t="n">
        <v>17</v>
      </c>
      <c r="O7" s="322" t="n">
        <v>18</v>
      </c>
      <c r="P7" s="322"/>
      <c r="Q7" s="323" t="s">
        <v>572</v>
      </c>
      <c r="R7" s="323" t="s">
        <v>564</v>
      </c>
    </row>
    <row r="8" customFormat="false" ht="15" hidden="false" customHeight="false" outlineLevel="0" collapsed="false">
      <c r="A8" s="52" t="n">
        <v>4</v>
      </c>
      <c r="B8" s="317" t="s">
        <v>573</v>
      </c>
      <c r="C8" s="318" t="n">
        <v>112</v>
      </c>
      <c r="D8" s="329" t="s">
        <v>574</v>
      </c>
      <c r="E8" s="318" t="n">
        <v>28</v>
      </c>
      <c r="F8" s="325" t="n">
        <v>8</v>
      </c>
      <c r="G8" s="318" t="s">
        <v>385</v>
      </c>
      <c r="H8" s="318" t="s">
        <v>158</v>
      </c>
      <c r="I8" s="318" t="s">
        <v>162</v>
      </c>
      <c r="J8" s="318" t="s">
        <v>166</v>
      </c>
      <c r="K8" s="318" t="s">
        <v>161</v>
      </c>
      <c r="L8" s="318" t="s">
        <v>165</v>
      </c>
      <c r="M8" s="318" t="s">
        <v>160</v>
      </c>
      <c r="N8" s="318" t="s">
        <v>164</v>
      </c>
      <c r="O8" s="318" t="s">
        <v>159</v>
      </c>
      <c r="P8" s="318"/>
      <c r="Q8" s="320" t="s">
        <v>575</v>
      </c>
      <c r="R8" s="320" t="s">
        <v>163</v>
      </c>
    </row>
    <row r="9" customFormat="false" ht="46.25" hidden="false" customHeight="false" outlineLevel="0" collapsed="false">
      <c r="B9" s="330" t="s">
        <v>576</v>
      </c>
      <c r="C9" s="331" t="s">
        <v>577</v>
      </c>
      <c r="D9" s="322" t="str">
        <f aca="false">VLOOKUP(D8,NakshatraTbl,24,0)</f>
        <v>Kratu</v>
      </c>
      <c r="E9" s="331"/>
      <c r="F9" s="331" t="s">
        <v>578</v>
      </c>
      <c r="G9" s="331" t="s">
        <v>400</v>
      </c>
      <c r="H9" s="331" t="n">
        <v>7</v>
      </c>
      <c r="I9" s="331" t="n">
        <v>9</v>
      </c>
      <c r="J9" s="331" t="n">
        <v>11</v>
      </c>
      <c r="K9" s="331" t="n">
        <v>13</v>
      </c>
      <c r="L9" s="331" t="n">
        <v>15</v>
      </c>
      <c r="M9" s="331" t="n">
        <v>17</v>
      </c>
      <c r="N9" s="322" t="n">
        <v>19</v>
      </c>
      <c r="O9" s="322" t="n">
        <v>21</v>
      </c>
      <c r="P9" s="322"/>
      <c r="Q9" s="332" t="s">
        <v>579</v>
      </c>
      <c r="R9" s="323" t="s">
        <v>564</v>
      </c>
    </row>
    <row r="10" customFormat="false" ht="15" hidden="false" customHeight="true" outlineLevel="0" collapsed="false">
      <c r="A10" s="52" t="n">
        <v>5</v>
      </c>
      <c r="B10" s="333" t="s">
        <v>580</v>
      </c>
      <c r="C10" s="334" t="n">
        <v>105</v>
      </c>
      <c r="D10" s="335" t="s">
        <v>581</v>
      </c>
      <c r="E10" s="334" t="n">
        <v>28</v>
      </c>
      <c r="F10" s="336" t="n">
        <v>7</v>
      </c>
      <c r="G10" s="334" t="s">
        <v>385</v>
      </c>
      <c r="H10" s="334" t="s">
        <v>158</v>
      </c>
      <c r="I10" s="334" t="s">
        <v>161</v>
      </c>
      <c r="J10" s="334" t="s">
        <v>164</v>
      </c>
      <c r="K10" s="334" t="s">
        <v>160</v>
      </c>
      <c r="L10" s="334" t="s">
        <v>163</v>
      </c>
      <c r="M10" s="334" t="s">
        <v>159</v>
      </c>
      <c r="N10" s="318" t="s">
        <v>162</v>
      </c>
      <c r="O10" s="318"/>
      <c r="P10" s="318"/>
      <c r="Q10" s="320" t="s">
        <v>582</v>
      </c>
      <c r="R10" s="320" t="s">
        <v>564</v>
      </c>
    </row>
    <row r="11" customFormat="false" ht="15.75" hidden="false" customHeight="true" outlineLevel="0" collapsed="false">
      <c r="B11" s="337" t="s">
        <v>583</v>
      </c>
      <c r="C11" s="322" t="s">
        <v>584</v>
      </c>
      <c r="D11" s="322" t="str">
        <f aca="false">VLOOKUP(D10,NakshatraTbl,24,0)</f>
        <v>Aïgiras</v>
      </c>
      <c r="E11" s="322"/>
      <c r="F11" s="322" t="s">
        <v>585</v>
      </c>
      <c r="G11" s="322" t="s">
        <v>400</v>
      </c>
      <c r="H11" s="322" t="n">
        <v>12</v>
      </c>
      <c r="I11" s="322" t="n">
        <v>13</v>
      </c>
      <c r="J11" s="322" t="n">
        <v>14</v>
      </c>
      <c r="K11" s="322" t="n">
        <v>15</v>
      </c>
      <c r="L11" s="322" t="n">
        <v>16</v>
      </c>
      <c r="M11" s="322" t="n">
        <v>17</v>
      </c>
      <c r="N11" s="322" t="n">
        <v>18</v>
      </c>
      <c r="O11" s="322"/>
      <c r="P11" s="322"/>
      <c r="Q11" s="323" t="s">
        <v>586</v>
      </c>
      <c r="R11" s="323" t="s">
        <v>564</v>
      </c>
    </row>
    <row r="12" customFormat="false" ht="15" hidden="false" customHeight="false" outlineLevel="0" collapsed="false">
      <c r="A12" s="52" t="n">
        <v>6</v>
      </c>
      <c r="B12" s="338" t="s">
        <v>587</v>
      </c>
      <c r="C12" s="318" t="n">
        <v>100</v>
      </c>
      <c r="D12" s="329" t="s">
        <v>574</v>
      </c>
      <c r="E12" s="318" t="n">
        <v>28</v>
      </c>
      <c r="F12" s="339" t="n">
        <v>7</v>
      </c>
      <c r="G12" s="318" t="s">
        <v>385</v>
      </c>
      <c r="H12" s="318" t="s">
        <v>158</v>
      </c>
      <c r="I12" s="318" t="s">
        <v>159</v>
      </c>
      <c r="J12" s="318" t="s">
        <v>163</v>
      </c>
      <c r="K12" s="318" t="s">
        <v>161</v>
      </c>
      <c r="L12" s="318" t="s">
        <v>162</v>
      </c>
      <c r="M12" s="318" t="s">
        <v>160</v>
      </c>
      <c r="N12" s="318" t="s">
        <v>164</v>
      </c>
      <c r="O12" s="318"/>
      <c r="P12" s="318"/>
      <c r="Q12" s="320" t="s">
        <v>588</v>
      </c>
      <c r="R12" s="320" t="s">
        <v>319</v>
      </c>
    </row>
    <row r="13" customFormat="false" ht="15" hidden="false" customHeight="false" outlineLevel="0" collapsed="false">
      <c r="B13" s="337" t="s">
        <v>583</v>
      </c>
      <c r="C13" s="322" t="s">
        <v>589</v>
      </c>
      <c r="D13" s="322" t="str">
        <f aca="false">VLOOKUP(D12,NakshatraTbl,24,0)</f>
        <v>Kratu</v>
      </c>
      <c r="E13" s="322"/>
      <c r="F13" s="322" t="s">
        <v>590</v>
      </c>
      <c r="G13" s="322" t="s">
        <v>400</v>
      </c>
      <c r="H13" s="322" t="n">
        <v>5</v>
      </c>
      <c r="I13" s="322" t="n">
        <v>5</v>
      </c>
      <c r="J13" s="322" t="n">
        <v>10</v>
      </c>
      <c r="K13" s="322" t="n">
        <v>10</v>
      </c>
      <c r="L13" s="322" t="n">
        <v>20</v>
      </c>
      <c r="M13" s="322" t="n">
        <v>20</v>
      </c>
      <c r="N13" s="322" t="n">
        <v>30</v>
      </c>
      <c r="O13" s="322"/>
      <c r="P13" s="322"/>
      <c r="Q13" s="323"/>
      <c r="R13" s="323"/>
    </row>
    <row r="14" customFormat="false" ht="15" hidden="false" customHeight="false" outlineLevel="0" collapsed="false">
      <c r="A14" s="52" t="n">
        <v>7</v>
      </c>
      <c r="B14" s="338" t="s">
        <v>591</v>
      </c>
      <c r="C14" s="318" t="n">
        <v>84</v>
      </c>
      <c r="D14" s="328" t="s">
        <v>592</v>
      </c>
      <c r="E14" s="318" t="n">
        <v>28</v>
      </c>
      <c r="F14" s="339" t="n">
        <v>7</v>
      </c>
      <c r="G14" s="318" t="s">
        <v>385</v>
      </c>
      <c r="H14" s="318" t="s">
        <v>158</v>
      </c>
      <c r="I14" s="318" t="s">
        <v>159</v>
      </c>
      <c r="J14" s="318" t="s">
        <v>160</v>
      </c>
      <c r="K14" s="318" t="s">
        <v>161</v>
      </c>
      <c r="L14" s="318" t="s">
        <v>162</v>
      </c>
      <c r="M14" s="318" t="s">
        <v>163</v>
      </c>
      <c r="N14" s="318" t="s">
        <v>164</v>
      </c>
      <c r="O14" s="318"/>
      <c r="P14" s="318"/>
      <c r="Q14" s="320" t="s">
        <v>593</v>
      </c>
      <c r="R14" s="320" t="s">
        <v>161</v>
      </c>
    </row>
    <row r="15" customFormat="false" ht="15" hidden="false" customHeight="false" outlineLevel="0" collapsed="false">
      <c r="B15" s="340" t="s">
        <v>583</v>
      </c>
      <c r="C15" s="341" t="s">
        <v>594</v>
      </c>
      <c r="D15" s="322" t="str">
        <f aca="false">VLOOKUP(D14,NakshatraTbl,24,0)</f>
        <v>Marichi</v>
      </c>
      <c r="E15" s="341"/>
      <c r="F15" s="341" t="s">
        <v>595</v>
      </c>
      <c r="G15" s="341" t="s">
        <v>400</v>
      </c>
      <c r="H15" s="341" t="n">
        <v>12</v>
      </c>
      <c r="I15" s="341" t="n">
        <v>12</v>
      </c>
      <c r="J15" s="341" t="n">
        <v>12</v>
      </c>
      <c r="K15" s="341" t="n">
        <v>12</v>
      </c>
      <c r="L15" s="341" t="n">
        <v>12</v>
      </c>
      <c r="M15" s="341" t="n">
        <v>12</v>
      </c>
      <c r="N15" s="322" t="n">
        <v>12</v>
      </c>
      <c r="O15" s="322"/>
      <c r="P15" s="322"/>
      <c r="Q15" s="323"/>
      <c r="R15" s="323"/>
    </row>
    <row r="16" customFormat="false" ht="15" hidden="false" customHeight="false" outlineLevel="0" collapsed="false">
      <c r="A16" s="52" t="n">
        <v>8</v>
      </c>
      <c r="B16" s="342" t="s">
        <v>596</v>
      </c>
      <c r="C16" s="331" t="n">
        <v>72</v>
      </c>
      <c r="D16" s="343" t="s">
        <v>597</v>
      </c>
      <c r="E16" s="331" t="n">
        <v>28</v>
      </c>
      <c r="F16" s="344" t="n">
        <v>8</v>
      </c>
      <c r="G16" s="331" t="s">
        <v>385</v>
      </c>
      <c r="H16" s="331" t="s">
        <v>158</v>
      </c>
      <c r="I16" s="331" t="s">
        <v>159</v>
      </c>
      <c r="J16" s="331" t="s">
        <v>160</v>
      </c>
      <c r="K16" s="331" t="s">
        <v>161</v>
      </c>
      <c r="L16" s="331" t="s">
        <v>162</v>
      </c>
      <c r="M16" s="331" t="s">
        <v>163</v>
      </c>
      <c r="N16" s="318" t="s">
        <v>164</v>
      </c>
      <c r="O16" s="318" t="s">
        <v>165</v>
      </c>
      <c r="P16" s="318"/>
      <c r="Q16" s="320" t="s">
        <v>598</v>
      </c>
      <c r="R16" s="320" t="s">
        <v>159</v>
      </c>
    </row>
    <row r="17" customFormat="false" ht="15" hidden="false" customHeight="false" outlineLevel="0" collapsed="false">
      <c r="B17" s="326" t="s">
        <v>559</v>
      </c>
      <c r="C17" s="322" t="s">
        <v>599</v>
      </c>
      <c r="D17" s="322" t="str">
        <f aca="false">VLOOKUP(D16,NakshatraTbl,24,0)</f>
        <v>Pulastya</v>
      </c>
      <c r="E17" s="322"/>
      <c r="F17" s="322" t="s">
        <v>595</v>
      </c>
      <c r="G17" s="322" t="s">
        <v>400</v>
      </c>
      <c r="H17" s="322" t="n">
        <v>9</v>
      </c>
      <c r="I17" s="322" t="n">
        <v>9</v>
      </c>
      <c r="J17" s="322" t="n">
        <v>9</v>
      </c>
      <c r="K17" s="322" t="n">
        <v>9</v>
      </c>
      <c r="L17" s="322" t="n">
        <v>9</v>
      </c>
      <c r="M17" s="322" t="n">
        <v>9</v>
      </c>
      <c r="N17" s="322" t="n">
        <v>9</v>
      </c>
      <c r="O17" s="322" t="n">
        <v>9</v>
      </c>
      <c r="P17" s="322"/>
      <c r="Q17" s="323" t="s">
        <v>600</v>
      </c>
      <c r="R17" s="323" t="s">
        <v>564</v>
      </c>
    </row>
    <row r="18" customFormat="false" ht="15" hidden="false" customHeight="false" outlineLevel="0" collapsed="false">
      <c r="A18" s="52" t="n">
        <v>9</v>
      </c>
      <c r="B18" s="317" t="s">
        <v>601</v>
      </c>
      <c r="C18" s="318" t="n">
        <v>60</v>
      </c>
      <c r="D18" s="345" t="s">
        <v>602</v>
      </c>
      <c r="E18" s="318" t="n">
        <v>28</v>
      </c>
      <c r="F18" s="325" t="n">
        <v>8</v>
      </c>
      <c r="G18" s="318" t="s">
        <v>385</v>
      </c>
      <c r="H18" s="318" t="s">
        <v>162</v>
      </c>
      <c r="I18" s="318" t="s">
        <v>158</v>
      </c>
      <c r="J18" s="318" t="s">
        <v>160</v>
      </c>
      <c r="K18" s="318" t="s">
        <v>159</v>
      </c>
      <c r="L18" s="318" t="s">
        <v>161</v>
      </c>
      <c r="M18" s="318" t="s">
        <v>163</v>
      </c>
      <c r="N18" s="318" t="s">
        <v>164</v>
      </c>
      <c r="O18" s="318" t="s">
        <v>165</v>
      </c>
      <c r="P18" s="318"/>
      <c r="Q18" s="320" t="s">
        <v>603</v>
      </c>
      <c r="R18" s="320" t="s">
        <v>158</v>
      </c>
    </row>
    <row r="19" customFormat="false" ht="15" hidden="false" customHeight="false" outlineLevel="0" collapsed="false">
      <c r="B19" s="326" t="s">
        <v>559</v>
      </c>
      <c r="C19" s="322" t="s">
        <v>604</v>
      </c>
      <c r="D19" s="322" t="str">
        <f aca="false">VLOOKUP(D18,NakshatraTbl,24,0)</f>
        <v>Marichi</v>
      </c>
      <c r="E19" s="322" t="s">
        <v>605</v>
      </c>
      <c r="F19" s="322" t="s">
        <v>606</v>
      </c>
      <c r="G19" s="322" t="s">
        <v>400</v>
      </c>
      <c r="H19" s="322" t="n">
        <v>10</v>
      </c>
      <c r="I19" s="322" t="n">
        <v>10</v>
      </c>
      <c r="J19" s="322" t="n">
        <v>10</v>
      </c>
      <c r="K19" s="322" t="n">
        <v>6</v>
      </c>
      <c r="L19" s="322" t="n">
        <v>6</v>
      </c>
      <c r="M19" s="322" t="n">
        <v>6</v>
      </c>
      <c r="N19" s="322" t="n">
        <v>6</v>
      </c>
      <c r="O19" s="322" t="n">
        <v>6</v>
      </c>
      <c r="P19" s="322"/>
      <c r="Q19" s="323" t="s">
        <v>607</v>
      </c>
      <c r="R19" s="323" t="s">
        <v>564</v>
      </c>
    </row>
    <row r="20" customFormat="false" ht="15" hidden="false" customHeight="false" outlineLevel="0" collapsed="false">
      <c r="A20" s="52" t="n">
        <v>10</v>
      </c>
      <c r="B20" s="317" t="s">
        <v>608</v>
      </c>
      <c r="C20" s="318" t="n">
        <v>36</v>
      </c>
      <c r="D20" s="346" t="s">
        <v>609</v>
      </c>
      <c r="E20" s="318" t="n">
        <v>28</v>
      </c>
      <c r="F20" s="325" t="n">
        <v>8</v>
      </c>
      <c r="G20" s="318" t="s">
        <v>385</v>
      </c>
      <c r="H20" s="318" t="s">
        <v>159</v>
      </c>
      <c r="I20" s="318" t="s">
        <v>158</v>
      </c>
      <c r="J20" s="318" t="s">
        <v>162</v>
      </c>
      <c r="K20" s="318" t="s">
        <v>160</v>
      </c>
      <c r="L20" s="318" t="s">
        <v>161</v>
      </c>
      <c r="M20" s="318" t="s">
        <v>164</v>
      </c>
      <c r="N20" s="318" t="s">
        <v>163</v>
      </c>
      <c r="O20" s="318" t="s">
        <v>165</v>
      </c>
      <c r="P20" s="318"/>
      <c r="Q20" s="320" t="s">
        <v>610</v>
      </c>
      <c r="R20" s="320" t="s">
        <v>611</v>
      </c>
    </row>
    <row r="21" customFormat="false" ht="15" hidden="false" customHeight="false" outlineLevel="0" collapsed="false">
      <c r="B21" s="326" t="s">
        <v>559</v>
      </c>
      <c r="C21" s="322" t="s">
        <v>612</v>
      </c>
      <c r="D21" s="322" t="str">
        <f aca="false">VLOOKUP(D20,NakshatraTbl,24,0)</f>
        <v>Vashishtha</v>
      </c>
      <c r="E21" s="322"/>
      <c r="F21" s="322" t="s">
        <v>613</v>
      </c>
      <c r="G21" s="322" t="s">
        <v>400</v>
      </c>
      <c r="H21" s="347" t="n">
        <v>1</v>
      </c>
      <c r="I21" s="322" t="n">
        <v>2</v>
      </c>
      <c r="J21" s="322" t="n">
        <v>3</v>
      </c>
      <c r="K21" s="322" t="n">
        <v>4</v>
      </c>
      <c r="L21" s="322" t="n">
        <v>5</v>
      </c>
      <c r="M21" s="322" t="n">
        <v>6</v>
      </c>
      <c r="N21" s="322" t="n">
        <v>7</v>
      </c>
      <c r="O21" s="322" t="n">
        <v>8</v>
      </c>
      <c r="P21" s="322"/>
      <c r="Q21" s="323"/>
      <c r="R21" s="323"/>
    </row>
    <row r="22" customFormat="false" ht="15" hidden="false" customHeight="false" outlineLevel="0" collapsed="false">
      <c r="A22" s="52" t="n">
        <v>11</v>
      </c>
      <c r="B22" s="317" t="s">
        <v>614</v>
      </c>
      <c r="C22" s="318" t="n">
        <v>36</v>
      </c>
      <c r="D22" s="318" t="s">
        <v>557</v>
      </c>
      <c r="E22" s="318" t="n">
        <v>28</v>
      </c>
      <c r="F22" s="325" t="n">
        <v>8</v>
      </c>
      <c r="G22" s="318" t="s">
        <v>385</v>
      </c>
      <c r="H22" s="318" t="s">
        <v>159</v>
      </c>
      <c r="I22" s="318" t="s">
        <v>158</v>
      </c>
      <c r="J22" s="318" t="s">
        <v>162</v>
      </c>
      <c r="K22" s="318" t="s">
        <v>160</v>
      </c>
      <c r="L22" s="318" t="s">
        <v>161</v>
      </c>
      <c r="M22" s="318" t="s">
        <v>164</v>
      </c>
      <c r="N22" s="318" t="s">
        <v>163</v>
      </c>
      <c r="O22" s="318" t="s">
        <v>165</v>
      </c>
      <c r="P22" s="318"/>
      <c r="Q22" s="320"/>
      <c r="R22" s="320"/>
    </row>
    <row r="23" customFormat="false" ht="15" hidden="false" customHeight="false" outlineLevel="0" collapsed="false">
      <c r="B23" s="342" t="s">
        <v>614</v>
      </c>
      <c r="C23" s="331" t="n">
        <v>36</v>
      </c>
      <c r="D23" s="348" t="s">
        <v>557</v>
      </c>
      <c r="E23" s="331" t="n">
        <v>28</v>
      </c>
      <c r="F23" s="331"/>
      <c r="G23" s="331" t="s">
        <v>385</v>
      </c>
      <c r="H23" s="331" t="s">
        <v>615</v>
      </c>
      <c r="I23" s="331" t="s">
        <v>616</v>
      </c>
      <c r="J23" s="331" t="s">
        <v>617</v>
      </c>
      <c r="K23" s="331" t="s">
        <v>618</v>
      </c>
      <c r="L23" s="331" t="s">
        <v>619</v>
      </c>
      <c r="M23" s="331" t="s">
        <v>233</v>
      </c>
      <c r="N23" s="331" t="s">
        <v>620</v>
      </c>
      <c r="O23" s="331" t="s">
        <v>621</v>
      </c>
      <c r="P23" s="331"/>
      <c r="Q23" s="349"/>
      <c r="R23" s="350"/>
    </row>
    <row r="24" customFormat="false" ht="15" hidden="false" customHeight="false" outlineLevel="0" collapsed="false">
      <c r="B24" s="321" t="s">
        <v>559</v>
      </c>
      <c r="C24" s="322" t="s">
        <v>612</v>
      </c>
      <c r="D24" s="322" t="str">
        <f aca="false">VLOOKUP(D23,NakshatraTbl,24,0)</f>
        <v>Pulaha</v>
      </c>
      <c r="E24" s="322" t="s">
        <v>561</v>
      </c>
      <c r="F24" s="322"/>
      <c r="G24" s="322" t="s">
        <v>400</v>
      </c>
      <c r="H24" s="322" t="n">
        <v>1</v>
      </c>
      <c r="I24" s="322" t="n">
        <v>2</v>
      </c>
      <c r="J24" s="322" t="n">
        <v>3</v>
      </c>
      <c r="K24" s="322" t="n">
        <v>4</v>
      </c>
      <c r="L24" s="322" t="n">
        <v>5</v>
      </c>
      <c r="M24" s="322" t="n">
        <v>6</v>
      </c>
      <c r="N24" s="322" t="n">
        <v>7</v>
      </c>
      <c r="O24" s="322" t="n">
        <v>8</v>
      </c>
      <c r="P24" s="322"/>
      <c r="Q24" s="323"/>
      <c r="R24" s="323"/>
    </row>
    <row r="25" customFormat="false" ht="15" hidden="false" customHeight="false" outlineLevel="0" collapsed="false">
      <c r="A25" s="351"/>
    </row>
    <row r="26" customFormat="false" ht="15" hidden="false" customHeight="false" outlineLevel="0" collapsed="false">
      <c r="A26" s="351"/>
      <c r="D26" s="352" t="s">
        <v>622</v>
      </c>
      <c r="E26" s="352"/>
      <c r="F26" s="352"/>
      <c r="G26" s="352"/>
      <c r="H26" s="352"/>
      <c r="I26" s="352"/>
    </row>
    <row r="27" s="63" customFormat="true" ht="32.25" hidden="false" customHeight="true" outlineLevel="0" collapsed="false">
      <c r="D27" s="353" t="s">
        <v>623</v>
      </c>
      <c r="E27" s="353"/>
      <c r="F27" s="353" t="s">
        <v>624</v>
      </c>
      <c r="G27" s="353"/>
      <c r="H27" s="63" t="n">
        <v>6</v>
      </c>
      <c r="J27" s="63" t="n">
        <v>8</v>
      </c>
      <c r="L27" s="63" t="n">
        <v>10</v>
      </c>
      <c r="N27" s="63" t="n">
        <v>12</v>
      </c>
      <c r="P27" s="63" t="n">
        <v>14</v>
      </c>
      <c r="R27" s="63" t="n">
        <v>16</v>
      </c>
      <c r="T27" s="63" t="n">
        <v>18</v>
      </c>
      <c r="V27" s="354" t="n">
        <v>20</v>
      </c>
      <c r="W27" s="354"/>
      <c r="X27" s="355" t="n">
        <v>22</v>
      </c>
      <c r="Y27" s="355"/>
      <c r="Z27" s="63" t="n">
        <v>24</v>
      </c>
    </row>
    <row r="28" customFormat="false" ht="15" hidden="false" customHeight="false" outlineLevel="0" collapsed="false">
      <c r="A28" s="356"/>
      <c r="B28" s="356"/>
      <c r="C28" s="356"/>
      <c r="D28" s="357" t="s">
        <v>625</v>
      </c>
      <c r="E28" s="357"/>
      <c r="F28" s="357" t="s">
        <v>626</v>
      </c>
      <c r="G28" s="357"/>
      <c r="H28" s="357" t="s">
        <v>627</v>
      </c>
      <c r="I28" s="357"/>
      <c r="J28" s="357" t="s">
        <v>628</v>
      </c>
      <c r="K28" s="357"/>
      <c r="L28" s="357" t="s">
        <v>629</v>
      </c>
      <c r="M28" s="357"/>
      <c r="N28" s="357" t="s">
        <v>630</v>
      </c>
      <c r="O28" s="357"/>
      <c r="P28" s="357" t="s">
        <v>631</v>
      </c>
      <c r="Q28" s="357"/>
      <c r="R28" s="357" t="s">
        <v>632</v>
      </c>
      <c r="S28" s="357"/>
      <c r="T28" s="357" t="s">
        <v>633</v>
      </c>
      <c r="U28" s="357"/>
      <c r="V28" s="358" t="s">
        <v>634</v>
      </c>
      <c r="W28" s="358"/>
      <c r="X28" s="359" t="s">
        <v>635</v>
      </c>
      <c r="Y28" s="359"/>
      <c r="Z28" s="357" t="s">
        <v>636</v>
      </c>
      <c r="AA28" s="357"/>
    </row>
    <row r="29" customFormat="false" ht="15" hidden="false" customHeight="false" outlineLevel="0" collapsed="false">
      <c r="A29" s="360" t="s">
        <v>243</v>
      </c>
      <c r="B29" s="21"/>
      <c r="C29" s="21" t="s">
        <v>637</v>
      </c>
      <c r="D29" s="361" t="s">
        <v>301</v>
      </c>
      <c r="E29" s="362" t="s">
        <v>548</v>
      </c>
      <c r="F29" s="361" t="s">
        <v>301</v>
      </c>
      <c r="G29" s="362" t="s">
        <v>548</v>
      </c>
      <c r="H29" s="361" t="s">
        <v>301</v>
      </c>
      <c r="I29" s="362" t="s">
        <v>548</v>
      </c>
      <c r="J29" s="361" t="s">
        <v>301</v>
      </c>
      <c r="K29" s="362" t="s">
        <v>548</v>
      </c>
      <c r="L29" s="361" t="s">
        <v>301</v>
      </c>
      <c r="M29" s="362" t="s">
        <v>548</v>
      </c>
      <c r="N29" s="361" t="s">
        <v>301</v>
      </c>
      <c r="O29" s="362" t="s">
        <v>548</v>
      </c>
      <c r="P29" s="361" t="s">
        <v>301</v>
      </c>
      <c r="Q29" s="362" t="s">
        <v>548</v>
      </c>
      <c r="R29" s="361" t="s">
        <v>301</v>
      </c>
      <c r="S29" s="362" t="s">
        <v>548</v>
      </c>
      <c r="T29" s="361" t="s">
        <v>301</v>
      </c>
      <c r="U29" s="362" t="s">
        <v>548</v>
      </c>
      <c r="V29" s="363" t="s">
        <v>301</v>
      </c>
      <c r="W29" s="364" t="s">
        <v>548</v>
      </c>
      <c r="X29" s="365" t="s">
        <v>301</v>
      </c>
      <c r="Y29" s="366" t="s">
        <v>548</v>
      </c>
      <c r="Z29" s="361" t="s">
        <v>301</v>
      </c>
      <c r="AA29" s="362" t="s">
        <v>548</v>
      </c>
    </row>
    <row r="30" customFormat="false" ht="15" hidden="false" customHeight="false" outlineLevel="0" collapsed="false">
      <c r="A30" s="52" t="n">
        <v>1</v>
      </c>
      <c r="B30" s="52" t="s">
        <v>638</v>
      </c>
      <c r="C30" s="17" t="n">
        <v>0</v>
      </c>
      <c r="D30" s="367" t="s">
        <v>165</v>
      </c>
      <c r="E30" s="368" t="n">
        <f aca="false">12/4</f>
        <v>3</v>
      </c>
      <c r="F30" s="369" t="s">
        <v>162</v>
      </c>
      <c r="G30" s="370" t="n">
        <f aca="false">10/3</f>
        <v>3.33333333333333</v>
      </c>
      <c r="H30" s="367" t="str">
        <f aca="false">H57</f>
        <v>Venus</v>
      </c>
      <c r="I30" s="371" t="n">
        <f aca="false">I57</f>
        <v>1.75</v>
      </c>
      <c r="J30" s="372" t="s">
        <v>161</v>
      </c>
      <c r="K30" s="373" t="n">
        <f aca="false">17/4</f>
        <v>4.25</v>
      </c>
      <c r="L30" s="369" t="s">
        <v>161</v>
      </c>
      <c r="M30" s="370" t="n">
        <f aca="false">17/3</f>
        <v>5.66666666666667</v>
      </c>
      <c r="N30" s="369" t="s">
        <v>159</v>
      </c>
      <c r="O30" s="370" t="n">
        <f aca="false">21/3</f>
        <v>7</v>
      </c>
      <c r="P30" s="367" t="str">
        <f aca="false">P31</f>
        <v>Venus</v>
      </c>
      <c r="Q30" s="371" t="n">
        <f aca="false">Q31</f>
        <v>1.75</v>
      </c>
      <c r="R30" s="367" t="str">
        <f aca="false">R31</f>
        <v>Venus</v>
      </c>
      <c r="S30" s="371" t="n">
        <f aca="false">S31</f>
        <v>2.25</v>
      </c>
      <c r="T30" s="372" t="s">
        <v>163</v>
      </c>
      <c r="U30" s="373" t="n">
        <f aca="false">9/3</f>
        <v>3</v>
      </c>
      <c r="V30" s="374" t="s">
        <v>161</v>
      </c>
      <c r="W30" s="375" t="n">
        <f aca="false">9/4</f>
        <v>2.25</v>
      </c>
      <c r="X30" s="376" t="s">
        <v>160</v>
      </c>
      <c r="Y30" s="377" t="n">
        <f aca="false">9/4</f>
        <v>2.25</v>
      </c>
      <c r="Z30" s="378" t="str">
        <f aca="false">Z57</f>
        <v>Sun</v>
      </c>
      <c r="AA30" s="379" t="n">
        <f aca="false">7/3</f>
        <v>2.33333333333333</v>
      </c>
    </row>
    <row r="31" customFormat="false" ht="15" hidden="false" customHeight="false" outlineLevel="0" collapsed="false">
      <c r="A31" s="52" t="n">
        <v>2</v>
      </c>
      <c r="B31" s="52" t="s">
        <v>639</v>
      </c>
      <c r="C31" s="17" t="n">
        <f aca="false">C30+13+1/3</f>
        <v>13.3333333333333</v>
      </c>
      <c r="D31" s="367" t="s">
        <v>165</v>
      </c>
      <c r="E31" s="368" t="n">
        <f aca="false">12/4</f>
        <v>3</v>
      </c>
      <c r="F31" s="369" t="str">
        <f aca="false">F30</f>
        <v>Jupiter</v>
      </c>
      <c r="G31" s="370" t="n">
        <f aca="false">G30</f>
        <v>3.33333333333333</v>
      </c>
      <c r="H31" s="367" t="str">
        <f aca="false">H30</f>
        <v>Venus</v>
      </c>
      <c r="I31" s="371" t="n">
        <f aca="false">I30</f>
        <v>1.75</v>
      </c>
      <c r="J31" s="372" t="s">
        <v>161</v>
      </c>
      <c r="K31" s="373" t="n">
        <f aca="false">17/4</f>
        <v>4.25</v>
      </c>
      <c r="L31" s="369" t="s">
        <v>161</v>
      </c>
      <c r="M31" s="370" t="n">
        <f aca="false">17/3</f>
        <v>5.66666666666667</v>
      </c>
      <c r="N31" s="369" t="str">
        <f aca="false">N30</f>
        <v>Moon</v>
      </c>
      <c r="O31" s="370" t="n">
        <f aca="false">O30</f>
        <v>7</v>
      </c>
      <c r="P31" s="367" t="s">
        <v>163</v>
      </c>
      <c r="Q31" s="371" t="n">
        <f aca="false">7/4</f>
        <v>1.75</v>
      </c>
      <c r="R31" s="367" t="s">
        <v>163</v>
      </c>
      <c r="S31" s="371" t="n">
        <f aca="false">9/4</f>
        <v>2.25</v>
      </c>
      <c r="T31" s="372" t="str">
        <f aca="false">T32</f>
        <v>Jupiter</v>
      </c>
      <c r="U31" s="373" t="n">
        <f aca="false">9/4</f>
        <v>2.25</v>
      </c>
      <c r="V31" s="374" t="s">
        <v>161</v>
      </c>
      <c r="W31" s="375" t="n">
        <f aca="false">9/4</f>
        <v>2.25</v>
      </c>
      <c r="X31" s="376" t="s">
        <v>161</v>
      </c>
      <c r="Y31" s="377" t="n">
        <f aca="false">9/3</f>
        <v>3</v>
      </c>
      <c r="Z31" s="378" t="str">
        <f aca="false">Z30</f>
        <v>Sun</v>
      </c>
      <c r="AA31" s="379" t="n">
        <f aca="false">AA30</f>
        <v>2.33333333333333</v>
      </c>
    </row>
    <row r="32" customFormat="false" ht="15" hidden="false" customHeight="false" outlineLevel="0" collapsed="false">
      <c r="A32" s="52" t="n">
        <v>3</v>
      </c>
      <c r="B32" s="52" t="s">
        <v>640</v>
      </c>
      <c r="C32" s="17" t="n">
        <f aca="false">C31+13+1/3</f>
        <v>26.6666666666667</v>
      </c>
      <c r="D32" s="380" t="s">
        <v>163</v>
      </c>
      <c r="E32" s="381" t="n">
        <f aca="false">21/3</f>
        <v>7</v>
      </c>
      <c r="F32" s="369" t="str">
        <f aca="false">F31</f>
        <v>Jupiter</v>
      </c>
      <c r="G32" s="370" t="n">
        <f aca="false">G31</f>
        <v>3.33333333333333</v>
      </c>
      <c r="H32" s="380" t="s">
        <v>165</v>
      </c>
      <c r="I32" s="382" t="n">
        <f aca="false">7/3</f>
        <v>2.33333333333333</v>
      </c>
      <c r="J32" s="372" t="s">
        <v>161</v>
      </c>
      <c r="K32" s="373" t="n">
        <f aca="false">17/4</f>
        <v>4.25</v>
      </c>
      <c r="L32" s="369" t="s">
        <v>161</v>
      </c>
      <c r="M32" s="370" t="n">
        <f aca="false">17/3</f>
        <v>5.66666666666667</v>
      </c>
      <c r="N32" s="369" t="str">
        <f aca="false">N31</f>
        <v>Moon</v>
      </c>
      <c r="O32" s="370" t="n">
        <f aca="false">O31</f>
        <v>7</v>
      </c>
      <c r="P32" s="380" t="str">
        <f aca="false">P33</f>
        <v>Saturn</v>
      </c>
      <c r="Q32" s="382" t="n">
        <f aca="false">Q33</f>
        <v>2</v>
      </c>
      <c r="R32" s="380" t="str">
        <f aca="false">R33</f>
        <v>Jupiter</v>
      </c>
      <c r="S32" s="382" t="n">
        <f aca="false">S33</f>
        <v>3</v>
      </c>
      <c r="T32" s="372" t="str">
        <f aca="false">T33</f>
        <v>Jupiter</v>
      </c>
      <c r="U32" s="373" t="n">
        <f aca="false">U33</f>
        <v>2.25</v>
      </c>
      <c r="V32" s="374" t="s">
        <v>161</v>
      </c>
      <c r="W32" s="375" t="n">
        <f aca="false">9/4</f>
        <v>2.25</v>
      </c>
      <c r="X32" s="376" t="s">
        <v>161</v>
      </c>
      <c r="Y32" s="377" t="n">
        <f aca="false">9/3</f>
        <v>3</v>
      </c>
      <c r="Z32" s="369" t="s">
        <v>162</v>
      </c>
      <c r="AA32" s="383" t="n">
        <f aca="false">9/4</f>
        <v>2.25</v>
      </c>
    </row>
    <row r="33" customFormat="false" ht="15" hidden="false" customHeight="false" outlineLevel="0" collapsed="false">
      <c r="A33" s="52" t="n">
        <v>4</v>
      </c>
      <c r="B33" s="52" t="s">
        <v>641</v>
      </c>
      <c r="C33" s="17" t="n">
        <f aca="false">C32+13+1/3</f>
        <v>40</v>
      </c>
      <c r="D33" s="384" t="s">
        <v>163</v>
      </c>
      <c r="E33" s="385" t="n">
        <f aca="false">21/3</f>
        <v>7</v>
      </c>
      <c r="F33" s="378" t="s">
        <v>158</v>
      </c>
      <c r="G33" s="386" t="n">
        <f aca="false">10/4</f>
        <v>2.5</v>
      </c>
      <c r="H33" s="384" t="str">
        <f aca="false">H32</f>
        <v>Rahu</v>
      </c>
      <c r="I33" s="387" t="n">
        <f aca="false">I32</f>
        <v>2.33333333333333</v>
      </c>
      <c r="J33" s="372" t="s">
        <v>161</v>
      </c>
      <c r="K33" s="373" t="n">
        <f aca="false">17/4</f>
        <v>4.25</v>
      </c>
      <c r="L33" s="378" t="s">
        <v>163</v>
      </c>
      <c r="M33" s="386" t="n">
        <f aca="false">18/4</f>
        <v>4.5</v>
      </c>
      <c r="N33" s="378" t="s">
        <v>164</v>
      </c>
      <c r="O33" s="386" t="n">
        <f aca="false">19/4</f>
        <v>4.75</v>
      </c>
      <c r="P33" s="384" t="str">
        <f aca="false">P34</f>
        <v>Saturn</v>
      </c>
      <c r="Q33" s="388" t="n">
        <f aca="false">Q34</f>
        <v>2</v>
      </c>
      <c r="R33" s="384" t="str">
        <f aca="false">R34</f>
        <v>Jupiter</v>
      </c>
      <c r="S33" s="388" t="n">
        <f aca="false">S34</f>
        <v>3</v>
      </c>
      <c r="T33" s="372" t="str">
        <f aca="false">T34</f>
        <v>Jupiter</v>
      </c>
      <c r="U33" s="373" t="n">
        <f aca="false">U34</f>
        <v>2.25</v>
      </c>
      <c r="V33" s="374" t="s">
        <v>161</v>
      </c>
      <c r="W33" s="375" t="n">
        <f aca="false">9/4</f>
        <v>2.25</v>
      </c>
      <c r="X33" s="376" t="s">
        <v>161</v>
      </c>
      <c r="Y33" s="377" t="n">
        <f aca="false">9/3</f>
        <v>3</v>
      </c>
      <c r="Z33" s="369" t="str">
        <f aca="false">Z32</f>
        <v>Jupiter</v>
      </c>
      <c r="AA33" s="383" t="n">
        <f aca="false">AA32</f>
        <v>2.25</v>
      </c>
    </row>
    <row r="34" customFormat="false" ht="15" hidden="false" customHeight="false" outlineLevel="0" collapsed="false">
      <c r="A34" s="52" t="n">
        <v>5</v>
      </c>
      <c r="B34" s="52" t="s">
        <v>642</v>
      </c>
      <c r="C34" s="17" t="n">
        <f aca="false">C33+13+1/3</f>
        <v>53.3333333333333</v>
      </c>
      <c r="D34" s="389" t="s">
        <v>163</v>
      </c>
      <c r="E34" s="390" t="n">
        <f aca="false">21/3</f>
        <v>7</v>
      </c>
      <c r="F34" s="378" t="str">
        <f aca="false">F33</f>
        <v>Sun</v>
      </c>
      <c r="G34" s="386" t="n">
        <f aca="false">G33</f>
        <v>2.5</v>
      </c>
      <c r="H34" s="384" t="str">
        <f aca="false">H33</f>
        <v>Rahu</v>
      </c>
      <c r="I34" s="387" t="n">
        <f aca="false">I33</f>
        <v>2.33333333333333</v>
      </c>
      <c r="J34" s="372" t="s">
        <v>163</v>
      </c>
      <c r="K34" s="373" t="n">
        <f aca="false">18/3</f>
        <v>6</v>
      </c>
      <c r="L34" s="378" t="s">
        <v>163</v>
      </c>
      <c r="M34" s="386" t="n">
        <f aca="false">18/4</f>
        <v>4.5</v>
      </c>
      <c r="N34" s="378" t="str">
        <f aca="false">N33</f>
        <v>Saturn</v>
      </c>
      <c r="O34" s="386" t="n">
        <f aca="false">O33</f>
        <v>4.75</v>
      </c>
      <c r="P34" s="389" t="s">
        <v>164</v>
      </c>
      <c r="Q34" s="391" t="n">
        <f aca="false">6/3</f>
        <v>2</v>
      </c>
      <c r="R34" s="389" t="s">
        <v>162</v>
      </c>
      <c r="S34" s="391" t="n">
        <f aca="false">9/3</f>
        <v>3</v>
      </c>
      <c r="T34" s="372" t="s">
        <v>162</v>
      </c>
      <c r="U34" s="373" t="n">
        <f aca="false">9/4</f>
        <v>2.25</v>
      </c>
      <c r="V34" s="374" t="s">
        <v>162</v>
      </c>
      <c r="W34" s="375" t="n">
        <f aca="false">9/3</f>
        <v>3</v>
      </c>
      <c r="X34" s="376" t="s">
        <v>162</v>
      </c>
      <c r="Y34" s="377" t="n">
        <f aca="false">9/4</f>
        <v>2.25</v>
      </c>
      <c r="Z34" s="369" t="str">
        <f aca="false">Z33</f>
        <v>Jupiter</v>
      </c>
      <c r="AA34" s="383" t="n">
        <f aca="false">AA33</f>
        <v>2.25</v>
      </c>
    </row>
    <row r="35" customFormat="false" ht="15" hidden="false" customHeight="false" outlineLevel="0" collapsed="false">
      <c r="A35" s="52" t="n">
        <v>6</v>
      </c>
      <c r="B35" s="21" t="s">
        <v>557</v>
      </c>
      <c r="C35" s="17" t="n">
        <f aca="false">C34+13+1/3</f>
        <v>66.6666666666667</v>
      </c>
      <c r="D35" s="392" t="s">
        <v>158</v>
      </c>
      <c r="E35" s="393" t="n">
        <f aca="false">6/4</f>
        <v>1.5</v>
      </c>
      <c r="F35" s="378" t="str">
        <f aca="false">F34</f>
        <v>Sun</v>
      </c>
      <c r="G35" s="386" t="n">
        <f aca="false">G34</f>
        <v>2.5</v>
      </c>
      <c r="H35" s="392" t="s">
        <v>159</v>
      </c>
      <c r="I35" s="394" t="n">
        <f aca="false">1/4</f>
        <v>0.25</v>
      </c>
      <c r="J35" s="372" t="s">
        <v>163</v>
      </c>
      <c r="K35" s="373" t="n">
        <f aca="false">18/3</f>
        <v>6</v>
      </c>
      <c r="L35" s="378" t="s">
        <v>163</v>
      </c>
      <c r="M35" s="386" t="n">
        <f aca="false">18/4</f>
        <v>4.5</v>
      </c>
      <c r="N35" s="378" t="str">
        <f aca="false">N34</f>
        <v>Saturn</v>
      </c>
      <c r="O35" s="386" t="n">
        <f aca="false">O34</f>
        <v>4.75</v>
      </c>
      <c r="P35" s="395" t="str">
        <f aca="false">P36</f>
        <v>Mercury</v>
      </c>
      <c r="Q35" s="394" t="n">
        <f aca="false">Q36</f>
        <v>1.25</v>
      </c>
      <c r="R35" s="395" t="str">
        <f aca="false">R36</f>
        <v>Mercury</v>
      </c>
      <c r="S35" s="394" t="n">
        <f aca="false">S36</f>
        <v>2.25</v>
      </c>
      <c r="T35" s="372" t="str">
        <f aca="false">T36</f>
        <v>Mercury</v>
      </c>
      <c r="U35" s="373" t="n">
        <f aca="false">U36</f>
        <v>3</v>
      </c>
      <c r="V35" s="374" t="s">
        <v>162</v>
      </c>
      <c r="W35" s="375" t="n">
        <f aca="false">9/3</f>
        <v>3</v>
      </c>
      <c r="X35" s="376" t="s">
        <v>162</v>
      </c>
      <c r="Y35" s="377" t="n">
        <f aca="false">9/4</f>
        <v>2.25</v>
      </c>
      <c r="Z35" s="369" t="str">
        <f aca="false">Z34</f>
        <v>Jupiter</v>
      </c>
      <c r="AA35" s="383" t="n">
        <f aca="false">AA34</f>
        <v>2.25</v>
      </c>
    </row>
    <row r="36" customFormat="false" ht="15" hidden="false" customHeight="false" outlineLevel="0" collapsed="false">
      <c r="A36" s="52" t="n">
        <v>7</v>
      </c>
      <c r="B36" s="52" t="s">
        <v>643</v>
      </c>
      <c r="C36" s="17" t="n">
        <f aca="false">C35+13+1/3</f>
        <v>80</v>
      </c>
      <c r="D36" s="396" t="s">
        <v>158</v>
      </c>
      <c r="E36" s="368" t="n">
        <f aca="false">6/4</f>
        <v>1.5</v>
      </c>
      <c r="F36" s="378" t="str">
        <f aca="false">F35</f>
        <v>Sun</v>
      </c>
      <c r="G36" s="386" t="n">
        <f aca="false">G35</f>
        <v>2.5</v>
      </c>
      <c r="H36" s="392" t="s">
        <v>159</v>
      </c>
      <c r="I36" s="394" t="n">
        <f aca="false">1/4</f>
        <v>0.25</v>
      </c>
      <c r="J36" s="372" t="s">
        <v>163</v>
      </c>
      <c r="K36" s="373" t="n">
        <f aca="false">18/3</f>
        <v>6</v>
      </c>
      <c r="L36" s="378" t="s">
        <v>163</v>
      </c>
      <c r="M36" s="386" t="n">
        <f aca="false">18/4</f>
        <v>4.5</v>
      </c>
      <c r="N36" s="378" t="str">
        <f aca="false">N35</f>
        <v>Saturn</v>
      </c>
      <c r="O36" s="386" t="n">
        <f aca="false">O35</f>
        <v>4.75</v>
      </c>
      <c r="P36" s="367" t="str">
        <f aca="false">P37</f>
        <v>Mercury</v>
      </c>
      <c r="Q36" s="371" t="n">
        <f aca="false">Q37</f>
        <v>1.25</v>
      </c>
      <c r="R36" s="367" t="str">
        <f aca="false">R37</f>
        <v>Mercury</v>
      </c>
      <c r="S36" s="371" t="n">
        <f aca="false">S37</f>
        <v>2.25</v>
      </c>
      <c r="T36" s="372" t="str">
        <f aca="false">T37</f>
        <v>Mercury</v>
      </c>
      <c r="U36" s="373" t="n">
        <f aca="false">U37</f>
        <v>3</v>
      </c>
      <c r="V36" s="374" t="s">
        <v>162</v>
      </c>
      <c r="W36" s="375" t="n">
        <f aca="false">9/3</f>
        <v>3</v>
      </c>
      <c r="X36" s="376" t="s">
        <v>162</v>
      </c>
      <c r="Y36" s="377" t="n">
        <f aca="false">9/4</f>
        <v>2.25</v>
      </c>
      <c r="Z36" s="378" t="s">
        <v>166</v>
      </c>
      <c r="AA36" s="379" t="n">
        <f aca="false">11/3</f>
        <v>3.66666666666667</v>
      </c>
    </row>
    <row r="37" customFormat="false" ht="15" hidden="false" customHeight="false" outlineLevel="0" collapsed="false">
      <c r="A37" s="52" t="n">
        <v>8</v>
      </c>
      <c r="B37" s="52" t="s">
        <v>566</v>
      </c>
      <c r="C37" s="17" t="n">
        <f aca="false">C36+13+1/3</f>
        <v>93.3333333333333</v>
      </c>
      <c r="D37" s="396" t="s">
        <v>158</v>
      </c>
      <c r="E37" s="368" t="n">
        <f aca="false">6/4</f>
        <v>1.5</v>
      </c>
      <c r="F37" s="397" t="s">
        <v>160</v>
      </c>
      <c r="G37" s="370" t="n">
        <f aca="false">10/3</f>
        <v>3.33333333333333</v>
      </c>
      <c r="H37" s="392" t="s">
        <v>159</v>
      </c>
      <c r="I37" s="394" t="n">
        <f aca="false">1/4</f>
        <v>0.25</v>
      </c>
      <c r="J37" s="361" t="s">
        <v>158</v>
      </c>
      <c r="K37" s="373" t="n">
        <f aca="false">11/4</f>
        <v>2.75</v>
      </c>
      <c r="L37" s="397" t="s">
        <v>158</v>
      </c>
      <c r="M37" s="370" t="n">
        <f aca="false">11/3</f>
        <v>3.66666666666667</v>
      </c>
      <c r="N37" s="397" t="s">
        <v>160</v>
      </c>
      <c r="O37" s="370" t="n">
        <f aca="false">17/3</f>
        <v>5.66666666666667</v>
      </c>
      <c r="P37" s="367" t="str">
        <f aca="false">P38</f>
        <v>Mercury</v>
      </c>
      <c r="Q37" s="371" t="n">
        <f aca="false">Q38</f>
        <v>1.25</v>
      </c>
      <c r="R37" s="367" t="str">
        <f aca="false">R38</f>
        <v>Mercury</v>
      </c>
      <c r="S37" s="371" t="n">
        <f aca="false">9/4</f>
        <v>2.25</v>
      </c>
      <c r="T37" s="372" t="s">
        <v>161</v>
      </c>
      <c r="U37" s="373" t="n">
        <f aca="false">9/3</f>
        <v>3</v>
      </c>
      <c r="V37" s="374" t="s">
        <v>163</v>
      </c>
      <c r="W37" s="375" t="n">
        <f aca="false">9/4</f>
        <v>2.25</v>
      </c>
      <c r="X37" s="376" t="s">
        <v>162</v>
      </c>
      <c r="Y37" s="377" t="n">
        <f aca="false">9/4</f>
        <v>2.25</v>
      </c>
      <c r="Z37" s="378" t="str">
        <f aca="false">Z36</f>
        <v>Ketu</v>
      </c>
      <c r="AA37" s="379" t="n">
        <f aca="false">AA36</f>
        <v>3.66666666666667</v>
      </c>
    </row>
    <row r="38" customFormat="false" ht="15" hidden="false" customHeight="false" outlineLevel="0" collapsed="false">
      <c r="A38" s="52" t="n">
        <v>9</v>
      </c>
      <c r="B38" s="52" t="s">
        <v>644</v>
      </c>
      <c r="C38" s="17" t="n">
        <f aca="false">C37+13+1/3</f>
        <v>106.666666666667</v>
      </c>
      <c r="D38" s="398" t="s">
        <v>158</v>
      </c>
      <c r="E38" s="399" t="n">
        <f aca="false">6/4</f>
        <v>1.5</v>
      </c>
      <c r="F38" s="397" t="str">
        <f aca="false">F37</f>
        <v>Mars</v>
      </c>
      <c r="G38" s="370" t="n">
        <f aca="false">G37</f>
        <v>3.33333333333333</v>
      </c>
      <c r="H38" s="392" t="s">
        <v>159</v>
      </c>
      <c r="I38" s="394" t="n">
        <f aca="false">1/4</f>
        <v>0.25</v>
      </c>
      <c r="J38" s="361" t="s">
        <v>158</v>
      </c>
      <c r="K38" s="373" t="n">
        <f aca="false">11/4</f>
        <v>2.75</v>
      </c>
      <c r="L38" s="397" t="s">
        <v>158</v>
      </c>
      <c r="M38" s="370" t="n">
        <f aca="false">11/3</f>
        <v>3.66666666666667</v>
      </c>
      <c r="N38" s="397" t="str">
        <f aca="false">N37</f>
        <v>Mars</v>
      </c>
      <c r="O38" s="370" t="n">
        <f aca="false">O37</f>
        <v>5.66666666666667</v>
      </c>
      <c r="P38" s="400" t="s">
        <v>161</v>
      </c>
      <c r="Q38" s="401" t="n">
        <f aca="false">5/4</f>
        <v>1.25</v>
      </c>
      <c r="R38" s="400" t="s">
        <v>161</v>
      </c>
      <c r="S38" s="401" t="n">
        <f aca="false">9/4</f>
        <v>2.25</v>
      </c>
      <c r="T38" s="372" t="str">
        <f aca="false">T39</f>
        <v>Mars</v>
      </c>
      <c r="U38" s="373" t="n">
        <f aca="false">9/4</f>
        <v>2.25</v>
      </c>
      <c r="V38" s="374" t="s">
        <v>163</v>
      </c>
      <c r="W38" s="375" t="n">
        <f aca="false">9/4</f>
        <v>2.25</v>
      </c>
      <c r="X38" s="376" t="s">
        <v>163</v>
      </c>
      <c r="Y38" s="377" t="n">
        <f aca="false">9/3</f>
        <v>3</v>
      </c>
      <c r="Z38" s="378" t="str">
        <f aca="false">Z37</f>
        <v>Ketu</v>
      </c>
      <c r="AA38" s="379" t="n">
        <f aca="false">AA37</f>
        <v>3.66666666666667</v>
      </c>
    </row>
    <row r="39" customFormat="false" ht="15" hidden="false" customHeight="false" outlineLevel="0" collapsed="false">
      <c r="A39" s="52" t="n">
        <v>10</v>
      </c>
      <c r="B39" s="52" t="s">
        <v>645</v>
      </c>
      <c r="C39" s="17" t="n">
        <f aca="false">C38+13+1/3</f>
        <v>120</v>
      </c>
      <c r="D39" s="380" t="s">
        <v>159</v>
      </c>
      <c r="E39" s="381" t="n">
        <f aca="false">15/3</f>
        <v>5</v>
      </c>
      <c r="F39" s="397" t="str">
        <f aca="false">F38</f>
        <v>Mars</v>
      </c>
      <c r="G39" s="370" t="n">
        <f aca="false">G38</f>
        <v>3.33333333333333</v>
      </c>
      <c r="H39" s="380" t="s">
        <v>158</v>
      </c>
      <c r="I39" s="382" t="n">
        <f aca="false">1/3</f>
        <v>0.333333333333333</v>
      </c>
      <c r="J39" s="361" t="s">
        <v>158</v>
      </c>
      <c r="K39" s="373" t="n">
        <f aca="false">11/4</f>
        <v>2.75</v>
      </c>
      <c r="L39" s="397" t="s">
        <v>158</v>
      </c>
      <c r="M39" s="370" t="n">
        <f aca="false">11/3</f>
        <v>3.66666666666667</v>
      </c>
      <c r="N39" s="397" t="str">
        <f aca="false">N38</f>
        <v>Mars</v>
      </c>
      <c r="O39" s="370" t="n">
        <f aca="false">O38</f>
        <v>5.66666666666667</v>
      </c>
      <c r="P39" s="380" t="str">
        <f aca="false">P40</f>
        <v>Mars</v>
      </c>
      <c r="Q39" s="382" t="n">
        <f aca="false">Q40</f>
        <v>1.33333333333333</v>
      </c>
      <c r="R39" s="380" t="str">
        <f aca="false">R40</f>
        <v>Mars</v>
      </c>
      <c r="S39" s="382" t="n">
        <f aca="false">S40</f>
        <v>3</v>
      </c>
      <c r="T39" s="372" t="str">
        <f aca="false">T40</f>
        <v>Mars</v>
      </c>
      <c r="U39" s="373" t="n">
        <f aca="false">U40</f>
        <v>2.25</v>
      </c>
      <c r="V39" s="374" t="s">
        <v>163</v>
      </c>
      <c r="W39" s="375" t="n">
        <f aca="false">9/4</f>
        <v>2.25</v>
      </c>
      <c r="X39" s="376" t="s">
        <v>163</v>
      </c>
      <c r="Y39" s="377" t="n">
        <f aca="false">9/3</f>
        <v>3</v>
      </c>
      <c r="Z39" s="397" t="s">
        <v>161</v>
      </c>
      <c r="AA39" s="383" t="n">
        <f aca="false">13/4</f>
        <v>3.25</v>
      </c>
    </row>
    <row r="40" customFormat="false" ht="15" hidden="false" customHeight="false" outlineLevel="0" collapsed="false">
      <c r="A40" s="52" t="n">
        <v>11</v>
      </c>
      <c r="B40" s="52" t="s">
        <v>646</v>
      </c>
      <c r="C40" s="17" t="n">
        <f aca="false">C39+13+1/3</f>
        <v>133.333333333333</v>
      </c>
      <c r="D40" s="384" t="s">
        <v>159</v>
      </c>
      <c r="E40" s="385" t="n">
        <f aca="false">15/3</f>
        <v>5</v>
      </c>
      <c r="F40" s="378" t="s">
        <v>159</v>
      </c>
      <c r="G40" s="386" t="n">
        <f aca="false">6/4</f>
        <v>1.5</v>
      </c>
      <c r="H40" s="380" t="s">
        <v>158</v>
      </c>
      <c r="I40" s="382" t="n">
        <f aca="false">1/3</f>
        <v>0.333333333333333</v>
      </c>
      <c r="J40" s="361" t="s">
        <v>158</v>
      </c>
      <c r="K40" s="373" t="n">
        <f aca="false">11/4</f>
        <v>2.75</v>
      </c>
      <c r="L40" s="378" t="s">
        <v>160</v>
      </c>
      <c r="M40" s="386" t="n">
        <f aca="false">12/4</f>
        <v>3</v>
      </c>
      <c r="N40" s="378" t="s">
        <v>165</v>
      </c>
      <c r="O40" s="386" t="n">
        <f aca="false">15/4</f>
        <v>3.75</v>
      </c>
      <c r="P40" s="384" t="str">
        <f aca="false">P41</f>
        <v>Mars</v>
      </c>
      <c r="Q40" s="388" t="n">
        <f aca="false">Q41</f>
        <v>1.33333333333333</v>
      </c>
      <c r="R40" s="384" t="str">
        <f aca="false">R41</f>
        <v>Mars</v>
      </c>
      <c r="S40" s="388" t="n">
        <f aca="false">S41</f>
        <v>3</v>
      </c>
      <c r="T40" s="372" t="str">
        <f aca="false">T41</f>
        <v>Mars</v>
      </c>
      <c r="U40" s="373" t="n">
        <f aca="false">U41</f>
        <v>2.25</v>
      </c>
      <c r="V40" s="374" t="s">
        <v>163</v>
      </c>
      <c r="W40" s="375" t="n">
        <f aca="false">9/4</f>
        <v>2.25</v>
      </c>
      <c r="X40" s="376" t="s">
        <v>163</v>
      </c>
      <c r="Y40" s="377" t="n">
        <f aca="false">9/3</f>
        <v>3</v>
      </c>
      <c r="Z40" s="397" t="s">
        <v>161</v>
      </c>
      <c r="AA40" s="383" t="n">
        <f aca="false">AA39</f>
        <v>3.25</v>
      </c>
    </row>
    <row r="41" customFormat="false" ht="15" hidden="false" customHeight="false" outlineLevel="0" collapsed="false">
      <c r="A41" s="52" t="n">
        <v>12</v>
      </c>
      <c r="B41" s="52" t="s">
        <v>647</v>
      </c>
      <c r="C41" s="17" t="n">
        <f aca="false">C40+13+1/3</f>
        <v>146.666666666667</v>
      </c>
      <c r="D41" s="389" t="s">
        <v>159</v>
      </c>
      <c r="E41" s="390" t="n">
        <f aca="false">15/3</f>
        <v>5</v>
      </c>
      <c r="F41" s="378" t="str">
        <f aca="false">F40</f>
        <v>Moon</v>
      </c>
      <c r="G41" s="386" t="n">
        <f aca="false">G40</f>
        <v>1.5</v>
      </c>
      <c r="H41" s="380" t="s">
        <v>158</v>
      </c>
      <c r="I41" s="382" t="n">
        <f aca="false">1/3</f>
        <v>0.333333333333333</v>
      </c>
      <c r="J41" s="372" t="s">
        <v>160</v>
      </c>
      <c r="K41" s="373" t="n">
        <f aca="false">12/3</f>
        <v>4</v>
      </c>
      <c r="L41" s="378" t="s">
        <v>160</v>
      </c>
      <c r="M41" s="386" t="n">
        <f aca="false">12/4</f>
        <v>3</v>
      </c>
      <c r="N41" s="378" t="str">
        <f aca="false">N40</f>
        <v>Rahu</v>
      </c>
      <c r="O41" s="386" t="n">
        <f aca="false">O40</f>
        <v>3.75</v>
      </c>
      <c r="P41" s="389" t="s">
        <v>160</v>
      </c>
      <c r="Q41" s="391" t="n">
        <f aca="false">4/3</f>
        <v>1.33333333333333</v>
      </c>
      <c r="R41" s="389" t="s">
        <v>160</v>
      </c>
      <c r="S41" s="391" t="n">
        <f aca="false">9/3</f>
        <v>3</v>
      </c>
      <c r="T41" s="372" t="s">
        <v>160</v>
      </c>
      <c r="U41" s="373" t="n">
        <f aca="false">9/4</f>
        <v>2.25</v>
      </c>
      <c r="V41" s="374" t="s">
        <v>164</v>
      </c>
      <c r="W41" s="375" t="n">
        <f aca="false">9/3</f>
        <v>3</v>
      </c>
      <c r="X41" s="376" t="s">
        <v>164</v>
      </c>
      <c r="Y41" s="377" t="n">
        <f aca="false">9/4</f>
        <v>2.25</v>
      </c>
      <c r="Z41" s="397" t="s">
        <v>161</v>
      </c>
      <c r="AA41" s="383" t="n">
        <f aca="false">AA40</f>
        <v>3.25</v>
      </c>
    </row>
    <row r="42" customFormat="false" ht="15" hidden="false" customHeight="false" outlineLevel="0" collapsed="false">
      <c r="A42" s="52" t="n">
        <v>13</v>
      </c>
      <c r="B42" s="21" t="s">
        <v>648</v>
      </c>
      <c r="C42" s="17" t="n">
        <f aca="false">C41+13+1/3</f>
        <v>160</v>
      </c>
      <c r="D42" s="395" t="s">
        <v>160</v>
      </c>
      <c r="E42" s="393" t="n">
        <f aca="false">8/4</f>
        <v>2</v>
      </c>
      <c r="F42" s="378" t="str">
        <f aca="false">F41</f>
        <v>Moon</v>
      </c>
      <c r="G42" s="386" t="n">
        <f aca="false">G41</f>
        <v>1.5</v>
      </c>
      <c r="H42" s="395" t="s">
        <v>162</v>
      </c>
      <c r="I42" s="394" t="n">
        <f aca="false">3/4</f>
        <v>0.75</v>
      </c>
      <c r="J42" s="372" t="s">
        <v>160</v>
      </c>
      <c r="K42" s="373" t="n">
        <f aca="false">12/3</f>
        <v>4</v>
      </c>
      <c r="L42" s="378" t="s">
        <v>160</v>
      </c>
      <c r="M42" s="386" t="n">
        <f aca="false">12/4</f>
        <v>3</v>
      </c>
      <c r="N42" s="378" t="str">
        <f aca="false">N41</f>
        <v>Rahu</v>
      </c>
      <c r="O42" s="386" t="n">
        <f aca="false">O41</f>
        <v>3.75</v>
      </c>
      <c r="P42" s="395" t="str">
        <f aca="false">P43</f>
        <v>Jupiter</v>
      </c>
      <c r="Q42" s="394" t="n">
        <f aca="false">Q43</f>
        <v>0.75</v>
      </c>
      <c r="R42" s="395" t="str">
        <f aca="false">R43</f>
        <v>Moon</v>
      </c>
      <c r="S42" s="394" t="n">
        <f aca="false">S43</f>
        <v>2.25</v>
      </c>
      <c r="T42" s="372" t="str">
        <f aca="false">T43</f>
        <v>Moon</v>
      </c>
      <c r="U42" s="373" t="n">
        <f aca="false">U43</f>
        <v>3</v>
      </c>
      <c r="V42" s="374" t="s">
        <v>164</v>
      </c>
      <c r="W42" s="375" t="n">
        <f aca="false">9/3</f>
        <v>3</v>
      </c>
      <c r="X42" s="376" t="s">
        <v>164</v>
      </c>
      <c r="Y42" s="377" t="n">
        <f aca="false">9/4</f>
        <v>2.25</v>
      </c>
      <c r="Z42" s="397" t="s">
        <v>161</v>
      </c>
      <c r="AA42" s="383" t="n">
        <f aca="false">AA41</f>
        <v>3.25</v>
      </c>
    </row>
    <row r="43" customFormat="false" ht="15" hidden="false" customHeight="false" outlineLevel="0" collapsed="false">
      <c r="A43" s="52" t="n">
        <v>14</v>
      </c>
      <c r="B43" s="52" t="s">
        <v>649</v>
      </c>
      <c r="C43" s="17" t="n">
        <f aca="false">C42+13+1/3</f>
        <v>173.333333333333</v>
      </c>
      <c r="D43" s="367" t="s">
        <v>160</v>
      </c>
      <c r="E43" s="368" t="n">
        <f aca="false">8/4</f>
        <v>2</v>
      </c>
      <c r="F43" s="378" t="str">
        <f aca="false">F42</f>
        <v>Moon</v>
      </c>
      <c r="G43" s="386" t="n">
        <f aca="false">G42</f>
        <v>1.5</v>
      </c>
      <c r="H43" s="395" t="s">
        <v>162</v>
      </c>
      <c r="I43" s="394" t="n">
        <f aca="false">3/4</f>
        <v>0.75</v>
      </c>
      <c r="J43" s="372" t="s">
        <v>160</v>
      </c>
      <c r="K43" s="373" t="n">
        <f aca="false">12/3</f>
        <v>4</v>
      </c>
      <c r="L43" s="378" t="s">
        <v>160</v>
      </c>
      <c r="M43" s="386" t="n">
        <f aca="false">12/4</f>
        <v>3</v>
      </c>
      <c r="N43" s="378" t="str">
        <f aca="false">N42</f>
        <v>Rahu</v>
      </c>
      <c r="O43" s="386" t="n">
        <f aca="false">O42</f>
        <v>3.75</v>
      </c>
      <c r="P43" s="367" t="str">
        <f aca="false">P44</f>
        <v>Jupiter</v>
      </c>
      <c r="Q43" s="371" t="n">
        <f aca="false">Q44</f>
        <v>0.75</v>
      </c>
      <c r="R43" s="367" t="str">
        <f aca="false">R44</f>
        <v>Moon</v>
      </c>
      <c r="S43" s="371" t="n">
        <f aca="false">S44</f>
        <v>2.25</v>
      </c>
      <c r="T43" s="372" t="str">
        <f aca="false">T44</f>
        <v>Moon</v>
      </c>
      <c r="U43" s="373" t="n">
        <f aca="false">U44</f>
        <v>3</v>
      </c>
      <c r="V43" s="374" t="s">
        <v>164</v>
      </c>
      <c r="W43" s="375" t="n">
        <f aca="false">9/3</f>
        <v>3</v>
      </c>
      <c r="X43" s="376" t="s">
        <v>164</v>
      </c>
      <c r="Y43" s="377" t="n">
        <f aca="false">9/4</f>
        <v>2.25</v>
      </c>
      <c r="Z43" s="378" t="s">
        <v>165</v>
      </c>
      <c r="AA43" s="379" t="n">
        <f aca="false">15/3</f>
        <v>5</v>
      </c>
    </row>
    <row r="44" customFormat="false" ht="15" hidden="false" customHeight="false" outlineLevel="0" collapsed="false">
      <c r="A44" s="52" t="n">
        <v>15</v>
      </c>
      <c r="B44" s="52" t="s">
        <v>592</v>
      </c>
      <c r="C44" s="17" t="n">
        <f aca="false">C43+13+1/3</f>
        <v>186.666666666667</v>
      </c>
      <c r="D44" s="367" t="s">
        <v>160</v>
      </c>
      <c r="E44" s="368" t="n">
        <f aca="false">8/4</f>
        <v>2</v>
      </c>
      <c r="F44" s="397" t="s">
        <v>161</v>
      </c>
      <c r="G44" s="370" t="n">
        <f aca="false">6/3</f>
        <v>2</v>
      </c>
      <c r="H44" s="395" t="s">
        <v>162</v>
      </c>
      <c r="I44" s="394" t="n">
        <f aca="false">3/4</f>
        <v>0.75</v>
      </c>
      <c r="J44" s="372" t="s">
        <v>162</v>
      </c>
      <c r="K44" s="373" t="n">
        <f aca="false">13/4</f>
        <v>3.25</v>
      </c>
      <c r="L44" s="397" t="s">
        <v>162</v>
      </c>
      <c r="M44" s="370" t="n">
        <f aca="false">13/3</f>
        <v>4.33333333333333</v>
      </c>
      <c r="N44" s="397" t="s">
        <v>161</v>
      </c>
      <c r="O44" s="370" t="n">
        <f aca="false">13/3</f>
        <v>4.33333333333333</v>
      </c>
      <c r="P44" s="367" t="str">
        <f aca="false">P45</f>
        <v>Jupiter</v>
      </c>
      <c r="Q44" s="371" t="n">
        <f aca="false">Q45</f>
        <v>0.75</v>
      </c>
      <c r="R44" s="367" t="str">
        <f aca="false">R45</f>
        <v>Moon</v>
      </c>
      <c r="S44" s="371" t="n">
        <f aca="false">S45</f>
        <v>2.25</v>
      </c>
      <c r="T44" s="372" t="s">
        <v>159</v>
      </c>
      <c r="U44" s="373" t="n">
        <f aca="false">9/3</f>
        <v>3</v>
      </c>
      <c r="V44" s="374" t="s">
        <v>165</v>
      </c>
      <c r="W44" s="375" t="n">
        <f aca="false">9/4</f>
        <v>2.25</v>
      </c>
      <c r="X44" s="376" t="s">
        <v>164</v>
      </c>
      <c r="Y44" s="377" t="n">
        <f aca="false">9/4</f>
        <v>2.25</v>
      </c>
      <c r="Z44" s="378" t="s">
        <v>165</v>
      </c>
      <c r="AA44" s="379" t="n">
        <f aca="false">AA43</f>
        <v>5</v>
      </c>
    </row>
    <row r="45" customFormat="false" ht="15" hidden="false" customHeight="false" outlineLevel="0" collapsed="false">
      <c r="A45" s="52" t="n">
        <v>16</v>
      </c>
      <c r="B45" s="52" t="s">
        <v>650</v>
      </c>
      <c r="C45" s="17" t="n">
        <f aca="false">C44+13+1/3</f>
        <v>200</v>
      </c>
      <c r="D45" s="400" t="s">
        <v>160</v>
      </c>
      <c r="E45" s="399" t="n">
        <f aca="false">8/4</f>
        <v>2</v>
      </c>
      <c r="F45" s="397" t="str">
        <f aca="false">F44</f>
        <v>Mercury</v>
      </c>
      <c r="G45" s="370" t="n">
        <f aca="false">G44</f>
        <v>2</v>
      </c>
      <c r="H45" s="395" t="s">
        <v>162</v>
      </c>
      <c r="I45" s="394" t="n">
        <f aca="false">3/4</f>
        <v>0.75</v>
      </c>
      <c r="J45" s="372" t="s">
        <v>162</v>
      </c>
      <c r="K45" s="373" t="n">
        <f aca="false">13/4</f>
        <v>3.25</v>
      </c>
      <c r="L45" s="397" t="s">
        <v>162</v>
      </c>
      <c r="M45" s="370" t="n">
        <f aca="false">13/3</f>
        <v>4.33333333333333</v>
      </c>
      <c r="N45" s="397" t="str">
        <f aca="false">N44</f>
        <v>Mercury</v>
      </c>
      <c r="O45" s="370" t="n">
        <f aca="false">O44</f>
        <v>4.33333333333333</v>
      </c>
      <c r="P45" s="400" t="s">
        <v>162</v>
      </c>
      <c r="Q45" s="401" t="n">
        <f aca="false">3/4</f>
        <v>0.75</v>
      </c>
      <c r="R45" s="400" t="s">
        <v>159</v>
      </c>
      <c r="S45" s="401" t="n">
        <f aca="false">9/4</f>
        <v>2.25</v>
      </c>
      <c r="T45" s="361" t="str">
        <f aca="false">T46</f>
        <v>Sun</v>
      </c>
      <c r="U45" s="373" t="n">
        <f aca="false">9/4</f>
        <v>2.25</v>
      </c>
      <c r="V45" s="374" t="s">
        <v>165</v>
      </c>
      <c r="W45" s="375" t="n">
        <f aca="false">9/4</f>
        <v>2.25</v>
      </c>
      <c r="X45" s="376" t="s">
        <v>165</v>
      </c>
      <c r="Y45" s="377" t="n">
        <f aca="false">9/3</f>
        <v>3</v>
      </c>
      <c r="Z45" s="378" t="s">
        <v>165</v>
      </c>
      <c r="AA45" s="379" t="n">
        <f aca="false">AA44</f>
        <v>5</v>
      </c>
    </row>
    <row r="46" customFormat="false" ht="15" hidden="false" customHeight="false" outlineLevel="0" collapsed="false">
      <c r="A46" s="52" t="n">
        <v>17</v>
      </c>
      <c r="B46" s="52" t="s">
        <v>581</v>
      </c>
      <c r="C46" s="17" t="n">
        <f aca="false">C45+13+1/3</f>
        <v>213.333333333333</v>
      </c>
      <c r="D46" s="380" t="s">
        <v>161</v>
      </c>
      <c r="E46" s="381" t="n">
        <f aca="false">17/3</f>
        <v>5.66666666666667</v>
      </c>
      <c r="F46" s="397" t="str">
        <f aca="false">F45</f>
        <v>Mercury</v>
      </c>
      <c r="G46" s="370" t="n">
        <f aca="false">G45</f>
        <v>2</v>
      </c>
      <c r="H46" s="380" t="s">
        <v>160</v>
      </c>
      <c r="I46" s="382" t="n">
        <f aca="false">4/3</f>
        <v>1.33333333333333</v>
      </c>
      <c r="J46" s="372" t="s">
        <v>162</v>
      </c>
      <c r="K46" s="373" t="n">
        <f aca="false">13/4</f>
        <v>3.25</v>
      </c>
      <c r="L46" s="397" t="s">
        <v>162</v>
      </c>
      <c r="M46" s="370" t="n">
        <f aca="false">13/3</f>
        <v>4.33333333333333</v>
      </c>
      <c r="N46" s="397" t="str">
        <f aca="false">N45</f>
        <v>Mercury</v>
      </c>
      <c r="O46" s="370" t="n">
        <f aca="false">O45</f>
        <v>4.33333333333333</v>
      </c>
      <c r="P46" s="380" t="str">
        <f aca="false">P47</f>
        <v>Sun</v>
      </c>
      <c r="Q46" s="382" t="n">
        <f aca="false">2/3</f>
        <v>0.666666666666667</v>
      </c>
      <c r="R46" s="402" t="str">
        <f aca="false">R47</f>
        <v>Sun</v>
      </c>
      <c r="S46" s="382" t="n">
        <f aca="false">S47</f>
        <v>3</v>
      </c>
      <c r="T46" s="361" t="str">
        <f aca="false">T47</f>
        <v>Sun</v>
      </c>
      <c r="U46" s="373" t="n">
        <f aca="false">U47</f>
        <v>2.25</v>
      </c>
      <c r="V46" s="374" t="s">
        <v>165</v>
      </c>
      <c r="W46" s="375" t="n">
        <f aca="false">9/4</f>
        <v>2.25</v>
      </c>
      <c r="X46" s="376" t="s">
        <v>165</v>
      </c>
      <c r="Y46" s="377" t="n">
        <f aca="false">9/3</f>
        <v>3</v>
      </c>
      <c r="Z46" s="397" t="s">
        <v>160</v>
      </c>
      <c r="AA46" s="383" t="n">
        <f aca="false">17/4</f>
        <v>4.25</v>
      </c>
    </row>
    <row r="47" customFormat="false" ht="15" hidden="false" customHeight="false" outlineLevel="0" collapsed="false">
      <c r="A47" s="52" t="n">
        <v>18</v>
      </c>
      <c r="B47" s="52" t="s">
        <v>651</v>
      </c>
      <c r="C47" s="17" t="n">
        <f aca="false">C46+13+1/3</f>
        <v>226.666666666667</v>
      </c>
      <c r="D47" s="384" t="s">
        <v>161</v>
      </c>
      <c r="E47" s="385" t="n">
        <f aca="false">17/3</f>
        <v>5.66666666666667</v>
      </c>
      <c r="F47" s="378" t="s">
        <v>163</v>
      </c>
      <c r="G47" s="386" t="n">
        <f aca="false">6/4</f>
        <v>1.5</v>
      </c>
      <c r="H47" s="380" t="s">
        <v>160</v>
      </c>
      <c r="I47" s="382" t="n">
        <f aca="false">4/3</f>
        <v>1.33333333333333</v>
      </c>
      <c r="J47" s="372" t="s">
        <v>162</v>
      </c>
      <c r="K47" s="373" t="n">
        <f aca="false">13/4</f>
        <v>3.25</v>
      </c>
      <c r="L47" s="378" t="s">
        <v>164</v>
      </c>
      <c r="M47" s="386" t="n">
        <f aca="false">14/4</f>
        <v>3.5</v>
      </c>
      <c r="N47" s="378" t="s">
        <v>166</v>
      </c>
      <c r="O47" s="386" t="n">
        <f aca="false">11/4</f>
        <v>2.75</v>
      </c>
      <c r="P47" s="384" t="str">
        <f aca="false">P48</f>
        <v>Sun</v>
      </c>
      <c r="Q47" s="388" t="n">
        <f aca="false">Q46</f>
        <v>0.666666666666667</v>
      </c>
      <c r="R47" s="403" t="str">
        <f aca="false">R48</f>
        <v>Sun</v>
      </c>
      <c r="S47" s="388" t="n">
        <f aca="false">S48</f>
        <v>3</v>
      </c>
      <c r="T47" s="361" t="str">
        <f aca="false">T48</f>
        <v>Sun</v>
      </c>
      <c r="U47" s="373" t="n">
        <f aca="false">U48</f>
        <v>2.25</v>
      </c>
      <c r="V47" s="374" t="s">
        <v>165</v>
      </c>
      <c r="W47" s="375" t="n">
        <f aca="false">9/4</f>
        <v>2.25</v>
      </c>
      <c r="X47" s="376" t="s">
        <v>165</v>
      </c>
      <c r="Y47" s="377" t="n">
        <f aca="false">9/3</f>
        <v>3</v>
      </c>
      <c r="Z47" s="397" t="s">
        <v>160</v>
      </c>
      <c r="AA47" s="383" t="n">
        <f aca="false">AA46</f>
        <v>4.25</v>
      </c>
    </row>
    <row r="48" customFormat="false" ht="15" hidden="false" customHeight="false" outlineLevel="0" collapsed="false">
      <c r="A48" s="52" t="n">
        <v>19</v>
      </c>
      <c r="B48" s="21" t="s">
        <v>652</v>
      </c>
      <c r="C48" s="17" t="n">
        <f aca="false">C47+13+1/3</f>
        <v>240</v>
      </c>
      <c r="D48" s="389" t="s">
        <v>161</v>
      </c>
      <c r="E48" s="390" t="n">
        <f aca="false">17/3</f>
        <v>5.66666666666667</v>
      </c>
      <c r="F48" s="378" t="str">
        <f aca="false">F47</f>
        <v>Venus</v>
      </c>
      <c r="G48" s="386" t="n">
        <f aca="false">G47</f>
        <v>1.5</v>
      </c>
      <c r="H48" s="380" t="s">
        <v>160</v>
      </c>
      <c r="I48" s="382" t="n">
        <f aca="false">4/3</f>
        <v>1.33333333333333</v>
      </c>
      <c r="J48" s="372" t="s">
        <v>164</v>
      </c>
      <c r="K48" s="373" t="n">
        <f aca="false">14/3</f>
        <v>4.66666666666667</v>
      </c>
      <c r="L48" s="378" t="s">
        <v>164</v>
      </c>
      <c r="M48" s="386" t="n">
        <f aca="false">14/4</f>
        <v>3.5</v>
      </c>
      <c r="N48" s="378" t="str">
        <f aca="false">N47</f>
        <v>Ketu</v>
      </c>
      <c r="O48" s="386" t="n">
        <f aca="false">O47</f>
        <v>2.75</v>
      </c>
      <c r="P48" s="389" t="s">
        <v>158</v>
      </c>
      <c r="Q48" s="391" t="n">
        <f aca="false">Q47</f>
        <v>0.666666666666667</v>
      </c>
      <c r="R48" s="404" t="s">
        <v>158</v>
      </c>
      <c r="S48" s="391" t="n">
        <f aca="false">9/3</f>
        <v>3</v>
      </c>
      <c r="T48" s="361" t="s">
        <v>158</v>
      </c>
      <c r="U48" s="373" t="n">
        <f aca="false">9/4</f>
        <v>2.25</v>
      </c>
      <c r="V48" s="363" t="s">
        <v>158</v>
      </c>
      <c r="W48" s="375" t="n">
        <f aca="false">9/3</f>
        <v>3</v>
      </c>
      <c r="X48" s="365" t="s">
        <v>158</v>
      </c>
      <c r="Y48" s="377" t="n">
        <f aca="false">9/4</f>
        <v>2.25</v>
      </c>
      <c r="Z48" s="397" t="s">
        <v>160</v>
      </c>
      <c r="AA48" s="383" t="n">
        <f aca="false">AA47</f>
        <v>4.25</v>
      </c>
    </row>
    <row r="49" customFormat="false" ht="15" hidden="false" customHeight="false" outlineLevel="0" collapsed="false">
      <c r="A49" s="52" t="n">
        <v>20</v>
      </c>
      <c r="B49" s="21" t="s">
        <v>653</v>
      </c>
      <c r="C49" s="17" t="n">
        <f aca="false">C48+13+1/3</f>
        <v>253.333333333333</v>
      </c>
      <c r="D49" s="395" t="s">
        <v>164</v>
      </c>
      <c r="E49" s="393" t="n">
        <f aca="false">10/4</f>
        <v>2.5</v>
      </c>
      <c r="F49" s="378" t="str">
        <f aca="false">F48</f>
        <v>Venus</v>
      </c>
      <c r="G49" s="386" t="n">
        <f aca="false">G48</f>
        <v>1.5</v>
      </c>
      <c r="H49" s="395" t="s">
        <v>161</v>
      </c>
      <c r="I49" s="394" t="n">
        <f aca="false">4/4</f>
        <v>1</v>
      </c>
      <c r="J49" s="372" t="s">
        <v>164</v>
      </c>
      <c r="K49" s="373" t="n">
        <f aca="false">14/3</f>
        <v>4.66666666666667</v>
      </c>
      <c r="L49" s="378" t="s">
        <v>164</v>
      </c>
      <c r="M49" s="386" t="n">
        <f aca="false">14/4</f>
        <v>3.5</v>
      </c>
      <c r="N49" s="378" t="str">
        <f aca="false">N48</f>
        <v>Ketu</v>
      </c>
      <c r="O49" s="386" t="n">
        <f aca="false">O48</f>
        <v>2.75</v>
      </c>
      <c r="P49" s="395" t="s">
        <v>159</v>
      </c>
      <c r="Q49" s="394" t="n">
        <f aca="false">1/4</f>
        <v>0.25</v>
      </c>
      <c r="R49" s="395" t="str">
        <f aca="false">R50</f>
        <v>Rahu</v>
      </c>
      <c r="S49" s="394" t="n">
        <f aca="false">S50</f>
        <v>2.25</v>
      </c>
      <c r="T49" s="372" t="s">
        <v>165</v>
      </c>
      <c r="U49" s="373" t="n">
        <f aca="false">9/3</f>
        <v>3</v>
      </c>
      <c r="V49" s="363" t="s">
        <v>158</v>
      </c>
      <c r="W49" s="375" t="n">
        <f aca="false">9/3</f>
        <v>3</v>
      </c>
      <c r="X49" s="365" t="s">
        <v>158</v>
      </c>
      <c r="Y49" s="377" t="n">
        <f aca="false">9/4</f>
        <v>2.25</v>
      </c>
      <c r="Z49" s="397" t="s">
        <v>160</v>
      </c>
      <c r="AA49" s="383" t="n">
        <f aca="false">AA48</f>
        <v>4.25</v>
      </c>
    </row>
    <row r="50" customFormat="false" ht="15" hidden="false" customHeight="false" outlineLevel="0" collapsed="false">
      <c r="A50" s="52" t="n">
        <v>21</v>
      </c>
      <c r="B50" s="52" t="s">
        <v>654</v>
      </c>
      <c r="C50" s="17" t="n">
        <f aca="false">C49+13+1/3</f>
        <v>266.666666666667</v>
      </c>
      <c r="D50" s="367" t="s">
        <v>164</v>
      </c>
      <c r="E50" s="368" t="n">
        <f aca="false">E49</f>
        <v>2.5</v>
      </c>
      <c r="F50" s="378" t="str">
        <f aca="false">F49</f>
        <v>Venus</v>
      </c>
      <c r="G50" s="386" t="n">
        <f aca="false">G49</f>
        <v>1.5</v>
      </c>
      <c r="H50" s="367" t="str">
        <f aca="false">H49</f>
        <v>Mercury</v>
      </c>
      <c r="I50" s="371" t="n">
        <f aca="false">I49</f>
        <v>1</v>
      </c>
      <c r="J50" s="372" t="s">
        <v>164</v>
      </c>
      <c r="K50" s="373" t="n">
        <f aca="false">14/3</f>
        <v>4.66666666666667</v>
      </c>
      <c r="L50" s="378" t="s">
        <v>164</v>
      </c>
      <c r="M50" s="386" t="n">
        <f aca="false">14/4</f>
        <v>3.5</v>
      </c>
      <c r="N50" s="378" t="str">
        <f aca="false">N49</f>
        <v>Ketu</v>
      </c>
      <c r="O50" s="386" t="n">
        <f aca="false">O49</f>
        <v>2.75</v>
      </c>
      <c r="P50" s="367" t="str">
        <f aca="false">P49</f>
        <v>Moon</v>
      </c>
      <c r="Q50" s="405" t="n">
        <f aca="false">Q49</f>
        <v>0.25</v>
      </c>
      <c r="R50" s="367" t="str">
        <f aca="false">R51</f>
        <v>Rahu</v>
      </c>
      <c r="S50" s="371" t="n">
        <f aca="false">S51</f>
        <v>2.25</v>
      </c>
      <c r="T50" s="372" t="str">
        <f aca="false">T49</f>
        <v>Rahu</v>
      </c>
      <c r="U50" s="373" t="n">
        <f aca="false">U49</f>
        <v>3</v>
      </c>
      <c r="V50" s="363" t="s">
        <v>158</v>
      </c>
      <c r="W50" s="375" t="n">
        <f aca="false">9/3</f>
        <v>3</v>
      </c>
      <c r="X50" s="365" t="s">
        <v>158</v>
      </c>
      <c r="Y50" s="377" t="n">
        <f aca="false">9/4</f>
        <v>2.25</v>
      </c>
      <c r="Z50" s="378" t="s">
        <v>164</v>
      </c>
      <c r="AA50" s="379" t="n">
        <f aca="false">19/3</f>
        <v>6.33333333333333</v>
      </c>
    </row>
    <row r="51" customFormat="false" ht="15" hidden="false" customHeight="false" outlineLevel="0" collapsed="false">
      <c r="A51" s="406" t="n">
        <v>22</v>
      </c>
      <c r="B51" s="407" t="s">
        <v>655</v>
      </c>
      <c r="C51" s="408" t="n">
        <f aca="false">C50+10</f>
        <v>276.666666666667</v>
      </c>
      <c r="D51" s="395" t="s">
        <v>164</v>
      </c>
      <c r="E51" s="393" t="n">
        <f aca="false">E50*15/19</f>
        <v>1.97368421052632</v>
      </c>
      <c r="F51" s="397" t="str">
        <f aca="false">F52</f>
        <v>Saturn</v>
      </c>
      <c r="G51" s="409" t="n">
        <f aca="false">G52</f>
        <v>2</v>
      </c>
      <c r="H51" s="367" t="str">
        <f aca="false">H50</f>
        <v>Mercury</v>
      </c>
      <c r="I51" s="371" t="n">
        <f aca="false">I50</f>
        <v>1</v>
      </c>
      <c r="J51" s="406" t="s">
        <v>166</v>
      </c>
      <c r="K51" s="410" t="n">
        <f aca="false">K52*15/19</f>
        <v>2.96052631578947</v>
      </c>
      <c r="L51" s="411" t="s">
        <v>166</v>
      </c>
      <c r="M51" s="412" t="n">
        <f aca="false">M52*15/19</f>
        <v>3.94736842105263</v>
      </c>
      <c r="N51" s="397" t="str">
        <f aca="false">N52</f>
        <v>Jupiter</v>
      </c>
      <c r="O51" s="370" t="n">
        <f aca="false">O52</f>
        <v>3</v>
      </c>
      <c r="P51" s="367" t="str">
        <f aca="false">P50</f>
        <v>Moon</v>
      </c>
      <c r="Q51" s="405" t="n">
        <f aca="false">Q50</f>
        <v>0.25</v>
      </c>
      <c r="R51" s="367" t="str">
        <f aca="false">R52</f>
        <v>Rahu</v>
      </c>
      <c r="S51" s="394" t="n">
        <f aca="false">S52</f>
        <v>2.25</v>
      </c>
      <c r="T51" s="406" t="str">
        <f aca="false">T50</f>
        <v>Rahu</v>
      </c>
      <c r="U51" s="410" t="n">
        <f aca="false">U50</f>
        <v>3</v>
      </c>
      <c r="V51" s="413" t="s">
        <v>159</v>
      </c>
      <c r="W51" s="414" t="n">
        <f aca="false">W52</f>
        <v>2.25</v>
      </c>
      <c r="X51" s="415" t="s">
        <v>158</v>
      </c>
      <c r="Y51" s="416" t="n">
        <f aca="false">Y50</f>
        <v>2.25</v>
      </c>
      <c r="Z51" s="378" t="s">
        <v>164</v>
      </c>
      <c r="AA51" s="379" t="n">
        <f aca="false">AA50</f>
        <v>6.33333333333333</v>
      </c>
    </row>
    <row r="52" customFormat="false" ht="15" hidden="false" customHeight="false" outlineLevel="0" collapsed="false">
      <c r="A52" s="52" t="n">
        <v>24</v>
      </c>
      <c r="B52" s="52" t="s">
        <v>656</v>
      </c>
      <c r="C52" s="17" t="n">
        <f aca="false">(C51+(13+1/3)/4)+(13+1/3)/15</f>
        <v>280.888888888889</v>
      </c>
      <c r="D52" s="400" t="s">
        <v>164</v>
      </c>
      <c r="E52" s="399" t="n">
        <f aca="false">E50</f>
        <v>2.5</v>
      </c>
      <c r="F52" s="397" t="str">
        <f aca="false">F53</f>
        <v>Saturn</v>
      </c>
      <c r="G52" s="409" t="n">
        <f aca="false">G53</f>
        <v>2</v>
      </c>
      <c r="H52" s="367" t="str">
        <f aca="false">H51</f>
        <v>Mercury</v>
      </c>
      <c r="I52" s="401" t="n">
        <f aca="false">I50</f>
        <v>1</v>
      </c>
      <c r="J52" s="372" t="s">
        <v>166</v>
      </c>
      <c r="K52" s="373" t="n">
        <f aca="false">15/4</f>
        <v>3.75</v>
      </c>
      <c r="L52" s="397" t="s">
        <v>166</v>
      </c>
      <c r="M52" s="370" t="n">
        <f aca="false">15/3</f>
        <v>5</v>
      </c>
      <c r="N52" s="397" t="str">
        <f aca="false">N53</f>
        <v>Jupiter</v>
      </c>
      <c r="O52" s="370" t="n">
        <f aca="false">O53</f>
        <v>3</v>
      </c>
      <c r="P52" s="395" t="str">
        <f aca="false">P51</f>
        <v>Moon</v>
      </c>
      <c r="Q52" s="417" t="n">
        <f aca="false">Q50</f>
        <v>0.25</v>
      </c>
      <c r="R52" s="400" t="s">
        <v>165</v>
      </c>
      <c r="S52" s="401" t="n">
        <f aca="false">9/4</f>
        <v>2.25</v>
      </c>
      <c r="T52" s="372" t="str">
        <f aca="false">T53</f>
        <v>Saturn</v>
      </c>
      <c r="U52" s="373" t="n">
        <f aca="false">U53</f>
        <v>2.25</v>
      </c>
      <c r="V52" s="374" t="s">
        <v>159</v>
      </c>
      <c r="W52" s="375" t="n">
        <f aca="false">9/4</f>
        <v>2.25</v>
      </c>
      <c r="X52" s="376" t="s">
        <v>159</v>
      </c>
      <c r="Y52" s="377" t="n">
        <f aca="false">9/3</f>
        <v>3</v>
      </c>
      <c r="Z52" s="378" t="s">
        <v>164</v>
      </c>
      <c r="AA52" s="379" t="n">
        <f aca="false">AA51</f>
        <v>6.33333333333333</v>
      </c>
    </row>
    <row r="53" customFormat="false" ht="15" hidden="false" customHeight="false" outlineLevel="0" collapsed="false">
      <c r="A53" s="52" t="n">
        <v>25</v>
      </c>
      <c r="B53" s="52" t="s">
        <v>657</v>
      </c>
      <c r="C53" s="17" t="n">
        <f aca="false">C50+13+1/3+13+1/3</f>
        <v>293.333333333333</v>
      </c>
      <c r="D53" s="380" t="s">
        <v>162</v>
      </c>
      <c r="E53" s="381" t="n">
        <f aca="false">19/3</f>
        <v>6.33333333333333</v>
      </c>
      <c r="F53" s="397" t="s">
        <v>164</v>
      </c>
      <c r="G53" s="370" t="n">
        <f aca="false">6/3</f>
        <v>2</v>
      </c>
      <c r="H53" s="380" t="s">
        <v>164</v>
      </c>
      <c r="I53" s="382" t="n">
        <f aca="false">6/3</f>
        <v>2</v>
      </c>
      <c r="J53" s="372" t="s">
        <v>166</v>
      </c>
      <c r="K53" s="373" t="n">
        <f aca="false">15/4</f>
        <v>3.75</v>
      </c>
      <c r="L53" s="397" t="s">
        <v>166</v>
      </c>
      <c r="M53" s="370" t="n">
        <f aca="false">15/3</f>
        <v>5</v>
      </c>
      <c r="N53" s="397" t="s">
        <v>162</v>
      </c>
      <c r="O53" s="370" t="n">
        <f aca="false">9/3</f>
        <v>3</v>
      </c>
      <c r="P53" s="380" t="str">
        <f aca="false">P54</f>
        <v>Rahu</v>
      </c>
      <c r="Q53" s="382" t="n">
        <f aca="false">Q54</f>
        <v>2.66666666666667</v>
      </c>
      <c r="R53" s="380" t="str">
        <f aca="false">R54</f>
        <v>Saturn</v>
      </c>
      <c r="S53" s="382" t="n">
        <f aca="false">S54</f>
        <v>3</v>
      </c>
      <c r="T53" s="372" t="str">
        <f aca="false">T54</f>
        <v>Saturn</v>
      </c>
      <c r="U53" s="373" t="n">
        <f aca="false">U54</f>
        <v>2.25</v>
      </c>
      <c r="V53" s="374" t="s">
        <v>159</v>
      </c>
      <c r="W53" s="375" t="n">
        <f aca="false">9/4</f>
        <v>2.25</v>
      </c>
      <c r="X53" s="376" t="s">
        <v>159</v>
      </c>
      <c r="Y53" s="377" t="n">
        <f aca="false">9/3</f>
        <v>3</v>
      </c>
      <c r="Z53" s="397" t="s">
        <v>159</v>
      </c>
      <c r="AA53" s="383" t="n">
        <f aca="false">21/4</f>
        <v>5.25</v>
      </c>
    </row>
    <row r="54" customFormat="false" ht="15" hidden="false" customHeight="false" outlineLevel="0" collapsed="false">
      <c r="A54" s="52" t="n">
        <v>26</v>
      </c>
      <c r="B54" s="52" t="s">
        <v>658</v>
      </c>
      <c r="C54" s="17" t="n">
        <f aca="false">C53+13+1/3</f>
        <v>306.666666666667</v>
      </c>
      <c r="D54" s="384" t="s">
        <v>162</v>
      </c>
      <c r="E54" s="385" t="n">
        <f aca="false">19/3</f>
        <v>6.33333333333333</v>
      </c>
      <c r="F54" s="418" t="s">
        <v>165</v>
      </c>
      <c r="G54" s="386" t="n">
        <f aca="false">6/4</f>
        <v>1.5</v>
      </c>
      <c r="H54" s="384" t="str">
        <f aca="false">H53</f>
        <v>Saturn</v>
      </c>
      <c r="I54" s="388" t="n">
        <f aca="false">I53</f>
        <v>2</v>
      </c>
      <c r="J54" s="372" t="s">
        <v>166</v>
      </c>
      <c r="K54" s="373" t="n">
        <f aca="false">15/4</f>
        <v>3.75</v>
      </c>
      <c r="L54" s="418" t="s">
        <v>159</v>
      </c>
      <c r="M54" s="386" t="n">
        <f aca="false">16/4</f>
        <v>4</v>
      </c>
      <c r="N54" s="418" t="s">
        <v>158</v>
      </c>
      <c r="O54" s="386" t="n">
        <f aca="false">7/4</f>
        <v>1.75</v>
      </c>
      <c r="P54" s="384" t="str">
        <f aca="false">P55</f>
        <v>Rahu</v>
      </c>
      <c r="Q54" s="388" t="n">
        <f aca="false">Q55</f>
        <v>2.66666666666667</v>
      </c>
      <c r="R54" s="384" t="str">
        <f aca="false">R55</f>
        <v>Saturn</v>
      </c>
      <c r="S54" s="388" t="n">
        <f aca="false">S55</f>
        <v>3</v>
      </c>
      <c r="T54" s="372" t="str">
        <f aca="false">T55</f>
        <v>Saturn</v>
      </c>
      <c r="U54" s="373" t="n">
        <f aca="false">U55</f>
        <v>2.25</v>
      </c>
      <c r="V54" s="374" t="s">
        <v>159</v>
      </c>
      <c r="W54" s="375" t="n">
        <f aca="false">9/4</f>
        <v>2.25</v>
      </c>
      <c r="X54" s="376" t="s">
        <v>159</v>
      </c>
      <c r="Y54" s="377" t="n">
        <f aca="false">9/3</f>
        <v>3</v>
      </c>
      <c r="Z54" s="397" t="s">
        <v>159</v>
      </c>
      <c r="AA54" s="383" t="n">
        <f aca="false">AA53</f>
        <v>5.25</v>
      </c>
    </row>
    <row r="55" customFormat="false" ht="15" hidden="false" customHeight="false" outlineLevel="0" collapsed="false">
      <c r="A55" s="52" t="n">
        <v>27</v>
      </c>
      <c r="B55" s="52" t="s">
        <v>659</v>
      </c>
      <c r="C55" s="17" t="n">
        <f aca="false">C54+13+1/3</f>
        <v>320</v>
      </c>
      <c r="D55" s="389" t="s">
        <v>162</v>
      </c>
      <c r="E55" s="390" t="n">
        <f aca="false">19/3</f>
        <v>6.33333333333333</v>
      </c>
      <c r="F55" s="378" t="str">
        <f aca="false">F54</f>
        <v>Rahu</v>
      </c>
      <c r="G55" s="386" t="n">
        <f aca="false">G54</f>
        <v>1.5</v>
      </c>
      <c r="H55" s="384" t="str">
        <f aca="false">H54</f>
        <v>Saturn</v>
      </c>
      <c r="I55" s="391" t="n">
        <f aca="false">I54</f>
        <v>2</v>
      </c>
      <c r="J55" s="372" t="s">
        <v>159</v>
      </c>
      <c r="K55" s="373" t="n">
        <f aca="false">16/3</f>
        <v>5.33333333333333</v>
      </c>
      <c r="L55" s="378" t="s">
        <v>159</v>
      </c>
      <c r="M55" s="386" t="n">
        <f aca="false">16/4</f>
        <v>4</v>
      </c>
      <c r="N55" s="378" t="str">
        <f aca="false">N54</f>
        <v>Sun</v>
      </c>
      <c r="O55" s="386" t="n">
        <f aca="false">O54</f>
        <v>1.75</v>
      </c>
      <c r="P55" s="389" t="s">
        <v>165</v>
      </c>
      <c r="Q55" s="391" t="n">
        <f aca="false">8/3</f>
        <v>2.66666666666667</v>
      </c>
      <c r="R55" s="389" t="s">
        <v>164</v>
      </c>
      <c r="S55" s="391" t="n">
        <v>3</v>
      </c>
      <c r="T55" s="372" t="s">
        <v>164</v>
      </c>
      <c r="U55" s="373" t="n">
        <f aca="false">9/4</f>
        <v>2.25</v>
      </c>
      <c r="V55" s="374" t="s">
        <v>160</v>
      </c>
      <c r="W55" s="375" t="n">
        <v>3</v>
      </c>
      <c r="X55" s="376" t="s">
        <v>160</v>
      </c>
      <c r="Y55" s="377" t="n">
        <f aca="false">9/4</f>
        <v>2.25</v>
      </c>
      <c r="Z55" s="397" t="s">
        <v>159</v>
      </c>
      <c r="AA55" s="383" t="n">
        <f aca="false">AA54</f>
        <v>5.25</v>
      </c>
    </row>
    <row r="56" customFormat="false" ht="15" hidden="false" customHeight="false" outlineLevel="0" collapsed="false">
      <c r="A56" s="52" t="n">
        <v>28</v>
      </c>
      <c r="B56" s="21" t="s">
        <v>660</v>
      </c>
      <c r="C56" s="17" t="n">
        <f aca="false">C55+13+1/3</f>
        <v>333.333333333333</v>
      </c>
      <c r="D56" s="367" t="s">
        <v>165</v>
      </c>
      <c r="E56" s="368" t="n">
        <f aca="false">12/4</f>
        <v>3</v>
      </c>
      <c r="F56" s="378" t="str">
        <f aca="false">F55</f>
        <v>Rahu</v>
      </c>
      <c r="G56" s="386" t="n">
        <f aca="false">G55</f>
        <v>1.5</v>
      </c>
      <c r="H56" s="367" t="s">
        <v>163</v>
      </c>
      <c r="I56" s="371" t="n">
        <f aca="false">7/4</f>
        <v>1.75</v>
      </c>
      <c r="J56" s="372" t="s">
        <v>159</v>
      </c>
      <c r="K56" s="373" t="n">
        <f aca="false">16/3</f>
        <v>5.33333333333333</v>
      </c>
      <c r="L56" s="378" t="s">
        <v>159</v>
      </c>
      <c r="M56" s="386" t="n">
        <f aca="false">16/4</f>
        <v>4</v>
      </c>
      <c r="N56" s="378" t="str">
        <f aca="false">N55</f>
        <v>Sun</v>
      </c>
      <c r="O56" s="386" t="n">
        <f aca="false">O55</f>
        <v>1.75</v>
      </c>
      <c r="P56" s="367" t="str">
        <f aca="false">P57</f>
        <v>Venus</v>
      </c>
      <c r="Q56" s="371" t="n">
        <f aca="false">Q57</f>
        <v>1.75</v>
      </c>
      <c r="R56" s="367" t="str">
        <f aca="false">R57</f>
        <v>Venus</v>
      </c>
      <c r="S56" s="371" t="n">
        <f aca="false">S57</f>
        <v>2.25</v>
      </c>
      <c r="T56" s="372" t="str">
        <f aca="false">T57</f>
        <v>Venus</v>
      </c>
      <c r="U56" s="373" t="n">
        <f aca="false">U57</f>
        <v>3</v>
      </c>
      <c r="V56" s="374" t="s">
        <v>160</v>
      </c>
      <c r="W56" s="375" t="n">
        <v>3</v>
      </c>
      <c r="X56" s="376" t="s">
        <v>160</v>
      </c>
      <c r="Y56" s="377" t="n">
        <f aca="false">9/4</f>
        <v>2.25</v>
      </c>
      <c r="Z56" s="397" t="s">
        <v>159</v>
      </c>
      <c r="AA56" s="383" t="n">
        <f aca="false">AA55</f>
        <v>5.25</v>
      </c>
    </row>
    <row r="57" customFormat="false" ht="15" hidden="false" customHeight="false" outlineLevel="0" collapsed="false">
      <c r="A57" s="52" t="n">
        <v>29</v>
      </c>
      <c r="B57" s="52" t="s">
        <v>574</v>
      </c>
      <c r="C57" s="17" t="n">
        <f aca="false">C56+13+1/3</f>
        <v>346.666666666667</v>
      </c>
      <c r="D57" s="367" t="s">
        <v>165</v>
      </c>
      <c r="E57" s="368" t="n">
        <f aca="false">12/4</f>
        <v>3</v>
      </c>
      <c r="F57" s="378" t="str">
        <f aca="false">F56</f>
        <v>Rahu</v>
      </c>
      <c r="G57" s="386" t="n">
        <f aca="false">G56</f>
        <v>1.5</v>
      </c>
      <c r="H57" s="367" t="str">
        <f aca="false">H56</f>
        <v>Venus</v>
      </c>
      <c r="I57" s="371" t="n">
        <f aca="false">I56</f>
        <v>1.75</v>
      </c>
      <c r="J57" s="372" t="s">
        <v>159</v>
      </c>
      <c r="K57" s="373" t="n">
        <f aca="false">16/3</f>
        <v>5.33333333333333</v>
      </c>
      <c r="L57" s="378" t="s">
        <v>159</v>
      </c>
      <c r="M57" s="386" t="n">
        <f aca="false">16/4</f>
        <v>4</v>
      </c>
      <c r="N57" s="378" t="str">
        <f aca="false">N56</f>
        <v>Sun</v>
      </c>
      <c r="O57" s="386" t="n">
        <f aca="false">O56</f>
        <v>1.75</v>
      </c>
      <c r="P57" s="367" t="str">
        <f aca="false">P31</f>
        <v>Venus</v>
      </c>
      <c r="Q57" s="371" t="n">
        <f aca="false">Q31</f>
        <v>1.75</v>
      </c>
      <c r="R57" s="367" t="str">
        <f aca="false">R30</f>
        <v>Venus</v>
      </c>
      <c r="S57" s="371" t="n">
        <f aca="false">S30</f>
        <v>2.25</v>
      </c>
      <c r="T57" s="372" t="str">
        <f aca="false">T30</f>
        <v>Venus</v>
      </c>
      <c r="U57" s="373" t="n">
        <f aca="false">U30</f>
        <v>3</v>
      </c>
      <c r="V57" s="374" t="s">
        <v>160</v>
      </c>
      <c r="W57" s="375" t="n">
        <v>3</v>
      </c>
      <c r="X57" s="376" t="s">
        <v>160</v>
      </c>
      <c r="Y57" s="377" t="n">
        <f aca="false">9/4</f>
        <v>2.25</v>
      </c>
      <c r="Z57" s="378" t="s">
        <v>158</v>
      </c>
      <c r="AA57" s="379" t="n">
        <f aca="false">7/3</f>
        <v>2.33333333333333</v>
      </c>
    </row>
    <row r="58" customFormat="false" ht="15" hidden="false" customHeight="false" outlineLevel="0" collapsed="false">
      <c r="B58" s="21" t="s">
        <v>320</v>
      </c>
      <c r="C58" s="159" t="n">
        <f aca="false">C57+13+1/3</f>
        <v>360</v>
      </c>
      <c r="D58" s="419" t="n">
        <v>108</v>
      </c>
      <c r="E58" s="420" t="n">
        <f aca="false">SUM(E30:E57)</f>
        <v>107.473684210526</v>
      </c>
      <c r="F58" s="419" t="n">
        <v>60</v>
      </c>
      <c r="G58" s="420" t="n">
        <f aca="false">SUM(G30:G57)</f>
        <v>60</v>
      </c>
      <c r="H58" s="419" t="n">
        <v>108</v>
      </c>
      <c r="I58" s="421" t="n">
        <f aca="false">SUM(I30:I57)</f>
        <v>33</v>
      </c>
      <c r="J58" s="419" t="n">
        <v>116</v>
      </c>
      <c r="K58" s="421" t="n">
        <f aca="false">SUM(K30:K57)</f>
        <v>115.210526315789</v>
      </c>
      <c r="L58" s="419" t="n">
        <v>116</v>
      </c>
      <c r="M58" s="420" t="n">
        <f aca="false">SUM(M30:M57)</f>
        <v>114.947368421053</v>
      </c>
      <c r="N58" s="419" t="n">
        <v>60</v>
      </c>
      <c r="O58" s="420" t="n">
        <f aca="false">SUM(O30:O57)</f>
        <v>112</v>
      </c>
      <c r="P58" s="422" t="n">
        <f aca="false">Q58</f>
        <v>36</v>
      </c>
      <c r="Q58" s="421" t="n">
        <f aca="false">SUM(Q30:Q57)</f>
        <v>36</v>
      </c>
      <c r="R58" s="419" t="n">
        <v>72</v>
      </c>
      <c r="S58" s="420" t="n">
        <f aca="false">SUM(S30:S57)</f>
        <v>72</v>
      </c>
      <c r="T58" s="419" t="n">
        <v>72</v>
      </c>
      <c r="U58" s="420" t="n">
        <f aca="false">SUM(U30:U57)</f>
        <v>72</v>
      </c>
      <c r="V58" s="423" t="n">
        <v>72</v>
      </c>
      <c r="W58" s="424" t="n">
        <f aca="false">SUM(W30:W57)</f>
        <v>72</v>
      </c>
      <c r="X58" s="425" t="n">
        <v>72</v>
      </c>
      <c r="Y58" s="426" t="n">
        <f aca="false">SUM(Y30:Y57)</f>
        <v>72</v>
      </c>
      <c r="Z58" s="419" t="n">
        <v>60</v>
      </c>
      <c r="AA58" s="421" t="n">
        <f aca="false">SUM(AA30:AA57)</f>
        <v>112</v>
      </c>
    </row>
    <row r="59" customFormat="false" ht="15" hidden="false" customHeight="false" outlineLevel="0" collapsed="false">
      <c r="A59" s="52" t="n">
        <f aca="false">DaysInYear</f>
        <v>365.254872685182</v>
      </c>
      <c r="C59" s="159"/>
    </row>
    <row r="60" customFormat="false" ht="15" hidden="false" customHeight="false" outlineLevel="0" collapsed="false">
      <c r="A60" s="427"/>
      <c r="B60" s="428" t="s">
        <v>454</v>
      </c>
      <c r="C60" s="429" t="n">
        <v>27451</v>
      </c>
      <c r="D60" s="428" t="s">
        <v>661</v>
      </c>
      <c r="E60" s="428"/>
      <c r="F60" s="428"/>
      <c r="G60" s="430"/>
      <c r="I60" s="427"/>
      <c r="J60" s="428"/>
      <c r="K60" s="428"/>
      <c r="L60" s="428"/>
      <c r="M60" s="428"/>
      <c r="N60" s="428"/>
      <c r="O60" s="430"/>
      <c r="Q60" s="427"/>
      <c r="R60" s="428"/>
      <c r="S60" s="428"/>
      <c r="T60" s="428"/>
      <c r="U60" s="428"/>
      <c r="V60" s="428"/>
      <c r="W60" s="430"/>
    </row>
    <row r="61" customFormat="false" ht="15" hidden="false" customHeight="false" outlineLevel="0" collapsed="false">
      <c r="A61" s="431"/>
      <c r="B61" s="52" t="s">
        <v>662</v>
      </c>
      <c r="C61" s="432" t="n">
        <v>20</v>
      </c>
      <c r="D61" s="52" t="s">
        <v>663</v>
      </c>
      <c r="G61" s="433"/>
      <c r="I61" s="431"/>
      <c r="J61" s="356" t="s">
        <v>664</v>
      </c>
      <c r="L61" s="356" t="s">
        <v>447</v>
      </c>
      <c r="M61" s="356" t="s">
        <v>400</v>
      </c>
      <c r="N61" s="356" t="s">
        <v>454</v>
      </c>
      <c r="O61" s="433"/>
      <c r="Q61" s="431"/>
      <c r="R61" s="356" t="s">
        <v>665</v>
      </c>
      <c r="T61" s="356" t="s">
        <v>666</v>
      </c>
      <c r="U61" s="356" t="s">
        <v>400</v>
      </c>
      <c r="V61" s="356" t="s">
        <v>454</v>
      </c>
      <c r="W61" s="433"/>
    </row>
    <row r="62" customFormat="false" ht="15" hidden="false" customHeight="false" outlineLevel="0" collapsed="false">
      <c r="A62" s="431"/>
      <c r="B62" s="52" t="s">
        <v>667</v>
      </c>
      <c r="C62" s="432" t="n">
        <v>133.474</v>
      </c>
      <c r="D62" s="52" t="s">
        <v>668</v>
      </c>
      <c r="G62" s="433"/>
      <c r="I62" s="431"/>
      <c r="J62" s="52" t="n">
        <f aca="false">VLOOKUP("&gt;",MahaDasaTable,2,0)</f>
        <v>10</v>
      </c>
      <c r="K62" s="434" t="n">
        <f aca="false">VLOOKUP("&gt;",MahaDasaTable,3,0)</f>
        <v>1</v>
      </c>
      <c r="L62" s="435" t="str">
        <f aca="false">VLOOKUP("&gt;",MahaDasaTable,4,0)</f>
        <v>Venus</v>
      </c>
      <c r="M62" s="52" t="n">
        <f aca="false">VLOOKUP("&gt;",MahaDasaTable,5,0)*M63</f>
        <v>9</v>
      </c>
      <c r="N62" s="435" t="n">
        <f aca="false">VLOOKUP("&gt;",MahaDasaTable,6,0)</f>
        <v>52918.8571322511</v>
      </c>
      <c r="O62" s="436"/>
      <c r="Q62" s="431"/>
      <c r="R62" s="52" t="n">
        <f aca="false">VLOOKUP("&gt;",I66:O95,2,0)</f>
        <v>20</v>
      </c>
      <c r="S62" s="52" t="n">
        <f aca="false">VLOOKUP("&gt;",I66:O95,3,0)</f>
        <v>0.125</v>
      </c>
      <c r="T62" s="435" t="str">
        <f aca="false">VLOOKUP("&gt;",I66:O95,4,0)</f>
        <v>Sun</v>
      </c>
      <c r="U62" s="52" t="n">
        <f aca="false">VLOOKUP("&gt;",I66:O95,5,0)*U63</f>
        <v>1.125</v>
      </c>
      <c r="V62" s="435" t="n">
        <f aca="false">VLOOKUP("&gt;",I66:O95,6,0)</f>
        <v>54083.1070389351</v>
      </c>
      <c r="W62" s="436" t="n">
        <f aca="false">VLOOKUP("&gt;",I66:O95,7,0)</f>
        <v>54220.077616192</v>
      </c>
    </row>
    <row r="63" customFormat="false" ht="30" hidden="false" customHeight="true" outlineLevel="0" collapsed="false">
      <c r="A63" s="431"/>
      <c r="B63" s="52" t="s">
        <v>669</v>
      </c>
      <c r="C63" s="437" t="str">
        <f aca="false">INDEX(C28:AL28,1,C61)</f>
        <v>Dwisaptati-Moola3F</v>
      </c>
      <c r="D63" s="437"/>
      <c r="E63" s="438" t="n">
        <f aca="false">INDEX(DasaSpans,29,$C$61+1)</f>
        <v>72</v>
      </c>
      <c r="F63" s="52" t="s">
        <v>306</v>
      </c>
      <c r="G63" s="439"/>
      <c r="I63" s="431"/>
      <c r="J63" s="356" t="s">
        <v>670</v>
      </c>
      <c r="K63" s="356" t="s">
        <v>385</v>
      </c>
      <c r="M63" s="432" t="n">
        <f aca="false">COUNTIF($D$66:$D$93,L62)</f>
        <v>4</v>
      </c>
      <c r="N63" s="440" t="s">
        <v>671</v>
      </c>
      <c r="O63" s="441"/>
      <c r="Q63" s="431"/>
      <c r="R63" s="356" t="s">
        <v>672</v>
      </c>
      <c r="S63" s="356" t="s">
        <v>385</v>
      </c>
      <c r="U63" s="432" t="n">
        <f aca="false">COUNTIF($D$66:$D$93,T62)</f>
        <v>3</v>
      </c>
      <c r="V63" s="440" t="s">
        <v>671</v>
      </c>
      <c r="W63" s="441"/>
    </row>
    <row r="64" customFormat="false" ht="15" hidden="false" customHeight="false" outlineLevel="0" collapsed="false">
      <c r="A64" s="431"/>
      <c r="B64" s="52" t="s">
        <v>673</v>
      </c>
      <c r="C64" s="442" t="n">
        <v>1</v>
      </c>
      <c r="D64" s="52" t="s">
        <v>674</v>
      </c>
      <c r="G64" s="433"/>
      <c r="I64" s="431"/>
      <c r="J64" s="432" t="n">
        <v>0</v>
      </c>
      <c r="K64" s="432" t="n">
        <v>1</v>
      </c>
      <c r="L64" s="52" t="s">
        <v>675</v>
      </c>
      <c r="O64" s="433"/>
      <c r="Q64" s="431"/>
      <c r="R64" s="432" t="n">
        <v>0</v>
      </c>
      <c r="S64" s="432" t="n">
        <v>1</v>
      </c>
      <c r="W64" s="433"/>
    </row>
    <row r="65" customFormat="false" ht="15" hidden="false" customHeight="false" outlineLevel="0" collapsed="false">
      <c r="A65" s="443"/>
      <c r="B65" s="444" t="s">
        <v>140</v>
      </c>
      <c r="C65" s="444" t="s">
        <v>676</v>
      </c>
      <c r="D65" s="444" t="s">
        <v>447</v>
      </c>
      <c r="E65" s="444" t="s">
        <v>548</v>
      </c>
      <c r="F65" s="444" t="s">
        <v>677</v>
      </c>
      <c r="G65" s="445" t="s">
        <v>678</v>
      </c>
      <c r="H65" s="446" t="s">
        <v>679</v>
      </c>
      <c r="I65" s="431"/>
      <c r="J65" s="52" t="s">
        <v>680</v>
      </c>
      <c r="K65" s="52" t="s">
        <v>681</v>
      </c>
      <c r="L65" s="52" t="s">
        <v>447</v>
      </c>
      <c r="M65" s="52" t="s">
        <v>548</v>
      </c>
      <c r="N65" s="52" t="s">
        <v>454</v>
      </c>
      <c r="O65" s="433" t="s">
        <v>455</v>
      </c>
      <c r="Q65" s="431"/>
      <c r="R65" s="52" t="s">
        <v>680</v>
      </c>
      <c r="W65" s="433"/>
    </row>
    <row r="66" customFormat="false" ht="15" hidden="false" customHeight="false" outlineLevel="0" collapsed="false">
      <c r="A66" s="443"/>
      <c r="B66" s="446" t="n">
        <f aca="false">MATCH(C62,NakshatraSpan,1)</f>
        <v>11</v>
      </c>
      <c r="C66" s="447" t="n">
        <f aca="false">(1-(C62-INDEX(NakshatraSpan,B66))/(INDEX(NakshatraSpan,B66+1)-INDEX(NakshatraSpan,B66)))*C64</f>
        <v>0.989449999999976</v>
      </c>
      <c r="D66" s="448" t="str">
        <f aca="false">INDEX(DasaSpans,B66,$C$61)</f>
        <v>Venus</v>
      </c>
      <c r="E66" s="447" t="n">
        <f aca="false">INDEX(DasaSpans,B66,$C$61+1)*C66</f>
        <v>2.22626249999995</v>
      </c>
      <c r="F66" s="449" t="n">
        <f aca="false">C60</f>
        <v>27451</v>
      </c>
      <c r="G66" s="450" t="n">
        <f aca="false">F66+E66*Year+G63</f>
        <v>28264.1532260013</v>
      </c>
      <c r="H66" s="447" t="n">
        <f aca="false">SUM($E$66:E66)</f>
        <v>2.22626249999995</v>
      </c>
      <c r="I66" s="443"/>
      <c r="J66" s="52" t="n">
        <f aca="false">MOD(MOD(J62,28)+J64-1,28)+1</f>
        <v>10</v>
      </c>
      <c r="K66" s="438" t="n">
        <f aca="false">M62/INDEX(DasaSpans,29,$C$61)</f>
        <v>0.125</v>
      </c>
      <c r="L66" s="52" t="str">
        <f aca="false">INDEX(DasaSpans,J66,$C$61)</f>
        <v>Venus</v>
      </c>
      <c r="M66" s="438" t="n">
        <f aca="false">INDEX(DasaSpans,J66,$C$61+1)*K66</f>
        <v>0.28125</v>
      </c>
      <c r="N66" s="435" t="n">
        <f aca="false">N62</f>
        <v>52918.8571322511</v>
      </c>
      <c r="O66" s="436" t="n">
        <f aca="false">N66+M66*Year</f>
        <v>53021.5850651938</v>
      </c>
      <c r="P66" s="52" t="n">
        <f aca="false">COUNTIF(L63:L70,L66)</f>
        <v>2</v>
      </c>
      <c r="Q66" s="431"/>
      <c r="R66" s="52" t="n">
        <f aca="false">MOD(MOD(R62,28)+R64-1,28)+1</f>
        <v>20</v>
      </c>
      <c r="S66" s="438" t="n">
        <f aca="false">U62/INDEX(DasaSpans,29,$C$61)</f>
        <v>0.015625</v>
      </c>
      <c r="T66" s="52" t="str">
        <f aca="false">INDEX(DasaSpans,R66,$C$61)</f>
        <v>Sun</v>
      </c>
      <c r="U66" s="438" t="n">
        <f aca="false">INDEX(DasaSpans,R66,$C$61+1)*S66</f>
        <v>0.046875</v>
      </c>
      <c r="V66" s="435" t="n">
        <f aca="false">V62</f>
        <v>54083.1070389351</v>
      </c>
      <c r="W66" s="436" t="n">
        <f aca="false">V66+U66*Year</f>
        <v>54100.2283610922</v>
      </c>
    </row>
    <row r="67" customFormat="false" ht="15" hidden="false" customHeight="false" outlineLevel="0" collapsed="false">
      <c r="A67" s="443"/>
      <c r="B67" s="446" t="n">
        <f aca="false">MOD(B66,28)+1</f>
        <v>12</v>
      </c>
      <c r="C67" s="446" t="n">
        <f aca="false">$C$64</f>
        <v>1</v>
      </c>
      <c r="D67" s="448" t="str">
        <f aca="false">INDEX(DasaSpans,B67,$C$61)</f>
        <v>Saturn</v>
      </c>
      <c r="E67" s="447" t="n">
        <f aca="false">INDEX(DasaSpans,B67,$C$61+1)*C67</f>
        <v>3</v>
      </c>
      <c r="F67" s="451" t="n">
        <f aca="false">G66</f>
        <v>28264.1532260013</v>
      </c>
      <c r="G67" s="450" t="n">
        <f aca="false">F67+E67*Year</f>
        <v>29359.9178440568</v>
      </c>
      <c r="H67" s="447" t="n">
        <f aca="false">SUM($E$66:E67)</f>
        <v>5.22626249999995</v>
      </c>
      <c r="I67" s="443"/>
      <c r="J67" s="52" t="n">
        <f aca="false">MOD(MOD(J66+28,28)+$K$64-1,28)+1</f>
        <v>11</v>
      </c>
      <c r="K67" s="438" t="n">
        <f aca="false">K66</f>
        <v>0.125</v>
      </c>
      <c r="L67" s="52" t="str">
        <f aca="false">INDEX(DasaSpans,J67,$C$61)</f>
        <v>Venus</v>
      </c>
      <c r="M67" s="438" t="n">
        <f aca="false">INDEX(DasaSpans,J67,$C$61+1)*K67</f>
        <v>0.28125</v>
      </c>
      <c r="N67" s="435" t="n">
        <f aca="false">O66</f>
        <v>53021.5850651938</v>
      </c>
      <c r="O67" s="436" t="n">
        <f aca="false">N67+M67*Year</f>
        <v>53124.3129981365</v>
      </c>
      <c r="P67" s="52" t="n">
        <f aca="false">COUNTIF(L64:L71,L67)</f>
        <v>2</v>
      </c>
      <c r="Q67" s="431"/>
      <c r="R67" s="52" t="n">
        <f aca="false">MOD(MOD(R66+28,28)+S$64-1,28)+1</f>
        <v>21</v>
      </c>
      <c r="S67" s="438" t="n">
        <f aca="false">S66</f>
        <v>0.015625</v>
      </c>
      <c r="T67" s="52" t="str">
        <f aca="false">INDEX(DasaSpans,R67,$C$61)</f>
        <v>Sun</v>
      </c>
      <c r="U67" s="438" t="n">
        <f aca="false">INDEX(DasaSpans,R67,$C$61+1)*S67</f>
        <v>0.046875</v>
      </c>
      <c r="V67" s="435" t="n">
        <f aca="false">W66</f>
        <v>54100.2283610922</v>
      </c>
      <c r="W67" s="436" t="n">
        <f aca="false">V67+U67*Year</f>
        <v>54117.3496832493</v>
      </c>
    </row>
    <row r="68" customFormat="false" ht="15" hidden="false" customHeight="false" outlineLevel="0" collapsed="false">
      <c r="A68" s="443"/>
      <c r="B68" s="446" t="n">
        <f aca="false">MOD(B67,28)+1</f>
        <v>13</v>
      </c>
      <c r="C68" s="446" t="n">
        <f aca="false">$C$64</f>
        <v>1</v>
      </c>
      <c r="D68" s="448" t="str">
        <f aca="false">INDEX(DasaSpans,B68,$C$61)</f>
        <v>Saturn</v>
      </c>
      <c r="E68" s="447" t="n">
        <f aca="false">INDEX(DasaSpans,B68,$C$61+1)*C68</f>
        <v>3</v>
      </c>
      <c r="F68" s="451" t="n">
        <f aca="false">G67</f>
        <v>29359.9178440568</v>
      </c>
      <c r="G68" s="450" t="n">
        <f aca="false">F68+E68*Year</f>
        <v>30455.6824621124</v>
      </c>
      <c r="H68" s="447" t="n">
        <f aca="false">SUM($E$66:E68)</f>
        <v>8.22626249999995</v>
      </c>
      <c r="I68" s="443"/>
      <c r="J68" s="52" t="n">
        <f aca="false">MOD(MOD(J67+28,28)+$K$64-1,28)+1</f>
        <v>12</v>
      </c>
      <c r="K68" s="438" t="n">
        <f aca="false">K67</f>
        <v>0.125</v>
      </c>
      <c r="L68" s="52" t="str">
        <f aca="false">INDEX(DasaSpans,J68,$C$61)</f>
        <v>Saturn</v>
      </c>
      <c r="M68" s="438" t="n">
        <f aca="false">INDEX(DasaSpans,J68,$C$61+1)*K68</f>
        <v>0.375</v>
      </c>
      <c r="N68" s="435" t="n">
        <f aca="false">O67</f>
        <v>53124.3129981365</v>
      </c>
      <c r="O68" s="436" t="n">
        <f aca="false">N68+M68*Year</f>
        <v>53261.2835753934</v>
      </c>
      <c r="P68" s="52" t="n">
        <f aca="false">COUNTIF(L65:L72,L68)</f>
        <v>3</v>
      </c>
      <c r="Q68" s="431"/>
      <c r="R68" s="52" t="n">
        <f aca="false">MOD(MOD(R67+28,28)+S$64-1,28)+1</f>
        <v>22</v>
      </c>
      <c r="S68" s="438" t="n">
        <f aca="false">S67</f>
        <v>0.015625</v>
      </c>
      <c r="T68" s="52" t="str">
        <f aca="false">INDEX(DasaSpans,R68,$C$61)</f>
        <v>Moon</v>
      </c>
      <c r="U68" s="438" t="n">
        <f aca="false">INDEX(DasaSpans,R68,$C$61+1)*S68</f>
        <v>0.03515625</v>
      </c>
      <c r="V68" s="435" t="n">
        <f aca="false">W67</f>
        <v>54117.3496832493</v>
      </c>
      <c r="W68" s="436" t="n">
        <f aca="false">V68+U68*Year</f>
        <v>54130.1906748672</v>
      </c>
    </row>
    <row r="69" customFormat="false" ht="15" hidden="false" customHeight="false" outlineLevel="0" collapsed="false">
      <c r="A69" s="443"/>
      <c r="B69" s="444" t="n">
        <f aca="false">MOD(B68,28)+1</f>
        <v>14</v>
      </c>
      <c r="C69" s="446" t="n">
        <f aca="false">$C$64</f>
        <v>1</v>
      </c>
      <c r="D69" s="448" t="str">
        <f aca="false">INDEX(DasaSpans,B69,$C$61)</f>
        <v>Saturn</v>
      </c>
      <c r="E69" s="447" t="n">
        <f aca="false">INDEX(DasaSpans,B69,$C$61+1)*C69</f>
        <v>3</v>
      </c>
      <c r="F69" s="452" t="n">
        <f aca="false">G68</f>
        <v>30455.6824621124</v>
      </c>
      <c r="G69" s="453" t="n">
        <f aca="false">F69+E69*Year</f>
        <v>31551.4470801679</v>
      </c>
      <c r="H69" s="447" t="n">
        <f aca="false">SUM($E$66:E69)</f>
        <v>11.2262624999999</v>
      </c>
      <c r="I69" s="443"/>
      <c r="J69" s="52" t="n">
        <f aca="false">MOD(MOD(J68+28,28)+$K$64-1,28)+1</f>
        <v>13</v>
      </c>
      <c r="K69" s="438" t="n">
        <f aca="false">K68</f>
        <v>0.125</v>
      </c>
      <c r="L69" s="52" t="str">
        <f aca="false">INDEX(DasaSpans,J69,$C$61)</f>
        <v>Saturn</v>
      </c>
      <c r="M69" s="438" t="n">
        <f aca="false">INDEX(DasaSpans,J69,$C$61+1)*K69</f>
        <v>0.375</v>
      </c>
      <c r="N69" s="435" t="n">
        <f aca="false">O68</f>
        <v>53261.2835753934</v>
      </c>
      <c r="O69" s="436" t="n">
        <f aca="false">N69+M69*Year</f>
        <v>53398.2541526504</v>
      </c>
      <c r="P69" s="52" t="n">
        <f aca="false">COUNTIF(L66:L73,L69)</f>
        <v>3</v>
      </c>
      <c r="Q69" s="431"/>
      <c r="R69" s="52" t="n">
        <f aca="false">MOD(MOD(R68+28,28)+S$64-1,28)+1</f>
        <v>23</v>
      </c>
      <c r="S69" s="438" t="n">
        <f aca="false">S68</f>
        <v>0.015625</v>
      </c>
      <c r="T69" s="52" t="str">
        <f aca="false">INDEX(DasaSpans,R69,$C$61)</f>
        <v>Moon</v>
      </c>
      <c r="U69" s="438" t="n">
        <f aca="false">INDEX(DasaSpans,R69,$C$61+1)*S69</f>
        <v>0.03515625</v>
      </c>
      <c r="V69" s="435" t="n">
        <f aca="false">W68</f>
        <v>54130.1906748672</v>
      </c>
      <c r="W69" s="436" t="n">
        <f aca="false">V69+U69*Year</f>
        <v>54143.031666485</v>
      </c>
    </row>
    <row r="70" customFormat="false" ht="15" hidden="false" customHeight="false" outlineLevel="0" collapsed="false">
      <c r="A70" s="443"/>
      <c r="B70" s="446" t="n">
        <f aca="false">MOD(B69,28)+1</f>
        <v>15</v>
      </c>
      <c r="C70" s="446" t="n">
        <f aca="false">$C$64</f>
        <v>1</v>
      </c>
      <c r="D70" s="448" t="str">
        <f aca="false">INDEX(DasaSpans,B70,$C$61)</f>
        <v>Rahu</v>
      </c>
      <c r="E70" s="447" t="n">
        <f aca="false">INDEX(DasaSpans,B70,$C$61+1)*C70</f>
        <v>2.25</v>
      </c>
      <c r="F70" s="451" t="n">
        <f aca="false">G69</f>
        <v>31551.4470801679</v>
      </c>
      <c r="G70" s="450" t="n">
        <f aca="false">F70+E70*Year</f>
        <v>32373.2705437096</v>
      </c>
      <c r="H70" s="447" t="n">
        <f aca="false">SUM($E$66:E70)</f>
        <v>13.4762624999999</v>
      </c>
      <c r="I70" s="443"/>
      <c r="J70" s="52" t="n">
        <f aca="false">MOD(MOD(J69+28,28)+$K$64-1,28)+1</f>
        <v>14</v>
      </c>
      <c r="K70" s="438" t="n">
        <f aca="false">K69</f>
        <v>0.125</v>
      </c>
      <c r="L70" s="52" t="str">
        <f aca="false">INDEX(DasaSpans,J70,$C$61)</f>
        <v>Saturn</v>
      </c>
      <c r="M70" s="438" t="n">
        <f aca="false">INDEX(DasaSpans,J70,$C$61+1)*K70</f>
        <v>0.375</v>
      </c>
      <c r="N70" s="435" t="n">
        <f aca="false">O69</f>
        <v>53398.2541526504</v>
      </c>
      <c r="O70" s="436" t="n">
        <f aca="false">N70+M70*Year</f>
        <v>53535.2247299073</v>
      </c>
      <c r="P70" s="52" t="n">
        <f aca="false">COUNTIF(L67:L74,L70)</f>
        <v>3</v>
      </c>
      <c r="Q70" s="431"/>
      <c r="R70" s="52" t="n">
        <f aca="false">MOD(MOD(R69+28,28)+S$64-1,28)+1</f>
        <v>24</v>
      </c>
      <c r="S70" s="438" t="n">
        <f aca="false">S69</f>
        <v>0.015625</v>
      </c>
      <c r="T70" s="52" t="str">
        <f aca="false">INDEX(DasaSpans,R70,$C$61)</f>
        <v>Moon</v>
      </c>
      <c r="U70" s="438" t="n">
        <f aca="false">INDEX(DasaSpans,R70,$C$61+1)*S70</f>
        <v>0.03515625</v>
      </c>
      <c r="V70" s="435" t="n">
        <f aca="false">W69</f>
        <v>54143.031666485</v>
      </c>
      <c r="W70" s="436" t="n">
        <f aca="false">V70+U70*Year</f>
        <v>54155.8726581028</v>
      </c>
    </row>
    <row r="71" customFormat="false" ht="15" hidden="false" customHeight="false" outlineLevel="0" collapsed="false">
      <c r="A71" s="443"/>
      <c r="B71" s="446" t="n">
        <f aca="false">MOD(B70,28)+1</f>
        <v>16</v>
      </c>
      <c r="C71" s="446" t="n">
        <f aca="false">$C$64</f>
        <v>1</v>
      </c>
      <c r="D71" s="448" t="str">
        <f aca="false">INDEX(DasaSpans,B71,$C$61)</f>
        <v>Rahu</v>
      </c>
      <c r="E71" s="447" t="n">
        <f aca="false">INDEX(DasaSpans,B71,$C$61+1)*C71</f>
        <v>2.25</v>
      </c>
      <c r="F71" s="451" t="n">
        <f aca="false">G70</f>
        <v>32373.2705437096</v>
      </c>
      <c r="G71" s="450" t="n">
        <f aca="false">F71+E71*Year</f>
        <v>33195.0940072512</v>
      </c>
      <c r="H71" s="447" t="n">
        <f aca="false">SUM($E$66:E71)</f>
        <v>15.7262624999999</v>
      </c>
      <c r="I71" s="443"/>
      <c r="J71" s="52" t="n">
        <f aca="false">MOD(MOD(J70+28,28)+$K$64-1,28)+1</f>
        <v>15</v>
      </c>
      <c r="K71" s="438" t="n">
        <f aca="false">K70</f>
        <v>0.125</v>
      </c>
      <c r="L71" s="52" t="str">
        <f aca="false">INDEX(DasaSpans,J71,$C$61)</f>
        <v>Rahu</v>
      </c>
      <c r="M71" s="438" t="n">
        <f aca="false">INDEX(DasaSpans,J71,$C$61+1)*K71</f>
        <v>0.28125</v>
      </c>
      <c r="N71" s="435" t="n">
        <f aca="false">O70</f>
        <v>53535.2247299073</v>
      </c>
      <c r="O71" s="436" t="n">
        <f aca="false">N71+M71*Year</f>
        <v>53637.95266285</v>
      </c>
      <c r="P71" s="52" t="n">
        <f aca="false">COUNTIF(L68:L75,L71)</f>
        <v>4</v>
      </c>
      <c r="Q71" s="431"/>
      <c r="R71" s="52" t="n">
        <f aca="false">MOD(MOD(R70+28,28)+S$64-1,28)+1</f>
        <v>25</v>
      </c>
      <c r="S71" s="438" t="n">
        <f aca="false">S70</f>
        <v>0.015625</v>
      </c>
      <c r="T71" s="52" t="str">
        <f aca="false">INDEX(DasaSpans,R71,$C$61)</f>
        <v>Moon</v>
      </c>
      <c r="U71" s="438" t="n">
        <f aca="false">INDEX(DasaSpans,R71,$C$61+1)*S71</f>
        <v>0.03515625</v>
      </c>
      <c r="V71" s="435" t="n">
        <f aca="false">W70</f>
        <v>54155.8726581028</v>
      </c>
      <c r="W71" s="436" t="n">
        <f aca="false">V71+U71*Year</f>
        <v>54168.7136497207</v>
      </c>
    </row>
    <row r="72" customFormat="false" ht="15" hidden="false" customHeight="false" outlineLevel="0" collapsed="false">
      <c r="A72" s="443"/>
      <c r="B72" s="446" t="n">
        <f aca="false">MOD(B71,28)+1</f>
        <v>17</v>
      </c>
      <c r="C72" s="446" t="n">
        <f aca="false">$C$64</f>
        <v>1</v>
      </c>
      <c r="D72" s="448" t="str">
        <f aca="false">INDEX(DasaSpans,B72,$C$61)</f>
        <v>Rahu</v>
      </c>
      <c r="E72" s="447" t="n">
        <f aca="false">INDEX(DasaSpans,B72,$C$61+1)*C72</f>
        <v>2.25</v>
      </c>
      <c r="F72" s="451" t="n">
        <f aca="false">G71</f>
        <v>33195.0940072512</v>
      </c>
      <c r="G72" s="450" t="n">
        <f aca="false">F72+E72*Year</f>
        <v>34016.9174707929</v>
      </c>
      <c r="H72" s="447" t="n">
        <f aca="false">SUM($E$66:E72)</f>
        <v>17.9762624999999</v>
      </c>
      <c r="I72" s="443"/>
      <c r="J72" s="52" t="n">
        <f aca="false">MOD(MOD(J71+28,28)+$K$64-1,28)+1</f>
        <v>16</v>
      </c>
      <c r="K72" s="438" t="n">
        <f aca="false">K71</f>
        <v>0.125</v>
      </c>
      <c r="L72" s="52" t="str">
        <f aca="false">INDEX(DasaSpans,J72,$C$61)</f>
        <v>Rahu</v>
      </c>
      <c r="M72" s="438" t="n">
        <f aca="false">INDEX(DasaSpans,J72,$C$61+1)*K72</f>
        <v>0.28125</v>
      </c>
      <c r="N72" s="435" t="n">
        <f aca="false">O71</f>
        <v>53637.95266285</v>
      </c>
      <c r="O72" s="436" t="n">
        <f aca="false">N72+M72*Year</f>
        <v>53740.6805957927</v>
      </c>
      <c r="P72" s="52" t="n">
        <f aca="false">COUNTIF(L69:L76,L72)</f>
        <v>4</v>
      </c>
      <c r="Q72" s="431"/>
      <c r="R72" s="52" t="n">
        <f aca="false">MOD(MOD(R71+28,28)+S$64-1,28)+1</f>
        <v>26</v>
      </c>
      <c r="S72" s="438" t="n">
        <f aca="false">S71</f>
        <v>0.015625</v>
      </c>
      <c r="T72" s="52" t="str">
        <f aca="false">INDEX(DasaSpans,R72,$C$61)</f>
        <v>Mars</v>
      </c>
      <c r="U72" s="438" t="n">
        <f aca="false">INDEX(DasaSpans,R72,$C$61+1)*S72</f>
        <v>0.046875</v>
      </c>
      <c r="V72" s="435" t="n">
        <f aca="false">W71</f>
        <v>54168.7136497207</v>
      </c>
      <c r="W72" s="436" t="n">
        <f aca="false">V72+U72*Year</f>
        <v>54185.8349718778</v>
      </c>
    </row>
    <row r="73" customFormat="false" ht="15" hidden="false" customHeight="false" outlineLevel="0" collapsed="false">
      <c r="A73" s="443"/>
      <c r="B73" s="446" t="n">
        <f aca="false">MOD(B72,28)+1</f>
        <v>18</v>
      </c>
      <c r="C73" s="446" t="n">
        <f aca="false">$C$64</f>
        <v>1</v>
      </c>
      <c r="D73" s="448" t="str">
        <f aca="false">INDEX(DasaSpans,B73,$C$61)</f>
        <v>Rahu</v>
      </c>
      <c r="E73" s="447" t="n">
        <f aca="false">INDEX(DasaSpans,B73,$C$61+1)*C73</f>
        <v>2.25</v>
      </c>
      <c r="F73" s="451" t="n">
        <f aca="false">G72</f>
        <v>34016.9174707929</v>
      </c>
      <c r="G73" s="450" t="n">
        <f aca="false">F73+E73*Year</f>
        <v>34838.7409343346</v>
      </c>
      <c r="H73" s="447" t="n">
        <f aca="false">SUM($E$66:E73)</f>
        <v>20.2262624999999</v>
      </c>
      <c r="I73" s="443"/>
      <c r="J73" s="52" t="n">
        <f aca="false">MOD(MOD(J72+28,28)+$K$64-1,28)+1</f>
        <v>17</v>
      </c>
      <c r="K73" s="438" t="n">
        <f aca="false">K72</f>
        <v>0.125</v>
      </c>
      <c r="L73" s="52" t="str">
        <f aca="false">INDEX(DasaSpans,J73,$C$61)</f>
        <v>Rahu</v>
      </c>
      <c r="M73" s="438" t="n">
        <f aca="false">INDEX(DasaSpans,J73,$C$61+1)*K73</f>
        <v>0.28125</v>
      </c>
      <c r="N73" s="435" t="n">
        <f aca="false">O72</f>
        <v>53740.6805957927</v>
      </c>
      <c r="O73" s="436" t="n">
        <f aca="false">N73+M73*Year</f>
        <v>53843.4085287354</v>
      </c>
      <c r="P73" s="52" t="n">
        <f aca="false">COUNTIF(L70:L77,L73)</f>
        <v>4</v>
      </c>
      <c r="Q73" s="431"/>
      <c r="R73" s="52" t="n">
        <f aca="false">MOD(MOD(R72+28,28)+S$64-1,28)+1</f>
        <v>27</v>
      </c>
      <c r="S73" s="438" t="n">
        <f aca="false">S72</f>
        <v>0.015625</v>
      </c>
      <c r="T73" s="52" t="str">
        <f aca="false">INDEX(DasaSpans,R73,$C$61)</f>
        <v>Mars</v>
      </c>
      <c r="U73" s="438" t="n">
        <f aca="false">INDEX(DasaSpans,R73,$C$61+1)*S73</f>
        <v>0.046875</v>
      </c>
      <c r="V73" s="435" t="n">
        <f aca="false">W72</f>
        <v>54185.8349718778</v>
      </c>
      <c r="W73" s="436" t="n">
        <f aca="false">V73+U73*Year</f>
        <v>54202.9562940349</v>
      </c>
    </row>
    <row r="74" customFormat="false" ht="15" hidden="false" customHeight="false" outlineLevel="0" collapsed="false">
      <c r="A74" s="443"/>
      <c r="B74" s="446" t="n">
        <f aca="false">MOD(B73,28)+1</f>
        <v>19</v>
      </c>
      <c r="C74" s="446" t="n">
        <f aca="false">$C$64</f>
        <v>1</v>
      </c>
      <c r="D74" s="448" t="str">
        <f aca="false">INDEX(DasaSpans,B74,$C$61)</f>
        <v>Sun</v>
      </c>
      <c r="E74" s="447" t="n">
        <f aca="false">INDEX(DasaSpans,B74,$C$61+1)*C74</f>
        <v>3</v>
      </c>
      <c r="F74" s="451" t="n">
        <f aca="false">G73</f>
        <v>34838.7409343346</v>
      </c>
      <c r="G74" s="450" t="n">
        <f aca="false">F74+E74*Year</f>
        <v>35934.5055523901</v>
      </c>
      <c r="H74" s="447" t="n">
        <f aca="false">SUM($E$66:E74)</f>
        <v>23.2262624999999</v>
      </c>
      <c r="I74" s="443"/>
      <c r="J74" s="52" t="n">
        <f aca="false">MOD(MOD(J73+28,28)+$K$64-1,28)+1</f>
        <v>18</v>
      </c>
      <c r="K74" s="438" t="n">
        <f aca="false">K73</f>
        <v>0.125</v>
      </c>
      <c r="L74" s="52" t="str">
        <f aca="false">INDEX(DasaSpans,J74,$C$61)</f>
        <v>Rahu</v>
      </c>
      <c r="M74" s="438" t="n">
        <f aca="false">INDEX(DasaSpans,J74,$C$61+1)*K74</f>
        <v>0.28125</v>
      </c>
      <c r="N74" s="435" t="n">
        <f aca="false">O73</f>
        <v>53843.4085287354</v>
      </c>
      <c r="O74" s="436" t="n">
        <f aca="false">N74+M74*Year</f>
        <v>53946.1364616782</v>
      </c>
      <c r="P74" s="52" t="n">
        <f aca="false">COUNTIF(L71:L78,L74)</f>
        <v>4</v>
      </c>
      <c r="Q74" s="431"/>
      <c r="R74" s="52" t="n">
        <f aca="false">MOD(MOD(R73+28,28)+S$64-1,28)+1</f>
        <v>28</v>
      </c>
      <c r="S74" s="438" t="n">
        <f aca="false">S73</f>
        <v>0.015625</v>
      </c>
      <c r="T74" s="52" t="str">
        <f aca="false">INDEX(DasaSpans,R74,$C$61)</f>
        <v>Mars</v>
      </c>
      <c r="U74" s="438" t="n">
        <f aca="false">INDEX(DasaSpans,R74,$C$61+1)*S74</f>
        <v>0.046875</v>
      </c>
      <c r="V74" s="435" t="n">
        <f aca="false">W73</f>
        <v>54202.9562940349</v>
      </c>
      <c r="W74" s="436" t="n">
        <f aca="false">V74+U74*Year</f>
        <v>54220.077616192</v>
      </c>
    </row>
    <row r="75" customFormat="false" ht="15" hidden="false" customHeight="false" outlineLevel="0" collapsed="false">
      <c r="A75" s="443"/>
      <c r="B75" s="446" t="n">
        <f aca="false">MOD(B74,28)+1</f>
        <v>20</v>
      </c>
      <c r="C75" s="446" t="n">
        <f aca="false">$C$64</f>
        <v>1</v>
      </c>
      <c r="D75" s="448" t="str">
        <f aca="false">INDEX(DasaSpans,B75,$C$61)</f>
        <v>Sun</v>
      </c>
      <c r="E75" s="447" t="n">
        <f aca="false">INDEX(DasaSpans,B75,$C$61+1)*C75</f>
        <v>3</v>
      </c>
      <c r="F75" s="451" t="n">
        <f aca="false">G74</f>
        <v>35934.5055523901</v>
      </c>
      <c r="G75" s="450" t="n">
        <f aca="false">F75+E75*Year</f>
        <v>37030.2701704456</v>
      </c>
      <c r="H75" s="447" t="n">
        <f aca="false">SUM($E$66:E75)</f>
        <v>26.2262624999999</v>
      </c>
      <c r="I75" s="443"/>
      <c r="J75" s="52" t="n">
        <f aca="false">MOD(MOD(J74+28,28)+$K$64-1,28)+1</f>
        <v>19</v>
      </c>
      <c r="K75" s="438" t="n">
        <f aca="false">K74</f>
        <v>0.125</v>
      </c>
      <c r="L75" s="52" t="str">
        <f aca="false">INDEX(DasaSpans,J75,$C$61)</f>
        <v>Sun</v>
      </c>
      <c r="M75" s="438" t="n">
        <f aca="false">INDEX(DasaSpans,J75,$C$61+1)*K75</f>
        <v>0.375</v>
      </c>
      <c r="N75" s="435" t="n">
        <f aca="false">O74</f>
        <v>53946.1364616782</v>
      </c>
      <c r="O75" s="436" t="n">
        <f aca="false">N75+M75*Year</f>
        <v>54083.1070389351</v>
      </c>
      <c r="P75" s="52" t="n">
        <f aca="false">COUNTIF(L72:L79,L75)</f>
        <v>3</v>
      </c>
      <c r="Q75" s="431"/>
      <c r="R75" s="52" t="n">
        <f aca="false">MOD(MOD(R74+28,28)+S$64-1,28)+1</f>
        <v>1</v>
      </c>
      <c r="S75" s="438" t="n">
        <f aca="false">S74</f>
        <v>0.015625</v>
      </c>
      <c r="T75" s="52" t="str">
        <f aca="false">INDEX(DasaSpans,R75,$C$61)</f>
        <v>Mercury</v>
      </c>
      <c r="U75" s="438" t="n">
        <f aca="false">INDEX(DasaSpans,R75,$C$61+1)*S75</f>
        <v>0.03515625</v>
      </c>
      <c r="V75" s="435" t="n">
        <f aca="false">W74</f>
        <v>54220.077616192</v>
      </c>
      <c r="W75" s="436" t="n">
        <f aca="false">V75+U75*Year</f>
        <v>54232.9186078099</v>
      </c>
    </row>
    <row r="76" customFormat="false" ht="15" hidden="false" customHeight="false" outlineLevel="0" collapsed="false">
      <c r="A76" s="443"/>
      <c r="B76" s="446" t="n">
        <f aca="false">MOD(B75,28)+1</f>
        <v>21</v>
      </c>
      <c r="C76" s="446" t="n">
        <f aca="false">$C$64</f>
        <v>1</v>
      </c>
      <c r="D76" s="448" t="str">
        <f aca="false">INDEX(DasaSpans,B76,$C$61)</f>
        <v>Sun</v>
      </c>
      <c r="E76" s="447" t="n">
        <f aca="false">INDEX(DasaSpans,B76,$C$61+1)*C76</f>
        <v>3</v>
      </c>
      <c r="F76" s="451" t="n">
        <f aca="false">G75</f>
        <v>37030.2701704456</v>
      </c>
      <c r="G76" s="450" t="n">
        <f aca="false">F76+E76*Year</f>
        <v>38126.0347885012</v>
      </c>
      <c r="H76" s="447" t="n">
        <f aca="false">SUM($E$66:E76)</f>
        <v>29.2262624999999</v>
      </c>
      <c r="I76" s="443" t="s">
        <v>394</v>
      </c>
      <c r="J76" s="52" t="n">
        <f aca="false">MOD(MOD(J75+28,28)+$K$64-1,28)+1</f>
        <v>20</v>
      </c>
      <c r="K76" s="438" t="n">
        <f aca="false">K75</f>
        <v>0.125</v>
      </c>
      <c r="L76" s="52" t="str">
        <f aca="false">INDEX(DasaSpans,J76,$C$61)</f>
        <v>Sun</v>
      </c>
      <c r="M76" s="438" t="n">
        <f aca="false">INDEX(DasaSpans,J76,$C$61+1)*K76</f>
        <v>0.375</v>
      </c>
      <c r="N76" s="435" t="n">
        <f aca="false">O75</f>
        <v>54083.1070389351</v>
      </c>
      <c r="O76" s="436" t="n">
        <f aca="false">N76+M76*Year</f>
        <v>54220.077616192</v>
      </c>
      <c r="P76" s="52" t="n">
        <f aca="false">COUNTIF(L73:L80,L76)</f>
        <v>3</v>
      </c>
      <c r="Q76" s="431"/>
      <c r="R76" s="52" t="n">
        <f aca="false">MOD(MOD(R75+28,28)+S$64-1,28)+1</f>
        <v>2</v>
      </c>
      <c r="S76" s="438" t="n">
        <f aca="false">S75</f>
        <v>0.015625</v>
      </c>
      <c r="T76" s="52" t="str">
        <f aca="false">INDEX(DasaSpans,R76,$C$61)</f>
        <v>Mercury</v>
      </c>
      <c r="U76" s="438" t="n">
        <f aca="false">INDEX(DasaSpans,R76,$C$61+1)*S76</f>
        <v>0.03515625</v>
      </c>
      <c r="V76" s="435" t="n">
        <f aca="false">W75</f>
        <v>54232.9186078099</v>
      </c>
      <c r="W76" s="436" t="n">
        <f aca="false">V76+U76*Year</f>
        <v>54245.7595994277</v>
      </c>
    </row>
    <row r="77" customFormat="false" ht="15" hidden="false" customHeight="false" outlineLevel="0" collapsed="false">
      <c r="A77" s="443"/>
      <c r="B77" s="446" t="n">
        <f aca="false">MOD(B76,28)+1</f>
        <v>22</v>
      </c>
      <c r="C77" s="446" t="n">
        <f aca="false">$C$64</f>
        <v>1</v>
      </c>
      <c r="D77" s="448" t="str">
        <f aca="false">INDEX(DasaSpans,B77,$C$61)</f>
        <v>Moon</v>
      </c>
      <c r="E77" s="447" t="n">
        <f aca="false">INDEX(DasaSpans,B77,$C$61+1)*C77</f>
        <v>2.25</v>
      </c>
      <c r="F77" s="451" t="n">
        <f aca="false">G76</f>
        <v>38126.0347885012</v>
      </c>
      <c r="G77" s="450" t="n">
        <f aca="false">F77+E77*Year</f>
        <v>38947.8582520428</v>
      </c>
      <c r="H77" s="447" t="n">
        <f aca="false">SUM($E$66:E77)</f>
        <v>31.4762624999999</v>
      </c>
      <c r="I77" s="443"/>
      <c r="J77" s="52" t="n">
        <f aca="false">MOD(MOD(J76+28,28)+$K$64-1,28)+1</f>
        <v>21</v>
      </c>
      <c r="K77" s="438" t="n">
        <f aca="false">K76</f>
        <v>0.125</v>
      </c>
      <c r="L77" s="52" t="str">
        <f aca="false">INDEX(DasaSpans,J77,$C$61)</f>
        <v>Sun</v>
      </c>
      <c r="M77" s="438" t="n">
        <f aca="false">INDEX(DasaSpans,J77,$C$61+1)*K77</f>
        <v>0.375</v>
      </c>
      <c r="N77" s="435" t="n">
        <f aca="false">O76</f>
        <v>54220.077616192</v>
      </c>
      <c r="O77" s="436" t="n">
        <f aca="false">N77+M77*Year</f>
        <v>54357.048193449</v>
      </c>
      <c r="P77" s="52" t="n">
        <f aca="false">COUNTIF(L74:L81,L77)</f>
        <v>3</v>
      </c>
      <c r="Q77" s="431"/>
      <c r="R77" s="52" t="n">
        <f aca="false">MOD(MOD(R76+28,28)+S$64-1,28)+1</f>
        <v>3</v>
      </c>
      <c r="S77" s="438" t="n">
        <f aca="false">S76</f>
        <v>0.015625</v>
      </c>
      <c r="T77" s="52" t="str">
        <f aca="false">INDEX(DasaSpans,R77,$C$61)</f>
        <v>Mercury</v>
      </c>
      <c r="U77" s="438" t="n">
        <f aca="false">INDEX(DasaSpans,R77,$C$61+1)*S77</f>
        <v>0.03515625</v>
      </c>
      <c r="V77" s="435" t="n">
        <f aca="false">W76</f>
        <v>54245.7595994277</v>
      </c>
      <c r="W77" s="436" t="n">
        <f aca="false">V77+U77*Year</f>
        <v>54258.6005910455</v>
      </c>
    </row>
    <row r="78" customFormat="false" ht="15" hidden="false" customHeight="false" outlineLevel="0" collapsed="false">
      <c r="A78" s="443"/>
      <c r="B78" s="446" t="n">
        <f aca="false">MOD(B77,28)+1</f>
        <v>23</v>
      </c>
      <c r="C78" s="446" t="n">
        <f aca="false">$C$64</f>
        <v>1</v>
      </c>
      <c r="D78" s="448" t="str">
        <f aca="false">INDEX(DasaSpans,B78,$C$61)</f>
        <v>Moon</v>
      </c>
      <c r="E78" s="447" t="n">
        <f aca="false">INDEX(DasaSpans,B78,$C$61+1)*C78</f>
        <v>2.25</v>
      </c>
      <c r="F78" s="451" t="n">
        <f aca="false">G77</f>
        <v>38947.8582520428</v>
      </c>
      <c r="G78" s="450" t="n">
        <f aca="false">F78+E78*Year</f>
        <v>39769.6817155845</v>
      </c>
      <c r="H78" s="447" t="n">
        <f aca="false">SUM($E$66:E78)</f>
        <v>33.7262625</v>
      </c>
      <c r="I78" s="443"/>
      <c r="J78" s="52" t="n">
        <f aca="false">MOD(MOD(J77+28,28)+$K$64-1,28)+1</f>
        <v>22</v>
      </c>
      <c r="K78" s="438" t="n">
        <f aca="false">K77</f>
        <v>0.125</v>
      </c>
      <c r="L78" s="52" t="str">
        <f aca="false">INDEX(DasaSpans,J78,$C$61)</f>
        <v>Moon</v>
      </c>
      <c r="M78" s="438" t="n">
        <f aca="false">INDEX(DasaSpans,J78,$C$61+1)*K78</f>
        <v>0.28125</v>
      </c>
      <c r="N78" s="435" t="n">
        <f aca="false">O77</f>
        <v>54357.048193449</v>
      </c>
      <c r="O78" s="436" t="n">
        <f aca="false">N78+M78*Year</f>
        <v>54459.7761263917</v>
      </c>
      <c r="P78" s="52" t="n">
        <f aca="false">COUNTIF(L75:L82,L78)</f>
        <v>4</v>
      </c>
      <c r="Q78" s="431"/>
      <c r="R78" s="52" t="n">
        <f aca="false">MOD(MOD(R77+28,28)+S$64-1,28)+1</f>
        <v>4</v>
      </c>
      <c r="S78" s="438" t="n">
        <f aca="false">S77</f>
        <v>0.015625</v>
      </c>
      <c r="T78" s="52" t="str">
        <f aca="false">INDEX(DasaSpans,R78,$C$61)</f>
        <v>Mercury</v>
      </c>
      <c r="U78" s="438" t="n">
        <f aca="false">INDEX(DasaSpans,R78,$C$61+1)*S78</f>
        <v>0.03515625</v>
      </c>
      <c r="V78" s="435" t="n">
        <f aca="false">W77</f>
        <v>54258.6005910455</v>
      </c>
      <c r="W78" s="436" t="n">
        <f aca="false">V78+U78*Year</f>
        <v>54271.4415826634</v>
      </c>
    </row>
    <row r="79" customFormat="false" ht="15" hidden="false" customHeight="false" outlineLevel="0" collapsed="false">
      <c r="A79" s="443"/>
      <c r="B79" s="446" t="n">
        <f aca="false">MOD(B78,28)+1</f>
        <v>24</v>
      </c>
      <c r="C79" s="446" t="n">
        <f aca="false">$C$64</f>
        <v>1</v>
      </c>
      <c r="D79" s="448" t="str">
        <f aca="false">INDEX(DasaSpans,B79,$C$61)</f>
        <v>Moon</v>
      </c>
      <c r="E79" s="447" t="n">
        <f aca="false">INDEX(DasaSpans,B79,$C$61+1)*C79</f>
        <v>2.25</v>
      </c>
      <c r="F79" s="451" t="n">
        <f aca="false">G78</f>
        <v>39769.6817155845</v>
      </c>
      <c r="G79" s="450" t="n">
        <f aca="false">F79+E79*Year</f>
        <v>40591.5051791262</v>
      </c>
      <c r="H79" s="447" t="n">
        <f aca="false">SUM($E$66:E79)</f>
        <v>35.9762625</v>
      </c>
      <c r="I79" s="443"/>
      <c r="J79" s="52" t="n">
        <f aca="false">MOD(MOD(J78+28,28)+$K$64-1,28)+1</f>
        <v>23</v>
      </c>
      <c r="K79" s="438" t="n">
        <f aca="false">K78</f>
        <v>0.125</v>
      </c>
      <c r="L79" s="52" t="str">
        <f aca="false">INDEX(DasaSpans,J79,$C$61)</f>
        <v>Moon</v>
      </c>
      <c r="M79" s="438" t="n">
        <f aca="false">INDEX(DasaSpans,J79,$C$61+1)*K79</f>
        <v>0.28125</v>
      </c>
      <c r="N79" s="435" t="n">
        <f aca="false">O78</f>
        <v>54459.7761263917</v>
      </c>
      <c r="O79" s="436" t="n">
        <f aca="false">N79+M79*Year</f>
        <v>54562.5040593344</v>
      </c>
      <c r="P79" s="52" t="n">
        <f aca="false">COUNTIF(L76:L83,L79)</f>
        <v>4</v>
      </c>
      <c r="Q79" s="431"/>
      <c r="R79" s="52" t="n">
        <f aca="false">MOD(MOD(R78+28,28)+S$64-1,28)+1</f>
        <v>5</v>
      </c>
      <c r="S79" s="438" t="n">
        <f aca="false">S78</f>
        <v>0.015625</v>
      </c>
      <c r="T79" s="52" t="str">
        <f aca="false">INDEX(DasaSpans,R79,$C$61)</f>
        <v>Jupiter</v>
      </c>
      <c r="U79" s="438" t="n">
        <f aca="false">INDEX(DasaSpans,R79,$C$61+1)*S79</f>
        <v>0.046875</v>
      </c>
      <c r="V79" s="435" t="n">
        <f aca="false">W78</f>
        <v>54271.4415826634</v>
      </c>
      <c r="W79" s="436" t="n">
        <f aca="false">V79+U79*Year</f>
        <v>54288.5629048205</v>
      </c>
    </row>
    <row r="80" customFormat="false" ht="15" hidden="false" customHeight="false" outlineLevel="0" collapsed="false">
      <c r="A80" s="443"/>
      <c r="B80" s="446" t="n">
        <f aca="false">MOD(B79,28)+1</f>
        <v>25</v>
      </c>
      <c r="C80" s="446" t="n">
        <f aca="false">$C$64</f>
        <v>1</v>
      </c>
      <c r="D80" s="448" t="str">
        <f aca="false">INDEX(DasaSpans,B80,$C$61)</f>
        <v>Moon</v>
      </c>
      <c r="E80" s="447" t="n">
        <f aca="false">INDEX(DasaSpans,B80,$C$61+1)*C80</f>
        <v>2.25</v>
      </c>
      <c r="F80" s="451" t="n">
        <f aca="false">G79</f>
        <v>40591.5051791262</v>
      </c>
      <c r="G80" s="450" t="n">
        <f aca="false">F80+E80*Year</f>
        <v>41413.3286426678</v>
      </c>
      <c r="H80" s="447" t="n">
        <f aca="false">SUM($E$66:E80)</f>
        <v>38.2262625</v>
      </c>
      <c r="I80" s="443"/>
      <c r="J80" s="52" t="n">
        <f aca="false">MOD(MOD(J79+28,28)+$K$64-1,28)+1</f>
        <v>24</v>
      </c>
      <c r="K80" s="438" t="n">
        <f aca="false">K79</f>
        <v>0.125</v>
      </c>
      <c r="L80" s="52" t="str">
        <f aca="false">INDEX(DasaSpans,J80,$C$61)</f>
        <v>Moon</v>
      </c>
      <c r="M80" s="438" t="n">
        <f aca="false">INDEX(DasaSpans,J80,$C$61+1)*K80</f>
        <v>0.28125</v>
      </c>
      <c r="N80" s="435" t="n">
        <f aca="false">O79</f>
        <v>54562.5040593344</v>
      </c>
      <c r="O80" s="436" t="n">
        <f aca="false">N80+M80*Year</f>
        <v>54665.2319922771</v>
      </c>
      <c r="P80" s="52" t="n">
        <f aca="false">COUNTIF(L77:L84,L80)</f>
        <v>4</v>
      </c>
      <c r="Q80" s="431"/>
      <c r="R80" s="52" t="n">
        <f aca="false">MOD(MOD(R79+28,28)+S$64-1,28)+1</f>
        <v>6</v>
      </c>
      <c r="S80" s="438" t="n">
        <f aca="false">S79</f>
        <v>0.015625</v>
      </c>
      <c r="T80" s="52" t="str">
        <f aca="false">INDEX(DasaSpans,R80,$C$61)</f>
        <v>Jupiter</v>
      </c>
      <c r="U80" s="438" t="n">
        <f aca="false">INDEX(DasaSpans,R80,$C$61+1)*S80</f>
        <v>0.046875</v>
      </c>
      <c r="V80" s="435" t="n">
        <f aca="false">W79</f>
        <v>54288.5629048205</v>
      </c>
      <c r="W80" s="436" t="n">
        <f aca="false">V80+U80*Year</f>
        <v>54305.6842269776</v>
      </c>
    </row>
    <row r="81" customFormat="false" ht="15" hidden="false" customHeight="false" outlineLevel="0" collapsed="false">
      <c r="A81" s="443"/>
      <c r="B81" s="446" t="n">
        <f aca="false">MOD(B80,28)+1</f>
        <v>26</v>
      </c>
      <c r="C81" s="446" t="n">
        <f aca="false">$C$64</f>
        <v>1</v>
      </c>
      <c r="D81" s="448" t="str">
        <f aca="false">INDEX(DasaSpans,B81,$C$61)</f>
        <v>Mars</v>
      </c>
      <c r="E81" s="447" t="n">
        <f aca="false">INDEX(DasaSpans,B81,$C$61+1)*C81</f>
        <v>3</v>
      </c>
      <c r="F81" s="451" t="n">
        <f aca="false">G80</f>
        <v>41413.3286426678</v>
      </c>
      <c r="G81" s="450" t="n">
        <f aca="false">F81+E81*Year</f>
        <v>42509.0932607234</v>
      </c>
      <c r="H81" s="447" t="n">
        <f aca="false">SUM($E$66:E81)</f>
        <v>41.2262625</v>
      </c>
      <c r="I81" s="443"/>
      <c r="J81" s="52" t="n">
        <f aca="false">MOD(MOD(J80+28,28)+$K$64-1,28)+1</f>
        <v>25</v>
      </c>
      <c r="K81" s="438" t="n">
        <f aca="false">K80</f>
        <v>0.125</v>
      </c>
      <c r="L81" s="52" t="str">
        <f aca="false">INDEX(DasaSpans,J81,$C$61)</f>
        <v>Moon</v>
      </c>
      <c r="M81" s="438" t="n">
        <f aca="false">INDEX(DasaSpans,J81,$C$61+1)*K81</f>
        <v>0.28125</v>
      </c>
      <c r="N81" s="435" t="n">
        <f aca="false">O80</f>
        <v>54665.2319922771</v>
      </c>
      <c r="O81" s="436" t="n">
        <f aca="false">N81+M81*Year</f>
        <v>54767.9599252198</v>
      </c>
      <c r="P81" s="52" t="n">
        <f aca="false">COUNTIF(L78:L85,L81)</f>
        <v>4</v>
      </c>
      <c r="Q81" s="431"/>
      <c r="R81" s="52" t="n">
        <f aca="false">MOD(MOD(R80+28,28)+S$64-1,28)+1</f>
        <v>7</v>
      </c>
      <c r="S81" s="438" t="n">
        <f aca="false">S80</f>
        <v>0.015625</v>
      </c>
      <c r="T81" s="52" t="str">
        <f aca="false">INDEX(DasaSpans,R81,$C$61)</f>
        <v>Jupiter</v>
      </c>
      <c r="U81" s="438" t="n">
        <f aca="false">INDEX(DasaSpans,R81,$C$61+1)*S81</f>
        <v>0.046875</v>
      </c>
      <c r="V81" s="435" t="n">
        <f aca="false">W80</f>
        <v>54305.6842269776</v>
      </c>
      <c r="W81" s="436" t="n">
        <f aca="false">V81+U81*Year</f>
        <v>54322.8055491347</v>
      </c>
    </row>
    <row r="82" customFormat="false" ht="15" hidden="false" customHeight="false" outlineLevel="0" collapsed="false">
      <c r="A82" s="443"/>
      <c r="B82" s="446" t="n">
        <f aca="false">MOD(B81,28)+1</f>
        <v>27</v>
      </c>
      <c r="C82" s="446" t="n">
        <f aca="false">$C$64</f>
        <v>1</v>
      </c>
      <c r="D82" s="448" t="str">
        <f aca="false">INDEX(DasaSpans,B82,$C$61)</f>
        <v>Mars</v>
      </c>
      <c r="E82" s="447" t="n">
        <f aca="false">INDEX(DasaSpans,B82,$C$61+1)*C82</f>
        <v>3</v>
      </c>
      <c r="F82" s="451" t="n">
        <f aca="false">G81</f>
        <v>42509.0932607234</v>
      </c>
      <c r="G82" s="450" t="n">
        <f aca="false">F82+E82*Year</f>
        <v>43604.8578787789</v>
      </c>
      <c r="H82" s="447" t="n">
        <f aca="false">SUM($E$66:E82)</f>
        <v>44.2262625</v>
      </c>
      <c r="I82" s="443"/>
      <c r="J82" s="52" t="n">
        <f aca="false">MOD(MOD(J81+28,28)+$K$64-1,28)+1</f>
        <v>26</v>
      </c>
      <c r="K82" s="438" t="n">
        <f aca="false">K81</f>
        <v>0.125</v>
      </c>
      <c r="L82" s="52" t="str">
        <f aca="false">INDEX(DasaSpans,J82,$C$61)</f>
        <v>Mars</v>
      </c>
      <c r="M82" s="438" t="n">
        <f aca="false">INDEX(DasaSpans,J82,$C$61+1)*K82</f>
        <v>0.375</v>
      </c>
      <c r="N82" s="435" t="n">
        <f aca="false">O81</f>
        <v>54767.9599252198</v>
      </c>
      <c r="O82" s="436" t="n">
        <f aca="false">N82+M82*Year</f>
        <v>54904.9305024768</v>
      </c>
      <c r="P82" s="52" t="n">
        <f aca="false">COUNTIF(L79:L86,L82)</f>
        <v>3</v>
      </c>
      <c r="Q82" s="431"/>
      <c r="R82" s="52" t="n">
        <f aca="false">MOD(MOD(R81+28,28)+S$64-1,28)+1</f>
        <v>8</v>
      </c>
      <c r="S82" s="438" t="n">
        <f aca="false">S81</f>
        <v>0.015625</v>
      </c>
      <c r="T82" s="52" t="str">
        <f aca="false">INDEX(DasaSpans,R82,$C$61)</f>
        <v>Venus</v>
      </c>
      <c r="U82" s="438" t="n">
        <f aca="false">INDEX(DasaSpans,R82,$C$61+1)*S82</f>
        <v>0.03515625</v>
      </c>
      <c r="V82" s="435" t="n">
        <f aca="false">W81</f>
        <v>54322.8055491347</v>
      </c>
      <c r="W82" s="436" t="n">
        <f aca="false">V82+U82*Year</f>
        <v>54335.6465407525</v>
      </c>
    </row>
    <row r="83" customFormat="false" ht="15" hidden="false" customHeight="false" outlineLevel="0" collapsed="false">
      <c r="A83" s="443"/>
      <c r="B83" s="446" t="n">
        <f aca="false">MOD(B82,28)+1</f>
        <v>28</v>
      </c>
      <c r="C83" s="446" t="n">
        <f aca="false">$C$64</f>
        <v>1</v>
      </c>
      <c r="D83" s="448" t="str">
        <f aca="false">INDEX(DasaSpans,B83,$C$61)</f>
        <v>Mars</v>
      </c>
      <c r="E83" s="447" t="n">
        <f aca="false">INDEX(DasaSpans,B83,$C$61+1)*C83</f>
        <v>3</v>
      </c>
      <c r="F83" s="451" t="n">
        <f aca="false">G82</f>
        <v>43604.8578787789</v>
      </c>
      <c r="G83" s="450" t="n">
        <f aca="false">F83+E83*Year</f>
        <v>44700.6224968345</v>
      </c>
      <c r="H83" s="447" t="n">
        <f aca="false">SUM($E$66:E83)</f>
        <v>47.2262625</v>
      </c>
      <c r="I83" s="443"/>
      <c r="J83" s="52" t="n">
        <f aca="false">MOD(MOD(J82+28,28)+$K$64-1,28)+1</f>
        <v>27</v>
      </c>
      <c r="K83" s="438" t="n">
        <f aca="false">K82</f>
        <v>0.125</v>
      </c>
      <c r="L83" s="52" t="str">
        <f aca="false">INDEX(DasaSpans,J83,$C$61)</f>
        <v>Mars</v>
      </c>
      <c r="M83" s="438" t="n">
        <f aca="false">INDEX(DasaSpans,J83,$C$61+1)*K83</f>
        <v>0.375</v>
      </c>
      <c r="N83" s="435" t="n">
        <f aca="false">O82</f>
        <v>54904.9305024768</v>
      </c>
      <c r="O83" s="436" t="n">
        <f aca="false">N83+M83*Year</f>
        <v>55041.9010797337</v>
      </c>
      <c r="P83" s="52" t="n">
        <f aca="false">COUNTIF(L80:L87,L83)</f>
        <v>3</v>
      </c>
      <c r="Q83" s="431"/>
      <c r="R83" s="52" t="n">
        <f aca="false">MOD(MOD(R82+28,28)+S$64-1,28)+1</f>
        <v>9</v>
      </c>
      <c r="S83" s="438" t="n">
        <f aca="false">S82</f>
        <v>0.015625</v>
      </c>
      <c r="T83" s="52" t="str">
        <f aca="false">INDEX(DasaSpans,R83,$C$61)</f>
        <v>Venus</v>
      </c>
      <c r="U83" s="438" t="n">
        <f aca="false">INDEX(DasaSpans,R83,$C$61+1)*S83</f>
        <v>0.03515625</v>
      </c>
      <c r="V83" s="435" t="n">
        <f aca="false">W82</f>
        <v>54335.6465407525</v>
      </c>
      <c r="W83" s="436" t="n">
        <f aca="false">V83+U83*Year</f>
        <v>54348.4875323704</v>
      </c>
    </row>
    <row r="84" customFormat="false" ht="15" hidden="false" customHeight="false" outlineLevel="0" collapsed="false">
      <c r="A84" s="443"/>
      <c r="B84" s="446" t="n">
        <f aca="false">MOD(B83,28)+1</f>
        <v>1</v>
      </c>
      <c r="C84" s="446" t="n">
        <f aca="false">$C$64</f>
        <v>1</v>
      </c>
      <c r="D84" s="448" t="str">
        <f aca="false">INDEX(DasaSpans,B84,$C$61)</f>
        <v>Mercury</v>
      </c>
      <c r="E84" s="447" t="n">
        <f aca="false">INDEX(DasaSpans,B84,$C$61+1)*C84</f>
        <v>2.25</v>
      </c>
      <c r="F84" s="451" t="n">
        <f aca="false">G83</f>
        <v>44700.6224968345</v>
      </c>
      <c r="G84" s="450" t="n">
        <f aca="false">F84+E84*Year</f>
        <v>45522.4459603761</v>
      </c>
      <c r="H84" s="447" t="n">
        <f aca="false">SUM($E$66:E84)</f>
        <v>49.4762625</v>
      </c>
      <c r="I84" s="443"/>
      <c r="J84" s="52" t="n">
        <f aca="false">MOD(MOD(J83+28,28)+$K$64-1,28)+1</f>
        <v>28</v>
      </c>
      <c r="K84" s="438" t="n">
        <f aca="false">K83</f>
        <v>0.125</v>
      </c>
      <c r="L84" s="52" t="str">
        <f aca="false">INDEX(DasaSpans,J84,$C$61)</f>
        <v>Mars</v>
      </c>
      <c r="M84" s="438" t="n">
        <f aca="false">INDEX(DasaSpans,J84,$C$61+1)*K84</f>
        <v>0.375</v>
      </c>
      <c r="N84" s="435" t="n">
        <f aca="false">O83</f>
        <v>55041.9010797337</v>
      </c>
      <c r="O84" s="436" t="n">
        <f aca="false">N84+M84*Year</f>
        <v>55178.8716569907</v>
      </c>
      <c r="P84" s="52" t="n">
        <f aca="false">COUNTIF(L81:L88,L84)</f>
        <v>3</v>
      </c>
      <c r="Q84" s="431"/>
      <c r="R84" s="52" t="n">
        <f aca="false">MOD(MOD(R83+28,28)+S$64-1,28)+1</f>
        <v>10</v>
      </c>
      <c r="S84" s="438" t="n">
        <f aca="false">S83</f>
        <v>0.015625</v>
      </c>
      <c r="T84" s="52" t="str">
        <f aca="false">INDEX(DasaSpans,R84,$C$61)</f>
        <v>Venus</v>
      </c>
      <c r="U84" s="438" t="n">
        <f aca="false">INDEX(DasaSpans,R84,$C$61+1)*S84</f>
        <v>0.03515625</v>
      </c>
      <c r="V84" s="435" t="n">
        <f aca="false">W83</f>
        <v>54348.4875323704</v>
      </c>
      <c r="W84" s="436" t="n">
        <f aca="false">V84+U84*Year</f>
        <v>54361.3285239882</v>
      </c>
    </row>
    <row r="85" customFormat="false" ht="15" hidden="false" customHeight="false" outlineLevel="0" collapsed="false">
      <c r="A85" s="443"/>
      <c r="B85" s="446" t="n">
        <f aca="false">MOD(B84,28)+1</f>
        <v>2</v>
      </c>
      <c r="C85" s="446" t="n">
        <f aca="false">$C$64</f>
        <v>1</v>
      </c>
      <c r="D85" s="448" t="str">
        <f aca="false">INDEX(DasaSpans,B85,$C$61)</f>
        <v>Mercury</v>
      </c>
      <c r="E85" s="447" t="n">
        <f aca="false">INDEX(DasaSpans,B85,$C$61+1)*C85</f>
        <v>2.25</v>
      </c>
      <c r="F85" s="451" t="n">
        <f aca="false">G84</f>
        <v>45522.4459603761</v>
      </c>
      <c r="G85" s="450" t="n">
        <f aca="false">F85+E85*Year</f>
        <v>46344.2694239178</v>
      </c>
      <c r="H85" s="447" t="n">
        <f aca="false">SUM($E$66:E85)</f>
        <v>51.7262625</v>
      </c>
      <c r="I85" s="443" t="s">
        <v>394</v>
      </c>
      <c r="J85" s="52" t="n">
        <f aca="false">MOD(MOD(J84+28,28)+$K$64-1,28)+1</f>
        <v>1</v>
      </c>
      <c r="K85" s="454" t="n">
        <f aca="false">K84</f>
        <v>0.125</v>
      </c>
      <c r="L85" s="455" t="str">
        <f aca="false">INDEX(DasaSpans,J85,$C$61)</f>
        <v>Mercury</v>
      </c>
      <c r="M85" s="454" t="n">
        <f aca="false">INDEX(DasaSpans,J85,$C$61+1)*K85</f>
        <v>0.28125</v>
      </c>
      <c r="N85" s="456" t="n">
        <f aca="false">O84</f>
        <v>55178.8716569907</v>
      </c>
      <c r="O85" s="456" t="n">
        <f aca="false">N85+M85*Year</f>
        <v>55281.5995899334</v>
      </c>
      <c r="P85" s="52" t="n">
        <f aca="false">COUNTIF(L82:L89,L85)</f>
        <v>4</v>
      </c>
      <c r="Q85" s="431"/>
      <c r="R85" s="52" t="n">
        <f aca="false">MOD(MOD(R84+28,28)+S$64-1,28)+1</f>
        <v>11</v>
      </c>
      <c r="S85" s="438" t="n">
        <f aca="false">S84</f>
        <v>0.015625</v>
      </c>
      <c r="T85" s="52" t="str">
        <f aca="false">INDEX(DasaSpans,R85,$C$61)</f>
        <v>Venus</v>
      </c>
      <c r="U85" s="438" t="n">
        <f aca="false">INDEX(DasaSpans,R85,$C$61+1)*S85</f>
        <v>0.03515625</v>
      </c>
      <c r="V85" s="435" t="n">
        <f aca="false">W84</f>
        <v>54361.3285239882</v>
      </c>
      <c r="W85" s="436" t="n">
        <f aca="false">V85+U85*Year</f>
        <v>54374.169515606</v>
      </c>
    </row>
    <row r="86" customFormat="false" ht="15" hidden="false" customHeight="false" outlineLevel="0" collapsed="false">
      <c r="A86" s="443"/>
      <c r="B86" s="446" t="n">
        <f aca="false">MOD(B85,28)+1</f>
        <v>3</v>
      </c>
      <c r="C86" s="446" t="n">
        <f aca="false">$C$64</f>
        <v>1</v>
      </c>
      <c r="D86" s="448" t="str">
        <f aca="false">INDEX(DasaSpans,B86,$C$61)</f>
        <v>Mercury</v>
      </c>
      <c r="E86" s="447" t="n">
        <f aca="false">INDEX(DasaSpans,B86,$C$61+1)*C86</f>
        <v>2.25</v>
      </c>
      <c r="F86" s="451" t="n">
        <f aca="false">G85</f>
        <v>46344.2694239178</v>
      </c>
      <c r="G86" s="450" t="n">
        <f aca="false">F86+E86*Year</f>
        <v>47166.0928874594</v>
      </c>
      <c r="H86" s="447" t="n">
        <f aca="false">SUM($E$66:E86)</f>
        <v>53.9762625</v>
      </c>
      <c r="I86" s="443"/>
      <c r="J86" s="52" t="n">
        <f aca="false">MOD(MOD(J85+28,28)+$K$64-1,28)+1</f>
        <v>2</v>
      </c>
      <c r="K86" s="454" t="n">
        <f aca="false">K85</f>
        <v>0.125</v>
      </c>
      <c r="L86" s="455" t="str">
        <f aca="false">INDEX(DasaSpans,J86,$C$61)</f>
        <v>Mercury</v>
      </c>
      <c r="M86" s="454" t="n">
        <f aca="false">INDEX(DasaSpans,J86,$C$61+1)*K86</f>
        <v>0.28125</v>
      </c>
      <c r="N86" s="456" t="n">
        <f aca="false">O85</f>
        <v>55281.5995899334</v>
      </c>
      <c r="O86" s="456" t="n">
        <f aca="false">N86+M86*Year</f>
        <v>55384.3275228761</v>
      </c>
      <c r="P86" s="52" t="n">
        <f aca="false">COUNTIF(L83:L90,L86)</f>
        <v>4</v>
      </c>
      <c r="Q86" s="431"/>
      <c r="R86" s="52" t="n">
        <f aca="false">MOD(MOD(R85+28,28)+S$64-1,28)+1</f>
        <v>12</v>
      </c>
      <c r="S86" s="438" t="n">
        <f aca="false">S85</f>
        <v>0.015625</v>
      </c>
      <c r="T86" s="52" t="str">
        <f aca="false">INDEX(DasaSpans,R86,$C$61)</f>
        <v>Saturn</v>
      </c>
      <c r="U86" s="438" t="n">
        <f aca="false">INDEX(DasaSpans,R86,$C$61+1)*S86</f>
        <v>0.046875</v>
      </c>
      <c r="V86" s="435" t="n">
        <f aca="false">W85</f>
        <v>54374.169515606</v>
      </c>
      <c r="W86" s="436" t="n">
        <f aca="false">V86+U86*Year</f>
        <v>54391.2908377632</v>
      </c>
    </row>
    <row r="87" customFormat="false" ht="15" hidden="false" customHeight="false" outlineLevel="0" collapsed="false">
      <c r="A87" s="443"/>
      <c r="B87" s="446" t="n">
        <f aca="false">MOD(B86,28)+1</f>
        <v>4</v>
      </c>
      <c r="C87" s="446" t="n">
        <f aca="false">$C$64</f>
        <v>1</v>
      </c>
      <c r="D87" s="448" t="str">
        <f aca="false">INDEX(DasaSpans,B87,$C$61)</f>
        <v>Mercury</v>
      </c>
      <c r="E87" s="447" t="n">
        <f aca="false">INDEX(DasaSpans,B87,$C$61+1)*C87</f>
        <v>2.25</v>
      </c>
      <c r="F87" s="451" t="n">
        <f aca="false">G86</f>
        <v>47166.0928874594</v>
      </c>
      <c r="G87" s="450" t="n">
        <f aca="false">F87+E87*Year</f>
        <v>47987.9163510011</v>
      </c>
      <c r="H87" s="447" t="n">
        <f aca="false">SUM($E$66:E87)</f>
        <v>56.2262625</v>
      </c>
      <c r="I87" s="443"/>
      <c r="J87" s="52" t="n">
        <f aca="false">MOD(MOD(J86+28,28)+$K$64-1,28)+1</f>
        <v>3</v>
      </c>
      <c r="K87" s="454" t="n">
        <f aca="false">K86</f>
        <v>0.125</v>
      </c>
      <c r="L87" s="455" t="str">
        <f aca="false">INDEX(DasaSpans,J87,$C$61)</f>
        <v>Mercury</v>
      </c>
      <c r="M87" s="454" t="n">
        <f aca="false">INDEX(DasaSpans,J87,$C$61+1)*K87</f>
        <v>0.28125</v>
      </c>
      <c r="N87" s="456" t="n">
        <f aca="false">O86</f>
        <v>55384.3275228761</v>
      </c>
      <c r="O87" s="456" t="n">
        <f aca="false">N87+M87*Year</f>
        <v>55487.0554558188</v>
      </c>
      <c r="P87" s="52" t="n">
        <f aca="false">COUNTIF(L84:L91,L87)</f>
        <v>4</v>
      </c>
      <c r="Q87" s="431"/>
      <c r="R87" s="52" t="n">
        <f aca="false">MOD(MOD(R86+28,28)+S$64-1,28)+1</f>
        <v>13</v>
      </c>
      <c r="S87" s="438" t="n">
        <f aca="false">S86</f>
        <v>0.015625</v>
      </c>
      <c r="T87" s="52" t="str">
        <f aca="false">INDEX(DasaSpans,R87,$C$61)</f>
        <v>Saturn</v>
      </c>
      <c r="U87" s="438" t="n">
        <f aca="false">INDEX(DasaSpans,R87,$C$61+1)*S87</f>
        <v>0.046875</v>
      </c>
      <c r="V87" s="435" t="n">
        <f aca="false">W86</f>
        <v>54391.2908377632</v>
      </c>
      <c r="W87" s="436" t="n">
        <f aca="false">V87+U87*Year</f>
        <v>54408.4121599203</v>
      </c>
    </row>
    <row r="88" customFormat="false" ht="15" hidden="false" customHeight="false" outlineLevel="0" collapsed="false">
      <c r="A88" s="443"/>
      <c r="B88" s="446" t="n">
        <f aca="false">MOD(B87,28)+1</f>
        <v>5</v>
      </c>
      <c r="C88" s="446" t="n">
        <f aca="false">$C$64</f>
        <v>1</v>
      </c>
      <c r="D88" s="448" t="str">
        <f aca="false">INDEX(DasaSpans,B88,$C$61)</f>
        <v>Jupiter</v>
      </c>
      <c r="E88" s="447" t="n">
        <f aca="false">INDEX(DasaSpans,B88,$C$61+1)*C88</f>
        <v>3</v>
      </c>
      <c r="F88" s="451" t="n">
        <f aca="false">G87</f>
        <v>47987.9163510011</v>
      </c>
      <c r="G88" s="450" t="n">
        <f aca="false">F88+E88*Year</f>
        <v>49083.6809690566</v>
      </c>
      <c r="H88" s="447" t="n">
        <f aca="false">SUM($E$66:E88)</f>
        <v>59.2262625</v>
      </c>
      <c r="I88" s="443" t="s">
        <v>394</v>
      </c>
      <c r="J88" s="52" t="n">
        <f aca="false">MOD(MOD(J87+28,28)+$K$64-1,28)+1</f>
        <v>4</v>
      </c>
      <c r="K88" s="438" t="n">
        <f aca="false">K87</f>
        <v>0.125</v>
      </c>
      <c r="L88" s="52" t="str">
        <f aca="false">INDEX(DasaSpans,J88,$C$61)</f>
        <v>Mercury</v>
      </c>
      <c r="M88" s="438" t="n">
        <f aca="false">INDEX(DasaSpans,J88,$C$61+1)*K88</f>
        <v>0.28125</v>
      </c>
      <c r="N88" s="435" t="n">
        <f aca="false">O87</f>
        <v>55487.0554558188</v>
      </c>
      <c r="O88" s="436" t="n">
        <f aca="false">N88+M88*Year</f>
        <v>55589.7833887615</v>
      </c>
      <c r="P88" s="52" t="n">
        <f aca="false">COUNTIF(L85:L92,L88)</f>
        <v>4</v>
      </c>
      <c r="Q88" s="431"/>
      <c r="R88" s="52" t="n">
        <f aca="false">MOD(MOD(R87+28,28)+S$64-1,28)+1</f>
        <v>14</v>
      </c>
      <c r="S88" s="438" t="n">
        <f aca="false">S87</f>
        <v>0.015625</v>
      </c>
      <c r="T88" s="52" t="str">
        <f aca="false">INDEX(DasaSpans,R88,$C$61)</f>
        <v>Saturn</v>
      </c>
      <c r="U88" s="438" t="n">
        <f aca="false">INDEX(DasaSpans,R88,$C$61+1)*S88</f>
        <v>0.046875</v>
      </c>
      <c r="V88" s="435" t="n">
        <f aca="false">W87</f>
        <v>54408.4121599203</v>
      </c>
      <c r="W88" s="436" t="n">
        <f aca="false">V88+U88*Year</f>
        <v>54425.5334820774</v>
      </c>
    </row>
    <row r="89" customFormat="false" ht="15" hidden="false" customHeight="false" outlineLevel="0" collapsed="false">
      <c r="A89" s="443"/>
      <c r="B89" s="446" t="n">
        <f aca="false">MOD(B88,28)+1</f>
        <v>6</v>
      </c>
      <c r="C89" s="446" t="n">
        <f aca="false">$C$64</f>
        <v>1</v>
      </c>
      <c r="D89" s="448" t="str">
        <f aca="false">INDEX(DasaSpans,B89,$C$61)</f>
        <v>Jupiter</v>
      </c>
      <c r="E89" s="447" t="n">
        <f aca="false">INDEX(DasaSpans,B89,$C$61+1)*C89</f>
        <v>3</v>
      </c>
      <c r="F89" s="451" t="n">
        <f aca="false">G88</f>
        <v>49083.6809690566</v>
      </c>
      <c r="G89" s="450" t="n">
        <f aca="false">F89+E89*Year</f>
        <v>50179.4455871122</v>
      </c>
      <c r="H89" s="447" t="n">
        <f aca="false">SUM($E$66:E89)</f>
        <v>62.2262625</v>
      </c>
      <c r="I89" s="443"/>
      <c r="J89" s="52" t="n">
        <f aca="false">MOD(MOD(J88+28,28)+$K$64-1,28)+1</f>
        <v>5</v>
      </c>
      <c r="K89" s="438" t="n">
        <f aca="false">K88</f>
        <v>0.125</v>
      </c>
      <c r="L89" s="52" t="str">
        <f aca="false">INDEX(DasaSpans,J89,$C$61)</f>
        <v>Jupiter</v>
      </c>
      <c r="M89" s="438" t="n">
        <f aca="false">INDEX(DasaSpans,J89,$C$61+1)*K89</f>
        <v>0.375</v>
      </c>
      <c r="N89" s="435" t="n">
        <f aca="false">O88</f>
        <v>55589.7833887615</v>
      </c>
      <c r="O89" s="436" t="n">
        <f aca="false">N89+M89*Year</f>
        <v>55726.7539660184</v>
      </c>
      <c r="P89" s="52" t="n">
        <f aca="false">COUNTIF(L86:L93,L89)</f>
        <v>3</v>
      </c>
      <c r="Q89" s="431"/>
      <c r="R89" s="52" t="n">
        <f aca="false">MOD(MOD(R88+28,28)+S$64-1,28)+1</f>
        <v>15</v>
      </c>
      <c r="S89" s="438" t="n">
        <f aca="false">S88</f>
        <v>0.015625</v>
      </c>
      <c r="T89" s="52" t="str">
        <f aca="false">INDEX(DasaSpans,R89,$C$61)</f>
        <v>Rahu</v>
      </c>
      <c r="U89" s="438" t="n">
        <f aca="false">INDEX(DasaSpans,R89,$C$61+1)*S89</f>
        <v>0.03515625</v>
      </c>
      <c r="V89" s="435" t="n">
        <f aca="false">W88</f>
        <v>54425.5334820774</v>
      </c>
      <c r="W89" s="436" t="n">
        <f aca="false">V89+U89*Year</f>
        <v>54438.3744736952</v>
      </c>
    </row>
    <row r="90" customFormat="false" ht="15" hidden="false" customHeight="false" outlineLevel="0" collapsed="false">
      <c r="A90" s="443"/>
      <c r="B90" s="446" t="n">
        <f aca="false">MOD(B89,28)+1</f>
        <v>7</v>
      </c>
      <c r="C90" s="446" t="n">
        <f aca="false">$C$64</f>
        <v>1</v>
      </c>
      <c r="D90" s="448" t="str">
        <f aca="false">INDEX(DasaSpans,B90,$C$61)</f>
        <v>Jupiter</v>
      </c>
      <c r="E90" s="447" t="n">
        <f aca="false">INDEX(DasaSpans,B90,$C$61+1)*C90</f>
        <v>3</v>
      </c>
      <c r="F90" s="451" t="n">
        <f aca="false">G89</f>
        <v>50179.4455871122</v>
      </c>
      <c r="G90" s="450" t="n">
        <f aca="false">F90+E90*Year</f>
        <v>51275.2102051677</v>
      </c>
      <c r="H90" s="447" t="n">
        <f aca="false">SUM($E$66:E90)</f>
        <v>65.2262625</v>
      </c>
      <c r="I90" s="443"/>
      <c r="J90" s="52" t="n">
        <f aca="false">MOD(MOD(J89+28,28)+$K$64-1,28)+1</f>
        <v>6</v>
      </c>
      <c r="K90" s="438" t="n">
        <f aca="false">K89</f>
        <v>0.125</v>
      </c>
      <c r="L90" s="52" t="str">
        <f aca="false">INDEX(DasaSpans,J90,$C$61)</f>
        <v>Jupiter</v>
      </c>
      <c r="M90" s="438" t="n">
        <f aca="false">INDEX(DasaSpans,J90,$C$61+1)*K90</f>
        <v>0.375</v>
      </c>
      <c r="N90" s="435" t="n">
        <f aca="false">O89</f>
        <v>55726.7539660184</v>
      </c>
      <c r="O90" s="436" t="n">
        <f aca="false">N90+M90*Year</f>
        <v>55863.7245432754</v>
      </c>
      <c r="P90" s="52" t="n">
        <f aca="false">COUNTIF(L87:L94,L90)</f>
        <v>3</v>
      </c>
      <c r="Q90" s="431"/>
      <c r="R90" s="52" t="n">
        <f aca="false">MOD(MOD(R89+28,28)+S$64-1,28)+1</f>
        <v>16</v>
      </c>
      <c r="S90" s="438" t="n">
        <f aca="false">S89</f>
        <v>0.015625</v>
      </c>
      <c r="T90" s="52" t="str">
        <f aca="false">INDEX(DasaSpans,R90,$C$61)</f>
        <v>Rahu</v>
      </c>
      <c r="U90" s="438" t="n">
        <f aca="false">INDEX(DasaSpans,R90,$C$61+1)*S90</f>
        <v>0.03515625</v>
      </c>
      <c r="V90" s="435" t="n">
        <f aca="false">W89</f>
        <v>54438.3744736952</v>
      </c>
      <c r="W90" s="436" t="n">
        <f aca="false">V90+U90*Year</f>
        <v>54451.2154653131</v>
      </c>
    </row>
    <row r="91" customFormat="false" ht="15" hidden="false" customHeight="false" outlineLevel="0" collapsed="false">
      <c r="A91" s="443"/>
      <c r="B91" s="446" t="n">
        <f aca="false">MOD(B90,28)+1</f>
        <v>8</v>
      </c>
      <c r="C91" s="446" t="n">
        <f aca="false">$C$64</f>
        <v>1</v>
      </c>
      <c r="D91" s="448" t="str">
        <f aca="false">INDEX(DasaSpans,B91,$C$61)</f>
        <v>Venus</v>
      </c>
      <c r="E91" s="447" t="n">
        <f aca="false">INDEX(DasaSpans,B91,$C$61+1)*C91</f>
        <v>2.25</v>
      </c>
      <c r="F91" s="451" t="n">
        <f aca="false">G90</f>
        <v>51275.2102051677</v>
      </c>
      <c r="G91" s="450" t="n">
        <f aca="false">F91+E91*Year</f>
        <v>52097.0336687094</v>
      </c>
      <c r="H91" s="447" t="n">
        <f aca="false">SUM($E$66:E91)</f>
        <v>67.4762625</v>
      </c>
      <c r="I91" s="443"/>
      <c r="J91" s="52" t="n">
        <f aca="false">MOD(MOD(J90+28,28)+$K$64-1,28)+1</f>
        <v>7</v>
      </c>
      <c r="K91" s="438" t="n">
        <f aca="false">K90</f>
        <v>0.125</v>
      </c>
      <c r="L91" s="52" t="str">
        <f aca="false">INDEX(DasaSpans,J91,$C$61)</f>
        <v>Jupiter</v>
      </c>
      <c r="M91" s="438" t="n">
        <f aca="false">INDEX(DasaSpans,J91,$C$61+1)*K91</f>
        <v>0.375</v>
      </c>
      <c r="N91" s="435" t="n">
        <f aca="false">O90</f>
        <v>55863.7245432754</v>
      </c>
      <c r="O91" s="436" t="n">
        <f aca="false">N91+M91*Year</f>
        <v>56000.6951205323</v>
      </c>
      <c r="P91" s="52" t="n">
        <f aca="false">COUNTIF(L88:L95,L91)</f>
        <v>3</v>
      </c>
      <c r="Q91" s="431"/>
      <c r="R91" s="52" t="n">
        <f aca="false">MOD(MOD(R90+28,28)+S$64-1,28)+1</f>
        <v>17</v>
      </c>
      <c r="S91" s="438" t="n">
        <f aca="false">S90</f>
        <v>0.015625</v>
      </c>
      <c r="T91" s="52" t="str">
        <f aca="false">INDEX(DasaSpans,R91,$C$61)</f>
        <v>Rahu</v>
      </c>
      <c r="U91" s="438" t="n">
        <f aca="false">INDEX(DasaSpans,R91,$C$61+1)*S91</f>
        <v>0.03515625</v>
      </c>
      <c r="V91" s="435" t="n">
        <f aca="false">W90</f>
        <v>54451.2154653131</v>
      </c>
      <c r="W91" s="436" t="n">
        <f aca="false">V91+U91*Year</f>
        <v>54464.0564569309</v>
      </c>
    </row>
    <row r="92" customFormat="false" ht="15" hidden="false" customHeight="false" outlineLevel="0" collapsed="false">
      <c r="A92" s="443"/>
      <c r="B92" s="446" t="n">
        <f aca="false">MOD(B91,28)+1</f>
        <v>9</v>
      </c>
      <c r="C92" s="446" t="n">
        <f aca="false">$C$64</f>
        <v>1</v>
      </c>
      <c r="D92" s="448" t="str">
        <f aca="false">INDEX(DasaSpans,B92,$C$61)</f>
        <v>Venus</v>
      </c>
      <c r="E92" s="447" t="n">
        <f aca="false">INDEX(DasaSpans,B92,$C$61+1)*C92</f>
        <v>2.25</v>
      </c>
      <c r="F92" s="451" t="n">
        <f aca="false">G91</f>
        <v>52097.0336687094</v>
      </c>
      <c r="G92" s="450" t="n">
        <f aca="false">F92+E92*Year</f>
        <v>52918.8571322511</v>
      </c>
      <c r="H92" s="447" t="n">
        <f aca="false">SUM($E$66:E92)</f>
        <v>69.7262625</v>
      </c>
      <c r="I92" s="443"/>
      <c r="J92" s="52" t="n">
        <f aca="false">MOD(MOD(J91+28,28)+$K$64-1,28)+1</f>
        <v>8</v>
      </c>
      <c r="K92" s="438" t="n">
        <f aca="false">K91</f>
        <v>0.125</v>
      </c>
      <c r="L92" s="52" t="str">
        <f aca="false">INDEX(DasaSpans,J92,$C$61)</f>
        <v>Venus</v>
      </c>
      <c r="M92" s="438" t="n">
        <f aca="false">INDEX(DasaSpans,J92,$C$61+1)*K92</f>
        <v>0.28125</v>
      </c>
      <c r="N92" s="435" t="n">
        <f aca="false">O91</f>
        <v>56000.6951205323</v>
      </c>
      <c r="O92" s="436" t="n">
        <f aca="false">N92+M92*Year</f>
        <v>56103.423053475</v>
      </c>
      <c r="P92" s="52" t="n">
        <f aca="false">COUNTIF(L89:L96,L92)</f>
        <v>4</v>
      </c>
      <c r="Q92" s="431"/>
      <c r="R92" s="52" t="n">
        <f aca="false">MOD(MOD(R91+28,28)+S$64-1,28)+1</f>
        <v>18</v>
      </c>
      <c r="S92" s="438" t="n">
        <f aca="false">S91</f>
        <v>0.015625</v>
      </c>
      <c r="T92" s="52" t="str">
        <f aca="false">INDEX(DasaSpans,R92,$C$61)</f>
        <v>Rahu</v>
      </c>
      <c r="U92" s="438" t="n">
        <f aca="false">INDEX(DasaSpans,R92,$C$61+1)*S92</f>
        <v>0.03515625</v>
      </c>
      <c r="V92" s="435" t="n">
        <f aca="false">W91</f>
        <v>54464.0564569309</v>
      </c>
      <c r="W92" s="436" t="n">
        <f aca="false">V92+U92*Year</f>
        <v>54476.8974485487</v>
      </c>
    </row>
    <row r="93" customFormat="false" ht="15" hidden="false" customHeight="false" outlineLevel="0" collapsed="false">
      <c r="A93" s="443" t="s">
        <v>394</v>
      </c>
      <c r="B93" s="446" t="n">
        <f aca="false">MOD(B92,28)+1</f>
        <v>10</v>
      </c>
      <c r="C93" s="446" t="n">
        <f aca="false">$C$64</f>
        <v>1</v>
      </c>
      <c r="D93" s="448" t="str">
        <f aca="false">INDEX(DasaSpans,B93,$C$61)</f>
        <v>Venus</v>
      </c>
      <c r="E93" s="447" t="n">
        <f aca="false">INDEX(DasaSpans,B93,$C$61+1)*C93</f>
        <v>2.25</v>
      </c>
      <c r="F93" s="451" t="n">
        <f aca="false">G92</f>
        <v>52918.8571322511</v>
      </c>
      <c r="G93" s="450" t="n">
        <f aca="false">F93+E93*Year</f>
        <v>53740.6805957927</v>
      </c>
      <c r="H93" s="447" t="n">
        <f aca="false">SUM($E$66:E93)</f>
        <v>71.9762625</v>
      </c>
      <c r="I93" s="443"/>
      <c r="J93" s="52" t="n">
        <f aca="false">MOD(MOD(J92+28,28)+$K$64-1,28)+1</f>
        <v>9</v>
      </c>
      <c r="K93" s="438" t="n">
        <f aca="false">K92</f>
        <v>0.125</v>
      </c>
      <c r="L93" s="52" t="str">
        <f aca="false">INDEX(DasaSpans,J93,$C$61)</f>
        <v>Venus</v>
      </c>
      <c r="M93" s="438" t="n">
        <f aca="false">INDEX(DasaSpans,J93,$C$61+1)*K93</f>
        <v>0.28125</v>
      </c>
      <c r="N93" s="435" t="n">
        <f aca="false">O92</f>
        <v>56103.423053475</v>
      </c>
      <c r="O93" s="436" t="n">
        <f aca="false">N93+M93*Year</f>
        <v>56206.1509864178</v>
      </c>
      <c r="P93" s="52" t="n">
        <f aca="false">COUNTIF(L90:L97,L93)</f>
        <v>4</v>
      </c>
      <c r="Q93" s="431"/>
      <c r="R93" s="52" t="n">
        <f aca="false">MOD(MOD(R92+28,28)+S$64-1,28)+1</f>
        <v>19</v>
      </c>
      <c r="S93" s="438" t="n">
        <f aca="false">S92</f>
        <v>0.015625</v>
      </c>
      <c r="T93" s="52" t="str">
        <f aca="false">INDEX(DasaSpans,R93,$C$61)</f>
        <v>Sun</v>
      </c>
      <c r="U93" s="438" t="n">
        <f aca="false">INDEX(DasaSpans,R93,$C$61+1)*S93</f>
        <v>0.046875</v>
      </c>
      <c r="V93" s="435" t="n">
        <f aca="false">W92</f>
        <v>54476.8974485487</v>
      </c>
      <c r="W93" s="436" t="n">
        <f aca="false">V93+U93*Year</f>
        <v>54494.0187707059</v>
      </c>
    </row>
    <row r="94" customFormat="false" ht="15" hidden="false" customHeight="false" outlineLevel="0" collapsed="false">
      <c r="A94" s="443"/>
      <c r="B94" s="446" t="n">
        <f aca="false">MOD(B93,28)+1</f>
        <v>11</v>
      </c>
      <c r="C94" s="446" t="n">
        <f aca="false">$C$64</f>
        <v>1</v>
      </c>
      <c r="D94" s="448" t="str">
        <f aca="false">INDEX(DasaSpans,B94,$C$61)</f>
        <v>Venus</v>
      </c>
      <c r="E94" s="447" t="n">
        <f aca="false">INDEX(DasaSpans,B94,$C$61+1)*C94</f>
        <v>2.25</v>
      </c>
      <c r="F94" s="451" t="n">
        <f aca="false">G93</f>
        <v>53740.6805957927</v>
      </c>
      <c r="G94" s="450" t="n">
        <f aca="false">F94+E94*Year</f>
        <v>54562.5040593344</v>
      </c>
      <c r="H94" s="447" t="n">
        <f aca="false">SUM($E$66:E94)</f>
        <v>74.2262625</v>
      </c>
      <c r="I94" s="443"/>
      <c r="J94" s="52" t="n">
        <f aca="false">MOD(MOD(J93+28,28)+$K$64-1,28)+1</f>
        <v>10</v>
      </c>
      <c r="K94" s="438" t="n">
        <f aca="false">K93</f>
        <v>0.125</v>
      </c>
      <c r="L94" s="52" t="str">
        <f aca="false">INDEX(DasaSpans,J94,$C$61)</f>
        <v>Venus</v>
      </c>
      <c r="M94" s="438" t="n">
        <f aca="false">INDEX(DasaSpans,J94,$C$61+1)*K94</f>
        <v>0.28125</v>
      </c>
      <c r="N94" s="435" t="n">
        <f aca="false">O93</f>
        <v>56206.1509864178</v>
      </c>
      <c r="O94" s="436" t="n">
        <f aca="false">N94+M94*Year</f>
        <v>56308.8789193605</v>
      </c>
      <c r="P94" s="52" t="n">
        <f aca="false">COUNTIF(L91:L98,L94)</f>
        <v>4</v>
      </c>
      <c r="Q94" s="431"/>
      <c r="R94" s="52" t="n">
        <f aca="false">MOD(MOD(R93+28,28)+S$64-1,28)+1</f>
        <v>20</v>
      </c>
      <c r="S94" s="438" t="n">
        <f aca="false">S93</f>
        <v>0.015625</v>
      </c>
      <c r="T94" s="52" t="str">
        <f aca="false">INDEX(DasaSpans,R94,$C$61)</f>
        <v>Sun</v>
      </c>
      <c r="U94" s="438" t="n">
        <f aca="false">INDEX(DasaSpans,R94,$C$61+1)*S94</f>
        <v>0.046875</v>
      </c>
      <c r="V94" s="435" t="n">
        <f aca="false">W93</f>
        <v>54494.0187707059</v>
      </c>
      <c r="W94" s="436" t="n">
        <f aca="false">V94+U94*Year</f>
        <v>54511.140092863</v>
      </c>
    </row>
    <row r="95" customFormat="false" ht="15" hidden="false" customHeight="false" outlineLevel="0" collapsed="false">
      <c r="A95" s="457"/>
      <c r="B95" s="458" t="n">
        <f aca="false">MOD(B94,28)+1</f>
        <v>12</v>
      </c>
      <c r="C95" s="446" t="n">
        <f aca="false">$C$64</f>
        <v>1</v>
      </c>
      <c r="D95" s="448" t="str">
        <f aca="false">INDEX(DasaSpans,B95,$C$61)</f>
        <v>Saturn</v>
      </c>
      <c r="E95" s="447" t="n">
        <f aca="false">INDEX(DasaSpans,B95,$C$61+1)*C95</f>
        <v>3</v>
      </c>
      <c r="F95" s="459" t="n">
        <f aca="false">G94</f>
        <v>54562.5040593344</v>
      </c>
      <c r="G95" s="460" t="n">
        <f aca="false">F95+E95*Year</f>
        <v>55658.2686773899</v>
      </c>
      <c r="H95" s="447" t="n">
        <f aca="false">SUM($E$66:E95)</f>
        <v>77.2262625</v>
      </c>
      <c r="I95" s="457" t="s">
        <v>394</v>
      </c>
      <c r="J95" s="461" t="n">
        <f aca="false">MOD(MOD(J94+28,28)+$K$64-1,28)+1</f>
        <v>11</v>
      </c>
      <c r="K95" s="462" t="n">
        <f aca="false">K94</f>
        <v>0.125</v>
      </c>
      <c r="L95" s="461" t="str">
        <f aca="false">INDEX(DasaSpans,J95,$C$61)</f>
        <v>Venus</v>
      </c>
      <c r="M95" s="438" t="n">
        <f aca="false">INDEX(DasaSpans,J95,$C$61+1)*K95</f>
        <v>0.28125</v>
      </c>
      <c r="N95" s="463" t="n">
        <f aca="false">O94</f>
        <v>56308.8789193605</v>
      </c>
      <c r="O95" s="464" t="n">
        <f aca="false">N95+M95*Year</f>
        <v>56411.6068523032</v>
      </c>
      <c r="P95" s="52" t="n">
        <f aca="false">COUNTIF(L92:L99,L95)</f>
        <v>4</v>
      </c>
      <c r="Q95" s="465"/>
      <c r="R95" s="461" t="n">
        <f aca="false">MOD(MOD(R94+28,28)+S$64-1,28)+1</f>
        <v>21</v>
      </c>
      <c r="S95" s="462" t="n">
        <f aca="false">S94</f>
        <v>0.015625</v>
      </c>
      <c r="T95" s="461" t="str">
        <f aca="false">INDEX(DasaSpans,R95,$C$61)</f>
        <v>Sun</v>
      </c>
      <c r="U95" s="462" t="n">
        <f aca="false">INDEX(DasaSpans,R95,$C$61+1)*S95</f>
        <v>0.046875</v>
      </c>
      <c r="V95" s="463" t="n">
        <f aca="false">W94</f>
        <v>54511.140092863</v>
      </c>
      <c r="W95" s="464" t="n">
        <f aca="false">V95+U95*Year</f>
        <v>54528.2614150201</v>
      </c>
    </row>
    <row r="96" customFormat="false" ht="15" hidden="false" customHeight="false" outlineLevel="0" collapsed="false">
      <c r="A96" s="457"/>
      <c r="B96" s="458" t="n">
        <f aca="false">MOD(B95,28)+1</f>
        <v>13</v>
      </c>
      <c r="C96" s="446" t="n">
        <f aca="false">$C$64</f>
        <v>1</v>
      </c>
      <c r="D96" s="448" t="str">
        <f aca="false">INDEX(DasaSpans,B96,$C$61)</f>
        <v>Saturn</v>
      </c>
      <c r="E96" s="447" t="n">
        <f aca="false">INDEX(DasaSpans,B96,$C$61+1)*C96</f>
        <v>3</v>
      </c>
      <c r="F96" s="459" t="n">
        <f aca="false">G95</f>
        <v>55658.2686773899</v>
      </c>
      <c r="G96" s="460" t="n">
        <f aca="false">F96+E96*Year</f>
        <v>56754.0332954455</v>
      </c>
      <c r="H96" s="447" t="n">
        <f aca="false">SUM($E$66:E96)</f>
        <v>80.2262625</v>
      </c>
      <c r="I96" s="443"/>
      <c r="J96" s="52" t="n">
        <f aca="false">MOD(MOD(J95+28,28)+$K$64-1,28)+1</f>
        <v>12</v>
      </c>
      <c r="K96" s="438" t="n">
        <f aca="false">K95</f>
        <v>0.125</v>
      </c>
      <c r="L96" s="52" t="str">
        <f aca="false">INDEX(DasaSpans,J96,$C$61)</f>
        <v>Saturn</v>
      </c>
      <c r="M96" s="438" t="n">
        <f aca="false">INDEX(DasaSpans,J96,$C$61+1)*K96</f>
        <v>0.375</v>
      </c>
      <c r="N96" s="435" t="n">
        <f aca="false">O95</f>
        <v>56411.6068523032</v>
      </c>
      <c r="O96" s="436" t="n">
        <f aca="false">N96+M96*Year</f>
        <v>56548.5774295601</v>
      </c>
      <c r="P96" s="52" t="n">
        <f aca="false">COUNTIF(L93:L100,L96)</f>
        <v>3</v>
      </c>
    </row>
    <row r="97" customFormat="false" ht="15" hidden="false" customHeight="false" outlineLevel="0" collapsed="false">
      <c r="A97" s="457"/>
      <c r="B97" s="458" t="n">
        <f aca="false">MOD(B96,28)+1</f>
        <v>14</v>
      </c>
      <c r="C97" s="446" t="n">
        <f aca="false">$C$64</f>
        <v>1</v>
      </c>
      <c r="D97" s="448" t="str">
        <f aca="false">INDEX(DasaSpans,B97,$C$61)</f>
        <v>Saturn</v>
      </c>
      <c r="E97" s="447" t="n">
        <f aca="false">INDEX(DasaSpans,B97,$C$61+1)*C97</f>
        <v>3</v>
      </c>
      <c r="F97" s="459" t="n">
        <f aca="false">G96</f>
        <v>56754.0332954455</v>
      </c>
      <c r="G97" s="460" t="n">
        <f aca="false">F97+E97*Year</f>
        <v>57849.797913501</v>
      </c>
      <c r="H97" s="447" t="n">
        <f aca="false">SUM($E$66:E97)</f>
        <v>83.2262625</v>
      </c>
      <c r="I97" s="457" t="s">
        <v>394</v>
      </c>
      <c r="J97" s="461" t="n">
        <f aca="false">MOD(MOD(J96+28,28)+$K$64-1,28)+1</f>
        <v>13</v>
      </c>
      <c r="K97" s="462" t="n">
        <f aca="false">K96</f>
        <v>0.125</v>
      </c>
      <c r="L97" s="461" t="str">
        <f aca="false">INDEX(DasaSpans,J97,$C$61)</f>
        <v>Saturn</v>
      </c>
      <c r="M97" s="438" t="n">
        <f aca="false">INDEX(DasaSpans,J97,$C$61+1)*K97</f>
        <v>0.375</v>
      </c>
      <c r="N97" s="463" t="n">
        <f aca="false">O96</f>
        <v>56548.5774295601</v>
      </c>
      <c r="O97" s="464" t="n">
        <f aca="false">N97+M97*Year</f>
        <v>56685.5480068171</v>
      </c>
      <c r="P97" s="52" t="n">
        <f aca="false">COUNTIF(L94:L101,L97)</f>
        <v>3</v>
      </c>
    </row>
    <row r="98" customFormat="false" ht="15" hidden="false" customHeight="false" outlineLevel="0" collapsed="false">
      <c r="A98" s="457"/>
      <c r="B98" s="458" t="n">
        <f aca="false">MOD(B97,28)+1</f>
        <v>15</v>
      </c>
      <c r="C98" s="446" t="n">
        <f aca="false">$C$64</f>
        <v>1</v>
      </c>
      <c r="D98" s="448" t="str">
        <f aca="false">INDEX(DasaSpans,B98,$C$61)</f>
        <v>Rahu</v>
      </c>
      <c r="E98" s="447" t="n">
        <f aca="false">INDEX(DasaSpans,B98,$C$61+1)*C98</f>
        <v>2.25</v>
      </c>
      <c r="F98" s="459" t="n">
        <f aca="false">G97</f>
        <v>57849.797913501</v>
      </c>
      <c r="G98" s="460" t="n">
        <f aca="false">F98+E98*Year</f>
        <v>58671.6213770427</v>
      </c>
      <c r="H98" s="447" t="n">
        <f aca="false">SUM($E$66:E98)</f>
        <v>85.4762625</v>
      </c>
      <c r="I98" s="443"/>
      <c r="J98" s="52" t="n">
        <f aca="false">MOD(MOD(J97+28,28)+$K$64-1,28)+1</f>
        <v>14</v>
      </c>
      <c r="K98" s="438" t="n">
        <f aca="false">K97</f>
        <v>0.125</v>
      </c>
      <c r="L98" s="52" t="str">
        <f aca="false">INDEX(DasaSpans,J98,$C$61)</f>
        <v>Saturn</v>
      </c>
      <c r="M98" s="438" t="n">
        <f aca="false">INDEX(DasaSpans,J98,$C$61+1)*K98</f>
        <v>0.375</v>
      </c>
      <c r="N98" s="435" t="n">
        <f aca="false">O97</f>
        <v>56685.5480068171</v>
      </c>
      <c r="O98" s="436" t="n">
        <f aca="false">N98+M98*Year</f>
        <v>56822.518584074</v>
      </c>
      <c r="P98" s="52" t="n">
        <f aca="false">COUNTIF(L95:L102,L98)</f>
        <v>3</v>
      </c>
    </row>
    <row r="99" customFormat="false" ht="15" hidden="false" customHeight="false" outlineLevel="0" collapsed="false">
      <c r="A99" s="457"/>
      <c r="B99" s="458" t="n">
        <f aca="false">MOD(B98,28)+1</f>
        <v>16</v>
      </c>
      <c r="C99" s="446" t="n">
        <f aca="false">$C$64</f>
        <v>1</v>
      </c>
      <c r="D99" s="448" t="str">
        <f aca="false">INDEX(DasaSpans,B99,$C$61)</f>
        <v>Rahu</v>
      </c>
      <c r="E99" s="447" t="n">
        <f aca="false">INDEX(DasaSpans,B99,$C$61+1)*C99</f>
        <v>2.25</v>
      </c>
      <c r="F99" s="459" t="n">
        <f aca="false">G98</f>
        <v>58671.6213770427</v>
      </c>
      <c r="G99" s="460" t="n">
        <f aca="false">F99+E99*Year</f>
        <v>59493.4448405843</v>
      </c>
      <c r="H99" s="447" t="n">
        <f aca="false">SUM($E$66:E99)</f>
        <v>87.7262625</v>
      </c>
      <c r="I99" s="457" t="s">
        <v>394</v>
      </c>
      <c r="J99" s="461" t="n">
        <f aca="false">MOD(MOD(J98+28,28)+$K$64-1,28)+1</f>
        <v>15</v>
      </c>
      <c r="K99" s="462" t="n">
        <f aca="false">K98</f>
        <v>0.125</v>
      </c>
      <c r="L99" s="461" t="str">
        <f aca="false">INDEX(DasaSpans,J99,$C$61)</f>
        <v>Rahu</v>
      </c>
      <c r="M99" s="438" t="n">
        <f aca="false">INDEX(DasaSpans,J99,$C$61+1)*K99</f>
        <v>0.28125</v>
      </c>
      <c r="N99" s="463" t="n">
        <f aca="false">O98</f>
        <v>56822.518584074</v>
      </c>
      <c r="O99" s="464" t="n">
        <f aca="false">N99+M99*Year</f>
        <v>56925.2465170167</v>
      </c>
      <c r="P99" s="52" t="n">
        <f aca="false">COUNTIF(L96:L103,L99)</f>
        <v>4</v>
      </c>
    </row>
    <row r="100" customFormat="false" ht="15" hidden="false" customHeight="false" outlineLevel="0" collapsed="false">
      <c r="A100" s="457"/>
      <c r="B100" s="458" t="n">
        <f aca="false">MOD(B99,28)+1</f>
        <v>17</v>
      </c>
      <c r="C100" s="446" t="n">
        <f aca="false">$C$64</f>
        <v>1</v>
      </c>
      <c r="D100" s="448" t="str">
        <f aca="false">INDEX(DasaSpans,B100,$C$61)</f>
        <v>Rahu</v>
      </c>
      <c r="E100" s="447" t="n">
        <f aca="false">INDEX(DasaSpans,B100,$C$61+1)*C100</f>
        <v>2.25</v>
      </c>
      <c r="F100" s="459" t="n">
        <f aca="false">G99</f>
        <v>59493.4448405843</v>
      </c>
      <c r="G100" s="460" t="n">
        <f aca="false">F100+E100*Year</f>
        <v>60315.268304126</v>
      </c>
      <c r="H100" s="447" t="n">
        <f aca="false">SUM($E$66:E100)</f>
        <v>89.9762625</v>
      </c>
      <c r="I100" s="443"/>
      <c r="J100" s="52" t="n">
        <f aca="false">MOD(MOD(J99+28,28)+$K$64-1,28)+1</f>
        <v>16</v>
      </c>
      <c r="K100" s="438" t="n">
        <f aca="false">K99</f>
        <v>0.125</v>
      </c>
      <c r="L100" s="52" t="str">
        <f aca="false">INDEX(DasaSpans,J100,$C$61)</f>
        <v>Rahu</v>
      </c>
      <c r="M100" s="438" t="n">
        <f aca="false">INDEX(DasaSpans,J100,$C$61+1)*K100</f>
        <v>0.28125</v>
      </c>
      <c r="N100" s="435" t="n">
        <f aca="false">O99</f>
        <v>56925.2465170167</v>
      </c>
      <c r="O100" s="436" t="n">
        <f aca="false">N100+M100*Year</f>
        <v>57027.9744499594</v>
      </c>
      <c r="P100" s="52" t="n">
        <f aca="false">COUNTIF(L97:L104,L100)</f>
        <v>4</v>
      </c>
    </row>
    <row r="101" customFormat="false" ht="15" hidden="false" customHeight="false" outlineLevel="0" collapsed="false">
      <c r="A101" s="457"/>
      <c r="B101" s="458" t="n">
        <f aca="false">MOD(B100,28)+1</f>
        <v>18</v>
      </c>
      <c r="C101" s="446" t="n">
        <f aca="false">$C$64</f>
        <v>1</v>
      </c>
      <c r="D101" s="448" t="str">
        <f aca="false">INDEX(DasaSpans,B101,$C$61)</f>
        <v>Rahu</v>
      </c>
      <c r="E101" s="447" t="n">
        <f aca="false">INDEX(DasaSpans,B101,$C$61+1)*C101</f>
        <v>2.25</v>
      </c>
      <c r="F101" s="459" t="n">
        <f aca="false">G100</f>
        <v>60315.268304126</v>
      </c>
      <c r="G101" s="460" t="n">
        <f aca="false">F101+E101*Year</f>
        <v>61137.0917676677</v>
      </c>
      <c r="H101" s="447" t="n">
        <f aca="false">SUM($E$66:E101)</f>
        <v>92.2262625</v>
      </c>
      <c r="I101" s="457" t="s">
        <v>394</v>
      </c>
      <c r="J101" s="461" t="n">
        <f aca="false">MOD(MOD(J100+28,28)+$K$64-1,28)+1</f>
        <v>17</v>
      </c>
      <c r="K101" s="462" t="n">
        <f aca="false">K100</f>
        <v>0.125</v>
      </c>
      <c r="L101" s="461" t="str">
        <f aca="false">INDEX(DasaSpans,J101,$C$61)</f>
        <v>Rahu</v>
      </c>
      <c r="M101" s="438" t="n">
        <f aca="false">INDEX(DasaSpans,J101,$C$61+1)*K101</f>
        <v>0.28125</v>
      </c>
      <c r="N101" s="463" t="n">
        <f aca="false">O100</f>
        <v>57027.9744499594</v>
      </c>
      <c r="O101" s="464" t="n">
        <f aca="false">N101+M101*Year</f>
        <v>57130.7023829021</v>
      </c>
      <c r="P101" s="52" t="n">
        <f aca="false">COUNTIF(L98:L105,L101)</f>
        <v>4</v>
      </c>
    </row>
    <row r="102" customFormat="false" ht="15" hidden="false" customHeight="false" outlineLevel="0" collapsed="false">
      <c r="A102" s="457"/>
      <c r="B102" s="458" t="n">
        <f aca="false">MOD(B101,28)+1</f>
        <v>19</v>
      </c>
      <c r="C102" s="446" t="n">
        <f aca="false">$C$64</f>
        <v>1</v>
      </c>
      <c r="D102" s="448" t="str">
        <f aca="false">INDEX(DasaSpans,B102,$C$61)</f>
        <v>Sun</v>
      </c>
      <c r="E102" s="447" t="n">
        <f aca="false">INDEX(DasaSpans,B102,$C$61+1)*C102</f>
        <v>3</v>
      </c>
      <c r="F102" s="459" t="n">
        <f aca="false">G101</f>
        <v>61137.0917676677</v>
      </c>
      <c r="G102" s="460" t="n">
        <f aca="false">F102+E102*Year</f>
        <v>62232.8563857232</v>
      </c>
      <c r="H102" s="447" t="n">
        <f aca="false">SUM($E$66:E102)</f>
        <v>95.2262625</v>
      </c>
      <c r="I102" s="443"/>
      <c r="J102" s="52" t="n">
        <f aca="false">MOD(MOD(J101+28,28)+$K$64-1,28)+1</f>
        <v>18</v>
      </c>
      <c r="K102" s="438" t="n">
        <f aca="false">K101</f>
        <v>0.125</v>
      </c>
      <c r="L102" s="52" t="str">
        <f aca="false">INDEX(DasaSpans,J102,$C$61)</f>
        <v>Rahu</v>
      </c>
      <c r="M102" s="438" t="n">
        <f aca="false">INDEX(DasaSpans,J102,$C$61+1)*K102</f>
        <v>0.28125</v>
      </c>
      <c r="N102" s="435" t="n">
        <f aca="false">O101</f>
        <v>57130.7023829021</v>
      </c>
      <c r="O102" s="436" t="n">
        <f aca="false">N102+M102*Year</f>
        <v>57233.4303158448</v>
      </c>
      <c r="P102" s="52" t="n">
        <f aca="false">COUNTIF(L99:L106,L102)</f>
        <v>4</v>
      </c>
    </row>
    <row r="103" customFormat="false" ht="15" hidden="false" customHeight="false" outlineLevel="0" collapsed="false">
      <c r="A103" s="457"/>
      <c r="B103" s="458" t="n">
        <f aca="false">MOD(B102,28)+1</f>
        <v>20</v>
      </c>
      <c r="C103" s="446" t="n">
        <f aca="false">$C$64</f>
        <v>1</v>
      </c>
      <c r="D103" s="448" t="str">
        <f aca="false">INDEX(DasaSpans,B103,$C$61)</f>
        <v>Sun</v>
      </c>
      <c r="E103" s="447" t="n">
        <f aca="false">INDEX(DasaSpans,B103,$C$61+1)*C103</f>
        <v>3</v>
      </c>
      <c r="F103" s="459" t="n">
        <f aca="false">G102</f>
        <v>62232.8563857232</v>
      </c>
      <c r="G103" s="460" t="n">
        <f aca="false">F103+E103*Year</f>
        <v>63328.6210037787</v>
      </c>
      <c r="H103" s="447" t="n">
        <f aca="false">SUM($E$66:E103)</f>
        <v>98.2262625</v>
      </c>
      <c r="I103" s="457" t="s">
        <v>394</v>
      </c>
      <c r="J103" s="461" t="n">
        <f aca="false">MOD(MOD(J102+28,28)+$K$64-1,28)+1</f>
        <v>19</v>
      </c>
      <c r="K103" s="462" t="n">
        <f aca="false">K102</f>
        <v>0.125</v>
      </c>
      <c r="L103" s="461" t="str">
        <f aca="false">INDEX(DasaSpans,J103,$C$61)</f>
        <v>Sun</v>
      </c>
      <c r="M103" s="438" t="n">
        <f aca="false">INDEX(DasaSpans,J103,$C$61+1)*K103</f>
        <v>0.375</v>
      </c>
      <c r="N103" s="463" t="n">
        <f aca="false">O102</f>
        <v>57233.4303158448</v>
      </c>
      <c r="O103" s="464" t="n">
        <f aca="false">N103+M103*Year</f>
        <v>57370.4008931018</v>
      </c>
      <c r="P103" s="52" t="n">
        <f aca="false">COUNTIF(L100:L107,L103)</f>
        <v>3</v>
      </c>
    </row>
    <row r="104" customFormat="false" ht="15" hidden="false" customHeight="false" outlineLevel="0" collapsed="false">
      <c r="A104" s="457"/>
      <c r="B104" s="458" t="n">
        <f aca="false">MOD(B103,28)+1</f>
        <v>21</v>
      </c>
      <c r="C104" s="446" t="n">
        <f aca="false">$C$64</f>
        <v>1</v>
      </c>
      <c r="D104" s="448" t="str">
        <f aca="false">INDEX(DasaSpans,B104,$C$61)</f>
        <v>Sun</v>
      </c>
      <c r="E104" s="447" t="n">
        <f aca="false">INDEX(DasaSpans,B104,$C$61+1)*C104</f>
        <v>3</v>
      </c>
      <c r="F104" s="459" t="n">
        <f aca="false">G103</f>
        <v>63328.6210037787</v>
      </c>
      <c r="G104" s="460" t="n">
        <f aca="false">F104+E104*Year</f>
        <v>64424.3856218343</v>
      </c>
      <c r="H104" s="447" t="n">
        <f aca="false">SUM($E$66:E104)</f>
        <v>101.2262625</v>
      </c>
      <c r="I104" s="443"/>
      <c r="J104" s="52" t="n">
        <f aca="false">MOD(MOD(J103+28,28)+$K$64-1,28)+1</f>
        <v>20</v>
      </c>
      <c r="K104" s="438" t="n">
        <f aca="false">K103</f>
        <v>0.125</v>
      </c>
      <c r="L104" s="52" t="str">
        <f aca="false">INDEX(DasaSpans,J104,$C$61)</f>
        <v>Sun</v>
      </c>
      <c r="M104" s="438" t="n">
        <f aca="false">INDEX(DasaSpans,J104,$C$61+1)*K104</f>
        <v>0.375</v>
      </c>
      <c r="N104" s="435" t="n">
        <f aca="false">O103</f>
        <v>57370.4008931018</v>
      </c>
      <c r="O104" s="436" t="n">
        <f aca="false">N104+M104*Year</f>
        <v>57507.3714703587</v>
      </c>
      <c r="P104" s="52" t="n">
        <f aca="false">COUNTIF(L101:L108,L104)</f>
        <v>3</v>
      </c>
    </row>
    <row r="105" customFormat="false" ht="15" hidden="false" customHeight="false" outlineLevel="0" collapsed="false">
      <c r="A105" s="457"/>
      <c r="B105" s="458" t="n">
        <f aca="false">MOD(B104,28)+1</f>
        <v>22</v>
      </c>
      <c r="C105" s="446" t="n">
        <f aca="false">$C$64</f>
        <v>1</v>
      </c>
      <c r="D105" s="448" t="str">
        <f aca="false">INDEX(DasaSpans,B105,$C$61)</f>
        <v>Moon</v>
      </c>
      <c r="E105" s="447" t="n">
        <f aca="false">INDEX(DasaSpans,B105,$C$61+1)*C105</f>
        <v>2.25</v>
      </c>
      <c r="F105" s="459" t="n">
        <f aca="false">G104</f>
        <v>64424.3856218343</v>
      </c>
      <c r="G105" s="460" t="n">
        <f aca="false">F105+E105*Year</f>
        <v>65246.2090853759</v>
      </c>
      <c r="H105" s="447" t="n">
        <f aca="false">SUM($E$66:E105)</f>
        <v>103.4762625</v>
      </c>
      <c r="I105" s="457" t="s">
        <v>394</v>
      </c>
      <c r="J105" s="461" t="n">
        <f aca="false">MOD(MOD(J104+28,28)+$K$64-1,28)+1</f>
        <v>21</v>
      </c>
      <c r="K105" s="462" t="n">
        <f aca="false">K104</f>
        <v>0.125</v>
      </c>
      <c r="L105" s="461" t="str">
        <f aca="false">INDEX(DasaSpans,J105,$C$61)</f>
        <v>Sun</v>
      </c>
      <c r="M105" s="438" t="n">
        <f aca="false">INDEX(DasaSpans,J105,$C$61+1)*K105</f>
        <v>0.375</v>
      </c>
      <c r="N105" s="463" t="n">
        <f aca="false">O104</f>
        <v>57507.3714703587</v>
      </c>
      <c r="O105" s="464" t="n">
        <f aca="false">N105+M105*Year</f>
        <v>57644.3420476157</v>
      </c>
      <c r="P105" s="52" t="n">
        <f aca="false">COUNTIF(L102:L109,L105)</f>
        <v>3</v>
      </c>
    </row>
    <row r="106" customFormat="false" ht="15" hidden="false" customHeight="false" outlineLevel="0" collapsed="false">
      <c r="A106" s="457"/>
      <c r="B106" s="458" t="n">
        <f aca="false">MOD(B105,28)+1</f>
        <v>23</v>
      </c>
      <c r="C106" s="446" t="n">
        <f aca="false">$C$64</f>
        <v>1</v>
      </c>
      <c r="D106" s="448" t="str">
        <f aca="false">INDEX(DasaSpans,B106,$C$61)</f>
        <v>Moon</v>
      </c>
      <c r="E106" s="447" t="n">
        <f aca="false">INDEX(DasaSpans,B106,$C$61+1)*C106</f>
        <v>2.25</v>
      </c>
      <c r="F106" s="459" t="n">
        <f aca="false">G105</f>
        <v>65246.2090853759</v>
      </c>
      <c r="G106" s="460" t="n">
        <f aca="false">F106+E106*Year</f>
        <v>66068.0325489176</v>
      </c>
      <c r="H106" s="447" t="n">
        <f aca="false">SUM($E$66:E106)</f>
        <v>105.7262625</v>
      </c>
      <c r="I106" s="443"/>
      <c r="J106" s="52" t="n">
        <f aca="false">MOD(MOD(J105+28,28)+$K$64-1,28)+1</f>
        <v>22</v>
      </c>
      <c r="K106" s="438" t="n">
        <f aca="false">K105</f>
        <v>0.125</v>
      </c>
      <c r="L106" s="52" t="str">
        <f aca="false">INDEX(DasaSpans,J106,$C$61)</f>
        <v>Moon</v>
      </c>
      <c r="M106" s="438" t="n">
        <f aca="false">INDEX(DasaSpans,J106,$C$61+1)*K106</f>
        <v>0.28125</v>
      </c>
      <c r="N106" s="435" t="n">
        <f aca="false">O105</f>
        <v>57644.3420476157</v>
      </c>
      <c r="O106" s="436" t="n">
        <f aca="false">N106+M106*Year</f>
        <v>57747.0699805584</v>
      </c>
      <c r="P106" s="52" t="n">
        <f aca="false">COUNTIF(L103:L110,L106)</f>
        <v>4</v>
      </c>
    </row>
    <row r="107" customFormat="false" ht="15" hidden="false" customHeight="false" outlineLevel="0" collapsed="false">
      <c r="A107" s="457"/>
      <c r="B107" s="458" t="n">
        <f aca="false">MOD(B106,28)+1</f>
        <v>24</v>
      </c>
      <c r="C107" s="446" t="n">
        <f aca="false">$C$64</f>
        <v>1</v>
      </c>
      <c r="D107" s="448" t="str">
        <f aca="false">INDEX(DasaSpans,B107,$C$61)</f>
        <v>Moon</v>
      </c>
      <c r="E107" s="447" t="n">
        <f aca="false">INDEX(DasaSpans,B107,$C$61+1)*C107</f>
        <v>2.25</v>
      </c>
      <c r="F107" s="459" t="n">
        <f aca="false">G106</f>
        <v>66068.0325489176</v>
      </c>
      <c r="G107" s="460" t="n">
        <f aca="false">F107+E107*Year</f>
        <v>66889.8560124593</v>
      </c>
      <c r="H107" s="447" t="n">
        <f aca="false">SUM($E$66:E107)</f>
        <v>107.9762625</v>
      </c>
      <c r="I107" s="457" t="s">
        <v>394</v>
      </c>
      <c r="J107" s="461" t="n">
        <f aca="false">MOD(MOD(J106+28,28)+$K$64-1,28)+1</f>
        <v>23</v>
      </c>
      <c r="K107" s="462" t="n">
        <f aca="false">K106</f>
        <v>0.125</v>
      </c>
      <c r="L107" s="461" t="str">
        <f aca="false">INDEX(DasaSpans,J107,$C$61)</f>
        <v>Moon</v>
      </c>
      <c r="M107" s="438" t="n">
        <f aca="false">INDEX(DasaSpans,J107,$C$61+1)*K107</f>
        <v>0.28125</v>
      </c>
      <c r="N107" s="463" t="n">
        <f aca="false">O106</f>
        <v>57747.0699805584</v>
      </c>
      <c r="O107" s="464" t="n">
        <f aca="false">N107+M107*Year</f>
        <v>57849.7979135011</v>
      </c>
      <c r="P107" s="52" t="n">
        <f aca="false">COUNTIF(L104:L111,L107)</f>
        <v>4</v>
      </c>
    </row>
    <row r="108" customFormat="false" ht="15" hidden="false" customHeight="false" outlineLevel="0" collapsed="false">
      <c r="A108" s="457"/>
      <c r="B108" s="458" t="n">
        <f aca="false">MOD(B107,28)+1</f>
        <v>25</v>
      </c>
      <c r="C108" s="446" t="n">
        <f aca="false">$C$64</f>
        <v>1</v>
      </c>
      <c r="D108" s="448" t="str">
        <f aca="false">INDEX(DasaSpans,B108,$C$61)</f>
        <v>Moon</v>
      </c>
      <c r="E108" s="447" t="n">
        <f aca="false">INDEX(DasaSpans,B108,$C$61+1)*C108</f>
        <v>2.25</v>
      </c>
      <c r="F108" s="459" t="n">
        <f aca="false">G107</f>
        <v>66889.8560124593</v>
      </c>
      <c r="G108" s="460" t="n">
        <f aca="false">F108+E108*Year</f>
        <v>67711.6794760009</v>
      </c>
      <c r="H108" s="447" t="n">
        <f aca="false">SUM($E$66:E108)</f>
        <v>110.2262625</v>
      </c>
      <c r="I108" s="443"/>
      <c r="J108" s="52" t="n">
        <f aca="false">MOD(MOD(J107+28,28)+$K$64-1,28)+1</f>
        <v>24</v>
      </c>
      <c r="K108" s="438" t="n">
        <f aca="false">K107</f>
        <v>0.125</v>
      </c>
      <c r="L108" s="52" t="str">
        <f aca="false">INDEX(DasaSpans,J108,$C$61)</f>
        <v>Moon</v>
      </c>
      <c r="M108" s="438" t="n">
        <f aca="false">INDEX(DasaSpans,J108,$C$61+1)*K108</f>
        <v>0.28125</v>
      </c>
      <c r="N108" s="435" t="n">
        <f aca="false">O107</f>
        <v>57849.7979135011</v>
      </c>
      <c r="O108" s="436" t="n">
        <f aca="false">N108+M108*Year</f>
        <v>57952.5258464438</v>
      </c>
      <c r="P108" s="52" t="n">
        <f aca="false">COUNTIF(L105:L112,L108)</f>
        <v>4</v>
      </c>
    </row>
    <row r="109" customFormat="false" ht="15" hidden="false" customHeight="false" outlineLevel="0" collapsed="false">
      <c r="A109" s="457"/>
      <c r="B109" s="458" t="n">
        <f aca="false">MOD(B108,28)+1</f>
        <v>26</v>
      </c>
      <c r="C109" s="446" t="n">
        <f aca="false">$C$64</f>
        <v>1</v>
      </c>
      <c r="D109" s="448" t="str">
        <f aca="false">INDEX(DasaSpans,B109,$C$61)</f>
        <v>Mars</v>
      </c>
      <c r="E109" s="447" t="n">
        <f aca="false">INDEX(DasaSpans,B109,$C$61+1)*C109</f>
        <v>3</v>
      </c>
      <c r="F109" s="459" t="n">
        <f aca="false">G108</f>
        <v>67711.6794760009</v>
      </c>
      <c r="G109" s="460" t="n">
        <f aca="false">F109+E109*Year</f>
        <v>68807.4440940565</v>
      </c>
      <c r="H109" s="447" t="n">
        <f aca="false">SUM($E$66:E109)</f>
        <v>113.2262625</v>
      </c>
      <c r="I109" s="457" t="s">
        <v>394</v>
      </c>
      <c r="J109" s="461" t="n">
        <f aca="false">MOD(MOD(J108+28,28)+$K$64-1,28)+1</f>
        <v>25</v>
      </c>
      <c r="K109" s="462" t="n">
        <f aca="false">K108</f>
        <v>0.125</v>
      </c>
      <c r="L109" s="461" t="str">
        <f aca="false">INDEX(DasaSpans,J109,$C$61)</f>
        <v>Moon</v>
      </c>
      <c r="M109" s="438" t="n">
        <f aca="false">INDEX(DasaSpans,J109,$C$61+1)*K109</f>
        <v>0.28125</v>
      </c>
      <c r="N109" s="463" t="n">
        <f aca="false">O108</f>
        <v>57952.5258464438</v>
      </c>
      <c r="O109" s="464" t="n">
        <f aca="false">N109+M109*Year</f>
        <v>58055.2537793865</v>
      </c>
      <c r="P109" s="52" t="n">
        <f aca="false">COUNTIF(L106:L113,L109)</f>
        <v>4</v>
      </c>
    </row>
    <row r="110" customFormat="false" ht="15" hidden="false" customHeight="false" outlineLevel="0" collapsed="false">
      <c r="A110" s="457"/>
      <c r="B110" s="458" t="n">
        <f aca="false">MOD(B109,28)+1</f>
        <v>27</v>
      </c>
      <c r="C110" s="446" t="n">
        <f aca="false">$C$64</f>
        <v>1</v>
      </c>
      <c r="D110" s="448" t="str">
        <f aca="false">INDEX(DasaSpans,B110,$C$61)</f>
        <v>Mars</v>
      </c>
      <c r="E110" s="447" t="n">
        <f aca="false">INDEX(DasaSpans,B110,$C$61+1)*C110</f>
        <v>3</v>
      </c>
      <c r="F110" s="459" t="n">
        <f aca="false">G109</f>
        <v>68807.4440940565</v>
      </c>
      <c r="G110" s="460" t="n">
        <f aca="false">F110+E110*Year</f>
        <v>69903.208712112</v>
      </c>
      <c r="H110" s="447" t="n">
        <f aca="false">SUM($E$66:E110)</f>
        <v>116.2262625</v>
      </c>
      <c r="I110" s="443"/>
      <c r="J110" s="52" t="n">
        <f aca="false">MOD(MOD(J109+28,28)+$K$64-1,28)+1</f>
        <v>26</v>
      </c>
      <c r="K110" s="438" t="n">
        <f aca="false">K109</f>
        <v>0.125</v>
      </c>
      <c r="L110" s="52" t="str">
        <f aca="false">INDEX(DasaSpans,J110,$C$61)</f>
        <v>Mars</v>
      </c>
      <c r="M110" s="438" t="n">
        <f aca="false">INDEX(DasaSpans,J110,$C$61+1)*K110</f>
        <v>0.375</v>
      </c>
      <c r="N110" s="435" t="n">
        <f aca="false">O109</f>
        <v>58055.2537793865</v>
      </c>
      <c r="O110" s="436" t="n">
        <f aca="false">N110+M110*Year</f>
        <v>58192.2243566435</v>
      </c>
      <c r="P110" s="52" t="n">
        <f aca="false">COUNTIF(L107:L114,L110)</f>
        <v>3</v>
      </c>
    </row>
    <row r="111" customFormat="false" ht="15" hidden="false" customHeight="false" outlineLevel="0" collapsed="false">
      <c r="A111" s="457"/>
      <c r="B111" s="458" t="n">
        <f aca="false">MOD(B110,28)+1</f>
        <v>28</v>
      </c>
      <c r="C111" s="446" t="n">
        <f aca="false">$C$64</f>
        <v>1</v>
      </c>
      <c r="D111" s="448" t="str">
        <f aca="false">INDEX(DasaSpans,B111,$C$61)</f>
        <v>Mars</v>
      </c>
      <c r="E111" s="447" t="n">
        <f aca="false">INDEX(DasaSpans,B111,$C$61+1)*C111</f>
        <v>3</v>
      </c>
      <c r="F111" s="459" t="n">
        <f aca="false">G110</f>
        <v>69903.208712112</v>
      </c>
      <c r="G111" s="460" t="n">
        <f aca="false">F111+E111*Year</f>
        <v>70998.9733301676</v>
      </c>
      <c r="H111" s="447" t="n">
        <f aca="false">SUM($E$66:E111)</f>
        <v>119.2262625</v>
      </c>
      <c r="I111" s="457" t="s">
        <v>394</v>
      </c>
      <c r="J111" s="461" t="n">
        <f aca="false">MOD(MOD(J110+28,28)+$K$64-1,28)+1</f>
        <v>27</v>
      </c>
      <c r="K111" s="462" t="n">
        <f aca="false">K110</f>
        <v>0.125</v>
      </c>
      <c r="L111" s="461" t="str">
        <f aca="false">INDEX(DasaSpans,J111,$C$61)</f>
        <v>Mars</v>
      </c>
      <c r="M111" s="438" t="n">
        <f aca="false">INDEX(DasaSpans,J111,$C$61+1)*K111</f>
        <v>0.375</v>
      </c>
      <c r="N111" s="463" t="n">
        <f aca="false">O110</f>
        <v>58192.2243566435</v>
      </c>
      <c r="O111" s="464" t="n">
        <f aca="false">N111+M111*Year</f>
        <v>58329.1949339004</v>
      </c>
      <c r="P111" s="52" t="n">
        <f aca="false">COUNTIF(L108:L115,L111)</f>
        <v>3</v>
      </c>
    </row>
    <row r="112" customFormat="false" ht="15" hidden="false" customHeight="false" outlineLevel="0" collapsed="false">
      <c r="A112" s="457"/>
      <c r="B112" s="458" t="n">
        <f aca="false">MOD(B111,28)+1</f>
        <v>1</v>
      </c>
      <c r="C112" s="446" t="n">
        <f aca="false">$C$64</f>
        <v>1</v>
      </c>
      <c r="D112" s="448" t="str">
        <f aca="false">INDEX(DasaSpans,B112,$C$61)</f>
        <v>Mercury</v>
      </c>
      <c r="E112" s="447" t="n">
        <f aca="false">INDEX(DasaSpans,B112,$C$61+1)*C112</f>
        <v>2.25</v>
      </c>
      <c r="F112" s="459" t="n">
        <f aca="false">G111</f>
        <v>70998.9733301676</v>
      </c>
      <c r="G112" s="460" t="n">
        <f aca="false">F112+E112*Year</f>
        <v>71820.7967937092</v>
      </c>
      <c r="H112" s="447" t="n">
        <f aca="false">SUM($E$66:E112)</f>
        <v>121.4762625</v>
      </c>
      <c r="I112" s="443"/>
      <c r="J112" s="52" t="n">
        <f aca="false">MOD(MOD(J111+28,28)+$K$64-1,28)+1</f>
        <v>28</v>
      </c>
      <c r="K112" s="438" t="n">
        <f aca="false">K111</f>
        <v>0.125</v>
      </c>
      <c r="L112" s="52" t="str">
        <f aca="false">INDEX(DasaSpans,J112,$C$61)</f>
        <v>Mars</v>
      </c>
      <c r="M112" s="438" t="n">
        <f aca="false">INDEX(DasaSpans,J112,$C$61+1)*K112</f>
        <v>0.375</v>
      </c>
      <c r="N112" s="435" t="n">
        <f aca="false">O111</f>
        <v>58329.1949339004</v>
      </c>
      <c r="O112" s="436" t="n">
        <f aca="false">N112+M112*Year</f>
        <v>58466.1655111574</v>
      </c>
      <c r="P112" s="52" t="n">
        <f aca="false">COUNTIF(L109:L116,L112)</f>
        <v>3</v>
      </c>
    </row>
    <row r="113" customFormat="false" ht="15" hidden="false" customHeight="false" outlineLevel="0" collapsed="false">
      <c r="A113" s="457"/>
      <c r="B113" s="458" t="n">
        <f aca="false">MOD(B112,28)+1</f>
        <v>2</v>
      </c>
      <c r="C113" s="446" t="n">
        <f aca="false">$C$64</f>
        <v>1</v>
      </c>
      <c r="D113" s="448" t="str">
        <f aca="false">INDEX(DasaSpans,B113,$C$61)</f>
        <v>Mercury</v>
      </c>
      <c r="E113" s="447" t="n">
        <f aca="false">INDEX(DasaSpans,B113,$C$61+1)*C113</f>
        <v>2.25</v>
      </c>
      <c r="F113" s="459" t="n">
        <f aca="false">G112</f>
        <v>71820.7967937092</v>
      </c>
      <c r="G113" s="460" t="n">
        <f aca="false">F113+E113*Year</f>
        <v>72642.6202572509</v>
      </c>
      <c r="H113" s="447" t="n">
        <f aca="false">SUM($E$66:E113)</f>
        <v>123.7262625</v>
      </c>
      <c r="I113" s="457" t="s">
        <v>394</v>
      </c>
      <c r="J113" s="461" t="n">
        <f aca="false">MOD(MOD(J112+28,28)+$K$64-1,28)+1</f>
        <v>1</v>
      </c>
      <c r="K113" s="462" t="n">
        <f aca="false">K112</f>
        <v>0.125</v>
      </c>
      <c r="L113" s="461" t="str">
        <f aca="false">INDEX(DasaSpans,J113,$C$61)</f>
        <v>Mercury</v>
      </c>
      <c r="M113" s="438" t="n">
        <f aca="false">INDEX(DasaSpans,J113,$C$61+1)*K113</f>
        <v>0.28125</v>
      </c>
      <c r="N113" s="463" t="n">
        <f aca="false">O112</f>
        <v>58466.1655111574</v>
      </c>
      <c r="O113" s="464" t="n">
        <f aca="false">N113+M113*Year</f>
        <v>58568.8934441001</v>
      </c>
      <c r="P113" s="52" t="n">
        <f aca="false">COUNTIF(L110:L117,L113)</f>
        <v>4</v>
      </c>
    </row>
    <row r="114" customFormat="false" ht="15" hidden="false" customHeight="false" outlineLevel="0" collapsed="false">
      <c r="A114" s="457"/>
      <c r="B114" s="458" t="n">
        <f aca="false">MOD(B113,28)+1</f>
        <v>3</v>
      </c>
      <c r="C114" s="446" t="n">
        <f aca="false">$C$64</f>
        <v>1</v>
      </c>
      <c r="D114" s="448" t="str">
        <f aca="false">INDEX(DasaSpans,B114,$C$61)</f>
        <v>Mercury</v>
      </c>
      <c r="E114" s="447" t="n">
        <f aca="false">INDEX(DasaSpans,B114,$C$61+1)*C114</f>
        <v>2.25</v>
      </c>
      <c r="F114" s="459" t="n">
        <f aca="false">G113</f>
        <v>72642.6202572509</v>
      </c>
      <c r="G114" s="460" t="n">
        <f aca="false">F114+E114*Year</f>
        <v>73464.4437207925</v>
      </c>
      <c r="H114" s="447" t="n">
        <f aca="false">SUM($E$66:E114)</f>
        <v>125.9762625</v>
      </c>
      <c r="I114" s="443"/>
      <c r="J114" s="52" t="n">
        <f aca="false">MOD(MOD(J113+28,28)+$K$64-1,28)+1</f>
        <v>2</v>
      </c>
      <c r="K114" s="438" t="n">
        <f aca="false">K113</f>
        <v>0.125</v>
      </c>
      <c r="L114" s="52" t="str">
        <f aca="false">INDEX(DasaSpans,J114,$C$61)</f>
        <v>Mercury</v>
      </c>
      <c r="M114" s="438" t="n">
        <f aca="false">INDEX(DasaSpans,J114,$C$61+1)*K114</f>
        <v>0.28125</v>
      </c>
      <c r="N114" s="435" t="n">
        <f aca="false">O113</f>
        <v>58568.8934441001</v>
      </c>
      <c r="O114" s="436" t="n">
        <f aca="false">N114+M114*Year</f>
        <v>58671.6213770428</v>
      </c>
      <c r="P114" s="52" t="n">
        <f aca="false">COUNTIF(L111:L118,L114)</f>
        <v>4</v>
      </c>
    </row>
    <row r="115" customFormat="false" ht="15" hidden="false" customHeight="false" outlineLevel="0" collapsed="false">
      <c r="A115" s="457"/>
      <c r="B115" s="458" t="n">
        <f aca="false">MOD(B114,28)+1</f>
        <v>4</v>
      </c>
      <c r="C115" s="446" t="n">
        <f aca="false">$C$64</f>
        <v>1</v>
      </c>
      <c r="D115" s="448" t="str">
        <f aca="false">INDEX(DasaSpans,B115,$C$61)</f>
        <v>Mercury</v>
      </c>
      <c r="E115" s="447" t="n">
        <f aca="false">INDEX(DasaSpans,B115,$C$61+1)*C115</f>
        <v>2.25</v>
      </c>
      <c r="F115" s="459" t="n">
        <f aca="false">G114</f>
        <v>73464.4437207925</v>
      </c>
      <c r="G115" s="460" t="n">
        <f aca="false">F115+E115*Year</f>
        <v>74286.2671843342</v>
      </c>
      <c r="H115" s="447" t="n">
        <f aca="false">SUM($E$66:E115)</f>
        <v>128.2262625</v>
      </c>
      <c r="I115" s="457" t="s">
        <v>394</v>
      </c>
      <c r="J115" s="461" t="n">
        <f aca="false">MOD(MOD(J114+28,28)+$K$64-1,28)+1</f>
        <v>3</v>
      </c>
      <c r="K115" s="462" t="n">
        <f aca="false">K114</f>
        <v>0.125</v>
      </c>
      <c r="L115" s="461" t="str">
        <f aca="false">INDEX(DasaSpans,J115,$C$61)</f>
        <v>Mercury</v>
      </c>
      <c r="M115" s="438" t="n">
        <f aca="false">INDEX(DasaSpans,J115,$C$61+1)*K115</f>
        <v>0.28125</v>
      </c>
      <c r="N115" s="463" t="n">
        <f aca="false">O114</f>
        <v>58671.6213770428</v>
      </c>
      <c r="O115" s="464" t="n">
        <f aca="false">N115+M115*Year</f>
        <v>58774.3493099855</v>
      </c>
      <c r="P115" s="52" t="n">
        <f aca="false">COUNTIF(L112:L119,L115)</f>
        <v>4</v>
      </c>
    </row>
    <row r="116" customFormat="false" ht="15" hidden="false" customHeight="false" outlineLevel="0" collapsed="false">
      <c r="A116" s="457"/>
      <c r="B116" s="458" t="n">
        <f aca="false">MOD(B115,28)+1</f>
        <v>5</v>
      </c>
      <c r="C116" s="446" t="n">
        <f aca="false">$C$64</f>
        <v>1</v>
      </c>
      <c r="D116" s="448" t="str">
        <f aca="false">INDEX(DasaSpans,B116,$C$61)</f>
        <v>Jupiter</v>
      </c>
      <c r="E116" s="447" t="n">
        <f aca="false">INDEX(DasaSpans,B116,$C$61+1)*C116</f>
        <v>3</v>
      </c>
      <c r="F116" s="459" t="n">
        <f aca="false">G115</f>
        <v>74286.2671843342</v>
      </c>
      <c r="G116" s="460" t="n">
        <f aca="false">F116+E116*Year</f>
        <v>75382.0318023897</v>
      </c>
      <c r="H116" s="447" t="n">
        <f aca="false">SUM($E$66:E116)</f>
        <v>131.2262625</v>
      </c>
      <c r="I116" s="443"/>
      <c r="J116" s="52" t="n">
        <f aca="false">MOD(MOD(J115+28,28)+$K$64-1,28)+1</f>
        <v>4</v>
      </c>
      <c r="K116" s="438" t="n">
        <f aca="false">K115</f>
        <v>0.125</v>
      </c>
      <c r="L116" s="52" t="str">
        <f aca="false">INDEX(DasaSpans,J116,$C$61)</f>
        <v>Mercury</v>
      </c>
      <c r="M116" s="438" t="n">
        <f aca="false">INDEX(DasaSpans,J116,$C$61+1)*K116</f>
        <v>0.28125</v>
      </c>
      <c r="N116" s="435" t="n">
        <f aca="false">O115</f>
        <v>58774.3493099855</v>
      </c>
      <c r="O116" s="436" t="n">
        <f aca="false">N116+M116*Year</f>
        <v>58877.0772429282</v>
      </c>
      <c r="P116" s="52" t="n">
        <f aca="false">COUNTIF(L113:L120,L116)</f>
        <v>4</v>
      </c>
    </row>
    <row r="117" customFormat="false" ht="15" hidden="false" customHeight="false" outlineLevel="0" collapsed="false">
      <c r="A117" s="457"/>
      <c r="B117" s="458" t="n">
        <f aca="false">MOD(B116,28)+1</f>
        <v>6</v>
      </c>
      <c r="C117" s="446" t="n">
        <f aca="false">$C$64</f>
        <v>1</v>
      </c>
      <c r="D117" s="448" t="str">
        <f aca="false">INDEX(DasaSpans,B117,$C$61)</f>
        <v>Jupiter</v>
      </c>
      <c r="E117" s="447" t="n">
        <f aca="false">INDEX(DasaSpans,B117,$C$61+1)*C117</f>
        <v>3</v>
      </c>
      <c r="F117" s="459" t="n">
        <f aca="false">G116</f>
        <v>75382.0318023897</v>
      </c>
      <c r="G117" s="460" t="n">
        <f aca="false">F117+E117*Year</f>
        <v>76477.7964204453</v>
      </c>
      <c r="H117" s="447" t="n">
        <f aca="false">SUM($E$66:E117)</f>
        <v>134.2262625</v>
      </c>
      <c r="I117" s="457" t="s">
        <v>394</v>
      </c>
      <c r="J117" s="461" t="n">
        <f aca="false">MOD(MOD(J116+28,28)+$K$64-1,28)+1</f>
        <v>5</v>
      </c>
      <c r="K117" s="462" t="n">
        <f aca="false">K116</f>
        <v>0.125</v>
      </c>
      <c r="L117" s="461" t="str">
        <f aca="false">INDEX(DasaSpans,J117,$C$61)</f>
        <v>Jupiter</v>
      </c>
      <c r="M117" s="438" t="n">
        <f aca="false">INDEX(DasaSpans,J117,$C$61+1)*K117</f>
        <v>0.375</v>
      </c>
      <c r="N117" s="463" t="n">
        <f aca="false">O116</f>
        <v>58877.0772429282</v>
      </c>
      <c r="O117" s="464" t="n">
        <f aca="false">N117+M117*Year</f>
        <v>59014.0478201851</v>
      </c>
      <c r="P117" s="52" t="n">
        <f aca="false">COUNTIF(L114:L121,L117)</f>
        <v>3</v>
      </c>
    </row>
    <row r="118" customFormat="false" ht="15" hidden="false" customHeight="false" outlineLevel="0" collapsed="false">
      <c r="A118" s="457"/>
      <c r="B118" s="458" t="n">
        <f aca="false">MOD(B117,28)+1</f>
        <v>7</v>
      </c>
      <c r="C118" s="446" t="n">
        <f aca="false">$C$64</f>
        <v>1</v>
      </c>
      <c r="D118" s="448" t="str">
        <f aca="false">INDEX(DasaSpans,B118,$C$61)</f>
        <v>Jupiter</v>
      </c>
      <c r="E118" s="447" t="n">
        <f aca="false">INDEX(DasaSpans,B118,$C$61+1)*C118</f>
        <v>3</v>
      </c>
      <c r="F118" s="459" t="n">
        <f aca="false">G117</f>
        <v>76477.7964204453</v>
      </c>
      <c r="G118" s="460" t="n">
        <f aca="false">F118+E118*Year</f>
        <v>77573.5610385008</v>
      </c>
      <c r="H118" s="447" t="n">
        <f aca="false">SUM($E$66:E118)</f>
        <v>137.2262625</v>
      </c>
      <c r="I118" s="443"/>
      <c r="J118" s="52" t="n">
        <f aca="false">MOD(MOD(J117+28,28)+$K$64-1,28)+1</f>
        <v>6</v>
      </c>
      <c r="K118" s="438" t="n">
        <f aca="false">K117</f>
        <v>0.125</v>
      </c>
      <c r="L118" s="52" t="str">
        <f aca="false">INDEX(DasaSpans,J118,$C$61)</f>
        <v>Jupiter</v>
      </c>
      <c r="M118" s="438" t="n">
        <f aca="false">INDEX(DasaSpans,J118,$C$61+1)*K118</f>
        <v>0.375</v>
      </c>
      <c r="N118" s="435" t="n">
        <f aca="false">O117</f>
        <v>59014.0478201851</v>
      </c>
      <c r="O118" s="436" t="n">
        <f aca="false">N118+M118*Year</f>
        <v>59151.0183974421</v>
      </c>
      <c r="P118" s="52" t="n">
        <f aca="false">COUNTIF(L115:L122,L118)</f>
        <v>3</v>
      </c>
    </row>
    <row r="119" customFormat="false" ht="15" hidden="false" customHeight="false" outlineLevel="0" collapsed="false">
      <c r="A119" s="457"/>
      <c r="B119" s="458" t="n">
        <f aca="false">MOD(B118,28)+1</f>
        <v>8</v>
      </c>
      <c r="C119" s="446" t="n">
        <f aca="false">$C$64</f>
        <v>1</v>
      </c>
      <c r="D119" s="448" t="str">
        <f aca="false">INDEX(DasaSpans,B119,$C$61)</f>
        <v>Venus</v>
      </c>
      <c r="E119" s="447" t="n">
        <f aca="false">INDEX(DasaSpans,B119,$C$61+1)*C119</f>
        <v>2.25</v>
      </c>
      <c r="F119" s="459" t="n">
        <f aca="false">G118</f>
        <v>77573.5610385008</v>
      </c>
      <c r="G119" s="460" t="n">
        <f aca="false">F119+E119*Year</f>
        <v>78395.3845020425</v>
      </c>
      <c r="H119" s="447" t="n">
        <f aca="false">SUM($E$66:E119)</f>
        <v>139.4762625</v>
      </c>
      <c r="I119" s="457" t="s">
        <v>394</v>
      </c>
      <c r="J119" s="461" t="n">
        <f aca="false">MOD(MOD(J118+28,28)+$K$64-1,28)+1</f>
        <v>7</v>
      </c>
      <c r="K119" s="462" t="n">
        <f aca="false">K118</f>
        <v>0.125</v>
      </c>
      <c r="L119" s="461" t="str">
        <f aca="false">INDEX(DasaSpans,J119,$C$61)</f>
        <v>Jupiter</v>
      </c>
      <c r="M119" s="438" t="n">
        <f aca="false">INDEX(DasaSpans,J119,$C$61+1)*K119</f>
        <v>0.375</v>
      </c>
      <c r="N119" s="463" t="n">
        <f aca="false">O118</f>
        <v>59151.0183974421</v>
      </c>
      <c r="O119" s="464" t="n">
        <f aca="false">N119+M119*Year</f>
        <v>59287.988974699</v>
      </c>
      <c r="P119" s="52" t="n">
        <f aca="false">COUNTIF(L116:L123,L119)</f>
        <v>3</v>
      </c>
    </row>
    <row r="120" customFormat="false" ht="15" hidden="false" customHeight="false" outlineLevel="0" collapsed="false">
      <c r="A120" s="457"/>
      <c r="B120" s="458" t="n">
        <f aca="false">MOD(B119,28)+1</f>
        <v>9</v>
      </c>
      <c r="C120" s="446" t="n">
        <f aca="false">$C$64</f>
        <v>1</v>
      </c>
      <c r="D120" s="448" t="str">
        <f aca="false">INDEX(DasaSpans,B120,$C$61)</f>
        <v>Venus</v>
      </c>
      <c r="E120" s="447" t="n">
        <f aca="false">INDEX(DasaSpans,B120,$C$61+1)*C120</f>
        <v>2.25</v>
      </c>
      <c r="F120" s="459" t="n">
        <f aca="false">G119</f>
        <v>78395.3845020425</v>
      </c>
      <c r="G120" s="460" t="n">
        <f aca="false">F120+E120*Year</f>
        <v>79217.2079655842</v>
      </c>
      <c r="H120" s="447" t="n">
        <f aca="false">SUM($E$66:E120)</f>
        <v>141.7262625</v>
      </c>
      <c r="I120" s="443"/>
      <c r="J120" s="52" t="n">
        <f aca="false">MOD(MOD(J119+28,28)+$K$64-1,28)+1</f>
        <v>8</v>
      </c>
      <c r="K120" s="438" t="n">
        <f aca="false">K119</f>
        <v>0.125</v>
      </c>
      <c r="L120" s="52" t="str">
        <f aca="false">INDEX(DasaSpans,J120,$C$61)</f>
        <v>Venus</v>
      </c>
      <c r="M120" s="438" t="n">
        <f aca="false">INDEX(DasaSpans,J120,$C$61+1)*K120</f>
        <v>0.28125</v>
      </c>
      <c r="N120" s="435" t="n">
        <f aca="false">O119</f>
        <v>59287.988974699</v>
      </c>
      <c r="O120" s="436" t="n">
        <f aca="false">N120+M120*Year</f>
        <v>59390.7169076417</v>
      </c>
      <c r="P120" s="52" t="n">
        <f aca="false">COUNTIF(L117:L124,L120)</f>
        <v>4</v>
      </c>
    </row>
    <row r="121" customFormat="false" ht="15" hidden="false" customHeight="false" outlineLevel="0" collapsed="false">
      <c r="A121" s="457"/>
      <c r="B121" s="458" t="n">
        <f aca="false">MOD(B120,28)+1</f>
        <v>10</v>
      </c>
      <c r="C121" s="446" t="n">
        <f aca="false">$C$64</f>
        <v>1</v>
      </c>
      <c r="D121" s="448" t="str">
        <f aca="false">INDEX(DasaSpans,B121,$C$61)</f>
        <v>Venus</v>
      </c>
      <c r="E121" s="447" t="n">
        <f aca="false">INDEX(DasaSpans,B121,$C$61+1)*C121</f>
        <v>2.25</v>
      </c>
      <c r="F121" s="459" t="n">
        <f aca="false">G120</f>
        <v>79217.2079655842</v>
      </c>
      <c r="G121" s="460" t="n">
        <f aca="false">F121+E121*Year</f>
        <v>80039.0314291258</v>
      </c>
      <c r="H121" s="447" t="n">
        <f aca="false">SUM($E$66:E121)</f>
        <v>143.9762625</v>
      </c>
      <c r="I121" s="457" t="s">
        <v>394</v>
      </c>
      <c r="J121" s="461" t="n">
        <f aca="false">MOD(MOD(J120+28,28)+$K$64-1,28)+1</f>
        <v>9</v>
      </c>
      <c r="K121" s="462" t="n">
        <f aca="false">K120</f>
        <v>0.125</v>
      </c>
      <c r="L121" s="461" t="str">
        <f aca="false">INDEX(DasaSpans,J121,$C$61)</f>
        <v>Venus</v>
      </c>
      <c r="M121" s="438" t="n">
        <f aca="false">INDEX(DasaSpans,J121,$C$61+1)*K121</f>
        <v>0.28125</v>
      </c>
      <c r="N121" s="463" t="n">
        <f aca="false">O120</f>
        <v>59390.7169076417</v>
      </c>
      <c r="O121" s="464" t="n">
        <f aca="false">N121+M121*Year</f>
        <v>59493.4448405844</v>
      </c>
      <c r="P121" s="52" t="n">
        <f aca="false">COUNTIF(L118:L125,L121)</f>
        <v>4</v>
      </c>
    </row>
    <row r="122" customFormat="false" ht="15" hidden="false" customHeight="false" outlineLevel="0" collapsed="false">
      <c r="A122" s="457"/>
      <c r="B122" s="458" t="n">
        <f aca="false">MOD(B121,28)+1</f>
        <v>11</v>
      </c>
      <c r="C122" s="446" t="n">
        <f aca="false">$C$64</f>
        <v>1</v>
      </c>
      <c r="D122" s="448" t="str">
        <f aca="false">INDEX(DasaSpans,B122,$C$61)</f>
        <v>Venus</v>
      </c>
      <c r="E122" s="447" t="n">
        <f aca="false">INDEX(DasaSpans,B122,$C$61+1)*C122</f>
        <v>2.25</v>
      </c>
      <c r="F122" s="459" t="n">
        <f aca="false">G121</f>
        <v>80039.0314291258</v>
      </c>
      <c r="G122" s="460" t="n">
        <f aca="false">F122+E122*Year</f>
        <v>80860.8548926675</v>
      </c>
      <c r="H122" s="447" t="n">
        <f aca="false">SUM($E$66:E122)</f>
        <v>146.2262625</v>
      </c>
      <c r="I122" s="443"/>
      <c r="J122" s="52" t="n">
        <f aca="false">MOD(MOD(J121+28,28)+$K$64-1,28)+1</f>
        <v>10</v>
      </c>
      <c r="K122" s="438" t="n">
        <f aca="false">K121</f>
        <v>0.125</v>
      </c>
      <c r="L122" s="52" t="str">
        <f aca="false">INDEX(DasaSpans,J122,$C$61)</f>
        <v>Venus</v>
      </c>
      <c r="M122" s="438" t="n">
        <f aca="false">INDEX(DasaSpans,J122,$C$61+1)*K122</f>
        <v>0.28125</v>
      </c>
      <c r="N122" s="435" t="n">
        <f aca="false">O121</f>
        <v>59493.4448405844</v>
      </c>
      <c r="O122" s="436" t="n">
        <f aca="false">N122+M122*Year</f>
        <v>59596.1727735272</v>
      </c>
      <c r="P122" s="52" t="n">
        <f aca="false">COUNTIF(L119:L126,L122)</f>
        <v>4</v>
      </c>
    </row>
    <row r="123" customFormat="false" ht="15" hidden="false" customHeight="false" outlineLevel="0" collapsed="false">
      <c r="A123" s="457"/>
      <c r="B123" s="458" t="n">
        <f aca="false">MOD(B122,28)+1</f>
        <v>12</v>
      </c>
      <c r="C123" s="446" t="n">
        <f aca="false">$C$64</f>
        <v>1</v>
      </c>
      <c r="D123" s="448" t="str">
        <f aca="false">INDEX(DasaSpans,B123,$C$61)</f>
        <v>Saturn</v>
      </c>
      <c r="E123" s="447" t="n">
        <f aca="false">INDEX(DasaSpans,B123,$C$61+1)*C123</f>
        <v>3</v>
      </c>
      <c r="F123" s="459" t="n">
        <f aca="false">G122</f>
        <v>80860.8548926675</v>
      </c>
      <c r="G123" s="460" t="n">
        <f aca="false">F123+E123*Year</f>
        <v>81956.619510723</v>
      </c>
      <c r="H123" s="447" t="n">
        <f aca="false">SUM($E$66:E123)</f>
        <v>149.2262625</v>
      </c>
      <c r="I123" s="457" t="s">
        <v>394</v>
      </c>
      <c r="J123" s="461" t="n">
        <f aca="false">MOD(MOD(J122+28,28)+$K$64-1,28)+1</f>
        <v>11</v>
      </c>
      <c r="K123" s="462" t="n">
        <f aca="false">K122</f>
        <v>0.125</v>
      </c>
      <c r="L123" s="461" t="str">
        <f aca="false">INDEX(DasaSpans,J123,$C$61)</f>
        <v>Venus</v>
      </c>
      <c r="M123" s="438" t="n">
        <f aca="false">INDEX(DasaSpans,J123,$C$61+1)*K123</f>
        <v>0.28125</v>
      </c>
      <c r="N123" s="463" t="n">
        <f aca="false">O122</f>
        <v>59596.1727735272</v>
      </c>
      <c r="O123" s="464" t="n">
        <f aca="false">N123+M123*Year</f>
        <v>59698.9007064699</v>
      </c>
      <c r="P123" s="52" t="n">
        <f aca="false">COUNTIF(L120:L127,L123)</f>
        <v>4</v>
      </c>
    </row>
    <row r="124" customFormat="false" ht="15" hidden="false" customHeight="false" outlineLevel="0" collapsed="false">
      <c r="A124" s="457"/>
      <c r="B124" s="458" t="n">
        <f aca="false">MOD(B123,28)+1</f>
        <v>13</v>
      </c>
      <c r="C124" s="446" t="n">
        <f aca="false">$C$64</f>
        <v>1</v>
      </c>
      <c r="D124" s="448" t="str">
        <f aca="false">INDEX(DasaSpans,B124,$C$61)</f>
        <v>Saturn</v>
      </c>
      <c r="E124" s="447" t="n">
        <f aca="false">INDEX(DasaSpans,B124,$C$61+1)*C124</f>
        <v>3</v>
      </c>
      <c r="F124" s="459" t="n">
        <f aca="false">G123</f>
        <v>81956.619510723</v>
      </c>
      <c r="G124" s="460" t="n">
        <f aca="false">F124+E124*Year</f>
        <v>83052.3841287786</v>
      </c>
      <c r="H124" s="447" t="n">
        <f aca="false">SUM($E$66:E124)</f>
        <v>152.2262625</v>
      </c>
      <c r="I124" s="443"/>
      <c r="J124" s="52" t="n">
        <f aca="false">MOD(MOD(J123+28,28)+$K$64-1,28)+1</f>
        <v>12</v>
      </c>
      <c r="K124" s="438" t="n">
        <f aca="false">K123</f>
        <v>0.125</v>
      </c>
      <c r="L124" s="52" t="str">
        <f aca="false">INDEX(DasaSpans,J124,$C$61)</f>
        <v>Saturn</v>
      </c>
      <c r="M124" s="438" t="n">
        <f aca="false">INDEX(DasaSpans,J124,$C$61+1)*K124</f>
        <v>0.375</v>
      </c>
      <c r="N124" s="435" t="n">
        <f aca="false">O123</f>
        <v>59698.9007064699</v>
      </c>
      <c r="O124" s="436" t="n">
        <f aca="false">N124+M124*Year</f>
        <v>59835.8712837268</v>
      </c>
      <c r="P124" s="52" t="n">
        <f aca="false">COUNTIF(L121:L128,L124)</f>
        <v>3</v>
      </c>
    </row>
    <row r="125" customFormat="false" ht="15" hidden="false" customHeight="false" outlineLevel="0" collapsed="false">
      <c r="A125" s="457"/>
      <c r="B125" s="458" t="n">
        <f aca="false">MOD(B124,28)+1</f>
        <v>14</v>
      </c>
      <c r="C125" s="446" t="n">
        <f aca="false">$C$64</f>
        <v>1</v>
      </c>
      <c r="D125" s="448" t="str">
        <f aca="false">INDEX(DasaSpans,B125,$C$61)</f>
        <v>Saturn</v>
      </c>
      <c r="E125" s="447" t="n">
        <f aca="false">INDEX(DasaSpans,B125,$C$61+1)*C125</f>
        <v>3</v>
      </c>
      <c r="F125" s="459" t="n">
        <f aca="false">G124</f>
        <v>83052.3841287786</v>
      </c>
      <c r="G125" s="460" t="n">
        <f aca="false">F125+E125*Year</f>
        <v>84148.1487468341</v>
      </c>
      <c r="H125" s="447" t="n">
        <f aca="false">SUM($E$66:E125)</f>
        <v>155.2262625</v>
      </c>
      <c r="I125" s="457" t="s">
        <v>394</v>
      </c>
      <c r="J125" s="461" t="n">
        <f aca="false">MOD(MOD(J124+28,28)+$K$64-1,28)+1</f>
        <v>13</v>
      </c>
      <c r="K125" s="462" t="n">
        <f aca="false">K124</f>
        <v>0.125</v>
      </c>
      <c r="L125" s="461" t="str">
        <f aca="false">INDEX(DasaSpans,J125,$C$61)</f>
        <v>Saturn</v>
      </c>
      <c r="M125" s="438" t="n">
        <f aca="false">INDEX(DasaSpans,J125,$C$61+1)*K125</f>
        <v>0.375</v>
      </c>
      <c r="N125" s="463" t="n">
        <f aca="false">O124</f>
        <v>59835.8712837268</v>
      </c>
      <c r="O125" s="464" t="n">
        <f aca="false">N125+M125*Year</f>
        <v>59972.8418609838</v>
      </c>
      <c r="P125" s="52" t="n">
        <f aca="false">COUNTIF(L122:L129,L125)</f>
        <v>3</v>
      </c>
    </row>
    <row r="126" customFormat="false" ht="15" hidden="false" customHeight="false" outlineLevel="0" collapsed="false">
      <c r="A126" s="457"/>
      <c r="B126" s="458" t="n">
        <f aca="false">MOD(B125,28)+1</f>
        <v>15</v>
      </c>
      <c r="C126" s="446" t="n">
        <f aca="false">$C$64</f>
        <v>1</v>
      </c>
      <c r="D126" s="448" t="str">
        <f aca="false">INDEX(DasaSpans,B126,$C$61)</f>
        <v>Rahu</v>
      </c>
      <c r="E126" s="447" t="n">
        <f aca="false">INDEX(DasaSpans,B126,$C$61+1)*C126</f>
        <v>2.25</v>
      </c>
      <c r="F126" s="459" t="n">
        <f aca="false">G125</f>
        <v>84148.1487468341</v>
      </c>
      <c r="G126" s="460" t="n">
        <f aca="false">F126+E126*Year</f>
        <v>84969.9722103758</v>
      </c>
      <c r="H126" s="447" t="n">
        <f aca="false">SUM($E$66:E126)</f>
        <v>157.4762625</v>
      </c>
      <c r="I126" s="443"/>
      <c r="J126" s="52" t="n">
        <f aca="false">MOD(MOD(J125+28,28)+$K$64-1,28)+1</f>
        <v>14</v>
      </c>
      <c r="K126" s="438" t="n">
        <f aca="false">K125</f>
        <v>0.125</v>
      </c>
      <c r="L126" s="52" t="str">
        <f aca="false">INDEX(DasaSpans,J126,$C$61)</f>
        <v>Saturn</v>
      </c>
      <c r="M126" s="438" t="n">
        <f aca="false">INDEX(DasaSpans,J126,$C$61+1)*K126</f>
        <v>0.375</v>
      </c>
      <c r="N126" s="435" t="n">
        <f aca="false">O125</f>
        <v>59972.8418609838</v>
      </c>
      <c r="O126" s="436" t="n">
        <f aca="false">N126+M126*Year</f>
        <v>60109.8124382407</v>
      </c>
      <c r="P126" s="52" t="n">
        <f aca="false">COUNTIF(L123:L130,L126)</f>
        <v>3</v>
      </c>
    </row>
    <row r="127" customFormat="false" ht="15" hidden="false" customHeight="false" outlineLevel="0" collapsed="false">
      <c r="A127" s="457"/>
      <c r="B127" s="458" t="n">
        <f aca="false">MOD(B126,28)+1</f>
        <v>16</v>
      </c>
      <c r="C127" s="446" t="n">
        <f aca="false">$C$64</f>
        <v>1</v>
      </c>
      <c r="D127" s="448" t="str">
        <f aca="false">INDEX(DasaSpans,B127,$C$61)</f>
        <v>Rahu</v>
      </c>
      <c r="E127" s="447" t="n">
        <f aca="false">INDEX(DasaSpans,B127,$C$61+1)*C127</f>
        <v>2.25</v>
      </c>
      <c r="F127" s="459" t="n">
        <f aca="false">G126</f>
        <v>84969.9722103758</v>
      </c>
      <c r="G127" s="460" t="n">
        <f aca="false">F127+E127*Year</f>
        <v>85791.7956739174</v>
      </c>
      <c r="H127" s="447" t="n">
        <f aca="false">SUM($E$66:E127)</f>
        <v>159.7262625</v>
      </c>
      <c r="I127" s="457" t="s">
        <v>394</v>
      </c>
      <c r="J127" s="461" t="n">
        <f aca="false">MOD(MOD(J126+28,28)+$K$64-1,28)+1</f>
        <v>15</v>
      </c>
      <c r="K127" s="462" t="n">
        <f aca="false">K126</f>
        <v>0.125</v>
      </c>
      <c r="L127" s="461" t="str">
        <f aca="false">INDEX(DasaSpans,J127,$C$61)</f>
        <v>Rahu</v>
      </c>
      <c r="M127" s="438" t="n">
        <f aca="false">INDEX(DasaSpans,J127,$C$61+1)*K127</f>
        <v>0.28125</v>
      </c>
      <c r="N127" s="463" t="n">
        <f aca="false">O126</f>
        <v>60109.8124382407</v>
      </c>
      <c r="O127" s="464" t="n">
        <f aca="false">N127+M127*Year</f>
        <v>60212.5403711834</v>
      </c>
      <c r="P127" s="52" t="n">
        <f aca="false">COUNTIF(L124:L131,L127)</f>
        <v>3</v>
      </c>
    </row>
    <row r="128" customFormat="false" ht="15" hidden="false" customHeight="false" outlineLevel="0" collapsed="false">
      <c r="A128" s="457"/>
      <c r="B128" s="458" t="n">
        <f aca="false">MOD(B127,28)+1</f>
        <v>17</v>
      </c>
      <c r="C128" s="446" t="n">
        <f aca="false">$C$64</f>
        <v>1</v>
      </c>
      <c r="D128" s="448" t="str">
        <f aca="false">INDEX(DasaSpans,B128,$C$61)</f>
        <v>Rahu</v>
      </c>
      <c r="E128" s="447" t="n">
        <f aca="false">INDEX(DasaSpans,B128,$C$61+1)*C128</f>
        <v>2.25</v>
      </c>
      <c r="F128" s="459" t="n">
        <f aca="false">G127</f>
        <v>85791.7956739174</v>
      </c>
      <c r="G128" s="460" t="n">
        <f aca="false">F128+E128*Year</f>
        <v>86613.6191374591</v>
      </c>
      <c r="H128" s="447" t="n">
        <f aca="false">SUM($E$66:E128)</f>
        <v>161.9762625</v>
      </c>
      <c r="I128" s="443"/>
      <c r="J128" s="52" t="n">
        <f aca="false">MOD(MOD(J127+28,28)+$K$64-1,28)+1</f>
        <v>16</v>
      </c>
      <c r="K128" s="438" t="n">
        <f aca="false">K127</f>
        <v>0.125</v>
      </c>
      <c r="L128" s="52" t="str">
        <f aca="false">INDEX(DasaSpans,J128,$C$61)</f>
        <v>Rahu</v>
      </c>
      <c r="M128" s="438" t="n">
        <f aca="false">INDEX(DasaSpans,J128,$C$61+1)*K128</f>
        <v>0.28125</v>
      </c>
      <c r="N128" s="435" t="n">
        <f aca="false">O127</f>
        <v>60212.5403711834</v>
      </c>
      <c r="O128" s="436" t="n">
        <f aca="false">N128+M128*Year</f>
        <v>60315.2683041261</v>
      </c>
      <c r="P128" s="52" t="n">
        <f aca="false">COUNTIF(L125:L132,L128)</f>
        <v>3</v>
      </c>
    </row>
    <row r="129" customFormat="false" ht="15" hidden="false" customHeight="false" outlineLevel="0" collapsed="false">
      <c r="I129" s="457" t="s">
        <v>394</v>
      </c>
      <c r="J129" s="461" t="n">
        <f aca="false">MOD(MOD(J128+28,28)+$K$64-1,28)+1</f>
        <v>17</v>
      </c>
      <c r="K129" s="462" t="n">
        <f aca="false">K128</f>
        <v>0.125</v>
      </c>
      <c r="L129" s="461" t="str">
        <f aca="false">INDEX(DasaSpans,J129,$C$61)</f>
        <v>Rahu</v>
      </c>
      <c r="M129" s="438" t="n">
        <f aca="false">INDEX(DasaSpans,J129,$C$61+1)*K129</f>
        <v>0.28125</v>
      </c>
      <c r="N129" s="463" t="n">
        <f aca="false">O128</f>
        <v>60315.2683041261</v>
      </c>
      <c r="O129" s="464" t="n">
        <f aca="false">N129+M129*Year</f>
        <v>60417.9962370688</v>
      </c>
      <c r="P129" s="52" t="n">
        <f aca="false">COUNTIF(L126:L133,L129)</f>
        <v>3</v>
      </c>
    </row>
    <row r="130" customFormat="false" ht="15" hidden="false" customHeight="false" outlineLevel="0" collapsed="false">
      <c r="I130" s="443"/>
      <c r="K130" s="438"/>
      <c r="M130" s="438"/>
      <c r="N130" s="435"/>
      <c r="O130" s="436"/>
    </row>
    <row r="131" customFormat="false" ht="15" hidden="false" customHeight="false" outlineLevel="0" collapsed="false">
      <c r="I131" s="457"/>
      <c r="J131" s="461"/>
      <c r="K131" s="462"/>
      <c r="L131" s="461"/>
      <c r="M131" s="438"/>
      <c r="N131" s="463"/>
      <c r="O131" s="464"/>
    </row>
  </sheetData>
  <mergeCells count="16">
    <mergeCell ref="D26:I26"/>
    <mergeCell ref="D27:E27"/>
    <mergeCell ref="F27:G27"/>
    <mergeCell ref="D28:E28"/>
    <mergeCell ref="F28:G28"/>
    <mergeCell ref="H28:I28"/>
    <mergeCell ref="J28:K28"/>
    <mergeCell ref="L28:M28"/>
    <mergeCell ref="N28:O28"/>
    <mergeCell ref="P28:Q28"/>
    <mergeCell ref="R28:S28"/>
    <mergeCell ref="T28:U28"/>
    <mergeCell ref="V28:W28"/>
    <mergeCell ref="X28:Y28"/>
    <mergeCell ref="Z28:AA28"/>
    <mergeCell ref="C63:D63"/>
  </mergeCells>
  <conditionalFormatting sqref="D66:D128">
    <cfRule type="cellIs" priority="2" operator="equal" aboveAverage="0" equalAverage="0" bottom="0" percent="0" rank="0" text="" dxfId="13">
      <formula>A2</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&amp;C&amp;"Arial,Regular"&amp;10&amp;A</oddHeader>
    <oddFooter>&amp;C&amp;"Arial,Regular"&amp;10Page &amp;P</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9"/>
  <sheetViews>
    <sheetView showFormulas="false" showGridLines="true" showRowColHeaders="true" showZeros="true" rightToLeft="false" tabSelected="false" showOutlineSymbols="true" defaultGridColor="true" view="normal" topLeftCell="A1" colorId="64" zoomScale="181" zoomScaleNormal="181" zoomScalePageLayoutView="100" workbookViewId="0">
      <selection pane="topLeft" activeCell="R1" activeCellId="0" sqref="R1"/>
    </sheetView>
  </sheetViews>
  <sheetFormatPr defaultColWidth="9.1484375" defaultRowHeight="15" customHeight="true" zeroHeight="false" outlineLevelRow="0" outlineLevelCol="0"/>
  <cols>
    <col collapsed="false" customWidth="true" hidden="false" outlineLevel="0" max="1" min="1" style="466" width="6.57"/>
    <col collapsed="false" customWidth="true" hidden="false" outlineLevel="0" max="2" min="2" style="466" width="7.42"/>
    <col collapsed="false" customWidth="true" hidden="false" outlineLevel="0" max="7" min="3" style="466" width="8.15"/>
    <col collapsed="false" customWidth="true" hidden="false" outlineLevel="0" max="11" min="8" style="466" width="4.86"/>
    <col collapsed="false" customWidth="true" hidden="false" outlineLevel="0" max="12" min="12" style="466" width="5.14"/>
    <col collapsed="false" customWidth="true" hidden="false" outlineLevel="0" max="14" min="13" style="466" width="11.29"/>
    <col collapsed="false" customWidth="true" hidden="false" outlineLevel="0" max="24" min="15" style="466" width="10.42"/>
    <col collapsed="false" customWidth="false" hidden="false" outlineLevel="0" max="1024" min="25" style="466" width="9.14"/>
  </cols>
  <sheetData>
    <row r="1" customFormat="false" ht="15" hidden="false" customHeight="false" outlineLevel="0" collapsed="false">
      <c r="A1" s="467" t="s">
        <v>682</v>
      </c>
      <c r="B1" s="467" t="s">
        <v>447</v>
      </c>
      <c r="C1" s="467" t="s">
        <v>548</v>
      </c>
      <c r="D1" s="467" t="s">
        <v>184</v>
      </c>
      <c r="E1" s="467" t="s">
        <v>683</v>
      </c>
      <c r="F1" s="467" t="s">
        <v>684</v>
      </c>
      <c r="G1" s="467" t="s">
        <v>685</v>
      </c>
      <c r="H1" s="467" t="s">
        <v>686</v>
      </c>
      <c r="M1" s="466" t="s">
        <v>98</v>
      </c>
      <c r="N1" s="466" t="s">
        <v>687</v>
      </c>
      <c r="O1" s="466" t="n">
        <v>4</v>
      </c>
      <c r="Q1" s="466" t="s">
        <v>688</v>
      </c>
      <c r="R1" s="466" t="n">
        <v>52.87</v>
      </c>
    </row>
    <row r="2" customFormat="false" ht="15" hidden="false" customHeight="false" outlineLevel="0" collapsed="false">
      <c r="A2" s="468" t="n">
        <v>1</v>
      </c>
      <c r="B2" s="468" t="s">
        <v>689</v>
      </c>
      <c r="C2" s="468" t="n">
        <v>7</v>
      </c>
      <c r="D2" s="467" t="s">
        <v>690</v>
      </c>
      <c r="E2" s="467" t="s">
        <v>691</v>
      </c>
      <c r="F2" s="467" t="n">
        <f aca="false">SUM(C2:C10)</f>
        <v>100</v>
      </c>
      <c r="G2" s="467" t="s">
        <v>692</v>
      </c>
      <c r="H2" s="468" t="s">
        <v>692</v>
      </c>
      <c r="N2" s="466" t="s">
        <v>184</v>
      </c>
      <c r="O2" s="466" t="n">
        <v>4</v>
      </c>
    </row>
    <row r="3" customFormat="false" ht="15" hidden="false" customHeight="false" outlineLevel="0" collapsed="false">
      <c r="A3" s="468" t="n">
        <v>2</v>
      </c>
      <c r="B3" s="468" t="s">
        <v>693</v>
      </c>
      <c r="C3" s="468" t="n">
        <v>16</v>
      </c>
      <c r="D3" s="467" t="s">
        <v>564</v>
      </c>
      <c r="E3" s="467"/>
      <c r="F3" s="467"/>
      <c r="G3" s="467"/>
      <c r="H3" s="468" t="s">
        <v>692</v>
      </c>
      <c r="I3" s="469" t="s">
        <v>694</v>
      </c>
      <c r="J3" s="469" t="s">
        <v>689</v>
      </c>
      <c r="K3" s="469" t="s">
        <v>693</v>
      </c>
      <c r="L3" s="469" t="s">
        <v>695</v>
      </c>
      <c r="N3" s="466" t="s">
        <v>696</v>
      </c>
      <c r="O3" s="466" t="str">
        <f aca="false">IF(INT(MOD((O1-1)/3,2)),"Apasavya","Savya")</f>
        <v>Apasavya</v>
      </c>
      <c r="P3" s="466" t="n">
        <v>-1</v>
      </c>
    </row>
    <row r="4" customFormat="false" ht="15" hidden="false" customHeight="false" outlineLevel="0" collapsed="false">
      <c r="A4" s="468" t="n">
        <v>3</v>
      </c>
      <c r="B4" s="468" t="s">
        <v>695</v>
      </c>
      <c r="C4" s="468" t="n">
        <v>9</v>
      </c>
      <c r="D4" s="467" t="s">
        <v>697</v>
      </c>
      <c r="E4" s="467" t="s">
        <v>693</v>
      </c>
      <c r="F4" s="467" t="n">
        <f aca="false">SUM(C20:C28)</f>
        <v>83</v>
      </c>
      <c r="G4" s="467" t="s">
        <v>698</v>
      </c>
      <c r="H4" s="468" t="s">
        <v>692</v>
      </c>
      <c r="I4" s="469" t="s">
        <v>699</v>
      </c>
      <c r="J4" s="469" t="s">
        <v>700</v>
      </c>
      <c r="K4" s="469"/>
      <c r="L4" s="469" t="s">
        <v>701</v>
      </c>
      <c r="N4" s="466" t="s">
        <v>702</v>
      </c>
      <c r="O4" s="466" t="n">
        <f aca="false">MOD(O1-1,2)+1</f>
        <v>2</v>
      </c>
    </row>
    <row r="5" customFormat="false" ht="15" hidden="false" customHeight="false" outlineLevel="0" collapsed="false">
      <c r="A5" s="468" t="n">
        <v>4</v>
      </c>
      <c r="B5" s="468" t="s">
        <v>703</v>
      </c>
      <c r="C5" s="468" t="n">
        <v>21</v>
      </c>
      <c r="D5" s="467" t="s">
        <v>704</v>
      </c>
      <c r="E5" s="467" t="s">
        <v>705</v>
      </c>
      <c r="F5" s="467" t="n">
        <f aca="false">SUM(C5:C13)</f>
        <v>86</v>
      </c>
      <c r="G5" s="467" t="s">
        <v>692</v>
      </c>
      <c r="H5" s="468" t="s">
        <v>692</v>
      </c>
      <c r="I5" s="469" t="s">
        <v>706</v>
      </c>
      <c r="J5" s="469"/>
      <c r="K5" s="469"/>
      <c r="L5" s="469" t="s">
        <v>703</v>
      </c>
      <c r="N5" s="466" t="s">
        <v>707</v>
      </c>
      <c r="O5" s="466" t="n">
        <v>21</v>
      </c>
    </row>
    <row r="6" customFormat="false" ht="15" hidden="false" customHeight="false" outlineLevel="0" collapsed="false">
      <c r="A6" s="468" t="n">
        <v>5</v>
      </c>
      <c r="B6" s="468" t="s">
        <v>701</v>
      </c>
      <c r="C6" s="468" t="n">
        <v>5</v>
      </c>
      <c r="D6" s="467" t="s">
        <v>564</v>
      </c>
      <c r="E6" s="467"/>
      <c r="F6" s="467"/>
      <c r="G6" s="467"/>
      <c r="H6" s="468" t="s">
        <v>692</v>
      </c>
      <c r="I6" s="469" t="s">
        <v>708</v>
      </c>
      <c r="J6" s="469" t="s">
        <v>709</v>
      </c>
      <c r="K6" s="469" t="s">
        <v>710</v>
      </c>
      <c r="L6" s="469" t="s">
        <v>711</v>
      </c>
      <c r="N6" s="466" t="s">
        <v>712</v>
      </c>
      <c r="O6" s="470" t="n">
        <v>26133</v>
      </c>
      <c r="P6" s="470"/>
      <c r="Q6" s="470"/>
      <c r="R6" s="470"/>
    </row>
    <row r="7" customFormat="false" ht="15" hidden="false" customHeight="false" outlineLevel="0" collapsed="false">
      <c r="A7" s="468" t="n">
        <v>6</v>
      </c>
      <c r="B7" s="468" t="s">
        <v>711</v>
      </c>
      <c r="C7" s="468" t="n">
        <v>9</v>
      </c>
      <c r="D7" s="467" t="s">
        <v>713</v>
      </c>
      <c r="E7" s="467" t="s">
        <v>714</v>
      </c>
      <c r="F7" s="467" t="n">
        <f aca="false">SUM(C23:C31)</f>
        <v>85</v>
      </c>
      <c r="G7" s="467" t="s">
        <v>698</v>
      </c>
      <c r="H7" s="468" t="s">
        <v>692</v>
      </c>
      <c r="I7" s="467"/>
      <c r="J7" s="467"/>
      <c r="K7" s="467"/>
      <c r="L7" s="467"/>
      <c r="N7" s="466" t="s">
        <v>715</v>
      </c>
      <c r="O7" s="466" t="n">
        <f aca="false">MOD(R1,3.33333333)</f>
        <v>2.87000005</v>
      </c>
    </row>
    <row r="8" customFormat="false" ht="15" hidden="false" customHeight="false" outlineLevel="0" collapsed="false">
      <c r="A8" s="468" t="n">
        <v>7</v>
      </c>
      <c r="B8" s="468" t="s">
        <v>710</v>
      </c>
      <c r="C8" s="468" t="n">
        <v>16</v>
      </c>
      <c r="D8" s="467" t="s">
        <v>716</v>
      </c>
      <c r="E8" s="467" t="s">
        <v>710</v>
      </c>
      <c r="F8" s="467" t="n">
        <f aca="false">SUM(C8:C16)</f>
        <v>83</v>
      </c>
      <c r="G8" s="467" t="s">
        <v>692</v>
      </c>
      <c r="H8" s="468" t="s">
        <v>692</v>
      </c>
      <c r="I8" s="471" t="s">
        <v>694</v>
      </c>
      <c r="J8" s="471" t="s">
        <v>689</v>
      </c>
      <c r="K8" s="471" t="s">
        <v>693</v>
      </c>
      <c r="L8" s="471" t="s">
        <v>695</v>
      </c>
      <c r="N8" s="466" t="s">
        <v>717</v>
      </c>
      <c r="O8" s="466" t="n">
        <f aca="false">(200-O7*60)/200</f>
        <v>0.138999985</v>
      </c>
    </row>
    <row r="9" customFormat="false" ht="15" hidden="false" customHeight="false" outlineLevel="0" collapsed="false">
      <c r="A9" s="468" t="n">
        <v>8</v>
      </c>
      <c r="B9" s="468" t="s">
        <v>709</v>
      </c>
      <c r="C9" s="468" t="n">
        <v>7</v>
      </c>
      <c r="D9" s="467" t="s">
        <v>564</v>
      </c>
      <c r="E9" s="467"/>
      <c r="F9" s="467"/>
      <c r="G9" s="467"/>
      <c r="H9" s="468" t="s">
        <v>692</v>
      </c>
      <c r="I9" s="471" t="s">
        <v>699</v>
      </c>
      <c r="J9" s="471" t="s">
        <v>718</v>
      </c>
      <c r="K9" s="471"/>
      <c r="L9" s="471" t="s">
        <v>703</v>
      </c>
      <c r="N9" s="466" t="s">
        <v>719</v>
      </c>
      <c r="O9" s="466" t="n">
        <f aca="false">MOD(O7,3.33333333/9)</f>
        <v>0.277407459999999</v>
      </c>
      <c r="P9" s="466" t="n">
        <f aca="false">3.3333/9</f>
        <v>0.370366666666667</v>
      </c>
      <c r="Q9" s="466" t="s">
        <v>720</v>
      </c>
    </row>
    <row r="10" customFormat="false" ht="15" hidden="false" customHeight="false" outlineLevel="0" collapsed="false">
      <c r="A10" s="468" t="n">
        <v>9</v>
      </c>
      <c r="B10" s="468" t="s">
        <v>708</v>
      </c>
      <c r="C10" s="468" t="n">
        <v>10</v>
      </c>
      <c r="D10" s="467" t="s">
        <v>721</v>
      </c>
      <c r="E10" s="467" t="s">
        <v>701</v>
      </c>
      <c r="F10" s="467" t="n">
        <f aca="false">SUM(C26:C34)</f>
        <v>100</v>
      </c>
      <c r="G10" s="467" t="s">
        <v>698</v>
      </c>
      <c r="H10" s="468" t="s">
        <v>692</v>
      </c>
      <c r="I10" s="471" t="s">
        <v>706</v>
      </c>
      <c r="J10" s="471"/>
      <c r="K10" s="471"/>
      <c r="L10" s="471" t="s">
        <v>701</v>
      </c>
      <c r="N10" s="466" t="s">
        <v>722</v>
      </c>
      <c r="O10" s="466" t="n">
        <f aca="false">O9/(3.33333333/9)</f>
        <v>0.749000142748998</v>
      </c>
    </row>
    <row r="11" customFormat="false" ht="15" hidden="false" customHeight="false" outlineLevel="0" collapsed="false">
      <c r="A11" s="468" t="n">
        <v>10</v>
      </c>
      <c r="B11" s="468" t="s">
        <v>706</v>
      </c>
      <c r="C11" s="468" t="n">
        <v>4</v>
      </c>
      <c r="D11" s="467" t="s">
        <v>723</v>
      </c>
      <c r="E11" s="467" t="s">
        <v>724</v>
      </c>
      <c r="F11" s="467" t="n">
        <f aca="false">SUM(C11:C19)</f>
        <v>85</v>
      </c>
      <c r="G11" s="467" t="s">
        <v>692</v>
      </c>
      <c r="H11" s="468" t="s">
        <v>692</v>
      </c>
      <c r="I11" s="471" t="s">
        <v>708</v>
      </c>
      <c r="J11" s="471" t="s">
        <v>709</v>
      </c>
      <c r="K11" s="471" t="s">
        <v>710</v>
      </c>
      <c r="L11" s="471" t="s">
        <v>711</v>
      </c>
      <c r="N11" s="466" t="s">
        <v>725</v>
      </c>
      <c r="O11" s="466" t="n">
        <f aca="false">O10*L14</f>
        <v>7.49000142748998</v>
      </c>
      <c r="P11" s="466" t="s">
        <v>726</v>
      </c>
    </row>
    <row r="12" customFormat="false" ht="15" hidden="false" customHeight="false" outlineLevel="0" collapsed="false">
      <c r="A12" s="468" t="n">
        <v>11</v>
      </c>
      <c r="B12" s="468" t="s">
        <v>699</v>
      </c>
      <c r="C12" s="468" t="n">
        <v>4</v>
      </c>
      <c r="D12" s="467" t="s">
        <v>564</v>
      </c>
      <c r="E12" s="467"/>
      <c r="F12" s="467"/>
      <c r="G12" s="467"/>
      <c r="H12" s="468" t="s">
        <v>692</v>
      </c>
    </row>
    <row r="13" customFormat="false" ht="15" hidden="false" customHeight="false" outlineLevel="0" collapsed="false">
      <c r="A13" s="468" t="n">
        <v>12</v>
      </c>
      <c r="B13" s="468" t="s">
        <v>694</v>
      </c>
      <c r="C13" s="468" t="n">
        <v>10</v>
      </c>
      <c r="D13" s="467" t="s">
        <v>727</v>
      </c>
      <c r="E13" s="467" t="s">
        <v>689</v>
      </c>
      <c r="F13" s="467" t="n">
        <f aca="false">SUM(C29:C37)</f>
        <v>86</v>
      </c>
      <c r="G13" s="467" t="s">
        <v>698</v>
      </c>
      <c r="H13" s="468" t="s">
        <v>692</v>
      </c>
      <c r="J13" s="466" t="s">
        <v>682</v>
      </c>
      <c r="K13" s="466" t="s">
        <v>447</v>
      </c>
      <c r="L13" s="466" t="s">
        <v>728</v>
      </c>
      <c r="M13" s="466" t="s">
        <v>729</v>
      </c>
      <c r="N13" s="466" t="s">
        <v>730</v>
      </c>
      <c r="O13" s="470" t="s">
        <v>731</v>
      </c>
      <c r="P13" s="466" t="n">
        <v>1</v>
      </c>
      <c r="Q13" s="466" t="n">
        <v>2</v>
      </c>
      <c r="R13" s="466" t="n">
        <v>3</v>
      </c>
      <c r="S13" s="466" t="n">
        <v>4</v>
      </c>
      <c r="T13" s="466" t="n">
        <v>5</v>
      </c>
      <c r="U13" s="466" t="n">
        <v>6</v>
      </c>
      <c r="V13" s="466" t="n">
        <v>7</v>
      </c>
      <c r="W13" s="466" t="n">
        <v>8</v>
      </c>
      <c r="X13" s="466" t="n">
        <v>9</v>
      </c>
    </row>
    <row r="14" customFormat="false" ht="15" hidden="false" customHeight="false" outlineLevel="0" collapsed="false">
      <c r="A14" s="472" t="n">
        <v>13</v>
      </c>
      <c r="B14" s="472" t="s">
        <v>709</v>
      </c>
      <c r="C14" s="472" t="n">
        <v>7</v>
      </c>
      <c r="D14" s="467" t="s">
        <v>732</v>
      </c>
      <c r="E14" s="467" t="s">
        <v>701</v>
      </c>
      <c r="F14" s="467" t="n">
        <f aca="false">SUM(C14:C22)</f>
        <v>100</v>
      </c>
      <c r="G14" s="467" t="s">
        <v>692</v>
      </c>
      <c r="H14" s="472" t="s">
        <v>698</v>
      </c>
      <c r="J14" s="466" t="n">
        <f aca="false">O5</f>
        <v>21</v>
      </c>
      <c r="K14" s="466" t="str">
        <f aca="false">VLOOKUP(J14,Kalachakra,2)</f>
        <v>Pi</v>
      </c>
      <c r="L14" s="466" t="n">
        <f aca="false">VLOOKUP(J14,Kalachakra,3)</f>
        <v>10</v>
      </c>
      <c r="M14" s="466" t="str">
        <f aca="false">VLOOKUP(J14,Kalachakra,7)</f>
        <v>A</v>
      </c>
      <c r="N14" s="470" t="n">
        <f aca="false">O14-365.2425*L14</f>
        <v>22988.2620202136</v>
      </c>
      <c r="O14" s="470" t="n">
        <f aca="false">O6+L14*365.2425*O8</f>
        <v>26640.6870202136</v>
      </c>
      <c r="P14" s="466" t="str">
        <f aca="false">VLOOKUP(MOD((MATCH($K14,KC[Dasa],0)-1)*9+P$13-1,24)+1,KC[],2)</f>
        <v>Cn</v>
      </c>
      <c r="Q14" s="466" t="str">
        <f aca="false">VLOOKUP(MOD((MATCH($K14,KC[Dasa],0)-1)*9+Q$13-1,24)+1,KC[],2)</f>
        <v>Le</v>
      </c>
      <c r="R14" s="466" t="str">
        <f aca="false">VLOOKUP(MOD((MATCH($K14,KC[Dasa],0)-1)*9+R$13-1,24)+1,KC[],2)</f>
        <v>Vi</v>
      </c>
      <c r="S14" s="466" t="str">
        <f aca="false">VLOOKUP(MOD((MATCH($K14,KC[Dasa],0)-1)*9+S$13-1,24)+1,KC[],2)</f>
        <v>Li</v>
      </c>
      <c r="T14" s="466" t="str">
        <f aca="false">VLOOKUP(MOD((MATCH($K14,KC[Dasa],0)-1)*9+T$13-1,24)+1,KC[],2)</f>
        <v>Sc</v>
      </c>
      <c r="U14" s="466" t="str">
        <f aca="false">VLOOKUP(MOD((MATCH($K14,KC[Dasa],0)-1)*9+U$13-1,24)+1,KC[],2)</f>
        <v>Sg</v>
      </c>
      <c r="V14" s="466" t="str">
        <f aca="false">VLOOKUP(MOD((MATCH($K14,KC[Dasa],0)-1)*9+V$13-1,24)+1,KC[],2)</f>
        <v>Cp</v>
      </c>
      <c r="W14" s="466" t="str">
        <f aca="false">VLOOKUP(MOD((MATCH($K14,KC[Dasa],0)-1)*9+W$13-1,24)+1,KC[],2)</f>
        <v>Aq</v>
      </c>
      <c r="X14" s="466" t="str">
        <f aca="false">VLOOKUP(MOD((MATCH($K14,KC[Dasa],0)-1)*9+X$13-1,24)+1,KC[],2)</f>
        <v>Pi</v>
      </c>
    </row>
    <row r="15" customFormat="false" ht="15" hidden="false" customHeight="false" outlineLevel="0" collapsed="false">
      <c r="A15" s="472" t="n">
        <v>14</v>
      </c>
      <c r="B15" s="472" t="s">
        <v>710</v>
      </c>
      <c r="C15" s="472" t="n">
        <v>16</v>
      </c>
      <c r="D15" s="467" t="s">
        <v>564</v>
      </c>
      <c r="E15" s="467"/>
      <c r="F15" s="467"/>
      <c r="G15" s="467"/>
      <c r="H15" s="472" t="s">
        <v>698</v>
      </c>
      <c r="P15" s="470" t="n">
        <f aca="false">$N14+365.2425*VLOOKUP(MOD((MATCH($K14,KC[Dasa],0)-1)*9+P$13-1,24)+1,KC[],3)*$L14/$L$31</f>
        <v>23755.2712702136</v>
      </c>
      <c r="Q15" s="470" t="n">
        <f aca="false">P15+365.2425*VLOOKUP(MOD((MATCH($K14,KC[Dasa],0)-1)*9+Q$13-1,24)+1,KC[],3)*$L14/$L$31</f>
        <v>23937.8925202136</v>
      </c>
      <c r="R15" s="470" t="n">
        <f aca="false">Q15+365.2425*VLOOKUP(MOD((MATCH($K14,KC[Dasa],0)-1)*9+R$13-1,24)+1,KC[],3)*$L14/$L$31</f>
        <v>24266.6107702136</v>
      </c>
      <c r="S15" s="470" t="n">
        <f aca="false">R15+365.2425*VLOOKUP(MOD((MATCH($K14,KC[Dasa],0)-1)*9+S$13-1,24)+1,KC[],3)*$L14/$L$31</f>
        <v>24850.9987702136</v>
      </c>
      <c r="T15" s="470" t="n">
        <f aca="false">S15+365.2425*VLOOKUP(MOD((MATCH($K14,KC[Dasa],0)-1)*9+T$13-1,24)+1,KC[],3)*$L14/$L$31</f>
        <v>25106.6685202136</v>
      </c>
      <c r="U15" s="470" t="n">
        <f aca="false">T15+365.2425*VLOOKUP(MOD((MATCH($K14,KC[Dasa],0)-1)*9+U$13-1,24)+1,KC[],3)*$L14/$L$31</f>
        <v>25471.9110202136</v>
      </c>
      <c r="V15" s="470" t="n">
        <f aca="false">U15+365.2425*VLOOKUP(MOD((MATCH($K14,KC[Dasa],0)-1)*9+V$13-1,24)+1,KC[],3)*$L14/$L$31</f>
        <v>25618.0080202136</v>
      </c>
      <c r="W15" s="470" t="n">
        <f aca="false">V15+365.2425*VLOOKUP(MOD((MATCH($K14,KC[Dasa],0)-1)*9+W$13-1,24)+1,KC[],3)*$L14/$L$31</f>
        <v>25764.1050202136</v>
      </c>
      <c r="X15" s="470" t="n">
        <f aca="false">W15+365.2425*VLOOKUP(MOD((MATCH($K14,KC[Dasa],0)-1)*9+X$13-1,24)+1,KC[],3)*$L14/$L$31</f>
        <v>26129.3475202136</v>
      </c>
      <c r="Y15" s="470"/>
    </row>
    <row r="16" customFormat="false" ht="15" hidden="false" customHeight="false" outlineLevel="0" collapsed="false">
      <c r="A16" s="472" t="n">
        <v>15</v>
      </c>
      <c r="B16" s="472" t="s">
        <v>711</v>
      </c>
      <c r="C16" s="472" t="n">
        <v>9</v>
      </c>
      <c r="D16" s="467" t="s">
        <v>733</v>
      </c>
      <c r="E16" s="467" t="s">
        <v>734</v>
      </c>
      <c r="F16" s="467" t="n">
        <f aca="false">SUM(C32:C40)</f>
        <v>83</v>
      </c>
      <c r="G16" s="467" t="s">
        <v>698</v>
      </c>
      <c r="H16" s="472" t="s">
        <v>698</v>
      </c>
      <c r="J16" s="466" t="n">
        <f aca="false">J14+$P$3</f>
        <v>20</v>
      </c>
      <c r="K16" s="466" t="str">
        <f aca="false">VLOOKUP(J16,Kalachakra,2)</f>
        <v>Ar</v>
      </c>
      <c r="L16" s="466" t="n">
        <f aca="false">VLOOKUP(J16,Kalachakra,3)</f>
        <v>7</v>
      </c>
      <c r="M16" s="466" t="n">
        <f aca="false">VLOOKUP(J16,Kalachakra,7)</f>
        <v>0</v>
      </c>
      <c r="N16" s="470" t="n">
        <f aca="false">O16-365.2425*L16</f>
        <v>26640.6870202136</v>
      </c>
      <c r="O16" s="470" t="n">
        <f aca="false">O14+L16*365.2425</f>
        <v>29197.3845202136</v>
      </c>
      <c r="P16" s="466" t="str">
        <f aca="false">VLOOKUP(MOD((MATCH($K16,KC[Dasa],0)-1)*9+P$13-1,24)+1,KC[],2)</f>
        <v>Ar</v>
      </c>
      <c r="Q16" s="466" t="str">
        <f aca="false">VLOOKUP(MOD((MATCH($K16,KC[Dasa],0)-1)*9+Q$13-1,24)+1,KC[],2)</f>
        <v>Ta</v>
      </c>
      <c r="R16" s="466" t="str">
        <f aca="false">VLOOKUP(MOD((MATCH($K16,KC[Dasa],0)-1)*9+R$13-1,24)+1,KC[],2)</f>
        <v>Ge</v>
      </c>
      <c r="S16" s="466" t="str">
        <f aca="false">VLOOKUP(MOD((MATCH($K16,KC[Dasa],0)-1)*9+S$13-1,24)+1,KC[],2)</f>
        <v>Cn</v>
      </c>
      <c r="T16" s="466" t="str">
        <f aca="false">VLOOKUP(MOD((MATCH($K16,KC[Dasa],0)-1)*9+T$13-1,24)+1,KC[],2)</f>
        <v>Le</v>
      </c>
      <c r="U16" s="466" t="str">
        <f aca="false">VLOOKUP(MOD((MATCH($K16,KC[Dasa],0)-1)*9+U$13-1,24)+1,KC[],2)</f>
        <v>Vi</v>
      </c>
      <c r="V16" s="466" t="str">
        <f aca="false">VLOOKUP(MOD((MATCH($K16,KC[Dasa],0)-1)*9+V$13-1,24)+1,KC[],2)</f>
        <v>Li</v>
      </c>
      <c r="W16" s="466" t="str">
        <f aca="false">VLOOKUP(MOD((MATCH($K16,KC[Dasa],0)-1)*9+W$13-1,24)+1,KC[],2)</f>
        <v>Sc</v>
      </c>
      <c r="X16" s="466" t="str">
        <f aca="false">VLOOKUP(MOD((MATCH($K16,KC[Dasa],0)-1)*9+X$13-1,24)+1,KC[],2)</f>
        <v>Sg</v>
      </c>
    </row>
    <row r="17" customFormat="false" ht="15" hidden="false" customHeight="false" outlineLevel="0" collapsed="false">
      <c r="A17" s="472" t="n">
        <v>16</v>
      </c>
      <c r="B17" s="472" t="s">
        <v>703</v>
      </c>
      <c r="C17" s="472" t="n">
        <v>21</v>
      </c>
      <c r="D17" s="467" t="s">
        <v>735</v>
      </c>
      <c r="E17" s="467" t="s">
        <v>709</v>
      </c>
      <c r="F17" s="467" t="n">
        <f aca="false">SUM(C17:C25)</f>
        <v>86</v>
      </c>
      <c r="G17" s="467" t="s">
        <v>692</v>
      </c>
      <c r="H17" s="472" t="s">
        <v>698</v>
      </c>
      <c r="R17" s="470"/>
      <c r="S17" s="470"/>
      <c r="T17" s="470"/>
      <c r="U17" s="470"/>
      <c r="V17" s="470"/>
      <c r="W17" s="470"/>
    </row>
    <row r="18" customFormat="false" ht="15" hidden="false" customHeight="false" outlineLevel="0" collapsed="false">
      <c r="A18" s="472" t="n">
        <v>17</v>
      </c>
      <c r="B18" s="472" t="s">
        <v>701</v>
      </c>
      <c r="C18" s="472" t="n">
        <v>5</v>
      </c>
      <c r="D18" s="467" t="s">
        <v>564</v>
      </c>
      <c r="E18" s="467"/>
      <c r="F18" s="467"/>
      <c r="G18" s="467"/>
      <c r="H18" s="472" t="s">
        <v>698</v>
      </c>
      <c r="J18" s="466" t="n">
        <f aca="false">J16+$P$3</f>
        <v>19</v>
      </c>
      <c r="K18" s="466" t="str">
        <f aca="false">VLOOKUP(J18,Kalachakra,2)</f>
        <v>Ta</v>
      </c>
      <c r="L18" s="466" t="n">
        <f aca="false">VLOOKUP(J18,Kalachakra,3)</f>
        <v>16</v>
      </c>
      <c r="M18" s="466" t="str">
        <f aca="false">VLOOKUP(J18,Kalachakra,7)</f>
        <v>S</v>
      </c>
      <c r="N18" s="470" t="n">
        <f aca="false">O18-365.2425*L18</f>
        <v>29197.3845202136</v>
      </c>
      <c r="O18" s="470" t="n">
        <f aca="false">O16+L18*365.2425</f>
        <v>35041.2645202136</v>
      </c>
      <c r="P18" s="466" t="str">
        <f aca="false">VLOOKUP(MOD((MATCH($K18,KC[Dasa],0)-1)*9+P$13-1,24)+1,KC[],2)</f>
        <v>Cp</v>
      </c>
      <c r="Q18" s="466" t="str">
        <f aca="false">VLOOKUP(MOD((MATCH($K18,KC[Dasa],0)-1)*9+Q$13-1,24)+1,KC[],2)</f>
        <v>Aq</v>
      </c>
      <c r="R18" s="466" t="str">
        <f aca="false">VLOOKUP(MOD((MATCH($K18,KC[Dasa],0)-1)*9+R$13-1,24)+1,KC[],2)</f>
        <v>Pi</v>
      </c>
      <c r="S18" s="466" t="str">
        <f aca="false">VLOOKUP(MOD((MATCH($K18,KC[Dasa],0)-1)*9+S$13-1,24)+1,KC[],2)</f>
        <v>Sc</v>
      </c>
      <c r="T18" s="466" t="str">
        <f aca="false">VLOOKUP(MOD((MATCH($K18,KC[Dasa],0)-1)*9+T$13-1,24)+1,KC[],2)</f>
        <v>Li</v>
      </c>
      <c r="U18" s="466" t="str">
        <f aca="false">VLOOKUP(MOD((MATCH($K18,KC[Dasa],0)-1)*9+U$13-1,24)+1,KC[],2)</f>
        <v>Vi</v>
      </c>
      <c r="V18" s="466" t="str">
        <f aca="false">VLOOKUP(MOD((MATCH($K18,KC[Dasa],0)-1)*9+V$13-1,24)+1,KC[],2)</f>
        <v>Cn</v>
      </c>
      <c r="W18" s="466" t="str">
        <f aca="false">VLOOKUP(MOD((MATCH($K18,KC[Dasa],0)-1)*9+W$13-1,24)+1,KC[],2)</f>
        <v>Le</v>
      </c>
      <c r="X18" s="466" t="str">
        <f aca="false">VLOOKUP(MOD((MATCH($K18,KC[Dasa],0)-1)*9+X$13-1,24)+1,KC[],2)</f>
        <v>Ge</v>
      </c>
    </row>
    <row r="19" customFormat="false" ht="15" hidden="false" customHeight="false" outlineLevel="0" collapsed="false">
      <c r="A19" s="472" t="n">
        <v>18</v>
      </c>
      <c r="B19" s="472" t="s">
        <v>695</v>
      </c>
      <c r="C19" s="472" t="n">
        <v>9</v>
      </c>
      <c r="D19" s="467" t="s">
        <v>736</v>
      </c>
      <c r="E19" s="467" t="s">
        <v>695</v>
      </c>
      <c r="F19" s="467" t="n">
        <f aca="false">SUM(C35:C43)</f>
        <v>85</v>
      </c>
      <c r="G19" s="467" t="s">
        <v>698</v>
      </c>
      <c r="H19" s="472" t="s">
        <v>698</v>
      </c>
    </row>
    <row r="20" customFormat="false" ht="15" hidden="false" customHeight="false" outlineLevel="0" collapsed="false">
      <c r="A20" s="472" t="n">
        <v>19</v>
      </c>
      <c r="B20" s="472" t="s">
        <v>693</v>
      </c>
      <c r="C20" s="472" t="n">
        <v>16</v>
      </c>
      <c r="D20" s="467" t="s">
        <v>737</v>
      </c>
      <c r="E20" s="467" t="s">
        <v>738</v>
      </c>
      <c r="F20" s="467" t="n">
        <f aca="false">SUM(C20:C28)</f>
        <v>83</v>
      </c>
      <c r="G20" s="467" t="s">
        <v>692</v>
      </c>
      <c r="H20" s="472" t="s">
        <v>698</v>
      </c>
      <c r="J20" s="466" t="n">
        <f aca="false">J18+$P$3</f>
        <v>18</v>
      </c>
      <c r="K20" s="466" t="str">
        <f aca="false">VLOOKUP(J20,Kalachakra,2)</f>
        <v>Ge</v>
      </c>
      <c r="L20" s="466" t="n">
        <f aca="false">VLOOKUP(J20,Kalachakra,3)</f>
        <v>9</v>
      </c>
      <c r="M20" s="466" t="str">
        <f aca="false">VLOOKUP(J20,Kalachakra,7)</f>
        <v>A</v>
      </c>
      <c r="N20" s="470" t="n">
        <f aca="false">O20-365.2425*L20</f>
        <v>35041.2645202136</v>
      </c>
      <c r="O20" s="470" t="n">
        <f aca="false">O18+L20*365.2425</f>
        <v>38328.4470202136</v>
      </c>
    </row>
    <row r="21" customFormat="false" ht="15" hidden="false" customHeight="false" outlineLevel="0" collapsed="false">
      <c r="A21" s="472" t="n">
        <v>20</v>
      </c>
      <c r="B21" s="472" t="s">
        <v>689</v>
      </c>
      <c r="C21" s="472" t="n">
        <v>7</v>
      </c>
      <c r="D21" s="467" t="s">
        <v>564</v>
      </c>
      <c r="E21" s="467"/>
      <c r="F21" s="467"/>
      <c r="G21" s="467"/>
      <c r="H21" s="472" t="s">
        <v>698</v>
      </c>
    </row>
    <row r="22" customFormat="false" ht="15" hidden="false" customHeight="false" outlineLevel="0" collapsed="false">
      <c r="A22" s="472" t="n">
        <v>21</v>
      </c>
      <c r="B22" s="472" t="s">
        <v>694</v>
      </c>
      <c r="C22" s="472" t="n">
        <v>10</v>
      </c>
      <c r="D22" s="467" t="s">
        <v>739</v>
      </c>
      <c r="E22" s="467" t="s">
        <v>740</v>
      </c>
      <c r="F22" s="467" t="n">
        <f aca="false">SUM(C38:C46)</f>
        <v>100</v>
      </c>
      <c r="G22" s="467" t="s">
        <v>698</v>
      </c>
      <c r="H22" s="472" t="s">
        <v>698</v>
      </c>
      <c r="J22" s="466" t="n">
        <f aca="false">J20+$P$3</f>
        <v>17</v>
      </c>
      <c r="K22" s="466" t="str">
        <f aca="false">VLOOKUP(J22,Kalachakra,2)</f>
        <v>Le</v>
      </c>
      <c r="L22" s="466" t="n">
        <f aca="false">VLOOKUP(J22,Kalachakra,3)</f>
        <v>5</v>
      </c>
      <c r="M22" s="466" t="n">
        <f aca="false">VLOOKUP(J22,Kalachakra,7)</f>
        <v>0</v>
      </c>
      <c r="N22" s="470" t="n">
        <f aca="false">O22-365.2425*L22</f>
        <v>38328.4470202136</v>
      </c>
      <c r="O22" s="470" t="n">
        <f aca="false">O20+L22*365.2425</f>
        <v>40154.6595202136</v>
      </c>
    </row>
    <row r="23" customFormat="false" ht="15" hidden="false" customHeight="false" outlineLevel="0" collapsed="false">
      <c r="A23" s="472" t="n">
        <v>22</v>
      </c>
      <c r="B23" s="472" t="s">
        <v>699</v>
      </c>
      <c r="C23" s="472" t="n">
        <v>4</v>
      </c>
      <c r="D23" s="467" t="s">
        <v>741</v>
      </c>
      <c r="E23" s="467" t="s">
        <v>711</v>
      </c>
      <c r="F23" s="467" t="n">
        <f aca="false">SUM(C23:C31)</f>
        <v>85</v>
      </c>
      <c r="G23" s="467" t="s">
        <v>692</v>
      </c>
      <c r="H23" s="472" t="s">
        <v>698</v>
      </c>
    </row>
    <row r="24" customFormat="false" ht="15" hidden="false" customHeight="false" outlineLevel="0" collapsed="false">
      <c r="A24" s="472" t="n">
        <v>23</v>
      </c>
      <c r="B24" s="472" t="s">
        <v>706</v>
      </c>
      <c r="C24" s="472" t="n">
        <v>4</v>
      </c>
      <c r="D24" s="467" t="s">
        <v>564</v>
      </c>
      <c r="E24" s="467"/>
      <c r="F24" s="467"/>
      <c r="G24" s="467"/>
      <c r="H24" s="472" t="s">
        <v>698</v>
      </c>
      <c r="J24" s="466" t="n">
        <f aca="false">J22+$P$3</f>
        <v>16</v>
      </c>
      <c r="K24" s="466" t="str">
        <f aca="false">VLOOKUP(J24,Kalachakra,2)</f>
        <v>Cn</v>
      </c>
      <c r="L24" s="466" t="n">
        <f aca="false">VLOOKUP(J24,Kalachakra,3)</f>
        <v>21</v>
      </c>
      <c r="M24" s="466" t="str">
        <f aca="false">VLOOKUP(J24,Kalachakra,7)</f>
        <v>S</v>
      </c>
      <c r="N24" s="470" t="n">
        <f aca="false">O24-365.2425*L24</f>
        <v>40154.6595202136</v>
      </c>
      <c r="O24" s="470" t="n">
        <f aca="false">O22+L24*365.2425</f>
        <v>47824.7520202136</v>
      </c>
      <c r="Q24" s="470"/>
    </row>
    <row r="25" customFormat="false" ht="15" hidden="false" customHeight="false" outlineLevel="0" collapsed="false">
      <c r="A25" s="472" t="n">
        <v>24</v>
      </c>
      <c r="B25" s="472" t="s">
        <v>708</v>
      </c>
      <c r="C25" s="472" t="n">
        <v>10</v>
      </c>
      <c r="D25" s="467" t="s">
        <v>742</v>
      </c>
      <c r="E25" s="467" t="s">
        <v>743</v>
      </c>
      <c r="F25" s="467" t="n">
        <f aca="false">SUM(C41:C49)</f>
        <v>86</v>
      </c>
      <c r="G25" s="467" t="s">
        <v>698</v>
      </c>
      <c r="H25" s="472" t="s">
        <v>698</v>
      </c>
    </row>
    <row r="26" customFormat="false" ht="15" hidden="false" customHeight="false" outlineLevel="0" collapsed="false">
      <c r="A26" s="473" t="n">
        <v>25</v>
      </c>
      <c r="B26" s="473" t="s">
        <v>689</v>
      </c>
      <c r="C26" s="473" t="n">
        <v>7</v>
      </c>
      <c r="D26" s="473" t="s">
        <v>690</v>
      </c>
      <c r="E26" s="473" t="s">
        <v>691</v>
      </c>
      <c r="F26" s="473" t="n">
        <f aca="false">SUM(C26:C34)</f>
        <v>100</v>
      </c>
      <c r="G26" s="473" t="s">
        <v>692</v>
      </c>
      <c r="H26" s="473" t="s">
        <v>692</v>
      </c>
      <c r="J26" s="466" t="n">
        <f aca="false">J24+$P$3</f>
        <v>15</v>
      </c>
      <c r="K26" s="466" t="str">
        <f aca="false">VLOOKUP(J26,Kalachakra,2)</f>
        <v>Vi</v>
      </c>
      <c r="L26" s="466" t="n">
        <f aca="false">VLOOKUP(J26,Kalachakra,3)</f>
        <v>9</v>
      </c>
      <c r="M26" s="466" t="str">
        <f aca="false">VLOOKUP(J26,Kalachakra,7)</f>
        <v>A</v>
      </c>
      <c r="N26" s="470" t="n">
        <f aca="false">O26-365.2425*L26</f>
        <v>47824.7520202136</v>
      </c>
      <c r="O26" s="470" t="n">
        <f aca="false">O24+L26*365.2425</f>
        <v>51111.9345202136</v>
      </c>
    </row>
    <row r="27" customFormat="false" ht="15" hidden="false" customHeight="false" outlineLevel="0" collapsed="false">
      <c r="A27" s="473" t="n">
        <v>26</v>
      </c>
      <c r="B27" s="473" t="s">
        <v>693</v>
      </c>
      <c r="C27" s="473" t="n">
        <v>16</v>
      </c>
      <c r="D27" s="473" t="s">
        <v>564</v>
      </c>
      <c r="E27" s="473"/>
      <c r="F27" s="473"/>
      <c r="G27" s="473"/>
      <c r="H27" s="473" t="s">
        <v>692</v>
      </c>
    </row>
    <row r="28" customFormat="false" ht="15" hidden="false" customHeight="false" outlineLevel="0" collapsed="false">
      <c r="A28" s="473" t="n">
        <v>27</v>
      </c>
      <c r="B28" s="473" t="s">
        <v>695</v>
      </c>
      <c r="C28" s="473" t="n">
        <v>9</v>
      </c>
      <c r="D28" s="473" t="s">
        <v>697</v>
      </c>
      <c r="E28" s="473" t="s">
        <v>693</v>
      </c>
      <c r="F28" s="473" t="n">
        <f aca="false">SUM(C28:C36)</f>
        <v>85</v>
      </c>
      <c r="G28" s="473" t="s">
        <v>698</v>
      </c>
      <c r="H28" s="473" t="s">
        <v>692</v>
      </c>
      <c r="J28" s="466" t="n">
        <f aca="false">J26+$P$3</f>
        <v>14</v>
      </c>
      <c r="K28" s="466" t="str">
        <f aca="false">VLOOKUP(J28,Kalachakra,2)</f>
        <v>Li</v>
      </c>
      <c r="L28" s="466" t="n">
        <f aca="false">VLOOKUP(J28,Kalachakra,3)</f>
        <v>16</v>
      </c>
      <c r="M28" s="466" t="n">
        <f aca="false">VLOOKUP(J28,Kalachakra,7)</f>
        <v>0</v>
      </c>
      <c r="N28" s="470" t="n">
        <f aca="false">O28-365.2425*L28</f>
        <v>51111.9345202136</v>
      </c>
      <c r="O28" s="470" t="n">
        <f aca="false">O26+L28*365.2425</f>
        <v>56955.8145202136</v>
      </c>
    </row>
    <row r="29" customFormat="false" ht="15" hidden="false" customHeight="false" outlineLevel="0" collapsed="false">
      <c r="A29" s="473" t="n">
        <v>28</v>
      </c>
      <c r="B29" s="473" t="s">
        <v>703</v>
      </c>
      <c r="C29" s="473" t="n">
        <v>21</v>
      </c>
      <c r="D29" s="473" t="s">
        <v>704</v>
      </c>
      <c r="E29" s="473" t="s">
        <v>705</v>
      </c>
      <c r="F29" s="473" t="n">
        <f aca="false">SUM(C29:C37)</f>
        <v>86</v>
      </c>
      <c r="G29" s="473" t="s">
        <v>692</v>
      </c>
      <c r="H29" s="473" t="s">
        <v>692</v>
      </c>
    </row>
    <row r="30" customFormat="false" ht="15" hidden="false" customHeight="false" outlineLevel="0" collapsed="false">
      <c r="A30" s="473" t="n">
        <v>29</v>
      </c>
      <c r="B30" s="473" t="s">
        <v>701</v>
      </c>
      <c r="C30" s="473" t="n">
        <v>5</v>
      </c>
      <c r="D30" s="473" t="s">
        <v>564</v>
      </c>
      <c r="E30" s="473"/>
      <c r="F30" s="473"/>
      <c r="G30" s="473"/>
      <c r="H30" s="473" t="s">
        <v>692</v>
      </c>
      <c r="J30" s="466" t="n">
        <f aca="false">J28+$P$3</f>
        <v>13</v>
      </c>
      <c r="K30" s="466" t="str">
        <f aca="false">VLOOKUP(J30,Kalachakra,2)</f>
        <v>Sc</v>
      </c>
      <c r="L30" s="466" t="n">
        <f aca="false">VLOOKUP(J30,Kalachakra,3)</f>
        <v>7</v>
      </c>
      <c r="M30" s="466" t="str">
        <f aca="false">VLOOKUP(J30,Kalachakra,7)</f>
        <v>S</v>
      </c>
      <c r="N30" s="470" t="n">
        <f aca="false">O30-365.2425*L30</f>
        <v>56955.8145202136</v>
      </c>
      <c r="O30" s="470" t="n">
        <f aca="false">O28+L30*365.2425</f>
        <v>59512.5120202136</v>
      </c>
    </row>
    <row r="31" customFormat="false" ht="15" hidden="false" customHeight="false" outlineLevel="0" collapsed="false">
      <c r="A31" s="473" t="n">
        <v>30</v>
      </c>
      <c r="B31" s="473" t="s">
        <v>711</v>
      </c>
      <c r="C31" s="473" t="n">
        <v>9</v>
      </c>
      <c r="D31" s="473" t="s">
        <v>713</v>
      </c>
      <c r="E31" s="473" t="s">
        <v>714</v>
      </c>
      <c r="F31" s="473" t="n">
        <f aca="false">SUM(C31:C39)</f>
        <v>83</v>
      </c>
      <c r="G31" s="473" t="s">
        <v>698</v>
      </c>
      <c r="H31" s="473" t="s">
        <v>692</v>
      </c>
      <c r="L31" s="466" t="n">
        <f aca="false">SUM(L14:L30)</f>
        <v>100</v>
      </c>
      <c r="M31" s="470"/>
      <c r="N31" s="470"/>
    </row>
    <row r="32" customFormat="false" ht="15" hidden="false" customHeight="false" outlineLevel="0" collapsed="false">
      <c r="A32" s="473" t="n">
        <v>31</v>
      </c>
      <c r="B32" s="473" t="s">
        <v>710</v>
      </c>
      <c r="C32" s="473" t="n">
        <v>16</v>
      </c>
      <c r="D32" s="473" t="s">
        <v>716</v>
      </c>
      <c r="E32" s="473" t="s">
        <v>710</v>
      </c>
      <c r="F32" s="473" t="n">
        <f aca="false">SUM(C32:C40)</f>
        <v>83</v>
      </c>
      <c r="G32" s="473" t="s">
        <v>692</v>
      </c>
      <c r="H32" s="473" t="s">
        <v>692</v>
      </c>
    </row>
    <row r="33" customFormat="false" ht="15" hidden="false" customHeight="false" outlineLevel="0" collapsed="false">
      <c r="A33" s="473" t="n">
        <v>32</v>
      </c>
      <c r="B33" s="473" t="s">
        <v>709</v>
      </c>
      <c r="C33" s="473" t="n">
        <v>7</v>
      </c>
      <c r="D33" s="473" t="s">
        <v>564</v>
      </c>
      <c r="E33" s="473"/>
      <c r="F33" s="473"/>
      <c r="G33" s="473"/>
      <c r="H33" s="473" t="s">
        <v>692</v>
      </c>
    </row>
    <row r="34" customFormat="false" ht="15" hidden="false" customHeight="false" outlineLevel="0" collapsed="false">
      <c r="A34" s="473" t="n">
        <v>33</v>
      </c>
      <c r="B34" s="473" t="s">
        <v>708</v>
      </c>
      <c r="C34" s="473" t="n">
        <v>10</v>
      </c>
      <c r="D34" s="473" t="s">
        <v>721</v>
      </c>
      <c r="E34" s="473" t="s">
        <v>701</v>
      </c>
      <c r="F34" s="473" t="n">
        <f aca="false">SUM(C34:C42)</f>
        <v>86</v>
      </c>
      <c r="G34" s="473" t="s">
        <v>698</v>
      </c>
      <c r="H34" s="473" t="s">
        <v>692</v>
      </c>
    </row>
    <row r="35" customFormat="false" ht="15" hidden="false" customHeight="false" outlineLevel="0" collapsed="false">
      <c r="A35" s="473" t="n">
        <v>34</v>
      </c>
      <c r="B35" s="473" t="s">
        <v>706</v>
      </c>
      <c r="C35" s="473" t="n">
        <v>4</v>
      </c>
      <c r="D35" s="473" t="s">
        <v>723</v>
      </c>
      <c r="E35" s="473" t="s">
        <v>724</v>
      </c>
      <c r="F35" s="473" t="n">
        <f aca="false">SUM(C35:C43)</f>
        <v>85</v>
      </c>
      <c r="G35" s="473" t="s">
        <v>692</v>
      </c>
      <c r="H35" s="473" t="s">
        <v>692</v>
      </c>
    </row>
    <row r="36" customFormat="false" ht="15" hidden="false" customHeight="false" outlineLevel="0" collapsed="false">
      <c r="A36" s="473" t="n">
        <v>35</v>
      </c>
      <c r="B36" s="473" t="s">
        <v>699</v>
      </c>
      <c r="C36" s="473" t="n">
        <v>4</v>
      </c>
      <c r="D36" s="473" t="s">
        <v>564</v>
      </c>
      <c r="E36" s="473"/>
      <c r="F36" s="473"/>
      <c r="G36" s="473"/>
      <c r="H36" s="473" t="s">
        <v>692</v>
      </c>
    </row>
    <row r="37" customFormat="false" ht="15" hidden="false" customHeight="false" outlineLevel="0" collapsed="false">
      <c r="A37" s="473" t="n">
        <v>36</v>
      </c>
      <c r="B37" s="473" t="s">
        <v>694</v>
      </c>
      <c r="C37" s="473" t="n">
        <v>10</v>
      </c>
      <c r="D37" s="473" t="s">
        <v>727</v>
      </c>
      <c r="E37" s="473" t="s">
        <v>689</v>
      </c>
      <c r="F37" s="473" t="n">
        <f aca="false">SUM(C37:C45)</f>
        <v>100</v>
      </c>
      <c r="G37" s="473" t="s">
        <v>698</v>
      </c>
      <c r="H37" s="473" t="s">
        <v>692</v>
      </c>
    </row>
    <row r="38" customFormat="false" ht="15" hidden="false" customHeight="false" outlineLevel="0" collapsed="false">
      <c r="A38" s="473" t="n">
        <v>37</v>
      </c>
      <c r="B38" s="473" t="s">
        <v>709</v>
      </c>
      <c r="C38" s="473" t="n">
        <v>7</v>
      </c>
      <c r="D38" s="473" t="s">
        <v>732</v>
      </c>
      <c r="E38" s="473" t="s">
        <v>701</v>
      </c>
      <c r="F38" s="473" t="n">
        <f aca="false">SUM(C38:C46)</f>
        <v>100</v>
      </c>
      <c r="G38" s="473" t="s">
        <v>692</v>
      </c>
      <c r="H38" s="473" t="s">
        <v>698</v>
      </c>
    </row>
    <row r="39" customFormat="false" ht="15" hidden="false" customHeight="false" outlineLevel="0" collapsed="false">
      <c r="A39" s="473" t="n">
        <v>38</v>
      </c>
      <c r="B39" s="473" t="s">
        <v>710</v>
      </c>
      <c r="C39" s="473" t="n">
        <v>16</v>
      </c>
      <c r="D39" s="473" t="s">
        <v>564</v>
      </c>
      <c r="E39" s="473"/>
      <c r="F39" s="473" t="n">
        <f aca="false">SUM(C39:C47)</f>
        <v>97</v>
      </c>
      <c r="G39" s="473"/>
      <c r="H39" s="473" t="s">
        <v>698</v>
      </c>
    </row>
    <row r="40" customFormat="false" ht="15" hidden="false" customHeight="false" outlineLevel="0" collapsed="false">
      <c r="A40" s="473" t="n">
        <v>39</v>
      </c>
      <c r="B40" s="473" t="s">
        <v>711</v>
      </c>
      <c r="C40" s="473" t="n">
        <v>9</v>
      </c>
      <c r="D40" s="473" t="s">
        <v>733</v>
      </c>
      <c r="E40" s="473" t="s">
        <v>734</v>
      </c>
      <c r="F40" s="473" t="n">
        <f aca="false">SUM(C40:C48)</f>
        <v>85</v>
      </c>
      <c r="G40" s="473" t="s">
        <v>698</v>
      </c>
      <c r="H40" s="473" t="s">
        <v>698</v>
      </c>
    </row>
    <row r="41" customFormat="false" ht="15" hidden="false" customHeight="false" outlineLevel="0" collapsed="false">
      <c r="A41" s="473" t="n">
        <v>40</v>
      </c>
      <c r="B41" s="473" t="s">
        <v>703</v>
      </c>
      <c r="C41" s="473" t="n">
        <v>21</v>
      </c>
      <c r="D41" s="473" t="s">
        <v>735</v>
      </c>
      <c r="E41" s="473" t="s">
        <v>709</v>
      </c>
      <c r="F41" s="473" t="n">
        <f aca="false">SUM(C41:C49)</f>
        <v>86</v>
      </c>
      <c r="G41" s="473" t="s">
        <v>692</v>
      </c>
      <c r="H41" s="473" t="s">
        <v>698</v>
      </c>
    </row>
    <row r="42" customFormat="false" ht="15" hidden="false" customHeight="false" outlineLevel="0" collapsed="false">
      <c r="A42" s="473" t="n">
        <v>41</v>
      </c>
      <c r="B42" s="473" t="s">
        <v>701</v>
      </c>
      <c r="C42" s="473" t="n">
        <v>5</v>
      </c>
      <c r="D42" s="473" t="s">
        <v>564</v>
      </c>
      <c r="E42" s="473"/>
      <c r="F42" s="473" t="n">
        <f aca="false">SUM(C42:C50)</f>
        <v>65</v>
      </c>
      <c r="G42" s="473"/>
      <c r="H42" s="473" t="s">
        <v>698</v>
      </c>
    </row>
    <row r="43" customFormat="false" ht="15" hidden="false" customHeight="false" outlineLevel="0" collapsed="false">
      <c r="A43" s="473" t="n">
        <v>42</v>
      </c>
      <c r="B43" s="473" t="s">
        <v>695</v>
      </c>
      <c r="C43" s="473" t="n">
        <v>9</v>
      </c>
      <c r="D43" s="473" t="s">
        <v>736</v>
      </c>
      <c r="E43" s="473" t="s">
        <v>695</v>
      </c>
      <c r="F43" s="473" t="n">
        <f aca="false">SUM(C43:C51)</f>
        <v>60</v>
      </c>
      <c r="G43" s="473" t="s">
        <v>698</v>
      </c>
      <c r="H43" s="473" t="s">
        <v>698</v>
      </c>
    </row>
    <row r="44" customFormat="false" ht="15" hidden="false" customHeight="false" outlineLevel="0" collapsed="false">
      <c r="A44" s="473" t="n">
        <v>43</v>
      </c>
      <c r="B44" s="473" t="s">
        <v>693</v>
      </c>
      <c r="C44" s="473" t="n">
        <v>16</v>
      </c>
      <c r="D44" s="473" t="s">
        <v>737</v>
      </c>
      <c r="E44" s="473" t="s">
        <v>738</v>
      </c>
      <c r="F44" s="473" t="n">
        <f aca="false">SUM(C44:C52)</f>
        <v>51</v>
      </c>
      <c r="G44" s="473" t="s">
        <v>692</v>
      </c>
      <c r="H44" s="473" t="s">
        <v>698</v>
      </c>
    </row>
    <row r="45" customFormat="false" ht="15" hidden="false" customHeight="false" outlineLevel="0" collapsed="false">
      <c r="A45" s="473" t="n">
        <v>44</v>
      </c>
      <c r="B45" s="473" t="s">
        <v>689</v>
      </c>
      <c r="C45" s="473" t="n">
        <v>7</v>
      </c>
      <c r="D45" s="473" t="s">
        <v>564</v>
      </c>
      <c r="E45" s="473"/>
      <c r="F45" s="473" t="n">
        <f aca="false">SUM(C45:C53)</f>
        <v>35</v>
      </c>
      <c r="G45" s="473"/>
      <c r="H45" s="473" t="s">
        <v>698</v>
      </c>
    </row>
    <row r="46" customFormat="false" ht="15" hidden="false" customHeight="false" outlineLevel="0" collapsed="false">
      <c r="A46" s="473" t="n">
        <v>45</v>
      </c>
      <c r="B46" s="473" t="s">
        <v>694</v>
      </c>
      <c r="C46" s="473" t="n">
        <v>10</v>
      </c>
      <c r="D46" s="473" t="s">
        <v>739</v>
      </c>
      <c r="E46" s="473" t="s">
        <v>740</v>
      </c>
      <c r="F46" s="473" t="n">
        <f aca="false">SUM(C46:C54)</f>
        <v>28</v>
      </c>
      <c r="G46" s="473" t="s">
        <v>698</v>
      </c>
      <c r="H46" s="473" t="s">
        <v>698</v>
      </c>
    </row>
    <row r="47" customFormat="false" ht="15" hidden="false" customHeight="false" outlineLevel="0" collapsed="false">
      <c r="A47" s="473" t="n">
        <v>46</v>
      </c>
      <c r="B47" s="473" t="s">
        <v>699</v>
      </c>
      <c r="C47" s="473" t="n">
        <v>4</v>
      </c>
      <c r="D47" s="473" t="s">
        <v>741</v>
      </c>
      <c r="E47" s="473" t="s">
        <v>711</v>
      </c>
      <c r="F47" s="473" t="n">
        <f aca="false">SUM(C47:C55)</f>
        <v>18</v>
      </c>
      <c r="G47" s="473" t="s">
        <v>692</v>
      </c>
      <c r="H47" s="473" t="s">
        <v>698</v>
      </c>
    </row>
    <row r="48" customFormat="false" ht="15" hidden="false" customHeight="false" outlineLevel="0" collapsed="false">
      <c r="A48" s="473" t="n">
        <v>47</v>
      </c>
      <c r="B48" s="473" t="s">
        <v>706</v>
      </c>
      <c r="C48" s="473" t="n">
        <v>4</v>
      </c>
      <c r="D48" s="473" t="s">
        <v>564</v>
      </c>
      <c r="E48" s="473"/>
      <c r="F48" s="473" t="n">
        <f aca="false">SUM(C48:C56)</f>
        <v>14</v>
      </c>
      <c r="G48" s="473"/>
      <c r="H48" s="473" t="s">
        <v>698</v>
      </c>
    </row>
    <row r="49" customFormat="false" ht="15" hidden="false" customHeight="false" outlineLevel="0" collapsed="false">
      <c r="A49" s="473" t="n">
        <v>48</v>
      </c>
      <c r="B49" s="473" t="s">
        <v>708</v>
      </c>
      <c r="C49" s="473" t="n">
        <v>10</v>
      </c>
      <c r="D49" s="473" t="s">
        <v>742</v>
      </c>
      <c r="E49" s="473" t="s">
        <v>743</v>
      </c>
      <c r="F49" s="473" t="n">
        <f aca="false">SUM(C49:C57)</f>
        <v>10</v>
      </c>
      <c r="G49" s="473" t="s">
        <v>698</v>
      </c>
      <c r="H49" s="473" t="s">
        <v>698</v>
      </c>
    </row>
  </sheetData>
  <mergeCells count="2">
    <mergeCell ref="J4:K5"/>
    <mergeCell ref="J9:K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322"/>
  <sheetViews>
    <sheetView showFormulas="false" showGridLines="true" showRowColHeaders="true" showZeros="true" rightToLeft="false" tabSelected="false" showOutlineSymbols="true" defaultGridColor="true" view="normal" topLeftCell="A7" colorId="64" zoomScale="181" zoomScaleNormal="181" zoomScalePageLayoutView="100" workbookViewId="0">
      <selection pane="topLeft" activeCell="D30" activeCellId="0" sqref="D30"/>
    </sheetView>
  </sheetViews>
  <sheetFormatPr defaultColWidth="9.1484375" defaultRowHeight="15" customHeight="true" zeroHeight="false" outlineLevelRow="0" outlineLevelCol="0"/>
  <cols>
    <col collapsed="false" customWidth="true" hidden="false" outlineLevel="0" max="1" min="1" style="6" width="28.71"/>
    <col collapsed="false" customWidth="true" hidden="false" outlineLevel="0" max="2" min="2" style="474" width="10.29"/>
    <col collapsed="false" customWidth="true" hidden="false" outlineLevel="0" max="3" min="3" style="193" width="8.86"/>
    <col collapsed="false" customWidth="true" hidden="false" outlineLevel="0" max="15" min="4" style="474" width="8.15"/>
    <col collapsed="false" customWidth="true" hidden="false" outlineLevel="0" max="16" min="16" style="39" width="7.42"/>
    <col collapsed="false" customWidth="true" hidden="false" outlineLevel="0" max="17" min="17" style="39" width="9.29"/>
    <col collapsed="false" customWidth="true" hidden="false" outlineLevel="0" max="22" min="18" style="474" width="6.43"/>
    <col collapsed="false" customWidth="true" hidden="false" outlineLevel="0" max="23" min="23" style="474" width="3.86"/>
    <col collapsed="false" customWidth="true" hidden="false" outlineLevel="0" max="24" min="24" style="474" width="10.57"/>
    <col collapsed="false" customWidth="true" hidden="false" outlineLevel="0" max="25" min="25" style="474" width="8.15"/>
    <col collapsed="false" customWidth="true" hidden="false" outlineLevel="0" max="26" min="26" style="474" width="2.42"/>
    <col collapsed="false" customWidth="true" hidden="false" outlineLevel="0" max="27" min="27" style="474" width="2.16"/>
    <col collapsed="false" customWidth="true" hidden="false" outlineLevel="0" max="28" min="28" style="474" width="3"/>
    <col collapsed="false" customWidth="true" hidden="false" outlineLevel="0" max="34" min="29" style="474" width="2.16"/>
    <col collapsed="false" customWidth="true" hidden="false" outlineLevel="0" max="37" min="35" style="474" width="3"/>
    <col collapsed="false" customWidth="true" hidden="false" outlineLevel="0" max="38" min="38" style="475" width="2.16"/>
    <col collapsed="false" customWidth="true" hidden="false" outlineLevel="0" max="46" min="39" style="474" width="2.16"/>
    <col collapsed="false" customWidth="true" hidden="false" outlineLevel="0" max="48" min="47" style="474" width="3"/>
    <col collapsed="false" customWidth="true" hidden="false" outlineLevel="0" max="49" min="49" style="476" width="3"/>
    <col collapsed="false" customWidth="true" hidden="false" outlineLevel="0" max="50" min="50" style="474" width="8.57"/>
    <col collapsed="false" customWidth="false" hidden="false" outlineLevel="0" max="1024" min="51" style="474" width="9.14"/>
  </cols>
  <sheetData>
    <row r="1" customFormat="false" ht="15" hidden="false" customHeight="false" outlineLevel="0" collapsed="false">
      <c r="A1" s="477"/>
      <c r="C1" s="206"/>
      <c r="AL1" s="478"/>
      <c r="AM1" s="479"/>
      <c r="AN1" s="479"/>
      <c r="AO1" s="479"/>
      <c r="AP1" s="479"/>
      <c r="AQ1" s="479"/>
      <c r="AR1" s="479"/>
      <c r="AS1" s="479"/>
      <c r="AT1" s="479"/>
      <c r="AU1" s="479"/>
      <c r="AV1" s="479"/>
      <c r="AW1" s="480"/>
    </row>
    <row r="2" customFormat="false" ht="15" hidden="false" customHeight="false" outlineLevel="0" collapsed="false">
      <c r="A2" s="477"/>
      <c r="E2" s="474" t="s">
        <v>744</v>
      </c>
      <c r="K2" s="474" t="s">
        <v>745</v>
      </c>
      <c r="P2" s="474"/>
      <c r="Q2" s="474"/>
    </row>
    <row r="3" customFormat="false" ht="15" hidden="false" customHeight="false" outlineLevel="0" collapsed="false">
      <c r="A3" s="477"/>
      <c r="B3" s="474" t="s">
        <v>138</v>
      </c>
      <c r="C3" s="193" t="s">
        <v>746</v>
      </c>
      <c r="E3" s="474" t="s">
        <v>142</v>
      </c>
      <c r="F3" s="474" t="s">
        <v>151</v>
      </c>
      <c r="G3" s="474" t="s">
        <v>155</v>
      </c>
      <c r="K3" s="474" t="s">
        <v>747</v>
      </c>
      <c r="L3" s="474" t="s">
        <v>748</v>
      </c>
      <c r="P3" s="474"/>
      <c r="Q3" s="474"/>
    </row>
    <row r="4" customFormat="false" ht="15" hidden="false" customHeight="false" outlineLevel="0" collapsed="false">
      <c r="A4" s="477"/>
      <c r="B4" s="474" t="s">
        <v>158</v>
      </c>
      <c r="C4" s="193" t="n">
        <f aca="false">E4</f>
        <v>4</v>
      </c>
      <c r="E4" s="474" t="n">
        <f aca="true">ROUNDUP(INDIRECT(B4)/30,0)</f>
        <v>4</v>
      </c>
      <c r="F4" s="474" t="n">
        <f aca="true">ROUNDUP(MOD(INDIRECT(B4)*9,360)/30,0)</f>
        <v>4</v>
      </c>
      <c r="G4" s="474" t="n">
        <f aca="true">ROUNDUP(MOD((E4-1)*30+INDIRECT(B4)*12,360)/30,0)</f>
        <v>4</v>
      </c>
      <c r="K4" s="474" t="n">
        <v>6</v>
      </c>
      <c r="L4" s="474" t="n">
        <v>5</v>
      </c>
      <c r="P4" s="474"/>
      <c r="Q4" s="474"/>
    </row>
    <row r="5" customFormat="false" ht="15" hidden="false" customHeight="false" outlineLevel="0" collapsed="false">
      <c r="A5" s="477"/>
      <c r="B5" s="474" t="s">
        <v>159</v>
      </c>
      <c r="C5" s="193" t="n">
        <f aca="false">E5</f>
        <v>2</v>
      </c>
      <c r="E5" s="474" t="n">
        <f aca="true">ROUNDUP(INDIRECT(B5)/30,0)</f>
        <v>2</v>
      </c>
      <c r="F5" s="474" t="n">
        <f aca="true">ROUNDUP(MOD(INDIRECT(B5)*9,360)/30,0)</f>
        <v>4</v>
      </c>
      <c r="G5" s="474" t="n">
        <f aca="true">ROUNDUP(MOD((E5-1)*30+INDIRECT(B5)*12,360)/30,0)</f>
        <v>11</v>
      </c>
      <c r="K5" s="474" t="n">
        <v>8</v>
      </c>
      <c r="L5" s="474" t="n">
        <v>12</v>
      </c>
      <c r="P5" s="474"/>
      <c r="Q5" s="474"/>
    </row>
    <row r="6" customFormat="false" ht="15" hidden="false" customHeight="false" outlineLevel="0" collapsed="false">
      <c r="A6" s="477"/>
      <c r="B6" s="474" t="s">
        <v>160</v>
      </c>
      <c r="C6" s="193" t="n">
        <f aca="false">E6</f>
        <v>10</v>
      </c>
      <c r="E6" s="474" t="n">
        <f aca="true">ROUNDUP(INDIRECT(B6)/30,0)</f>
        <v>10</v>
      </c>
      <c r="F6" s="474" t="n">
        <f aca="true">ROUNDUP(MOD(INDIRECT(B6)*9,360)/30,0)</f>
        <v>6</v>
      </c>
      <c r="G6" s="474" t="n">
        <f aca="true">ROUNDUP(MOD((E6-1)*30+INDIRECT(B6)*12,360)/30,0)</f>
        <v>9</v>
      </c>
      <c r="K6" s="474" t="n">
        <v>4</v>
      </c>
      <c r="L6" s="474" t="n">
        <v>4</v>
      </c>
    </row>
    <row r="7" customFormat="false" ht="15" hidden="false" customHeight="false" outlineLevel="0" collapsed="false">
      <c r="A7" s="477"/>
      <c r="B7" s="474" t="s">
        <v>161</v>
      </c>
      <c r="C7" s="193" t="n">
        <f aca="false">E7</f>
        <v>4</v>
      </c>
      <c r="E7" s="474" t="n">
        <f aca="true">ROUNDUP(INDIRECT(B7)/30,0)</f>
        <v>4</v>
      </c>
      <c r="F7" s="474" t="n">
        <f aca="true">ROUNDUP(MOD(INDIRECT(B7)*9,360)/30,0)</f>
        <v>12</v>
      </c>
      <c r="G7" s="474" t="n">
        <f aca="true">ROUNDUP(MOD((E7-1)*30+INDIRECT(B7)*12,360)/30,0)</f>
        <v>2</v>
      </c>
      <c r="K7" s="474" t="n">
        <v>6</v>
      </c>
      <c r="L7" s="474" t="n">
        <v>4</v>
      </c>
      <c r="X7" s="474" t="n">
        <f aca="false">VLOOKUP("Saturn",AllPAV,4,0)</f>
        <v>2</v>
      </c>
    </row>
    <row r="8" customFormat="false" ht="15" hidden="false" customHeight="false" outlineLevel="0" collapsed="false">
      <c r="A8" s="477"/>
      <c r="B8" s="474" t="s">
        <v>162</v>
      </c>
      <c r="C8" s="193" t="n">
        <f aca="false">E8</f>
        <v>8</v>
      </c>
      <c r="E8" s="474" t="n">
        <f aca="true">ROUNDUP(INDIRECT(B8)/30,0)</f>
        <v>8</v>
      </c>
      <c r="F8" s="474" t="n">
        <f aca="true">ROUNDUP(MOD(INDIRECT(B8)*9,360)/30,0)</f>
        <v>4</v>
      </c>
      <c r="G8" s="474" t="n">
        <f aca="true">ROUNDUP(MOD((E8-1)*30+INDIRECT(B8)*12,360)/30,0)</f>
        <v>9</v>
      </c>
      <c r="K8" s="474" t="n">
        <v>3</v>
      </c>
      <c r="L8" s="474" t="n">
        <v>7</v>
      </c>
    </row>
    <row r="9" customFormat="false" ht="15" hidden="false" customHeight="false" outlineLevel="0" collapsed="false">
      <c r="A9" s="477"/>
      <c r="B9" s="474" t="s">
        <v>163</v>
      </c>
      <c r="C9" s="193" t="n">
        <f aca="false">E9</f>
        <v>3</v>
      </c>
      <c r="E9" s="474" t="n">
        <f aca="true">ROUNDUP(INDIRECT(B9)/30,0)</f>
        <v>3</v>
      </c>
      <c r="F9" s="474" t="n">
        <f aca="true">ROUNDUP(MOD(INDIRECT(B9)*9,360)/30,0)</f>
        <v>1</v>
      </c>
      <c r="G9" s="474" t="n">
        <f aca="true">ROUNDUP(MOD((E9-1)*30+INDIRECT(B9)*12,360)/30,0)</f>
        <v>11</v>
      </c>
      <c r="K9" s="474" t="n">
        <v>6</v>
      </c>
      <c r="L9" s="474" t="n">
        <v>8</v>
      </c>
    </row>
    <row r="10" customFormat="false" ht="15" hidden="false" customHeight="false" outlineLevel="0" collapsed="false">
      <c r="A10" s="477"/>
      <c r="B10" s="474" t="s">
        <v>164</v>
      </c>
      <c r="C10" s="193" t="n">
        <f aca="false">E10</f>
        <v>2</v>
      </c>
      <c r="E10" s="474" t="n">
        <f aca="true">ROUNDUP(INDIRECT(B10)/30,0)</f>
        <v>2</v>
      </c>
      <c r="F10" s="474" t="n">
        <f aca="true">ROUNDUP(MOD(INDIRECT(B10)*9,360)/30,0)</f>
        <v>12</v>
      </c>
      <c r="G10" s="474" t="n">
        <f aca="true">ROUNDUP(MOD((E10-1)*30+INDIRECT(B10)*12,360)/30,0)</f>
        <v>5</v>
      </c>
      <c r="K10" s="474" t="n">
        <v>5</v>
      </c>
      <c r="L10" s="474" t="n">
        <v>6</v>
      </c>
    </row>
    <row r="11" customFormat="false" ht="15" hidden="false" customHeight="false" outlineLevel="0" collapsed="false">
      <c r="A11" s="477"/>
      <c r="B11" s="474" t="s">
        <v>319</v>
      </c>
      <c r="C11" s="193" t="n">
        <f aca="false">E11</f>
        <v>5</v>
      </c>
      <c r="E11" s="474" t="n">
        <f aca="true">ROUNDUP(INDIRECT(B11)/30,0)</f>
        <v>5</v>
      </c>
      <c r="F11" s="474" t="n">
        <f aca="true">ROUNDUP(MOD(INDIRECT(B11)*9,360)/30,0)</f>
        <v>6</v>
      </c>
      <c r="G11" s="474" t="n">
        <f aca="true">ROUNDUP(MOD((E11-1)*30+INDIRECT(B11)*12,360)/30,0)</f>
        <v>11</v>
      </c>
      <c r="K11" s="474" t="n">
        <v>5</v>
      </c>
      <c r="L11" s="474" t="n">
        <v>11</v>
      </c>
    </row>
    <row r="12" customFormat="false" ht="15" hidden="false" customHeight="false" outlineLevel="0" collapsed="false">
      <c r="A12" s="477"/>
      <c r="B12" s="474" t="s">
        <v>165</v>
      </c>
      <c r="C12" s="193" t="n">
        <f aca="false">E12</f>
        <v>10</v>
      </c>
      <c r="E12" s="474" t="n">
        <f aca="true">ROUNDUP(INDIRECT(B12)/30,0)</f>
        <v>10</v>
      </c>
      <c r="F12" s="474" t="n">
        <f aca="true">ROUNDUP(MOD(INDIRECT(B12)*9,360)/30,0)</f>
        <v>4</v>
      </c>
      <c r="G12" s="474" t="n">
        <f aca="true">ROUNDUP(MOD((E12-1)*30+INDIRECT(B12)*12,360)/30,0)</f>
        <v>6</v>
      </c>
      <c r="K12" s="474" t="n">
        <v>5</v>
      </c>
      <c r="L12" s="474" t="n">
        <v>11</v>
      </c>
    </row>
    <row r="13" customFormat="false" ht="15" hidden="false" customHeight="false" outlineLevel="0" collapsed="false">
      <c r="A13" s="477"/>
    </row>
    <row r="14" customFormat="false" ht="15" hidden="false" customHeight="false" outlineLevel="0" collapsed="false">
      <c r="A14" s="477" t="s">
        <v>138</v>
      </c>
    </row>
    <row r="15" s="482" customFormat="true" ht="15" hidden="false" customHeight="false" outlineLevel="0" collapsed="false">
      <c r="A15" s="481" t="str">
        <f aca="false">B15</f>
        <v>Sarva</v>
      </c>
      <c r="B15" s="482" t="s">
        <v>749</v>
      </c>
      <c r="D15" s="483" t="n">
        <f aca="false">Lagnahouse</f>
        <v>5</v>
      </c>
      <c r="E15" s="483"/>
      <c r="F15" s="483"/>
      <c r="G15" s="483"/>
      <c r="H15" s="483"/>
      <c r="I15" s="483"/>
      <c r="J15" s="483"/>
      <c r="K15" s="483"/>
      <c r="L15" s="483"/>
      <c r="M15" s="483"/>
      <c r="N15" s="483"/>
      <c r="O15" s="483"/>
      <c r="P15" s="484"/>
      <c r="Q15" s="484"/>
      <c r="S15" s="485"/>
      <c r="T15" s="485"/>
      <c r="U15" s="485"/>
      <c r="V15" s="485"/>
      <c r="AL15" s="486"/>
      <c r="AW15" s="487"/>
    </row>
    <row r="16" customFormat="false" ht="15" hidden="false" customHeight="false" outlineLevel="0" collapsed="false">
      <c r="A16" s="488" t="str">
        <f aca="false">A15</f>
        <v>Sarva</v>
      </c>
      <c r="C16" s="193" t="s">
        <v>746</v>
      </c>
      <c r="D16" s="141" t="n">
        <v>1</v>
      </c>
      <c r="E16" s="124" t="n">
        <v>2</v>
      </c>
      <c r="F16" s="124" t="n">
        <v>3</v>
      </c>
      <c r="G16" s="125" t="n">
        <v>4</v>
      </c>
      <c r="H16" s="141" t="n">
        <v>5</v>
      </c>
      <c r="I16" s="124" t="n">
        <v>6</v>
      </c>
      <c r="J16" s="124" t="n">
        <v>7</v>
      </c>
      <c r="K16" s="125" t="n">
        <v>8</v>
      </c>
      <c r="L16" s="141" t="n">
        <v>9</v>
      </c>
      <c r="M16" s="124" t="n">
        <v>10</v>
      </c>
      <c r="N16" s="124" t="n">
        <v>11</v>
      </c>
      <c r="O16" s="125" t="n">
        <v>12</v>
      </c>
      <c r="Q16" s="39" t="s">
        <v>750</v>
      </c>
      <c r="S16" s="489" t="n">
        <f aca="false">O25</f>
        <v>36</v>
      </c>
      <c r="T16" s="489" t="n">
        <f aca="false">D25</f>
        <v>33</v>
      </c>
      <c r="U16" s="489" t="n">
        <f aca="false">E25</f>
        <v>37</v>
      </c>
      <c r="V16" s="489" t="n">
        <f aca="false">F25</f>
        <v>30</v>
      </c>
    </row>
    <row r="17" customFormat="false" ht="15" hidden="false" customHeight="false" outlineLevel="0" collapsed="false">
      <c r="A17" s="488" t="str">
        <f aca="false">A16</f>
        <v>Sarva</v>
      </c>
      <c r="B17" s="474" t="str">
        <f aca="false">B161</f>
        <v>Saturn</v>
      </c>
      <c r="C17" s="193" t="n">
        <f aca="true">INDIRECT(B17&amp;"house")</f>
        <v>2</v>
      </c>
      <c r="D17" s="130" t="n">
        <f aca="false">D161</f>
        <v>4</v>
      </c>
      <c r="E17" s="474" t="n">
        <f aca="false">E161</f>
        <v>5</v>
      </c>
      <c r="F17" s="474" t="n">
        <f aca="false">F161</f>
        <v>3</v>
      </c>
      <c r="G17" s="129" t="n">
        <f aca="false">G161</f>
        <v>3</v>
      </c>
      <c r="H17" s="130" t="n">
        <f aca="false">H161</f>
        <v>2</v>
      </c>
      <c r="I17" s="474" t="n">
        <f aca="false">I161</f>
        <v>2</v>
      </c>
      <c r="J17" s="474" t="n">
        <f aca="false">J161</f>
        <v>6</v>
      </c>
      <c r="K17" s="129" t="n">
        <f aca="false">K161</f>
        <v>3</v>
      </c>
      <c r="L17" s="130" t="n">
        <f aca="false">L161</f>
        <v>2</v>
      </c>
      <c r="M17" s="474" t="n">
        <f aca="false">M161</f>
        <v>2</v>
      </c>
      <c r="N17" s="474" t="n">
        <f aca="false">N161</f>
        <v>2</v>
      </c>
      <c r="O17" s="129" t="n">
        <f aca="false">O161</f>
        <v>5</v>
      </c>
      <c r="P17" s="39" t="n">
        <f aca="false">SUM(D17:O17)</f>
        <v>39</v>
      </c>
      <c r="Q17" s="39" t="n">
        <v>5</v>
      </c>
      <c r="R17" s="474" t="n">
        <f aca="false">Q17*E83*E28</f>
        <v>0</v>
      </c>
      <c r="S17" s="489"/>
      <c r="T17" s="489"/>
      <c r="U17" s="489"/>
      <c r="V17" s="489"/>
    </row>
    <row r="18" customFormat="false" ht="15" hidden="false" customHeight="false" outlineLevel="0" collapsed="false">
      <c r="A18" s="488" t="str">
        <f aca="false">A17</f>
        <v>Sarva</v>
      </c>
      <c r="B18" s="474" t="str">
        <f aca="false">B175</f>
        <v>Venus</v>
      </c>
      <c r="C18" s="193" t="n">
        <f aca="true">INDIRECT(B18&amp;"house")</f>
        <v>3</v>
      </c>
      <c r="D18" s="130" t="n">
        <f aca="false">D175</f>
        <v>4</v>
      </c>
      <c r="E18" s="474" t="n">
        <f aca="false">E175</f>
        <v>3</v>
      </c>
      <c r="F18" s="474" t="n">
        <f aca="false">F175</f>
        <v>6</v>
      </c>
      <c r="G18" s="129" t="n">
        <f aca="false">G175</f>
        <v>4</v>
      </c>
      <c r="H18" s="130" t="n">
        <f aca="false">H175</f>
        <v>5</v>
      </c>
      <c r="I18" s="474" t="n">
        <f aca="false">I175</f>
        <v>7</v>
      </c>
      <c r="J18" s="474" t="n">
        <f aca="false">J175</f>
        <v>2</v>
      </c>
      <c r="K18" s="129" t="n">
        <f aca="false">K175</f>
        <v>3</v>
      </c>
      <c r="L18" s="130" t="n">
        <f aca="false">L175</f>
        <v>5</v>
      </c>
      <c r="M18" s="474" t="n">
        <f aca="false">M175</f>
        <v>3</v>
      </c>
      <c r="N18" s="474" t="n">
        <f aca="false">N175</f>
        <v>3</v>
      </c>
      <c r="O18" s="129" t="n">
        <f aca="false">O175</f>
        <v>7</v>
      </c>
      <c r="P18" s="39" t="n">
        <f aca="false">SUM(D18:O18)</f>
        <v>52</v>
      </c>
      <c r="Q18" s="39" t="n">
        <v>7</v>
      </c>
      <c r="S18" s="489"/>
      <c r="T18" s="489"/>
      <c r="U18" s="489"/>
      <c r="V18" s="489"/>
    </row>
    <row r="19" customFormat="false" ht="15" hidden="false" customHeight="false" outlineLevel="0" collapsed="false">
      <c r="A19" s="488" t="str">
        <f aca="false">A18</f>
        <v>Sarva</v>
      </c>
      <c r="B19" s="474" t="str">
        <f aca="false">B189</f>
        <v>Jupiter</v>
      </c>
      <c r="C19" s="193" t="n">
        <f aca="true">INDIRECT(B19&amp;"house")</f>
        <v>8</v>
      </c>
      <c r="D19" s="130" t="n">
        <f aca="false">D189</f>
        <v>6</v>
      </c>
      <c r="E19" s="474" t="n">
        <f aca="false">E189</f>
        <v>4</v>
      </c>
      <c r="F19" s="474" t="n">
        <f aca="false">F189</f>
        <v>3</v>
      </c>
      <c r="G19" s="129" t="n">
        <f aca="false">G189</f>
        <v>5</v>
      </c>
      <c r="H19" s="130" t="n">
        <f aca="false">H189</f>
        <v>5</v>
      </c>
      <c r="I19" s="474" t="n">
        <f aca="false">I189</f>
        <v>5</v>
      </c>
      <c r="J19" s="474" t="n">
        <f aca="false">J189</f>
        <v>5</v>
      </c>
      <c r="K19" s="129" t="n">
        <f aca="false">K189</f>
        <v>6</v>
      </c>
      <c r="L19" s="130" t="n">
        <f aca="false">L189</f>
        <v>3</v>
      </c>
      <c r="M19" s="474" t="n">
        <f aca="false">M189</f>
        <v>5</v>
      </c>
      <c r="N19" s="474" t="n">
        <f aca="false">N189</f>
        <v>5</v>
      </c>
      <c r="O19" s="129" t="n">
        <f aca="false">O189</f>
        <v>4</v>
      </c>
      <c r="P19" s="39" t="n">
        <f aca="false">SUM(D19:O19)</f>
        <v>56</v>
      </c>
      <c r="Q19" s="39" t="n">
        <v>10</v>
      </c>
      <c r="S19" s="489" t="n">
        <f aca="false">N25</f>
        <v>31</v>
      </c>
      <c r="T19" s="490" t="str">
        <f aca="false">C15&amp;"  Ashtakavarga  "&amp;P25</f>
        <v>  Ashtakavarga  386</v>
      </c>
      <c r="U19" s="490"/>
      <c r="V19" s="489" t="n">
        <f aca="false">G25</f>
        <v>30</v>
      </c>
    </row>
    <row r="20" customFormat="false" ht="15" hidden="false" customHeight="false" outlineLevel="0" collapsed="false">
      <c r="A20" s="488" t="str">
        <f aca="false">A19</f>
        <v>Sarva</v>
      </c>
      <c r="B20" s="474" t="str">
        <f aca="false">B203</f>
        <v>Mercury</v>
      </c>
      <c r="C20" s="193" t="n">
        <f aca="true">INDIRECT(B20&amp;"house")</f>
        <v>4</v>
      </c>
      <c r="D20" s="130" t="n">
        <f aca="false">D203</f>
        <v>4</v>
      </c>
      <c r="E20" s="474" t="n">
        <f aca="false">E203</f>
        <v>4</v>
      </c>
      <c r="F20" s="474" t="n">
        <f aca="false">F203</f>
        <v>7</v>
      </c>
      <c r="G20" s="129" t="n">
        <f aca="false">G203</f>
        <v>3</v>
      </c>
      <c r="H20" s="130" t="n">
        <f aca="false">H203</f>
        <v>5</v>
      </c>
      <c r="I20" s="474" t="n">
        <f aca="false">I203</f>
        <v>5</v>
      </c>
      <c r="J20" s="474" t="n">
        <f aca="false">J203</f>
        <v>4</v>
      </c>
      <c r="K20" s="129" t="n">
        <f aca="false">K203</f>
        <v>5</v>
      </c>
      <c r="L20" s="130" t="n">
        <f aca="false">L203</f>
        <v>4</v>
      </c>
      <c r="M20" s="474" t="n">
        <f aca="false">M203</f>
        <v>4</v>
      </c>
      <c r="N20" s="474" t="n">
        <f aca="false">N203</f>
        <v>4</v>
      </c>
      <c r="O20" s="129" t="n">
        <f aca="false">O203</f>
        <v>5</v>
      </c>
      <c r="P20" s="39" t="n">
        <f aca="false">SUM(D20:O20)</f>
        <v>54</v>
      </c>
      <c r="Q20" s="39" t="n">
        <v>5</v>
      </c>
      <c r="S20" s="489"/>
      <c r="T20" s="489"/>
      <c r="U20" s="490"/>
      <c r="V20" s="489"/>
    </row>
    <row r="21" customFormat="false" ht="15" hidden="false" customHeight="false" outlineLevel="0" collapsed="false">
      <c r="A21" s="488" t="str">
        <f aca="false">A20</f>
        <v>Sarva</v>
      </c>
      <c r="B21" s="474" t="str">
        <f aca="false">B217</f>
        <v>Mars</v>
      </c>
      <c r="C21" s="193" t="n">
        <f aca="true">INDIRECT(B21&amp;"house")</f>
        <v>10</v>
      </c>
      <c r="D21" s="130" t="n">
        <f aca="false">D217</f>
        <v>4</v>
      </c>
      <c r="E21" s="474" t="n">
        <f aca="false">E217</f>
        <v>5</v>
      </c>
      <c r="F21" s="474" t="n">
        <f aca="false">F217</f>
        <v>1</v>
      </c>
      <c r="G21" s="129" t="n">
        <f aca="false">G217</f>
        <v>2</v>
      </c>
      <c r="H21" s="130" t="n">
        <f aca="false">H217</f>
        <v>4</v>
      </c>
      <c r="I21" s="474" t="n">
        <f aca="false">I217</f>
        <v>3</v>
      </c>
      <c r="J21" s="474" t="n">
        <f aca="false">J217</f>
        <v>4</v>
      </c>
      <c r="K21" s="129" t="n">
        <f aca="false">K217</f>
        <v>5</v>
      </c>
      <c r="L21" s="130" t="n">
        <f aca="false">L217</f>
        <v>3</v>
      </c>
      <c r="M21" s="474" t="n">
        <f aca="false">M217</f>
        <v>4</v>
      </c>
      <c r="N21" s="474" t="n">
        <f aca="false">N217</f>
        <v>2</v>
      </c>
      <c r="O21" s="129" t="n">
        <f aca="false">O217</f>
        <v>2</v>
      </c>
      <c r="P21" s="39" t="n">
        <f aca="false">SUM(D21:O21)</f>
        <v>39</v>
      </c>
      <c r="Q21" s="39" t="n">
        <v>8</v>
      </c>
      <c r="S21" s="489"/>
      <c r="T21" s="489"/>
      <c r="U21" s="490"/>
      <c r="V21" s="489"/>
    </row>
    <row r="22" customFormat="false" ht="15" hidden="false" customHeight="false" outlineLevel="0" collapsed="false">
      <c r="A22" s="488" t="str">
        <f aca="false">A21</f>
        <v>Sarva</v>
      </c>
      <c r="B22" s="474" t="str">
        <f aca="false">B231</f>
        <v>Moon</v>
      </c>
      <c r="C22" s="193" t="n">
        <f aca="true">INDIRECT(B22&amp;"house")</f>
        <v>2</v>
      </c>
      <c r="D22" s="130" t="n">
        <f aca="false">D231</f>
        <v>3</v>
      </c>
      <c r="E22" s="474" t="n">
        <f aca="false">E231</f>
        <v>6</v>
      </c>
      <c r="F22" s="474" t="n">
        <f aca="false">F231</f>
        <v>3</v>
      </c>
      <c r="G22" s="129" t="n">
        <f aca="false">G231</f>
        <v>3</v>
      </c>
      <c r="H22" s="130" t="n">
        <f aca="false">H231</f>
        <v>2</v>
      </c>
      <c r="I22" s="474" t="n">
        <f aca="false">I231</f>
        <v>5</v>
      </c>
      <c r="J22" s="474" t="n">
        <f aca="false">J231</f>
        <v>6</v>
      </c>
      <c r="K22" s="129" t="n">
        <f aca="false">K231</f>
        <v>4</v>
      </c>
      <c r="L22" s="130" t="n">
        <f aca="false">L231</f>
        <v>3</v>
      </c>
      <c r="M22" s="474" t="n">
        <f aca="false">M231</f>
        <v>4</v>
      </c>
      <c r="N22" s="474" t="n">
        <f aca="false">N231</f>
        <v>6</v>
      </c>
      <c r="O22" s="129" t="n">
        <f aca="false">O231</f>
        <v>4</v>
      </c>
      <c r="P22" s="39" t="n">
        <f aca="false">SUM(D22:O22)</f>
        <v>49</v>
      </c>
      <c r="Q22" s="39" t="n">
        <v>5</v>
      </c>
      <c r="S22" s="489" t="n">
        <f aca="false">M25</f>
        <v>29</v>
      </c>
      <c r="T22" s="490"/>
      <c r="U22" s="490"/>
      <c r="V22" s="489" t="n">
        <f aca="false">H25</f>
        <v>30</v>
      </c>
    </row>
    <row r="23" customFormat="false" ht="15" hidden="false" customHeight="false" outlineLevel="0" collapsed="false">
      <c r="A23" s="488" t="str">
        <f aca="false">A22</f>
        <v>Sarva</v>
      </c>
      <c r="B23" s="474" t="str">
        <f aca="false">B245</f>
        <v>Sun</v>
      </c>
      <c r="C23" s="193" t="n">
        <f aca="true">INDIRECT(B23&amp;"house")</f>
        <v>4</v>
      </c>
      <c r="D23" s="130" t="n">
        <f aca="false">D245</f>
        <v>4</v>
      </c>
      <c r="E23" s="474" t="n">
        <f aca="false">E245</f>
        <v>5</v>
      </c>
      <c r="F23" s="474" t="n">
        <f aca="false">F245</f>
        <v>3</v>
      </c>
      <c r="G23" s="129" t="n">
        <f aca="false">G245</f>
        <v>5</v>
      </c>
      <c r="H23" s="130" t="n">
        <f aca="false">H245</f>
        <v>3</v>
      </c>
      <c r="I23" s="474" t="n">
        <f aca="false">I245</f>
        <v>3</v>
      </c>
      <c r="J23" s="474" t="n">
        <f aca="false">J245</f>
        <v>4</v>
      </c>
      <c r="K23" s="129" t="n">
        <f aca="false">K245</f>
        <v>5</v>
      </c>
      <c r="L23" s="130" t="n">
        <f aca="false">L245</f>
        <v>3</v>
      </c>
      <c r="M23" s="474" t="n">
        <f aca="false">M245</f>
        <v>4</v>
      </c>
      <c r="N23" s="474" t="n">
        <f aca="false">N245</f>
        <v>4</v>
      </c>
      <c r="O23" s="129" t="n">
        <f aca="false">O245</f>
        <v>5</v>
      </c>
      <c r="P23" s="39" t="n">
        <f aca="false">SUM(D23:O23)</f>
        <v>48</v>
      </c>
      <c r="Q23" s="39" t="n">
        <v>5</v>
      </c>
      <c r="S23" s="489"/>
      <c r="T23" s="489"/>
      <c r="U23" s="490"/>
      <c r="V23" s="489"/>
    </row>
    <row r="24" customFormat="false" ht="15" hidden="false" customHeight="false" outlineLevel="0" collapsed="false">
      <c r="A24" s="488" t="str">
        <f aca="false">A23</f>
        <v>Sarva</v>
      </c>
      <c r="B24" s="474" t="str">
        <f aca="false">B259</f>
        <v>Lagna</v>
      </c>
      <c r="C24" s="193" t="n">
        <f aca="true">INDIRECT(B24&amp;"house")</f>
        <v>5</v>
      </c>
      <c r="D24" s="130" t="n">
        <f aca="false">D259</f>
        <v>4</v>
      </c>
      <c r="E24" s="474" t="n">
        <f aca="false">E259</f>
        <v>5</v>
      </c>
      <c r="F24" s="474" t="n">
        <f aca="false">F259</f>
        <v>4</v>
      </c>
      <c r="G24" s="129" t="n">
        <f aca="false">G259</f>
        <v>5</v>
      </c>
      <c r="H24" s="130" t="n">
        <f aca="false">H259</f>
        <v>4</v>
      </c>
      <c r="I24" s="474" t="n">
        <f aca="false">I259</f>
        <v>3</v>
      </c>
      <c r="J24" s="474" t="n">
        <f aca="false">J259</f>
        <v>7</v>
      </c>
      <c r="K24" s="129" t="n">
        <f aca="false">K259</f>
        <v>2</v>
      </c>
      <c r="L24" s="130" t="n">
        <f aca="false">L259</f>
        <v>3</v>
      </c>
      <c r="M24" s="474" t="n">
        <f aca="false">M259</f>
        <v>3</v>
      </c>
      <c r="N24" s="474" t="n">
        <f aca="false">N259</f>
        <v>5</v>
      </c>
      <c r="O24" s="129" t="n">
        <f aca="false">O259</f>
        <v>4</v>
      </c>
      <c r="P24" s="39" t="n">
        <f aca="false">SUM(D24:O24)</f>
        <v>49</v>
      </c>
      <c r="Q24" s="39" t="n">
        <v>5</v>
      </c>
      <c r="S24" s="489"/>
      <c r="T24" s="489"/>
      <c r="U24" s="490"/>
      <c r="V24" s="489"/>
    </row>
    <row r="25" customFormat="false" ht="15" hidden="false" customHeight="false" outlineLevel="0" collapsed="false">
      <c r="A25" s="488" t="str">
        <f aca="false">A24</f>
        <v>Sarva</v>
      </c>
      <c r="B25" s="474" t="s">
        <v>751</v>
      </c>
      <c r="D25" s="130" t="n">
        <f aca="false">SUM(D17:D24)</f>
        <v>33</v>
      </c>
      <c r="E25" s="474" t="n">
        <f aca="false">SUM(E17:E24)</f>
        <v>37</v>
      </c>
      <c r="F25" s="474" t="n">
        <f aca="false">SUM(F17:F24)</f>
        <v>30</v>
      </c>
      <c r="G25" s="129" t="n">
        <f aca="false">SUM(G17:G24)</f>
        <v>30</v>
      </c>
      <c r="H25" s="130" t="n">
        <f aca="false">SUM(H17:H24)</f>
        <v>30</v>
      </c>
      <c r="I25" s="474" t="n">
        <f aca="false">SUM(I17:I24)</f>
        <v>33</v>
      </c>
      <c r="J25" s="474" t="n">
        <f aca="false">SUM(J17:J24)</f>
        <v>38</v>
      </c>
      <c r="K25" s="129" t="n">
        <f aca="false">SUM(K17:K24)</f>
        <v>33</v>
      </c>
      <c r="L25" s="130" t="n">
        <f aca="false">SUM(L17:L24)</f>
        <v>26</v>
      </c>
      <c r="M25" s="474" t="n">
        <f aca="false">SUM(M17:M24)</f>
        <v>29</v>
      </c>
      <c r="N25" s="474" t="n">
        <f aca="false">SUM(N17:N24)</f>
        <v>31</v>
      </c>
      <c r="O25" s="129" t="n">
        <f aca="false">SUM(O17:O24)</f>
        <v>36</v>
      </c>
      <c r="P25" s="39" t="n">
        <f aca="false">SUM(D25:O25)</f>
        <v>386</v>
      </c>
      <c r="S25" s="489" t="n">
        <f aca="false">L25</f>
        <v>26</v>
      </c>
      <c r="T25" s="489" t="n">
        <f aca="false">K25</f>
        <v>33</v>
      </c>
      <c r="U25" s="489" t="n">
        <f aca="false">J25</f>
        <v>38</v>
      </c>
      <c r="V25" s="489" t="n">
        <f aca="false">I25</f>
        <v>33</v>
      </c>
    </row>
    <row r="26" customFormat="false" ht="15" hidden="false" customHeight="false" outlineLevel="0" collapsed="false">
      <c r="A26" s="488" t="str">
        <f aca="false">A25</f>
        <v>Sarva</v>
      </c>
      <c r="B26" s="474" t="s">
        <v>752</v>
      </c>
      <c r="C26" s="491"/>
      <c r="D26" s="475" t="n">
        <f aca="false">SUM(D17:D23)</f>
        <v>29</v>
      </c>
      <c r="E26" s="474" t="n">
        <f aca="false">SUM(E17:E23)</f>
        <v>32</v>
      </c>
      <c r="F26" s="474" t="n">
        <f aca="false">SUM(F17:F23)</f>
        <v>26</v>
      </c>
      <c r="G26" s="476" t="n">
        <f aca="false">SUM(G17:G23)</f>
        <v>25</v>
      </c>
      <c r="H26" s="475" t="n">
        <f aca="false">SUM(H17:H23)</f>
        <v>26</v>
      </c>
      <c r="I26" s="474" t="n">
        <f aca="false">SUM(I17:I23)</f>
        <v>30</v>
      </c>
      <c r="J26" s="474" t="n">
        <f aca="false">SUM(J17:J23)</f>
        <v>31</v>
      </c>
      <c r="K26" s="476" t="n">
        <f aca="false">SUM(K17:K23)</f>
        <v>31</v>
      </c>
      <c r="L26" s="475" t="n">
        <f aca="false">SUM(L17:L23)</f>
        <v>23</v>
      </c>
      <c r="M26" s="474" t="n">
        <f aca="false">SUM(M17:M23)</f>
        <v>26</v>
      </c>
      <c r="N26" s="474" t="n">
        <f aca="false">SUM(N17:N23)</f>
        <v>26</v>
      </c>
      <c r="O26" s="476" t="n">
        <f aca="false">SUM(O17:O23)</f>
        <v>32</v>
      </c>
      <c r="P26" s="474" t="n">
        <f aca="false">SUM(P17:P23)</f>
        <v>337</v>
      </c>
      <c r="S26" s="489"/>
      <c r="T26" s="489"/>
      <c r="U26" s="489"/>
      <c r="V26" s="489"/>
    </row>
    <row r="27" customFormat="false" ht="15" hidden="false" customHeight="false" outlineLevel="0" collapsed="false">
      <c r="A27" s="488" t="str">
        <f aca="false">A26</f>
        <v>Sarva</v>
      </c>
      <c r="B27" s="474" t="s">
        <v>753</v>
      </c>
      <c r="C27" s="491"/>
      <c r="D27" s="475" t="n">
        <f aca="false">IF(ISNA(MATCH(D16,$C17:$C23,0)),0,1)</f>
        <v>0</v>
      </c>
      <c r="E27" s="474" t="n">
        <f aca="false">IF(ISNA(MATCH(E16,$C17:$C23,0)),0,1)</f>
        <v>1</v>
      </c>
      <c r="F27" s="474" t="n">
        <f aca="false">IF(ISNA(MATCH(F16,$C17:$C23,0)),0,1)</f>
        <v>1</v>
      </c>
      <c r="G27" s="476" t="n">
        <f aca="false">IF(ISNA(MATCH(G16,$C17:$C23,0)),0,1)</f>
        <v>1</v>
      </c>
      <c r="H27" s="475" t="n">
        <f aca="false">IF(ISNA(MATCH(H16,$C17:$C23,0)),0,1)</f>
        <v>0</v>
      </c>
      <c r="I27" s="474" t="n">
        <f aca="false">IF(ISNA(MATCH(I16,$C17:$C23,0)),0,1)</f>
        <v>0</v>
      </c>
      <c r="J27" s="474" t="n">
        <f aca="false">IF(ISNA(MATCH(J16,$C17:$C23,0)),0,1)</f>
        <v>0</v>
      </c>
      <c r="K27" s="476" t="n">
        <f aca="false">IF(ISNA(MATCH(K16,$C17:$C23,0)),0,1)</f>
        <v>1</v>
      </c>
      <c r="L27" s="475" t="n">
        <f aca="false">IF(ISNA(MATCH(L16,$C17:$C23,0)),0,1)</f>
        <v>0</v>
      </c>
      <c r="M27" s="474" t="n">
        <f aca="false">IF(ISNA(MATCH(M16,$C17:$C23,0)),0,1)</f>
        <v>1</v>
      </c>
      <c r="N27" s="474" t="n">
        <f aca="false">IF(ISNA(MATCH(N16,$C17:$C23,0)),0,1)</f>
        <v>0</v>
      </c>
      <c r="O27" s="476" t="n">
        <f aca="false">IF(ISNA(MATCH(O16,$C17:$C23,0)),0,1)</f>
        <v>0</v>
      </c>
      <c r="S27" s="489"/>
      <c r="T27" s="489"/>
      <c r="U27" s="489"/>
      <c r="V27" s="489"/>
    </row>
    <row r="28" customFormat="false" ht="15" hidden="false" customHeight="false" outlineLevel="0" collapsed="false">
      <c r="A28" s="488" t="str">
        <f aca="false">A$27</f>
        <v>Sarva</v>
      </c>
      <c r="B28" s="474" t="s">
        <v>754</v>
      </c>
      <c r="D28" s="492" t="n">
        <v>7</v>
      </c>
      <c r="E28" s="493" t="n">
        <v>10</v>
      </c>
      <c r="F28" s="493" t="n">
        <v>8</v>
      </c>
      <c r="G28" s="494" t="n">
        <v>4</v>
      </c>
      <c r="H28" s="492" t="n">
        <v>10</v>
      </c>
      <c r="I28" s="493" t="n">
        <v>5</v>
      </c>
      <c r="J28" s="493" t="n">
        <v>7</v>
      </c>
      <c r="K28" s="494" t="n">
        <v>8</v>
      </c>
      <c r="L28" s="492" t="n">
        <v>9</v>
      </c>
      <c r="M28" s="493" t="n">
        <v>5</v>
      </c>
      <c r="N28" s="493" t="n">
        <v>11</v>
      </c>
      <c r="O28" s="494" t="n">
        <v>12</v>
      </c>
      <c r="S28" s="495"/>
      <c r="T28" s="495"/>
      <c r="U28" s="495"/>
      <c r="V28" s="495"/>
    </row>
    <row r="29" customFormat="false" ht="15" hidden="false" customHeight="false" outlineLevel="0" collapsed="false">
      <c r="A29" s="488" t="str">
        <f aca="false">B29</f>
        <v>Longevity</v>
      </c>
      <c r="B29" s="496" t="s">
        <v>755</v>
      </c>
      <c r="C29" s="496"/>
      <c r="D29" s="496"/>
      <c r="E29" s="496"/>
      <c r="F29" s="496"/>
      <c r="G29" s="496"/>
      <c r="H29" s="496"/>
      <c r="I29" s="496"/>
      <c r="J29" s="496"/>
      <c r="K29" s="496"/>
      <c r="L29" s="496"/>
      <c r="M29" s="496"/>
      <c r="N29" s="496"/>
      <c r="O29" s="496"/>
      <c r="S29" s="495"/>
      <c r="T29" s="495"/>
      <c r="U29" s="495"/>
      <c r="V29" s="495"/>
    </row>
    <row r="30" customFormat="false" ht="15" hidden="false" customHeight="false" outlineLevel="0" collapsed="false">
      <c r="A30" s="488" t="str">
        <f aca="false">A29</f>
        <v>Longevity</v>
      </c>
      <c r="B30" s="474" t="str">
        <f aca="false">B17</f>
        <v>Saturn</v>
      </c>
      <c r="D30" s="474" t="n">
        <f aca="false">CHOOSE(D17+1,2,1.5,1,0.5,7.5,2*Year,4*Year,6*Year,8*Year)</f>
        <v>7.5</v>
      </c>
      <c r="E30" s="474" t="n">
        <f aca="false">CHOOSE(E17+1,2,1.5,1,0.5,7.5,2*Year,4*Year,6*Year,8*Year)</f>
        <v>730.509745370364</v>
      </c>
      <c r="F30" s="474" t="n">
        <f aca="false">CHOOSE(F17+1,2,1.5,1,0.5,7.5,2*Year,4*Year,6*Year,8*Year)</f>
        <v>0.5</v>
      </c>
      <c r="G30" s="474" t="n">
        <f aca="false">CHOOSE(G17+1,2,1.5,1,0.5,7.5,2*Year,4*Year,6*Year,8*Year)</f>
        <v>0.5</v>
      </c>
      <c r="H30" s="474" t="n">
        <f aca="false">CHOOSE(H17+1,2,1.5,1,0.5,7.5,2*Year,4*Year,6*Year,8*Year)</f>
        <v>1</v>
      </c>
      <c r="I30" s="474" t="n">
        <f aca="false">CHOOSE(I17+1,2,1.5,1,0.5,7.5,2*Year,4*Year,6*Year,8*Year)</f>
        <v>1</v>
      </c>
      <c r="J30" s="474" t="n">
        <f aca="false">CHOOSE(J17+1,2,1.5,1,0.5,7.5,2*Year,4*Year,6*Year,8*Year)</f>
        <v>1461.01949074073</v>
      </c>
      <c r="K30" s="474" t="n">
        <f aca="false">CHOOSE(K17+1,2,1.5,1,0.5,7.5,2*Year,4*Year,6*Year,8*Year)</f>
        <v>0.5</v>
      </c>
      <c r="L30" s="474" t="n">
        <f aca="false">CHOOSE(L17+1,2,1.5,1,0.5,7.5,2*Year,4*Year,6*Year,8*Year)</f>
        <v>1</v>
      </c>
      <c r="M30" s="474" t="n">
        <f aca="false">CHOOSE(M17+1,2,1.5,1,0.5,7.5,2*Year,4*Year,6*Year,8*Year)</f>
        <v>1</v>
      </c>
      <c r="N30" s="474" t="n">
        <f aca="false">CHOOSE(N17+1,2,1.5,1,0.5,7.5,2*Year,4*Year,6*Year,8*Year)</f>
        <v>1</v>
      </c>
      <c r="O30" s="474" t="n">
        <f aca="false">CHOOSE(O17+1,2,1.5,1,0.5,7.5,2*Year,4*Year,6*Year,8*Year)</f>
        <v>730.509745370364</v>
      </c>
      <c r="P30" s="39" t="n">
        <f aca="false">SUM(D30:O30)/Year</f>
        <v>8.0383293996794</v>
      </c>
      <c r="S30" s="495"/>
      <c r="T30" s="495"/>
      <c r="U30" s="495"/>
      <c r="V30" s="495"/>
    </row>
    <row r="31" customFormat="false" ht="15" hidden="false" customHeight="false" outlineLevel="0" collapsed="false">
      <c r="A31" s="488" t="str">
        <f aca="false">A30</f>
        <v>Longevity</v>
      </c>
      <c r="B31" s="474" t="str">
        <f aca="false">B18</f>
        <v>Venus</v>
      </c>
      <c r="D31" s="474" t="n">
        <f aca="false">CHOOSE(D18+1,2,1.5,1,0.5,7.5,2*Year,4*Year,6*Year,8*Year)</f>
        <v>7.5</v>
      </c>
      <c r="E31" s="474" t="n">
        <f aca="false">CHOOSE(E18+1,2,1.5,1,0.5,7.5,2*Year,4*Year,6*Year,8*Year)</f>
        <v>0.5</v>
      </c>
      <c r="F31" s="474" t="n">
        <f aca="false">CHOOSE(F18+1,2,1.5,1,0.5,7.5,2*Year,4*Year,6*Year,8*Year)</f>
        <v>1461.01949074073</v>
      </c>
      <c r="G31" s="474" t="n">
        <f aca="false">CHOOSE(G18+1,2,1.5,1,0.5,7.5,2*Year,4*Year,6*Year,8*Year)</f>
        <v>7.5</v>
      </c>
      <c r="H31" s="474" t="n">
        <f aca="false">CHOOSE(H18+1,2,1.5,1,0.5,7.5,2*Year,4*Year,6*Year,8*Year)</f>
        <v>730.509745370364</v>
      </c>
      <c r="I31" s="474" t="n">
        <f aca="false">CHOOSE(I18+1,2,1.5,1,0.5,7.5,2*Year,4*Year,6*Year,8*Year)</f>
        <v>2191.52923611109</v>
      </c>
      <c r="J31" s="474" t="n">
        <f aca="false">CHOOSE(J18+1,2,1.5,1,0.5,7.5,2*Year,4*Year,6*Year,8*Year)</f>
        <v>1</v>
      </c>
      <c r="K31" s="474" t="n">
        <f aca="false">CHOOSE(K18+1,2,1.5,1,0.5,7.5,2*Year,4*Year,6*Year,8*Year)</f>
        <v>0.5</v>
      </c>
      <c r="L31" s="474" t="n">
        <f aca="false">CHOOSE(L18+1,2,1.5,1,0.5,7.5,2*Year,4*Year,6*Year,8*Year)</f>
        <v>730.509745370364</v>
      </c>
      <c r="M31" s="474" t="n">
        <f aca="false">CHOOSE(M18+1,2,1.5,1,0.5,7.5,2*Year,4*Year,6*Year,8*Year)</f>
        <v>0.5</v>
      </c>
      <c r="N31" s="474" t="n">
        <f aca="false">CHOOSE(N18+1,2,1.5,1,0.5,7.5,2*Year,4*Year,6*Year,8*Year)</f>
        <v>0.5</v>
      </c>
      <c r="O31" s="474" t="n">
        <f aca="false">CHOOSE(O18+1,2,1.5,1,0.5,7.5,2*Year,4*Year,6*Year,8*Year)</f>
        <v>2191.52923611109</v>
      </c>
      <c r="P31" s="39" t="n">
        <f aca="false">SUM(D31:O31)/Year</f>
        <v>20.0492806567307</v>
      </c>
      <c r="S31" s="495"/>
      <c r="T31" s="495"/>
      <c r="U31" s="495"/>
      <c r="V31" s="495"/>
    </row>
    <row r="32" customFormat="false" ht="15" hidden="false" customHeight="false" outlineLevel="0" collapsed="false">
      <c r="A32" s="488" t="str">
        <f aca="false">A31</f>
        <v>Longevity</v>
      </c>
      <c r="B32" s="474" t="str">
        <f aca="false">B19</f>
        <v>Jupiter</v>
      </c>
      <c r="D32" s="474" t="n">
        <f aca="false">CHOOSE(D19+1,2,1.5,1,0.5,7.5,2*Year,4*Year,6*Year,8*Year)</f>
        <v>1461.01949074073</v>
      </c>
      <c r="E32" s="474" t="n">
        <f aca="false">CHOOSE(E19+1,2,1.5,1,0.5,7.5,2*Year,4*Year,6*Year,8*Year)</f>
        <v>7.5</v>
      </c>
      <c r="F32" s="474" t="n">
        <f aca="false">CHOOSE(F19+1,2,1.5,1,0.5,7.5,2*Year,4*Year,6*Year,8*Year)</f>
        <v>0.5</v>
      </c>
      <c r="G32" s="474" t="n">
        <f aca="false">CHOOSE(G19+1,2,1.5,1,0.5,7.5,2*Year,4*Year,6*Year,8*Year)</f>
        <v>730.509745370364</v>
      </c>
      <c r="H32" s="474" t="n">
        <f aca="false">CHOOSE(H19+1,2,1.5,1,0.5,7.5,2*Year,4*Year,6*Year,8*Year)</f>
        <v>730.509745370364</v>
      </c>
      <c r="I32" s="474" t="n">
        <f aca="false">CHOOSE(I19+1,2,1.5,1,0.5,7.5,2*Year,4*Year,6*Year,8*Year)</f>
        <v>730.509745370364</v>
      </c>
      <c r="J32" s="474" t="n">
        <f aca="false">CHOOSE(J19+1,2,1.5,1,0.5,7.5,2*Year,4*Year,6*Year,8*Year)</f>
        <v>730.509745370364</v>
      </c>
      <c r="K32" s="474" t="n">
        <f aca="false">CHOOSE(K19+1,2,1.5,1,0.5,7.5,2*Year,4*Year,6*Year,8*Year)</f>
        <v>1461.01949074073</v>
      </c>
      <c r="L32" s="474" t="n">
        <f aca="false">CHOOSE(L19+1,2,1.5,1,0.5,7.5,2*Year,4*Year,6*Year,8*Year)</f>
        <v>0.5</v>
      </c>
      <c r="M32" s="474" t="n">
        <f aca="false">CHOOSE(M19+1,2,1.5,1,0.5,7.5,2*Year,4*Year,6*Year,8*Year)</f>
        <v>730.509745370364</v>
      </c>
      <c r="N32" s="474" t="n">
        <f aca="false">CHOOSE(N19+1,2,1.5,1,0.5,7.5,2*Year,4*Year,6*Year,8*Year)</f>
        <v>730.509745370364</v>
      </c>
      <c r="O32" s="474" t="n">
        <f aca="false">CHOOSE(O19+1,2,1.5,1,0.5,7.5,2*Year,4*Year,6*Year,8*Year)</f>
        <v>7.5</v>
      </c>
      <c r="P32" s="39" t="n">
        <f aca="false">SUM(D32:O32)/Year</f>
        <v>20.043805028205</v>
      </c>
      <c r="S32" s="495"/>
      <c r="T32" s="495"/>
      <c r="U32" s="495"/>
      <c r="V32" s="495"/>
    </row>
    <row r="33" customFormat="false" ht="15" hidden="false" customHeight="false" outlineLevel="0" collapsed="false">
      <c r="A33" s="488" t="str">
        <f aca="false">A32</f>
        <v>Longevity</v>
      </c>
      <c r="B33" s="474" t="str">
        <f aca="false">B20</f>
        <v>Mercury</v>
      </c>
      <c r="D33" s="474" t="n">
        <f aca="false">CHOOSE(D20+1,2,1.5,1,0.5,7.5,2*Year,4*Year,6*Year,8*Year)</f>
        <v>7.5</v>
      </c>
      <c r="E33" s="474" t="n">
        <f aca="false">CHOOSE(E20+1,2,1.5,1,0.5,7.5,2*Year,4*Year,6*Year,8*Year)</f>
        <v>7.5</v>
      </c>
      <c r="F33" s="474" t="n">
        <f aca="false">CHOOSE(F20+1,2,1.5,1,0.5,7.5,2*Year,4*Year,6*Year,8*Year)</f>
        <v>2191.52923611109</v>
      </c>
      <c r="G33" s="474" t="n">
        <f aca="false">CHOOSE(G20+1,2,1.5,1,0.5,7.5,2*Year,4*Year,6*Year,8*Year)</f>
        <v>0.5</v>
      </c>
      <c r="H33" s="474" t="n">
        <f aca="false">CHOOSE(H20+1,2,1.5,1,0.5,7.5,2*Year,4*Year,6*Year,8*Year)</f>
        <v>730.509745370364</v>
      </c>
      <c r="I33" s="474" t="n">
        <f aca="false">CHOOSE(I20+1,2,1.5,1,0.5,7.5,2*Year,4*Year,6*Year,8*Year)</f>
        <v>730.509745370364</v>
      </c>
      <c r="J33" s="474" t="n">
        <f aca="false">CHOOSE(J20+1,2,1.5,1,0.5,7.5,2*Year,4*Year,6*Year,8*Year)</f>
        <v>7.5</v>
      </c>
      <c r="K33" s="474" t="n">
        <f aca="false">CHOOSE(K20+1,2,1.5,1,0.5,7.5,2*Year,4*Year,6*Year,8*Year)</f>
        <v>730.509745370364</v>
      </c>
      <c r="L33" s="474" t="n">
        <f aca="false">CHOOSE(L20+1,2,1.5,1,0.5,7.5,2*Year,4*Year,6*Year,8*Year)</f>
        <v>7.5</v>
      </c>
      <c r="M33" s="474" t="n">
        <f aca="false">CHOOSE(M20+1,2,1.5,1,0.5,7.5,2*Year,4*Year,6*Year,8*Year)</f>
        <v>7.5</v>
      </c>
      <c r="N33" s="474" t="n">
        <f aca="false">CHOOSE(N20+1,2,1.5,1,0.5,7.5,2*Year,4*Year,6*Year,8*Year)</f>
        <v>7.5</v>
      </c>
      <c r="O33" s="474" t="n">
        <f aca="false">CHOOSE(O20+1,2,1.5,1,0.5,7.5,2*Year,4*Year,6*Year,8*Year)</f>
        <v>730.509745370364</v>
      </c>
      <c r="P33" s="39" t="n">
        <f aca="false">SUM(D33:O33)/Year</f>
        <v>14.1245705489581</v>
      </c>
      <c r="S33" s="495"/>
      <c r="T33" s="495"/>
      <c r="U33" s="495"/>
      <c r="V33" s="495"/>
    </row>
    <row r="34" customFormat="false" ht="15" hidden="false" customHeight="false" outlineLevel="0" collapsed="false">
      <c r="A34" s="488" t="str">
        <f aca="false">A33</f>
        <v>Longevity</v>
      </c>
      <c r="B34" s="474" t="str">
        <f aca="false">B21</f>
        <v>Mars</v>
      </c>
      <c r="D34" s="474" t="n">
        <f aca="false">CHOOSE(D21+1,2,1.5,1,0.5,7.5,2*Year,4*Year,6*Year,8*Year)</f>
        <v>7.5</v>
      </c>
      <c r="E34" s="474" t="n">
        <f aca="false">CHOOSE(E21+1,2,1.5,1,0.5,7.5,2*Year,4*Year,6*Year,8*Year)</f>
        <v>730.509745370364</v>
      </c>
      <c r="F34" s="474" t="n">
        <f aca="false">CHOOSE(F21+1,2,1.5,1,0.5,7.5,2*Year,4*Year,6*Year,8*Year)</f>
        <v>1.5</v>
      </c>
      <c r="G34" s="474" t="n">
        <f aca="false">CHOOSE(G21+1,2,1.5,1,0.5,7.5,2*Year,4*Year,6*Year,8*Year)</f>
        <v>1</v>
      </c>
      <c r="H34" s="474" t="n">
        <f aca="false">CHOOSE(H21+1,2,1.5,1,0.5,7.5,2*Year,4*Year,6*Year,8*Year)</f>
        <v>7.5</v>
      </c>
      <c r="I34" s="474" t="n">
        <f aca="false">CHOOSE(I21+1,2,1.5,1,0.5,7.5,2*Year,4*Year,6*Year,8*Year)</f>
        <v>0.5</v>
      </c>
      <c r="J34" s="474" t="n">
        <f aca="false">CHOOSE(J21+1,2,1.5,1,0.5,7.5,2*Year,4*Year,6*Year,8*Year)</f>
        <v>7.5</v>
      </c>
      <c r="K34" s="474" t="n">
        <f aca="false">CHOOSE(K21+1,2,1.5,1,0.5,7.5,2*Year,4*Year,6*Year,8*Year)</f>
        <v>730.509745370364</v>
      </c>
      <c r="L34" s="474" t="n">
        <f aca="false">CHOOSE(L21+1,2,1.5,1,0.5,7.5,2*Year,4*Year,6*Year,8*Year)</f>
        <v>0.5</v>
      </c>
      <c r="M34" s="474" t="n">
        <f aca="false">CHOOSE(M21+1,2,1.5,1,0.5,7.5,2*Year,4*Year,6*Year,8*Year)</f>
        <v>7.5</v>
      </c>
      <c r="N34" s="474" t="n">
        <f aca="false">CHOOSE(N21+1,2,1.5,1,0.5,7.5,2*Year,4*Year,6*Year,8*Year)</f>
        <v>1</v>
      </c>
      <c r="O34" s="474" t="n">
        <f aca="false">CHOOSE(O21+1,2,1.5,1,0.5,7.5,2*Year,4*Year,6*Year,8*Year)</f>
        <v>1</v>
      </c>
      <c r="P34" s="39" t="n">
        <f aca="false">SUM(D34:O34)/Year</f>
        <v>4.09719240632992</v>
      </c>
      <c r="S34" s="495"/>
      <c r="T34" s="495"/>
      <c r="U34" s="495"/>
      <c r="V34" s="495"/>
    </row>
    <row r="35" customFormat="false" ht="15" hidden="false" customHeight="false" outlineLevel="0" collapsed="false">
      <c r="A35" s="488" t="str">
        <f aca="false">A34</f>
        <v>Longevity</v>
      </c>
      <c r="B35" s="474" t="str">
        <f aca="false">B22</f>
        <v>Moon</v>
      </c>
      <c r="D35" s="474" t="n">
        <f aca="false">CHOOSE(D22+1,2,1.5,1,0.5,7.5,2*Year,4*Year,6*Year,8*Year)</f>
        <v>0.5</v>
      </c>
      <c r="E35" s="474" t="n">
        <f aca="false">CHOOSE(E22+1,2,1.5,1,0.5,7.5,2*Year,4*Year,6*Year,8*Year)</f>
        <v>1461.01949074073</v>
      </c>
      <c r="F35" s="474" t="n">
        <f aca="false">CHOOSE(F22+1,2,1.5,1,0.5,7.5,2*Year,4*Year,6*Year,8*Year)</f>
        <v>0.5</v>
      </c>
      <c r="G35" s="474" t="n">
        <f aca="false">CHOOSE(G22+1,2,1.5,1,0.5,7.5,2*Year,4*Year,6*Year,8*Year)</f>
        <v>0.5</v>
      </c>
      <c r="H35" s="474" t="n">
        <f aca="false">CHOOSE(H22+1,2,1.5,1,0.5,7.5,2*Year,4*Year,6*Year,8*Year)</f>
        <v>1</v>
      </c>
      <c r="I35" s="474" t="n">
        <f aca="false">CHOOSE(I22+1,2,1.5,1,0.5,7.5,2*Year,4*Year,6*Year,8*Year)</f>
        <v>730.509745370364</v>
      </c>
      <c r="J35" s="474" t="n">
        <f aca="false">CHOOSE(J22+1,2,1.5,1,0.5,7.5,2*Year,4*Year,6*Year,8*Year)</f>
        <v>1461.01949074073</v>
      </c>
      <c r="K35" s="474" t="n">
        <f aca="false">CHOOSE(K22+1,2,1.5,1,0.5,7.5,2*Year,4*Year,6*Year,8*Year)</f>
        <v>7.5</v>
      </c>
      <c r="L35" s="474" t="n">
        <f aca="false">CHOOSE(L22+1,2,1.5,1,0.5,7.5,2*Year,4*Year,6*Year,8*Year)</f>
        <v>0.5</v>
      </c>
      <c r="M35" s="474" t="n">
        <f aca="false">CHOOSE(M22+1,2,1.5,1,0.5,7.5,2*Year,4*Year,6*Year,8*Year)</f>
        <v>7.5</v>
      </c>
      <c r="N35" s="474" t="n">
        <f aca="false">CHOOSE(N22+1,2,1.5,1,0.5,7.5,2*Year,4*Year,6*Year,8*Year)</f>
        <v>1461.01949074073</v>
      </c>
      <c r="O35" s="474" t="n">
        <f aca="false">CHOOSE(O22+1,2,1.5,1,0.5,7.5,2*Year,4*Year,6*Year,8*Year)</f>
        <v>7.5</v>
      </c>
      <c r="P35" s="39" t="n">
        <f aca="false">SUM(D35:O35)/Year</f>
        <v>14.0698142637018</v>
      </c>
      <c r="S35" s="495"/>
      <c r="T35" s="495"/>
      <c r="U35" s="495"/>
      <c r="V35" s="495"/>
    </row>
    <row r="36" customFormat="false" ht="15" hidden="false" customHeight="false" outlineLevel="0" collapsed="false">
      <c r="A36" s="488" t="str">
        <f aca="false">A35</f>
        <v>Longevity</v>
      </c>
      <c r="B36" s="474" t="str">
        <f aca="false">B23</f>
        <v>Sun</v>
      </c>
      <c r="D36" s="474" t="n">
        <f aca="false">CHOOSE(D23+1,2,1.5,1,0.5,7.5,2*Year,4*Year,6*Year,8*Year)</f>
        <v>7.5</v>
      </c>
      <c r="E36" s="474" t="n">
        <f aca="false">CHOOSE(E23+1,2,1.5,1,0.5,7.5,2*Year,4*Year,6*Year,8*Year)</f>
        <v>730.509745370364</v>
      </c>
      <c r="F36" s="474" t="n">
        <f aca="false">CHOOSE(F23+1,2,1.5,1,0.5,7.5,2*Year,4*Year,6*Year,8*Year)</f>
        <v>0.5</v>
      </c>
      <c r="G36" s="474" t="n">
        <f aca="false">CHOOSE(G23+1,2,1.5,1,0.5,7.5,2*Year,4*Year,6*Year,8*Year)</f>
        <v>730.509745370364</v>
      </c>
      <c r="H36" s="474" t="n">
        <f aca="false">CHOOSE(H23+1,2,1.5,1,0.5,7.5,2*Year,4*Year,6*Year,8*Year)</f>
        <v>0.5</v>
      </c>
      <c r="I36" s="474" t="n">
        <f aca="false">CHOOSE(I23+1,2,1.5,1,0.5,7.5,2*Year,4*Year,6*Year,8*Year)</f>
        <v>0.5</v>
      </c>
      <c r="J36" s="474" t="n">
        <f aca="false">CHOOSE(J23+1,2,1.5,1,0.5,7.5,2*Year,4*Year,6*Year,8*Year)</f>
        <v>7.5</v>
      </c>
      <c r="K36" s="474" t="n">
        <f aca="false">CHOOSE(K23+1,2,1.5,1,0.5,7.5,2*Year,4*Year,6*Year,8*Year)</f>
        <v>730.509745370364</v>
      </c>
      <c r="L36" s="474" t="n">
        <f aca="false">CHOOSE(L23+1,2,1.5,1,0.5,7.5,2*Year,4*Year,6*Year,8*Year)</f>
        <v>0.5</v>
      </c>
      <c r="M36" s="474" t="n">
        <f aca="false">CHOOSE(M23+1,2,1.5,1,0.5,7.5,2*Year,4*Year,6*Year,8*Year)</f>
        <v>7.5</v>
      </c>
      <c r="N36" s="474" t="n">
        <f aca="false">CHOOSE(N23+1,2,1.5,1,0.5,7.5,2*Year,4*Year,6*Year,8*Year)</f>
        <v>7.5</v>
      </c>
      <c r="O36" s="474" t="n">
        <f aca="false">CHOOSE(O23+1,2,1.5,1,0.5,7.5,2*Year,4*Year,6*Year,8*Year)</f>
        <v>730.509745370364</v>
      </c>
      <c r="P36" s="39" t="n">
        <f aca="false">SUM(D36:O36)/Year</f>
        <v>8.08761005641007</v>
      </c>
      <c r="S36" s="495"/>
      <c r="T36" s="495"/>
      <c r="U36" s="495"/>
      <c r="V36" s="495"/>
    </row>
    <row r="37" customFormat="false" ht="15" hidden="false" customHeight="false" outlineLevel="0" collapsed="false">
      <c r="A37" s="488" t="str">
        <f aca="false">A36</f>
        <v>Longevity</v>
      </c>
      <c r="B37" s="474" t="str">
        <f aca="false">B24</f>
        <v>Lagna</v>
      </c>
      <c r="D37" s="474" t="n">
        <f aca="false">CHOOSE(D24+1,2,1.5,1,0.5,7.5,2*Year,4*Year,6*Year,8*Year)</f>
        <v>7.5</v>
      </c>
      <c r="E37" s="474" t="n">
        <f aca="false">CHOOSE(E24+1,2,1.5,1,0.5,7.5,2*Year,4*Year,6*Year,8*Year)</f>
        <v>730.509745370364</v>
      </c>
      <c r="F37" s="474" t="n">
        <f aca="false">CHOOSE(F24+1,2,1.5,1,0.5,7.5,2*Year,4*Year,6*Year,8*Year)</f>
        <v>7.5</v>
      </c>
      <c r="G37" s="474" t="n">
        <f aca="false">CHOOSE(G24+1,2,1.5,1,0.5,7.5,2*Year,4*Year,6*Year,8*Year)</f>
        <v>730.509745370364</v>
      </c>
      <c r="H37" s="474" t="n">
        <f aca="false">CHOOSE(H24+1,2,1.5,1,0.5,7.5,2*Year,4*Year,6*Year,8*Year)</f>
        <v>7.5</v>
      </c>
      <c r="I37" s="474" t="n">
        <f aca="false">CHOOSE(I24+1,2,1.5,1,0.5,7.5,2*Year,4*Year,6*Year,8*Year)</f>
        <v>0.5</v>
      </c>
      <c r="J37" s="474" t="n">
        <f aca="false">CHOOSE(J24+1,2,1.5,1,0.5,7.5,2*Year,4*Year,6*Year,8*Year)</f>
        <v>2191.52923611109</v>
      </c>
      <c r="K37" s="474" t="n">
        <f aca="false">CHOOSE(K24+1,2,1.5,1,0.5,7.5,2*Year,4*Year,6*Year,8*Year)</f>
        <v>1</v>
      </c>
      <c r="L37" s="474" t="n">
        <f aca="false">CHOOSE(L24+1,2,1.5,1,0.5,7.5,2*Year,4*Year,6*Year,8*Year)</f>
        <v>0.5</v>
      </c>
      <c r="M37" s="474" t="n">
        <f aca="false">CHOOSE(M24+1,2,1.5,1,0.5,7.5,2*Year,4*Year,6*Year,8*Year)</f>
        <v>0.5</v>
      </c>
      <c r="N37" s="474" t="n">
        <f aca="false">CHOOSE(N24+1,2,1.5,1,0.5,7.5,2*Year,4*Year,6*Year,8*Year)</f>
        <v>730.509745370364</v>
      </c>
      <c r="O37" s="474" t="n">
        <f aca="false">CHOOSE(O24+1,2,1.5,1,0.5,7.5,2*Year,4*Year,6*Year,8*Year)</f>
        <v>7.5</v>
      </c>
      <c r="P37" s="39" t="n">
        <f aca="false">SUM(D37:O37)/Year</f>
        <v>12.0889789635415</v>
      </c>
      <c r="S37" s="495"/>
      <c r="T37" s="495"/>
      <c r="U37" s="495"/>
      <c r="V37" s="495"/>
    </row>
    <row r="38" customFormat="false" ht="15" hidden="false" customHeight="false" outlineLevel="0" collapsed="false">
      <c r="A38" s="488" t="str">
        <f aca="false">A37</f>
        <v>Longevity</v>
      </c>
      <c r="P38" s="39" t="n">
        <f aca="false">SUM(P30:P37)</f>
        <v>100.599581323556</v>
      </c>
      <c r="S38" s="495"/>
      <c r="T38" s="495"/>
      <c r="U38" s="495"/>
      <c r="V38" s="495"/>
    </row>
    <row r="39" customFormat="false" ht="15" hidden="false" customHeight="false" outlineLevel="0" collapsed="false">
      <c r="A39" s="488" t="str">
        <f aca="false">A38</f>
        <v>Longevity</v>
      </c>
      <c r="S39" s="495"/>
      <c r="T39" s="495"/>
      <c r="U39" s="495"/>
      <c r="V39" s="495"/>
    </row>
    <row r="40" customFormat="false" ht="16.15" hidden="false" customHeight="false" outlineLevel="0" collapsed="false">
      <c r="A40" s="488" t="str">
        <f aca="false">B40</f>
        <v>Trikona Shodana Selected</v>
      </c>
      <c r="B40" s="497" t="s">
        <v>756</v>
      </c>
      <c r="C40" s="497"/>
      <c r="D40" s="497"/>
      <c r="E40" s="497"/>
      <c r="F40" s="497"/>
      <c r="G40" s="497"/>
      <c r="H40" s="497"/>
      <c r="I40" s="497"/>
      <c r="J40" s="497"/>
      <c r="K40" s="497"/>
      <c r="L40" s="497"/>
      <c r="M40" s="497"/>
      <c r="N40" s="497"/>
      <c r="O40" s="497"/>
      <c r="P40" s="39" t="n">
        <v>0</v>
      </c>
      <c r="Q40" s="39" t="s">
        <v>757</v>
      </c>
      <c r="S40" s="495"/>
      <c r="T40" s="495"/>
      <c r="U40" s="495"/>
      <c r="V40" s="495"/>
    </row>
    <row r="41" customFormat="false" ht="15" hidden="false" customHeight="false" outlineLevel="0" collapsed="false">
      <c r="A41" s="488" t="str">
        <f aca="false">A40</f>
        <v>Trikona Shodana Selected</v>
      </c>
      <c r="B41" s="474" t="str">
        <f aca="false">"TS"&amp;B17</f>
        <v>TSSaturn</v>
      </c>
      <c r="D41" s="498" t="n">
        <f aca="false">IF(ShodhanaMinimum,D63,D52)</f>
        <v>2</v>
      </c>
      <c r="E41" s="499" t="n">
        <f aca="false">IF(ShodhanaMinimum,E63,E52)</f>
        <v>3</v>
      </c>
      <c r="F41" s="500" t="n">
        <f aca="false">IF(ShodhanaMinimum,F63,F52)</f>
        <v>1</v>
      </c>
      <c r="G41" s="501" t="n">
        <f aca="false">IF(ShodhanaMinimum,G63,G52)</f>
        <v>0</v>
      </c>
      <c r="H41" s="498" t="n">
        <f aca="false">IF(ShodhanaMinimum,H63,H52)</f>
        <v>0</v>
      </c>
      <c r="I41" s="499" t="n">
        <f aca="false">IF(ShodhanaMinimum,I63,I52)</f>
        <v>0</v>
      </c>
      <c r="J41" s="500" t="n">
        <f aca="false">IF(ShodhanaMinimum,J63,J52)</f>
        <v>4</v>
      </c>
      <c r="K41" s="501" t="n">
        <f aca="false">IF(ShodhanaMinimum,K63,K52)</f>
        <v>0</v>
      </c>
      <c r="L41" s="498" t="n">
        <f aca="false">IF(ShodhanaMinimum,L63,L52)</f>
        <v>0</v>
      </c>
      <c r="M41" s="499" t="n">
        <f aca="false">IF(ShodhanaMinimum,M63,M52)</f>
        <v>0</v>
      </c>
      <c r="N41" s="500" t="n">
        <f aca="false">IF(ShodhanaMinimum,N63,N52)</f>
        <v>0</v>
      </c>
      <c r="O41" s="501" t="n">
        <f aca="false">IF(ShodhanaMinimum,O63,O52)</f>
        <v>2</v>
      </c>
    </row>
    <row r="42" customFormat="false" ht="15" hidden="false" customHeight="false" outlineLevel="0" collapsed="false">
      <c r="A42" s="488" t="str">
        <f aca="false">A41</f>
        <v>Trikona Shodana Selected</v>
      </c>
      <c r="B42" s="474" t="str">
        <f aca="false">"TS"&amp;B18</f>
        <v>TSVenus</v>
      </c>
      <c r="D42" s="502" t="n">
        <f aca="false">IF(ShodhanaMinimum,D64,D53)</f>
        <v>0</v>
      </c>
      <c r="E42" s="503" t="n">
        <f aca="false">IF(ShodhanaMinimum,E64,E53)</f>
        <v>0</v>
      </c>
      <c r="F42" s="504" t="n">
        <f aca="false">IF(ShodhanaMinimum,F64,F53)</f>
        <v>4</v>
      </c>
      <c r="G42" s="505" t="n">
        <f aca="false">IF(ShodhanaMinimum,G64,G53)</f>
        <v>1</v>
      </c>
      <c r="H42" s="502" t="n">
        <f aca="false">IF(ShodhanaMinimum,H64,H53)</f>
        <v>1</v>
      </c>
      <c r="I42" s="503" t="n">
        <f aca="false">IF(ShodhanaMinimum,I64,I53)</f>
        <v>4</v>
      </c>
      <c r="J42" s="504" t="n">
        <f aca="false">IF(ShodhanaMinimum,J64,J53)</f>
        <v>0</v>
      </c>
      <c r="K42" s="505" t="n">
        <f aca="false">IF(ShodhanaMinimum,K64,K53)</f>
        <v>0</v>
      </c>
      <c r="L42" s="502" t="n">
        <f aca="false">IF(ShodhanaMinimum,L64,L53)</f>
        <v>1</v>
      </c>
      <c r="M42" s="503" t="n">
        <f aca="false">IF(ShodhanaMinimum,M64,M53)</f>
        <v>0</v>
      </c>
      <c r="N42" s="504" t="n">
        <f aca="false">IF(ShodhanaMinimum,N64,N53)</f>
        <v>1</v>
      </c>
      <c r="O42" s="505" t="n">
        <f aca="false">IF(ShodhanaMinimum,O64,O53)</f>
        <v>4</v>
      </c>
    </row>
    <row r="43" customFormat="false" ht="15" hidden="false" customHeight="false" outlineLevel="0" collapsed="false">
      <c r="A43" s="488" t="str">
        <f aca="false">A42</f>
        <v>Trikona Shodana Selected</v>
      </c>
      <c r="B43" s="474" t="str">
        <f aca="false">"TS"&amp;B19</f>
        <v>TSJupiter</v>
      </c>
      <c r="D43" s="502" t="n">
        <f aca="false">IF(ShodhanaMinimum,D65,D54)</f>
        <v>3</v>
      </c>
      <c r="E43" s="503" t="n">
        <f aca="false">IF(ShodhanaMinimum,E65,E54)</f>
        <v>0</v>
      </c>
      <c r="F43" s="504" t="n">
        <f aca="false">IF(ShodhanaMinimum,F65,F54)</f>
        <v>0</v>
      </c>
      <c r="G43" s="505" t="n">
        <f aca="false">IF(ShodhanaMinimum,G65,G54)</f>
        <v>1</v>
      </c>
      <c r="H43" s="502" t="n">
        <f aca="false">IF(ShodhanaMinimum,H65,H54)</f>
        <v>2</v>
      </c>
      <c r="I43" s="503" t="n">
        <f aca="false">IF(ShodhanaMinimum,I65,I54)</f>
        <v>1</v>
      </c>
      <c r="J43" s="504" t="n">
        <f aca="false">IF(ShodhanaMinimum,J65,J54)</f>
        <v>2</v>
      </c>
      <c r="K43" s="505" t="n">
        <f aca="false">IF(ShodhanaMinimum,K65,K54)</f>
        <v>2</v>
      </c>
      <c r="L43" s="502" t="n">
        <f aca="false">IF(ShodhanaMinimum,L65,L54)</f>
        <v>0</v>
      </c>
      <c r="M43" s="503" t="n">
        <f aca="false">IF(ShodhanaMinimum,M65,M54)</f>
        <v>1</v>
      </c>
      <c r="N43" s="504" t="n">
        <f aca="false">IF(ShodhanaMinimum,N65,N54)</f>
        <v>2</v>
      </c>
      <c r="O43" s="505" t="n">
        <f aca="false">IF(ShodhanaMinimum,O65,O54)</f>
        <v>0</v>
      </c>
    </row>
    <row r="44" customFormat="false" ht="15" hidden="false" customHeight="false" outlineLevel="0" collapsed="false">
      <c r="A44" s="488" t="str">
        <f aca="false">A43</f>
        <v>Trikona Shodana Selected</v>
      </c>
      <c r="B44" s="474" t="str">
        <f aca="false">"TS"&amp;B20</f>
        <v>TSMercury</v>
      </c>
      <c r="D44" s="502" t="n">
        <f aca="false">IF(ShodhanaMinimum,D66,D55)</f>
        <v>0</v>
      </c>
      <c r="E44" s="503" t="n">
        <f aca="false">IF(ShodhanaMinimum,E66,E55)</f>
        <v>0</v>
      </c>
      <c r="F44" s="504" t="n">
        <f aca="false">IF(ShodhanaMinimum,F66,F55)</f>
        <v>3</v>
      </c>
      <c r="G44" s="505" t="n">
        <f aca="false">IF(ShodhanaMinimum,G66,G55)</f>
        <v>0</v>
      </c>
      <c r="H44" s="502" t="n">
        <f aca="false">IF(ShodhanaMinimum,H66,H55)</f>
        <v>1</v>
      </c>
      <c r="I44" s="503" t="n">
        <f aca="false">IF(ShodhanaMinimum,I66,I55)</f>
        <v>1</v>
      </c>
      <c r="J44" s="504" t="n">
        <f aca="false">IF(ShodhanaMinimum,J66,J55)</f>
        <v>0</v>
      </c>
      <c r="K44" s="505" t="n">
        <f aca="false">IF(ShodhanaMinimum,K66,K55)</f>
        <v>2</v>
      </c>
      <c r="L44" s="502" t="n">
        <f aca="false">IF(ShodhanaMinimum,L66,L55)</f>
        <v>0</v>
      </c>
      <c r="M44" s="503" t="n">
        <f aca="false">IF(ShodhanaMinimum,M66,M55)</f>
        <v>0</v>
      </c>
      <c r="N44" s="504" t="n">
        <f aca="false">IF(ShodhanaMinimum,N66,N55)</f>
        <v>0</v>
      </c>
      <c r="O44" s="505" t="n">
        <f aca="false">IF(ShodhanaMinimum,O66,O55)</f>
        <v>2</v>
      </c>
    </row>
    <row r="45" customFormat="false" ht="15" hidden="false" customHeight="false" outlineLevel="0" collapsed="false">
      <c r="A45" s="488" t="str">
        <f aca="false">A44</f>
        <v>Trikona Shodana Selected</v>
      </c>
      <c r="B45" s="474" t="str">
        <f aca="false">"TS"&amp;B21</f>
        <v>TSMars</v>
      </c>
      <c r="D45" s="502" t="n">
        <f aca="false">IF(ShodhanaMinimum,D67,D56)</f>
        <v>1</v>
      </c>
      <c r="E45" s="503" t="n">
        <f aca="false">IF(ShodhanaMinimum,E67,E56)</f>
        <v>2</v>
      </c>
      <c r="F45" s="504" t="n">
        <f aca="false">IF(ShodhanaMinimum,F67,F56)</f>
        <v>0</v>
      </c>
      <c r="G45" s="505" t="n">
        <f aca="false">IF(ShodhanaMinimum,G67,G56)</f>
        <v>0</v>
      </c>
      <c r="H45" s="502" t="n">
        <f aca="false">IF(ShodhanaMinimum,H67,H56)</f>
        <v>1</v>
      </c>
      <c r="I45" s="503" t="n">
        <f aca="false">IF(ShodhanaMinimum,I67,I56)</f>
        <v>0</v>
      </c>
      <c r="J45" s="504" t="n">
        <f aca="false">IF(ShodhanaMinimum,J67,J56)</f>
        <v>3</v>
      </c>
      <c r="K45" s="505" t="n">
        <f aca="false">IF(ShodhanaMinimum,K67,K56)</f>
        <v>3</v>
      </c>
      <c r="L45" s="502" t="n">
        <f aca="false">IF(ShodhanaMinimum,L67,L56)</f>
        <v>0</v>
      </c>
      <c r="M45" s="503" t="n">
        <f aca="false">IF(ShodhanaMinimum,M67,M56)</f>
        <v>1</v>
      </c>
      <c r="N45" s="504" t="n">
        <f aca="false">IF(ShodhanaMinimum,N67,N56)</f>
        <v>1</v>
      </c>
      <c r="O45" s="505" t="n">
        <f aca="false">IF(ShodhanaMinimum,O67,O56)</f>
        <v>0</v>
      </c>
    </row>
    <row r="46" customFormat="false" ht="15" hidden="false" customHeight="false" outlineLevel="0" collapsed="false">
      <c r="A46" s="488" t="str">
        <f aca="false">A45</f>
        <v>Trikona Shodana Selected</v>
      </c>
      <c r="B46" s="474" t="str">
        <f aca="false">"TS"&amp;B22</f>
        <v>TSMoon</v>
      </c>
      <c r="C46" s="206"/>
      <c r="D46" s="502" t="n">
        <f aca="false">IF(ShodhanaMinimum,D68,D57)</f>
        <v>1</v>
      </c>
      <c r="E46" s="503" t="n">
        <f aca="false">IF(ShodhanaMinimum,E68,E57)</f>
        <v>2</v>
      </c>
      <c r="F46" s="504" t="n">
        <f aca="false">IF(ShodhanaMinimum,F68,F57)</f>
        <v>0</v>
      </c>
      <c r="G46" s="505" t="n">
        <f aca="false">IF(ShodhanaMinimum,G68,G57)</f>
        <v>0</v>
      </c>
      <c r="H46" s="502" t="n">
        <f aca="false">IF(ShodhanaMinimum,H68,H57)</f>
        <v>0</v>
      </c>
      <c r="I46" s="503" t="n">
        <f aca="false">IF(ShodhanaMinimum,I68,I57)</f>
        <v>1</v>
      </c>
      <c r="J46" s="504" t="n">
        <f aca="false">IF(ShodhanaMinimum,J68,J57)</f>
        <v>3</v>
      </c>
      <c r="K46" s="505" t="n">
        <f aca="false">IF(ShodhanaMinimum,K68,K57)</f>
        <v>1</v>
      </c>
      <c r="L46" s="502" t="n">
        <f aca="false">IF(ShodhanaMinimum,L68,L57)</f>
        <v>1</v>
      </c>
      <c r="M46" s="503" t="n">
        <f aca="false">IF(ShodhanaMinimum,M68,M57)</f>
        <v>0</v>
      </c>
      <c r="N46" s="504" t="n">
        <f aca="false">IF(ShodhanaMinimum,N68,N57)</f>
        <v>3</v>
      </c>
      <c r="O46" s="505" t="n">
        <f aca="false">IF(ShodhanaMinimum,O68,O57)</f>
        <v>1</v>
      </c>
    </row>
    <row r="47" customFormat="false" ht="15" hidden="false" customHeight="false" outlineLevel="0" collapsed="false">
      <c r="A47" s="488" t="str">
        <f aca="false">A46</f>
        <v>Trikona Shodana Selected</v>
      </c>
      <c r="B47" s="474" t="str">
        <f aca="false">"TS"&amp;B23</f>
        <v>TSSun</v>
      </c>
      <c r="D47" s="502" t="n">
        <f aca="false">IF(ShodhanaMinimum,D69,D58)</f>
        <v>1</v>
      </c>
      <c r="E47" s="503" t="n">
        <f aca="false">IF(ShodhanaMinimum,E69,E58)</f>
        <v>2</v>
      </c>
      <c r="F47" s="504" t="n">
        <f aca="false">IF(ShodhanaMinimum,F69,F58)</f>
        <v>0</v>
      </c>
      <c r="G47" s="505" t="n">
        <f aca="false">IF(ShodhanaMinimum,G69,G58)</f>
        <v>0</v>
      </c>
      <c r="H47" s="502" t="n">
        <f aca="false">IF(ShodhanaMinimum,H69,H58)</f>
        <v>0</v>
      </c>
      <c r="I47" s="503" t="n">
        <f aca="false">IF(ShodhanaMinimum,I69,I58)</f>
        <v>0</v>
      </c>
      <c r="J47" s="504" t="n">
        <f aca="false">IF(ShodhanaMinimum,J69,J58)</f>
        <v>1</v>
      </c>
      <c r="K47" s="505" t="n">
        <f aca="false">IF(ShodhanaMinimum,K69,K58)</f>
        <v>0</v>
      </c>
      <c r="L47" s="502" t="n">
        <f aca="false">IF(ShodhanaMinimum,L69,L58)</f>
        <v>0</v>
      </c>
      <c r="M47" s="503" t="n">
        <f aca="false">IF(ShodhanaMinimum,M69,M58)</f>
        <v>1</v>
      </c>
      <c r="N47" s="504" t="n">
        <f aca="false">IF(ShodhanaMinimum,N69,N58)</f>
        <v>1</v>
      </c>
      <c r="O47" s="505" t="n">
        <f aca="false">IF(ShodhanaMinimum,O69,O58)</f>
        <v>0</v>
      </c>
    </row>
    <row r="48" customFormat="false" ht="15" hidden="false" customHeight="false" outlineLevel="0" collapsed="false">
      <c r="A48" s="488" t="str">
        <f aca="false">A47</f>
        <v>Trikona Shodana Selected</v>
      </c>
      <c r="B48" s="474" t="str">
        <f aca="false">"TS"&amp;B24</f>
        <v>TSLagna</v>
      </c>
      <c r="D48" s="502" t="n">
        <f aca="false">IF(ShodhanaMinimum,D70,D59)</f>
        <v>1</v>
      </c>
      <c r="E48" s="503" t="n">
        <f aca="false">IF(ShodhanaMinimum,E70,E59)</f>
        <v>2</v>
      </c>
      <c r="F48" s="504" t="n">
        <f aca="false">IF(ShodhanaMinimum,F70,F59)</f>
        <v>0</v>
      </c>
      <c r="G48" s="505" t="n">
        <f aca="false">IF(ShodhanaMinimum,G70,G59)</f>
        <v>3</v>
      </c>
      <c r="H48" s="502" t="n">
        <f aca="false">IF(ShodhanaMinimum,H70,H59)</f>
        <v>1</v>
      </c>
      <c r="I48" s="503" t="n">
        <f aca="false">IF(ShodhanaMinimum,I70,I59)</f>
        <v>0</v>
      </c>
      <c r="J48" s="504" t="n">
        <f aca="false">IF(ShodhanaMinimum,J70,J59)</f>
        <v>3</v>
      </c>
      <c r="K48" s="505" t="n">
        <f aca="false">IF(ShodhanaMinimum,K70,K59)</f>
        <v>0</v>
      </c>
      <c r="L48" s="502" t="n">
        <f aca="false">IF(ShodhanaMinimum,L70,L59)</f>
        <v>0</v>
      </c>
      <c r="M48" s="503" t="n">
        <f aca="false">IF(ShodhanaMinimum,M70,M59)</f>
        <v>0</v>
      </c>
      <c r="N48" s="504" t="n">
        <f aca="false">IF(ShodhanaMinimum,N70,N59)</f>
        <v>1</v>
      </c>
      <c r="O48" s="505" t="n">
        <f aca="false">IF(ShodhanaMinimum,O70,O59)</f>
        <v>2</v>
      </c>
    </row>
    <row r="49" customFormat="false" ht="15" hidden="false" customHeight="false" outlineLevel="0" collapsed="false">
      <c r="A49" s="488" t="str">
        <f aca="false">A48</f>
        <v>Trikona Shodana Selected</v>
      </c>
      <c r="D49" s="502"/>
      <c r="E49" s="503"/>
      <c r="F49" s="504"/>
      <c r="G49" s="505"/>
      <c r="H49" s="502"/>
      <c r="I49" s="503"/>
      <c r="J49" s="504"/>
      <c r="K49" s="505"/>
      <c r="L49" s="502"/>
      <c r="M49" s="503"/>
      <c r="N49" s="504"/>
      <c r="O49" s="505"/>
    </row>
    <row r="50" customFormat="false" ht="15" hidden="false" customHeight="false" outlineLevel="0" collapsed="false">
      <c r="A50" s="488" t="str">
        <f aca="false">A49</f>
        <v>Trikona Shodana Selected</v>
      </c>
      <c r="D50" s="506"/>
      <c r="E50" s="507"/>
      <c r="F50" s="508"/>
      <c r="G50" s="509"/>
      <c r="H50" s="506"/>
      <c r="I50" s="507"/>
      <c r="J50" s="508"/>
      <c r="K50" s="509"/>
      <c r="L50" s="506"/>
      <c r="M50" s="507"/>
      <c r="N50" s="508"/>
      <c r="O50" s="509"/>
    </row>
    <row r="51" customFormat="false" ht="16.15" hidden="false" customHeight="false" outlineLevel="0" collapsed="false">
      <c r="A51" s="488" t="str">
        <f aca="false">B51</f>
        <v>Trikona Shodana Subtraction</v>
      </c>
      <c r="B51" s="497" t="s">
        <v>758</v>
      </c>
      <c r="C51" s="497"/>
      <c r="D51" s="497"/>
      <c r="E51" s="497"/>
      <c r="F51" s="497"/>
      <c r="G51" s="497"/>
      <c r="H51" s="497"/>
      <c r="I51" s="497"/>
      <c r="J51" s="497"/>
      <c r="K51" s="497"/>
      <c r="L51" s="497"/>
      <c r="M51" s="497"/>
      <c r="N51" s="497"/>
      <c r="O51" s="497"/>
      <c r="P51" s="474"/>
      <c r="Q51" s="474"/>
    </row>
    <row r="52" customFormat="false" ht="15" hidden="false" customHeight="false" outlineLevel="0" collapsed="false">
      <c r="A52" s="488" t="str">
        <f aca="false">A51</f>
        <v>Trikona Shodana Subtraction</v>
      </c>
      <c r="B52" s="474" t="str">
        <f aca="false">"TS"&amp;B17</f>
        <v>TSSaturn</v>
      </c>
      <c r="D52" s="510" t="n">
        <f aca="false">D17-MIN(D17,H17,L17)</f>
        <v>2</v>
      </c>
      <c r="E52" s="503" t="n">
        <f aca="false">E17-MIN(E17,I17,M17)</f>
        <v>3</v>
      </c>
      <c r="F52" s="504" t="n">
        <f aca="false">F17-MIN(F17,J17,N17)</f>
        <v>1</v>
      </c>
      <c r="G52" s="511" t="n">
        <f aca="false">G17-MIN(G17,K17,O17)</f>
        <v>0</v>
      </c>
      <c r="H52" s="510" t="n">
        <f aca="false">H17-MIN(D17,H17,L17)</f>
        <v>0</v>
      </c>
      <c r="I52" s="503" t="n">
        <f aca="false">I17-MIN(E17,I17,M17)</f>
        <v>0</v>
      </c>
      <c r="J52" s="504" t="n">
        <f aca="false">J17-MIN(F17,J17,N17)</f>
        <v>4</v>
      </c>
      <c r="K52" s="511" t="n">
        <f aca="false">K17-MIN(G17,K17,O17)</f>
        <v>0</v>
      </c>
      <c r="L52" s="510" t="n">
        <f aca="false">L17-MIN(D17,H17,L17)</f>
        <v>0</v>
      </c>
      <c r="M52" s="503" t="n">
        <f aca="false">M17-MIN(E17,I17,M17)</f>
        <v>0</v>
      </c>
      <c r="N52" s="504" t="n">
        <f aca="false">N17-MIN(F17,J17,N17)</f>
        <v>0</v>
      </c>
      <c r="O52" s="511" t="n">
        <f aca="false">O17-MIN(G17,K17,O17)</f>
        <v>2</v>
      </c>
      <c r="Q52" s="474"/>
    </row>
    <row r="53" customFormat="false" ht="15" hidden="false" customHeight="false" outlineLevel="0" collapsed="false">
      <c r="A53" s="488" t="str">
        <f aca="false">A52</f>
        <v>Trikona Shodana Subtraction</v>
      </c>
      <c r="B53" s="474" t="str">
        <f aca="false">"TS"&amp;B18</f>
        <v>TSVenus</v>
      </c>
      <c r="D53" s="510" t="n">
        <f aca="false">D18-MIN(D18,H18,L18)</f>
        <v>0</v>
      </c>
      <c r="E53" s="503" t="n">
        <f aca="false">E18-MIN(E18,I18,M18)</f>
        <v>0</v>
      </c>
      <c r="F53" s="504" t="n">
        <f aca="false">F18-MIN(F18,J18,N18)</f>
        <v>4</v>
      </c>
      <c r="G53" s="511" t="n">
        <f aca="false">G18-MIN(G18,K18,O18)</f>
        <v>1</v>
      </c>
      <c r="H53" s="510" t="n">
        <f aca="false">H18-MIN(D18,H18,L18)</f>
        <v>1</v>
      </c>
      <c r="I53" s="503" t="n">
        <f aca="false">I18-MIN(E18,I18,M18)</f>
        <v>4</v>
      </c>
      <c r="J53" s="504" t="n">
        <f aca="false">J18-MIN(F18,J18,N18)</f>
        <v>0</v>
      </c>
      <c r="K53" s="511" t="n">
        <f aca="false">K18-MIN(G18,K18,O18)</f>
        <v>0</v>
      </c>
      <c r="L53" s="510" t="n">
        <f aca="false">L18-MIN(D18,H18,L18)</f>
        <v>1</v>
      </c>
      <c r="M53" s="503" t="n">
        <f aca="false">M18-MIN(E18,I18,M18)</f>
        <v>0</v>
      </c>
      <c r="N53" s="504" t="n">
        <f aca="false">N18-MIN(F18,J18,N18)</f>
        <v>1</v>
      </c>
      <c r="O53" s="511" t="n">
        <f aca="false">O18-MIN(G18,K18,O18)</f>
        <v>4</v>
      </c>
      <c r="S53" s="495"/>
      <c r="T53" s="495"/>
      <c r="U53" s="495"/>
      <c r="V53" s="495"/>
    </row>
    <row r="54" customFormat="false" ht="15" hidden="false" customHeight="false" outlineLevel="0" collapsed="false">
      <c r="A54" s="488" t="str">
        <f aca="false">A53</f>
        <v>Trikona Shodana Subtraction</v>
      </c>
      <c r="B54" s="474" t="str">
        <f aca="false">"TS"&amp;B19</f>
        <v>TSJupiter</v>
      </c>
      <c r="D54" s="510" t="n">
        <f aca="false">D19-MIN(D19,H19,L19)</f>
        <v>3</v>
      </c>
      <c r="E54" s="503" t="n">
        <f aca="false">E19-MIN(E19,I19,M19)</f>
        <v>0</v>
      </c>
      <c r="F54" s="504" t="n">
        <f aca="false">F19-MIN(F19,J19,N19)</f>
        <v>0</v>
      </c>
      <c r="G54" s="511" t="n">
        <f aca="false">G19-MIN(G19,K19,O19)</f>
        <v>1</v>
      </c>
      <c r="H54" s="510" t="n">
        <f aca="false">H19-MIN(D19,H19,L19)</f>
        <v>2</v>
      </c>
      <c r="I54" s="503" t="n">
        <f aca="false">I19-MIN(E19,I19,M19)</f>
        <v>1</v>
      </c>
      <c r="J54" s="504" t="n">
        <f aca="false">J19-MIN(F19,J19,N19)</f>
        <v>2</v>
      </c>
      <c r="K54" s="511" t="n">
        <f aca="false">K19-MIN(G19,K19,O19)</f>
        <v>2</v>
      </c>
      <c r="L54" s="510" t="n">
        <f aca="false">L19-MIN(D19,H19,L19)</f>
        <v>0</v>
      </c>
      <c r="M54" s="503" t="n">
        <f aca="false">M19-MIN(E19,I19,M19)</f>
        <v>1</v>
      </c>
      <c r="N54" s="504" t="n">
        <f aca="false">N19-MIN(F19,J19,N19)</f>
        <v>2</v>
      </c>
      <c r="O54" s="511" t="n">
        <f aca="false">O19-MIN(G19,K19,O19)</f>
        <v>0</v>
      </c>
      <c r="S54" s="495"/>
      <c r="T54" s="495"/>
      <c r="U54" s="495"/>
      <c r="V54" s="495"/>
    </row>
    <row r="55" customFormat="false" ht="15" hidden="false" customHeight="false" outlineLevel="0" collapsed="false">
      <c r="A55" s="488" t="str">
        <f aca="false">A54</f>
        <v>Trikona Shodana Subtraction</v>
      </c>
      <c r="B55" s="474" t="str">
        <f aca="false">"TS"&amp;B20</f>
        <v>TSMercury</v>
      </c>
      <c r="D55" s="510" t="n">
        <f aca="false">D20-MIN(D20,H20,L20)</f>
        <v>0</v>
      </c>
      <c r="E55" s="503" t="n">
        <f aca="false">E20-MIN(E20,I20,M20)</f>
        <v>0</v>
      </c>
      <c r="F55" s="504" t="n">
        <f aca="false">F20-MIN(F20,J20,N20)</f>
        <v>3</v>
      </c>
      <c r="G55" s="511" t="n">
        <f aca="false">G20-MIN(G20,K20,O20)</f>
        <v>0</v>
      </c>
      <c r="H55" s="510" t="n">
        <f aca="false">H20-MIN(D20,H20,L20)</f>
        <v>1</v>
      </c>
      <c r="I55" s="503" t="n">
        <f aca="false">I20-MIN(E20,I20,M20)</f>
        <v>1</v>
      </c>
      <c r="J55" s="504" t="n">
        <f aca="false">J20-MIN(F20,J20,N20)</f>
        <v>0</v>
      </c>
      <c r="K55" s="511" t="n">
        <f aca="false">K20-MIN(G20,K20,O20)</f>
        <v>2</v>
      </c>
      <c r="L55" s="510" t="n">
        <f aca="false">L20-MIN(D20,H20,L20)</f>
        <v>0</v>
      </c>
      <c r="M55" s="503" t="n">
        <f aca="false">M20-MIN(E20,I20,M20)</f>
        <v>0</v>
      </c>
      <c r="N55" s="504" t="n">
        <f aca="false">N20-MIN(F20,J20,N20)</f>
        <v>0</v>
      </c>
      <c r="O55" s="511" t="n">
        <f aca="false">O20-MIN(G20,K20,O20)</f>
        <v>2</v>
      </c>
      <c r="S55" s="495"/>
      <c r="T55" s="495"/>
      <c r="U55" s="495"/>
      <c r="V55" s="495"/>
    </row>
    <row r="56" customFormat="false" ht="15" hidden="false" customHeight="false" outlineLevel="0" collapsed="false">
      <c r="A56" s="488" t="str">
        <f aca="false">A55</f>
        <v>Trikona Shodana Subtraction</v>
      </c>
      <c r="B56" s="474" t="str">
        <f aca="false">"TS"&amp;B21</f>
        <v>TSMars</v>
      </c>
      <c r="D56" s="510" t="n">
        <f aca="false">D21-MIN(D21,H21,L21)</f>
        <v>1</v>
      </c>
      <c r="E56" s="503" t="n">
        <f aca="false">E21-MIN(E21,I21,M21)</f>
        <v>2</v>
      </c>
      <c r="F56" s="504" t="n">
        <f aca="false">F21-MIN(F21,J21,N21)</f>
        <v>0</v>
      </c>
      <c r="G56" s="511" t="n">
        <f aca="false">G21-MIN(G21,K21,O21)</f>
        <v>0</v>
      </c>
      <c r="H56" s="510" t="n">
        <f aca="false">H21-MIN(D21,H21,L21)</f>
        <v>1</v>
      </c>
      <c r="I56" s="503" t="n">
        <f aca="false">I21-MIN(E21,I21,M21)</f>
        <v>0</v>
      </c>
      <c r="J56" s="504" t="n">
        <f aca="false">J21-MIN(F21,J21,N21)</f>
        <v>3</v>
      </c>
      <c r="K56" s="511" t="n">
        <f aca="false">K21-MIN(G21,K21,O21)</f>
        <v>3</v>
      </c>
      <c r="L56" s="510" t="n">
        <f aca="false">L21-MIN(D21,H21,L21)</f>
        <v>0</v>
      </c>
      <c r="M56" s="503" t="n">
        <f aca="false">M21-MIN(E21,I21,M21)</f>
        <v>1</v>
      </c>
      <c r="N56" s="504" t="n">
        <f aca="false">N21-MIN(F21,J21,N21)</f>
        <v>1</v>
      </c>
      <c r="O56" s="511" t="n">
        <f aca="false">O21-MIN(G21,K21,O21)</f>
        <v>0</v>
      </c>
      <c r="S56" s="495"/>
      <c r="T56" s="495"/>
      <c r="U56" s="495"/>
      <c r="V56" s="495"/>
    </row>
    <row r="57" customFormat="false" ht="15" hidden="false" customHeight="false" outlineLevel="0" collapsed="false">
      <c r="A57" s="488" t="str">
        <f aca="false">A56</f>
        <v>Trikona Shodana Subtraction</v>
      </c>
      <c r="B57" s="474" t="str">
        <f aca="false">"TS"&amp;B22</f>
        <v>TSMoon</v>
      </c>
      <c r="C57" s="206"/>
      <c r="D57" s="510" t="n">
        <f aca="false">D22-MIN(D22,H22,L22)</f>
        <v>1</v>
      </c>
      <c r="E57" s="503" t="n">
        <f aca="false">E22-MIN(E22,I22,M22)</f>
        <v>2</v>
      </c>
      <c r="F57" s="504" t="n">
        <f aca="false">F22-MIN(F22,J22,N22)</f>
        <v>0</v>
      </c>
      <c r="G57" s="511" t="n">
        <f aca="false">G22-MIN(G22,K22,O22)</f>
        <v>0</v>
      </c>
      <c r="H57" s="510" t="n">
        <f aca="false">H22-MIN(D22,H22,L22)</f>
        <v>0</v>
      </c>
      <c r="I57" s="503" t="n">
        <f aca="false">I22-MIN(E22,I22,M22)</f>
        <v>1</v>
      </c>
      <c r="J57" s="504" t="n">
        <f aca="false">J22-MIN(F22,J22,N22)</f>
        <v>3</v>
      </c>
      <c r="K57" s="511" t="n">
        <f aca="false">K22-MIN(G22,K22,O22)</f>
        <v>1</v>
      </c>
      <c r="L57" s="510" t="n">
        <f aca="false">L22-MIN(D22,H22,L22)</f>
        <v>1</v>
      </c>
      <c r="M57" s="503" t="n">
        <f aca="false">M22-MIN(E22,I22,M22)</f>
        <v>0</v>
      </c>
      <c r="N57" s="504" t="n">
        <f aca="false">N22-MIN(F22,J22,N22)</f>
        <v>3</v>
      </c>
      <c r="O57" s="511" t="n">
        <f aca="false">O22-MIN(G22,K22,O22)</f>
        <v>1</v>
      </c>
      <c r="S57" s="495"/>
      <c r="T57" s="495"/>
      <c r="U57" s="495"/>
      <c r="V57" s="495"/>
    </row>
    <row r="58" customFormat="false" ht="15" hidden="false" customHeight="false" outlineLevel="0" collapsed="false">
      <c r="A58" s="488" t="str">
        <f aca="false">A57</f>
        <v>Trikona Shodana Subtraction</v>
      </c>
      <c r="B58" s="474" t="str">
        <f aca="false">"TS"&amp;B23</f>
        <v>TSSun</v>
      </c>
      <c r="D58" s="510" t="n">
        <f aca="false">D23-MIN(D23,H23,L23)</f>
        <v>1</v>
      </c>
      <c r="E58" s="503" t="n">
        <f aca="false">E23-MIN(E23,I23,M23)</f>
        <v>2</v>
      </c>
      <c r="F58" s="504" t="n">
        <f aca="false">F23-MIN(F23,J23,N23)</f>
        <v>0</v>
      </c>
      <c r="G58" s="511" t="n">
        <f aca="false">G23-MIN(G23,K23,O23)</f>
        <v>0</v>
      </c>
      <c r="H58" s="510" t="n">
        <f aca="false">H23-MIN(D23,H23,L23)</f>
        <v>0</v>
      </c>
      <c r="I58" s="503" t="n">
        <f aca="false">I23-MIN(E23,I23,M23)</f>
        <v>0</v>
      </c>
      <c r="J58" s="504" t="n">
        <f aca="false">J23-MIN(F23,J23,N23)</f>
        <v>1</v>
      </c>
      <c r="K58" s="511" t="n">
        <f aca="false">K23-MIN(G23,K23,O23)</f>
        <v>0</v>
      </c>
      <c r="L58" s="510" t="n">
        <f aca="false">L23-MIN(D23,H23,L23)</f>
        <v>0</v>
      </c>
      <c r="M58" s="503" t="n">
        <f aca="false">M23-MIN(E23,I23,M23)</f>
        <v>1</v>
      </c>
      <c r="N58" s="504" t="n">
        <f aca="false">N23-MIN(F23,J23,N23)</f>
        <v>1</v>
      </c>
      <c r="O58" s="511" t="n">
        <f aca="false">O23-MIN(G23,K23,O23)</f>
        <v>0</v>
      </c>
      <c r="S58" s="495"/>
      <c r="T58" s="495"/>
      <c r="U58" s="495"/>
      <c r="V58" s="495"/>
    </row>
    <row r="59" customFormat="false" ht="15" hidden="false" customHeight="false" outlineLevel="0" collapsed="false">
      <c r="A59" s="488" t="str">
        <f aca="false">A58</f>
        <v>Trikona Shodana Subtraction</v>
      </c>
      <c r="B59" s="474" t="str">
        <f aca="false">"TS"&amp;B24</f>
        <v>TSLagna</v>
      </c>
      <c r="D59" s="510" t="n">
        <f aca="false">D24-MIN(D24,H24,L24)</f>
        <v>1</v>
      </c>
      <c r="E59" s="503" t="n">
        <f aca="false">E24-MIN(E24,I24,M24)</f>
        <v>2</v>
      </c>
      <c r="F59" s="504" t="n">
        <f aca="false">F24-MIN(F24,J24,N24)</f>
        <v>0</v>
      </c>
      <c r="G59" s="511" t="n">
        <f aca="false">G24-MIN(G24,K24,O24)</f>
        <v>3</v>
      </c>
      <c r="H59" s="510" t="n">
        <f aca="false">H24-MIN(D24,H24,L24)</f>
        <v>1</v>
      </c>
      <c r="I59" s="503" t="n">
        <f aca="false">I24-MIN(E24,I24,M24)</f>
        <v>0</v>
      </c>
      <c r="J59" s="504" t="n">
        <f aca="false">J24-MIN(F24,J24,N24)</f>
        <v>3</v>
      </c>
      <c r="K59" s="511" t="n">
        <f aca="false">K24-MIN(G24,K24,O24)</f>
        <v>0</v>
      </c>
      <c r="L59" s="510" t="n">
        <f aca="false">L24-MIN(D24,H24,L24)</f>
        <v>0</v>
      </c>
      <c r="M59" s="503" t="n">
        <f aca="false">M24-MIN(E24,I24,M24)</f>
        <v>0</v>
      </c>
      <c r="N59" s="504" t="n">
        <f aca="false">N24-MIN(F24,J24,N24)</f>
        <v>1</v>
      </c>
      <c r="O59" s="511" t="n">
        <f aca="false">O24-MIN(G24,K24,O24)</f>
        <v>2</v>
      </c>
      <c r="S59" s="495"/>
      <c r="T59" s="495"/>
      <c r="U59" s="495"/>
      <c r="V59" s="495"/>
    </row>
    <row r="60" customFormat="false" ht="15" hidden="false" customHeight="false" outlineLevel="0" collapsed="false">
      <c r="A60" s="488" t="str">
        <f aca="false">A59</f>
        <v>Trikona Shodana Subtraction</v>
      </c>
      <c r="D60" s="510"/>
      <c r="E60" s="503"/>
      <c r="F60" s="504"/>
      <c r="G60" s="511"/>
      <c r="H60" s="510"/>
      <c r="I60" s="503"/>
      <c r="J60" s="504"/>
      <c r="K60" s="511"/>
      <c r="L60" s="510"/>
      <c r="M60" s="503"/>
      <c r="N60" s="504"/>
      <c r="O60" s="511"/>
      <c r="S60" s="495"/>
      <c r="T60" s="495"/>
      <c r="U60" s="495"/>
      <c r="V60" s="495"/>
    </row>
    <row r="61" customFormat="false" ht="15" hidden="false" customHeight="false" outlineLevel="0" collapsed="false">
      <c r="A61" s="488" t="str">
        <f aca="false">A60</f>
        <v>Trikona Shodana Subtraction</v>
      </c>
      <c r="D61" s="510"/>
      <c r="E61" s="503"/>
      <c r="F61" s="504"/>
      <c r="G61" s="511"/>
      <c r="H61" s="510"/>
      <c r="I61" s="503"/>
      <c r="J61" s="504"/>
      <c r="K61" s="511"/>
      <c r="L61" s="510"/>
      <c r="M61" s="503"/>
      <c r="N61" s="504"/>
      <c r="O61" s="511"/>
      <c r="S61" s="495"/>
      <c r="T61" s="495"/>
      <c r="U61" s="495"/>
      <c r="V61" s="495"/>
    </row>
    <row r="62" customFormat="false" ht="16.15" hidden="false" customHeight="false" outlineLevel="0" collapsed="false">
      <c r="A62" s="488" t="str">
        <f aca="false">B62</f>
        <v>Trikona Shodana Minimum</v>
      </c>
      <c r="B62" s="497" t="s">
        <v>759</v>
      </c>
      <c r="C62" s="497"/>
      <c r="D62" s="497"/>
      <c r="E62" s="497"/>
      <c r="F62" s="497"/>
      <c r="G62" s="497"/>
      <c r="H62" s="497"/>
      <c r="I62" s="497"/>
      <c r="J62" s="497"/>
      <c r="K62" s="497"/>
      <c r="L62" s="497"/>
      <c r="M62" s="497"/>
      <c r="N62" s="497"/>
      <c r="O62" s="497"/>
      <c r="S62" s="495"/>
      <c r="T62" s="495"/>
      <c r="U62" s="495"/>
      <c r="V62" s="495"/>
    </row>
    <row r="63" customFormat="false" ht="15" hidden="false" customHeight="false" outlineLevel="0" collapsed="false">
      <c r="A63" s="488" t="str">
        <f aca="false">A62</f>
        <v>Trikona Shodana Minimum</v>
      </c>
      <c r="B63" s="474" t="str">
        <f aca="false">"TS"&amp;B17</f>
        <v>TSSaturn</v>
      </c>
      <c r="C63" s="193" t="n">
        <f aca="false">C17</f>
        <v>2</v>
      </c>
      <c r="D63" s="502" t="n">
        <f aca="false">IF(MIN(D17,H17,L17),IF(AND(D17=H17,H17=L17),0,MIN(D17,H17,L17)),D17)</f>
        <v>2</v>
      </c>
      <c r="E63" s="503" t="n">
        <f aca="false">IF(MIN(E17,I17,M17),IF(AND(E17=I17,I17=M17),0,MIN(E17,I17,M17)),E17)</f>
        <v>2</v>
      </c>
      <c r="F63" s="504" t="n">
        <f aca="false">IF(MIN(F17,J17,N17),IF(AND(F17=J17,J17=N17),0,MIN(F17,J17,N17)),F17)</f>
        <v>2</v>
      </c>
      <c r="G63" s="505" t="n">
        <f aca="false">IF(MIN(G17,K17,O17),IF(AND(G17=K17,K17=O17),0,MIN(G17,K17,O17)),G17)</f>
        <v>3</v>
      </c>
      <c r="H63" s="502" t="n">
        <f aca="false">IF(MIN(D17,H17,L17),IF(AND(D17=H17,H17=L17),0,MIN(D17,H17,L17)),H17)</f>
        <v>2</v>
      </c>
      <c r="I63" s="503" t="n">
        <f aca="false">IF(MIN(E17,I17,M17),IF(AND(E17=I17,I17=M17),0,MIN(E17,I17,M17)),I17)</f>
        <v>2</v>
      </c>
      <c r="J63" s="504" t="n">
        <f aca="false">IF(MIN(F17,J17,N17),IF(AND(F17=J17,J17=N17),0,MIN(F17,J17,N17)),J17)</f>
        <v>2</v>
      </c>
      <c r="K63" s="505" t="n">
        <f aca="false">IF(MIN(G17,K17,O17),IF(AND(G17=K17,K17=O17),0,MIN(G17,K17,O17)),K17)</f>
        <v>3</v>
      </c>
      <c r="L63" s="502" t="n">
        <f aca="false">IF(MIN(D17,H17,L17),IF(AND(D17=H17,H17=L17),0,MIN(D17,H17,L17)),L17)</f>
        <v>2</v>
      </c>
      <c r="M63" s="503" t="n">
        <f aca="false">IF(MIN(E17,I17,M17),IF(AND(E17=I17,I17=M17),0,MIN(E17,I17,M17)),M17)</f>
        <v>2</v>
      </c>
      <c r="N63" s="504" t="n">
        <f aca="false">IF(MIN(F17,J17,N17),IF(AND(F17=J17,J17=N17),0,MIN(F17,J17,N17)),N17)</f>
        <v>2</v>
      </c>
      <c r="O63" s="505" t="n">
        <f aca="false">IF(MIN(G17,K17,O17),IF(AND(G17=K17,K17=O17),0,MIN(G17,K17,O17)),O17)</f>
        <v>3</v>
      </c>
      <c r="S63" s="495"/>
      <c r="T63" s="495"/>
      <c r="U63" s="495"/>
      <c r="V63" s="495"/>
    </row>
    <row r="64" customFormat="false" ht="15" hidden="false" customHeight="false" outlineLevel="0" collapsed="false">
      <c r="A64" s="488" t="str">
        <f aca="false">A63</f>
        <v>Trikona Shodana Minimum</v>
      </c>
      <c r="B64" s="474" t="str">
        <f aca="false">"TS"&amp;B18</f>
        <v>TSVenus</v>
      </c>
      <c r="C64" s="193" t="n">
        <f aca="false">C18</f>
        <v>3</v>
      </c>
      <c r="D64" s="502" t="n">
        <f aca="false">IF(MIN(D18,H18,L18),IF(AND(D18=H18,H18=L18),0,MIN(D18,H18,L18)),D18)</f>
        <v>4</v>
      </c>
      <c r="E64" s="503" t="n">
        <f aca="false">IF(MIN(E18,I18,M18),IF(AND(E18=I18,I18=M18),0,MIN(E18,I18,M18)),E18)</f>
        <v>3</v>
      </c>
      <c r="F64" s="504" t="n">
        <f aca="false">IF(MIN(F18,J18,N18),IF(AND(F18=J18,J18=N18),0,MIN(F18,J18,N18)),F18)</f>
        <v>2</v>
      </c>
      <c r="G64" s="505" t="n">
        <f aca="false">IF(MIN(G18,K18,O18),IF(AND(G18=K18,K18=O18),0,MIN(G18,K18,O18)),G18)</f>
        <v>3</v>
      </c>
      <c r="H64" s="502" t="n">
        <f aca="false">IF(MIN(D18,H18,L18),IF(AND(D18=H18,H18=L18),0,MIN(D18,H18,L18)),H18)</f>
        <v>4</v>
      </c>
      <c r="I64" s="503" t="n">
        <f aca="false">IF(MIN(E18,I18,M18),IF(AND(E18=I18,I18=M18),0,MIN(E18,I18,M18)),I18)</f>
        <v>3</v>
      </c>
      <c r="J64" s="504" t="n">
        <f aca="false">IF(MIN(F18,J18,N18),IF(AND(F18=J18,J18=N18),0,MIN(F18,J18,N18)),J18)</f>
        <v>2</v>
      </c>
      <c r="K64" s="505" t="n">
        <f aca="false">IF(MIN(G18,K18,O18),IF(AND(G18=K18,K18=O18),0,MIN(G18,K18,O18)),K18)</f>
        <v>3</v>
      </c>
      <c r="L64" s="502" t="n">
        <f aca="false">IF(MIN(D18,H18,L18),IF(AND(D18=H18,H18=L18),0,MIN(D18,H18,L18)),L18)</f>
        <v>4</v>
      </c>
      <c r="M64" s="503" t="n">
        <f aca="false">IF(MIN(E18,I18,M18),IF(AND(E18=I18,I18=M18),0,MIN(E18,I18,M18)),M18)</f>
        <v>3</v>
      </c>
      <c r="N64" s="504" t="n">
        <f aca="false">IF(MIN(F18,J18,N18),IF(AND(F18=J18,J18=N18),0,MIN(F18,J18,N18)),N18)</f>
        <v>2</v>
      </c>
      <c r="O64" s="505" t="n">
        <f aca="false">IF(MIN(G18,K18,O18),IF(AND(G18=K18,K18=O18),0,MIN(G18,K18,O18)),O18)</f>
        <v>3</v>
      </c>
      <c r="S64" s="495"/>
      <c r="T64" s="495"/>
      <c r="U64" s="495"/>
      <c r="V64" s="495"/>
    </row>
    <row r="65" customFormat="false" ht="15" hidden="false" customHeight="false" outlineLevel="0" collapsed="false">
      <c r="A65" s="488" t="str">
        <f aca="false">A64</f>
        <v>Trikona Shodana Minimum</v>
      </c>
      <c r="B65" s="474" t="str">
        <f aca="false">"TS"&amp;B19</f>
        <v>TSJupiter</v>
      </c>
      <c r="C65" s="193" t="n">
        <f aca="false">C19</f>
        <v>8</v>
      </c>
      <c r="D65" s="502" t="n">
        <f aca="false">IF(MIN(D19,H19,L19),IF(AND(D19=H19,H19=L19),0,MIN(D19,H19,L19)),D19)</f>
        <v>3</v>
      </c>
      <c r="E65" s="503" t="n">
        <f aca="false">IF(MIN(E19,I19,M19),IF(AND(E19=I19,I19=M19),0,MIN(E19,I19,M19)),E19)</f>
        <v>4</v>
      </c>
      <c r="F65" s="504" t="n">
        <f aca="false">IF(MIN(F19,J19,N19),IF(AND(F19=J19,J19=N19),0,MIN(F19,J19,N19)),F19)</f>
        <v>3</v>
      </c>
      <c r="G65" s="505" t="n">
        <f aca="false">IF(MIN(G19,K19,O19),IF(AND(G19=K19,K19=O19),0,MIN(G19,K19,O19)),G19)</f>
        <v>4</v>
      </c>
      <c r="H65" s="502" t="n">
        <f aca="false">IF(MIN(D19,H19,L19),IF(AND(D19=H19,H19=L19),0,MIN(D19,H19,L19)),H19)</f>
        <v>3</v>
      </c>
      <c r="I65" s="503" t="n">
        <f aca="false">IF(MIN(E19,I19,M19),IF(AND(E19=I19,I19=M19),0,MIN(E19,I19,M19)),I19)</f>
        <v>4</v>
      </c>
      <c r="J65" s="504" t="n">
        <f aca="false">IF(MIN(F19,J19,N19),IF(AND(F19=J19,J19=N19),0,MIN(F19,J19,N19)),J19)</f>
        <v>3</v>
      </c>
      <c r="K65" s="505" t="n">
        <f aca="false">IF(MIN(G19,K19,O19),IF(AND(G19=K19,K19=O19),0,MIN(G19,K19,O19)),K19)</f>
        <v>4</v>
      </c>
      <c r="L65" s="502" t="n">
        <f aca="false">IF(MIN(D19,H19,L19),IF(AND(D19=H19,H19=L19),0,MIN(D19,H19,L19)),L19)</f>
        <v>3</v>
      </c>
      <c r="M65" s="503" t="n">
        <f aca="false">IF(MIN(E19,I19,M19),IF(AND(E19=I19,I19=M19),0,MIN(E19,I19,M19)),M19)</f>
        <v>4</v>
      </c>
      <c r="N65" s="504" t="n">
        <f aca="false">IF(MIN(F19,J19,N19),IF(AND(F19=J19,J19=N19),0,MIN(F19,J19,N19)),N19)</f>
        <v>3</v>
      </c>
      <c r="O65" s="505" t="n">
        <f aca="false">IF(MIN(G19,K19,O19),IF(AND(G19=K19,K19=O19),0,MIN(G19,K19,O19)),O19)</f>
        <v>4</v>
      </c>
      <c r="S65" s="495"/>
      <c r="T65" s="495"/>
      <c r="U65" s="495"/>
      <c r="V65" s="495"/>
    </row>
    <row r="66" customFormat="false" ht="15" hidden="false" customHeight="false" outlineLevel="0" collapsed="false">
      <c r="A66" s="488" t="str">
        <f aca="false">A65</f>
        <v>Trikona Shodana Minimum</v>
      </c>
      <c r="B66" s="474" t="str">
        <f aca="false">"TS"&amp;B20</f>
        <v>TSMercury</v>
      </c>
      <c r="C66" s="193" t="n">
        <f aca="false">C20</f>
        <v>4</v>
      </c>
      <c r="D66" s="502" t="n">
        <f aca="false">IF(MIN(D20,H20,L20),IF(AND(D20=H20,H20=L20),0,MIN(D20,H20,L20)),D20)</f>
        <v>4</v>
      </c>
      <c r="E66" s="503" t="n">
        <f aca="false">IF(MIN(E20,I20,M20),IF(AND(E20=I20,I20=M20),0,MIN(E20,I20,M20)),E20)</f>
        <v>4</v>
      </c>
      <c r="F66" s="504" t="n">
        <f aca="false">IF(MIN(F20,J20,N20),IF(AND(F20=J20,J20=N20),0,MIN(F20,J20,N20)),F20)</f>
        <v>4</v>
      </c>
      <c r="G66" s="505" t="n">
        <f aca="false">IF(MIN(G20,K20,O20),IF(AND(G20=K20,K20=O20),0,MIN(G20,K20,O20)),G20)</f>
        <v>3</v>
      </c>
      <c r="H66" s="502" t="n">
        <f aca="false">IF(MIN(D20,H20,L20),IF(AND(D20=H20,H20=L20),0,MIN(D20,H20,L20)),H20)</f>
        <v>4</v>
      </c>
      <c r="I66" s="503" t="n">
        <f aca="false">IF(MIN(E20,I20,M20),IF(AND(E20=I20,I20=M20),0,MIN(E20,I20,M20)),I20)</f>
        <v>4</v>
      </c>
      <c r="J66" s="504" t="n">
        <f aca="false">IF(MIN(F20,J20,N20),IF(AND(F20=J20,J20=N20),0,MIN(F20,J20,N20)),J20)</f>
        <v>4</v>
      </c>
      <c r="K66" s="505" t="n">
        <f aca="false">IF(MIN(G20,K20,O20),IF(AND(G20=K20,K20=O20),0,MIN(G20,K20,O20)),K20)</f>
        <v>3</v>
      </c>
      <c r="L66" s="502" t="n">
        <f aca="false">IF(MIN(D20,H20,L20),IF(AND(D20=H20,H20=L20),0,MIN(D20,H20,L20)),L20)</f>
        <v>4</v>
      </c>
      <c r="M66" s="503" t="n">
        <f aca="false">IF(MIN(E20,I20,M20),IF(AND(E20=I20,I20=M20),0,MIN(E20,I20,M20)),M20)</f>
        <v>4</v>
      </c>
      <c r="N66" s="504" t="n">
        <f aca="false">IF(MIN(F20,J20,N20),IF(AND(F20=J20,J20=N20),0,MIN(F20,J20,N20)),N20)</f>
        <v>4</v>
      </c>
      <c r="O66" s="505" t="n">
        <f aca="false">IF(MIN(G20,K20,O20),IF(AND(G20=K20,K20=O20),0,MIN(G20,K20,O20)),O20)</f>
        <v>3</v>
      </c>
      <c r="S66" s="495"/>
      <c r="T66" s="495"/>
      <c r="U66" s="495"/>
      <c r="V66" s="495"/>
    </row>
    <row r="67" customFormat="false" ht="15" hidden="false" customHeight="false" outlineLevel="0" collapsed="false">
      <c r="A67" s="488" t="str">
        <f aca="false">A66</f>
        <v>Trikona Shodana Minimum</v>
      </c>
      <c r="B67" s="474" t="str">
        <f aca="false">"TS"&amp;B21</f>
        <v>TSMars</v>
      </c>
      <c r="C67" s="193" t="n">
        <f aca="false">C21</f>
        <v>10</v>
      </c>
      <c r="D67" s="502" t="n">
        <f aca="false">IF(MIN(D21,H21,L21),IF(AND(D21=H21,H21=L21),0,MIN(D21,H21,L21)),D21)</f>
        <v>3</v>
      </c>
      <c r="E67" s="503" t="n">
        <f aca="false">IF(MIN(E21,I21,M21),IF(AND(E21=I21,I21=M21),0,MIN(E21,I21,M21)),E21)</f>
        <v>3</v>
      </c>
      <c r="F67" s="504" t="n">
        <f aca="false">IF(MIN(F21,J21,N21),IF(AND(F21=J21,J21=N21),0,MIN(F21,J21,N21)),F21)</f>
        <v>1</v>
      </c>
      <c r="G67" s="505" t="n">
        <f aca="false">IF(MIN(G21,K21,O21),IF(AND(G21=K21,K21=O21),0,MIN(G21,K21,O21)),G21)</f>
        <v>2</v>
      </c>
      <c r="H67" s="502" t="n">
        <f aca="false">IF(MIN(D21,H21,L21),IF(AND(D21=H21,H21=L21),0,MIN(D21,H21,L21)),H21)</f>
        <v>3</v>
      </c>
      <c r="I67" s="503" t="n">
        <f aca="false">IF(MIN(E21,I21,M21),IF(AND(E21=I21,I21=M21),0,MIN(E21,I21,M21)),I21)</f>
        <v>3</v>
      </c>
      <c r="J67" s="504" t="n">
        <f aca="false">IF(MIN(F21,J21,N21),IF(AND(F21=J21,J21=N21),0,MIN(F21,J21,N21)),J21)</f>
        <v>1</v>
      </c>
      <c r="K67" s="505" t="n">
        <f aca="false">IF(MIN(G21,K21,O21),IF(AND(G21=K21,K21=O21),0,MIN(G21,K21,O21)),K21)</f>
        <v>2</v>
      </c>
      <c r="L67" s="502" t="n">
        <f aca="false">IF(MIN(D21,H21,L21),IF(AND(D21=H21,H21=L21),0,MIN(D21,H21,L21)),L21)</f>
        <v>3</v>
      </c>
      <c r="M67" s="503" t="n">
        <f aca="false">IF(MIN(E21,I21,M21),IF(AND(E21=I21,I21=M21),0,MIN(E21,I21,M21)),M21)</f>
        <v>3</v>
      </c>
      <c r="N67" s="504" t="n">
        <f aca="false">IF(MIN(F21,J21,N21),IF(AND(F21=J21,J21=N21),0,MIN(F21,J21,N21)),N21)</f>
        <v>1</v>
      </c>
      <c r="O67" s="505" t="n">
        <f aca="false">IF(MIN(G21,K21,O21),IF(AND(G21=K21,K21=O21),0,MIN(G21,K21,O21)),O21)</f>
        <v>2</v>
      </c>
      <c r="S67" s="495"/>
      <c r="T67" s="495"/>
      <c r="U67" s="495"/>
      <c r="V67" s="495"/>
    </row>
    <row r="68" customFormat="false" ht="15" hidden="false" customHeight="false" outlineLevel="0" collapsed="false">
      <c r="A68" s="488" t="str">
        <f aca="false">A67</f>
        <v>Trikona Shodana Minimum</v>
      </c>
      <c r="B68" s="474" t="str">
        <f aca="false">"TS"&amp;B22</f>
        <v>TSMoon</v>
      </c>
      <c r="C68" s="193" t="n">
        <f aca="false">C22</f>
        <v>2</v>
      </c>
      <c r="D68" s="502" t="n">
        <f aca="false">IF(MIN(D22,H22,L22),IF(AND(D22=H22,H22=L22),0,MIN(D22,H22,L22)),D22)</f>
        <v>2</v>
      </c>
      <c r="E68" s="503" t="n">
        <f aca="false">IF(MIN(E22,I22,M22),IF(AND(E22=I22,I22=M22),0,MIN(E22,I22,M22)),E22)</f>
        <v>4</v>
      </c>
      <c r="F68" s="504" t="n">
        <f aca="false">IF(MIN(F22,J22,N22),IF(AND(F22=J22,J22=N22),0,MIN(F22,J22,N22)),F22)</f>
        <v>3</v>
      </c>
      <c r="G68" s="505" t="n">
        <f aca="false">IF(MIN(G22,K22,O22),IF(AND(G22=K22,K22=O22),0,MIN(G22,K22,O22)),G22)</f>
        <v>3</v>
      </c>
      <c r="H68" s="502" t="n">
        <f aca="false">IF(MIN(D22,H22,L22),IF(AND(D22=H22,H22=L22),0,MIN(D22,H22,L22)),H22)</f>
        <v>2</v>
      </c>
      <c r="I68" s="503" t="n">
        <f aca="false">IF(MIN(E22,I22,M22),IF(AND(E22=I22,I22=M22),0,MIN(E22,I22,M22)),I22)</f>
        <v>4</v>
      </c>
      <c r="J68" s="504" t="n">
        <f aca="false">IF(MIN(F22,J22,N22),IF(AND(F22=J22,J22=N22),0,MIN(F22,J22,N22)),J22)</f>
        <v>3</v>
      </c>
      <c r="K68" s="505" t="n">
        <f aca="false">IF(MIN(G22,K22,O22),IF(AND(G22=K22,K22=O22),0,MIN(G22,K22,O22)),K22)</f>
        <v>3</v>
      </c>
      <c r="L68" s="502" t="n">
        <f aca="false">IF(MIN(D22,H22,L22),IF(AND(D22=H22,H22=L22),0,MIN(D22,H22,L22)),L22)</f>
        <v>2</v>
      </c>
      <c r="M68" s="503" t="n">
        <f aca="false">IF(MIN(E22,I22,M22),IF(AND(E22=I22,I22=M22),0,MIN(E22,I22,M22)),M22)</f>
        <v>4</v>
      </c>
      <c r="N68" s="504" t="n">
        <f aca="false">IF(MIN(F22,J22,N22),IF(AND(F22=J22,J22=N22),0,MIN(F22,J22,N22)),N22)</f>
        <v>3</v>
      </c>
      <c r="O68" s="505" t="n">
        <f aca="false">IF(MIN(G22,K22,O22),IF(AND(G22=K22,K22=O22),0,MIN(G22,K22,O22)),O22)</f>
        <v>3</v>
      </c>
      <c r="S68" s="495"/>
      <c r="T68" s="495"/>
      <c r="U68" s="495"/>
      <c r="V68" s="495"/>
    </row>
    <row r="69" customFormat="false" ht="15" hidden="false" customHeight="false" outlineLevel="0" collapsed="false">
      <c r="A69" s="488" t="str">
        <f aca="false">A68</f>
        <v>Trikona Shodana Minimum</v>
      </c>
      <c r="B69" s="474" t="str">
        <f aca="false">"TS"&amp;B23</f>
        <v>TSSun</v>
      </c>
      <c r="C69" s="193" t="n">
        <f aca="false">C23</f>
        <v>4</v>
      </c>
      <c r="D69" s="502" t="n">
        <f aca="false">IF(MIN(D23,H23,L23),IF(AND(D23=H23,H23=L23),0,MIN(D23,H23,L23)),D23)</f>
        <v>3</v>
      </c>
      <c r="E69" s="503" t="n">
        <f aca="false">IF(MIN(E23,I23,M23),IF(AND(E23=I23,I23=M23),0,MIN(E23,I23,M23)),E23)</f>
        <v>3</v>
      </c>
      <c r="F69" s="504" t="n">
        <f aca="false">IF(MIN(F23,J23,N23),IF(AND(F23=J23,J23=N23),0,MIN(F23,J23,N23)),F23)</f>
        <v>3</v>
      </c>
      <c r="G69" s="505" t="n">
        <f aca="false">IF(MIN(G23,K23,O23),IF(AND(G23=K23,K23=O23),0,MIN(G23,K23,O23)),G23)</f>
        <v>0</v>
      </c>
      <c r="H69" s="502" t="n">
        <f aca="false">IF(MIN(D23,H23,L23),IF(AND(D23=H23,H23=L23),0,MIN(D23,H23,L23)),H23)</f>
        <v>3</v>
      </c>
      <c r="I69" s="503" t="n">
        <f aca="false">IF(MIN(E23,I23,M23),IF(AND(E23=I23,I23=M23),0,MIN(E23,I23,M23)),I23)</f>
        <v>3</v>
      </c>
      <c r="J69" s="504" t="n">
        <f aca="false">IF(MIN(F23,J23,N23),IF(AND(F23=J23,J23=N23),0,MIN(F23,J23,N23)),J23)</f>
        <v>3</v>
      </c>
      <c r="K69" s="505" t="n">
        <f aca="false">IF(MIN(G23,K23,O23),IF(AND(G23=K23,K23=O23),0,MIN(G23,K23,O23)),K23)</f>
        <v>0</v>
      </c>
      <c r="L69" s="502" t="n">
        <f aca="false">IF(MIN(D23,H23,L23),IF(AND(D23=H23,H23=L23),0,MIN(D23,H23,L23)),L23)</f>
        <v>3</v>
      </c>
      <c r="M69" s="503" t="n">
        <f aca="false">IF(MIN(E23,I23,M23),IF(AND(E23=I23,I23=M23),0,MIN(E23,I23,M23)),M23)</f>
        <v>3</v>
      </c>
      <c r="N69" s="504" t="n">
        <f aca="false">IF(MIN(F23,J23,N23),IF(AND(F23=J23,J23=N23),0,MIN(F23,J23,N23)),N23)</f>
        <v>3</v>
      </c>
      <c r="O69" s="505" t="n">
        <f aca="false">IF(MIN(G23,K23,O23),IF(AND(G23=K23,K23=O23),0,MIN(G23,K23,O23)),O23)</f>
        <v>0</v>
      </c>
      <c r="S69" s="495"/>
      <c r="T69" s="495"/>
      <c r="U69" s="495"/>
      <c r="V69" s="495"/>
    </row>
    <row r="70" customFormat="false" ht="15" hidden="false" customHeight="false" outlineLevel="0" collapsed="false">
      <c r="A70" s="488" t="str">
        <f aca="false">A69</f>
        <v>Trikona Shodana Minimum</v>
      </c>
      <c r="B70" s="474" t="str">
        <f aca="false">"TS"&amp;B24</f>
        <v>TSLagna</v>
      </c>
      <c r="C70" s="193" t="n">
        <f aca="false">C24</f>
        <v>5</v>
      </c>
      <c r="D70" s="502" t="n">
        <f aca="false">IF(MIN(D24,H24,L24),IF(AND(D24=H24,H24=L24),0,MIN(D24,H24,L24)),D24)</f>
        <v>3</v>
      </c>
      <c r="E70" s="503" t="n">
        <f aca="false">IF(MIN(E24,I24,M24),IF(AND(E24=I24,I24=M24),0,MIN(E24,I24,M24)),E24)</f>
        <v>3</v>
      </c>
      <c r="F70" s="504" t="n">
        <f aca="false">IF(MIN(F24,J24,N24),IF(AND(F24=J24,J24=N24),0,MIN(F24,J24,N24)),F24)</f>
        <v>4</v>
      </c>
      <c r="G70" s="505" t="n">
        <f aca="false">IF(MIN(G24,K24,O24),IF(AND(G24=K24,K24=O24),0,MIN(G24,K24,O24)),G24)</f>
        <v>2</v>
      </c>
      <c r="H70" s="502" t="n">
        <f aca="false">IF(MIN(D24,H24,L24),IF(AND(D24=H24,H24=L24),0,MIN(D24,H24,L24)),H24)</f>
        <v>3</v>
      </c>
      <c r="I70" s="503" t="n">
        <f aca="false">IF(MIN(E24,I24,M24),IF(AND(E24=I24,I24=M24),0,MIN(E24,I24,M24)),I24)</f>
        <v>3</v>
      </c>
      <c r="J70" s="504" t="n">
        <f aca="false">IF(MIN(F24,J24,N24),IF(AND(F24=J24,J24=N24),0,MIN(F24,J24,N24)),J24)</f>
        <v>4</v>
      </c>
      <c r="K70" s="505" t="n">
        <f aca="false">IF(MIN(G24,K24,O24),IF(AND(G24=K24,K24=O24),0,MIN(G24,K24,O24)),K24)</f>
        <v>2</v>
      </c>
      <c r="L70" s="502" t="n">
        <f aca="false">IF(MIN(D24,H24,L24),IF(AND(D24=H24,H24=L24),0,MIN(D24,H24,L24)),L24)</f>
        <v>3</v>
      </c>
      <c r="M70" s="503" t="n">
        <f aca="false">IF(MIN(E24,I24,M24),IF(AND(E24=I24,I24=M24),0,MIN(E24,I24,M24)),M24)</f>
        <v>3</v>
      </c>
      <c r="N70" s="504" t="n">
        <f aca="false">IF(MIN(F24,J24,N24),IF(AND(F24=J24,J24=N24),0,MIN(F24,J24,N24)),N24)</f>
        <v>4</v>
      </c>
      <c r="O70" s="505" t="n">
        <f aca="false">IF(MIN(G24,K24,O24),IF(AND(G24=K24,K24=O24),0,MIN(G24,K24,O24)),O24)</f>
        <v>2</v>
      </c>
      <c r="S70" s="495"/>
      <c r="T70" s="495"/>
      <c r="U70" s="495"/>
      <c r="V70" s="495"/>
    </row>
    <row r="71" customFormat="false" ht="15" hidden="false" customHeight="false" outlineLevel="0" collapsed="false">
      <c r="A71" s="488" t="str">
        <f aca="false">A70</f>
        <v>Trikona Shodana Minimum</v>
      </c>
      <c r="D71" s="502"/>
      <c r="E71" s="503"/>
      <c r="F71" s="504"/>
      <c r="G71" s="505"/>
      <c r="H71" s="502"/>
      <c r="I71" s="503"/>
      <c r="J71" s="504"/>
      <c r="K71" s="505"/>
      <c r="L71" s="502"/>
      <c r="M71" s="503"/>
      <c r="N71" s="504"/>
      <c r="O71" s="505"/>
      <c r="S71" s="495"/>
      <c r="T71" s="495"/>
      <c r="U71" s="495"/>
      <c r="V71" s="495"/>
    </row>
    <row r="72" customFormat="false" ht="15" hidden="false" customHeight="false" outlineLevel="0" collapsed="false">
      <c r="A72" s="488" t="str">
        <f aca="false">A71</f>
        <v>Trikona Shodana Minimum</v>
      </c>
      <c r="D72" s="506"/>
      <c r="E72" s="507"/>
      <c r="F72" s="508"/>
      <c r="G72" s="509"/>
      <c r="H72" s="506"/>
      <c r="I72" s="507"/>
      <c r="J72" s="508"/>
      <c r="K72" s="509"/>
      <c r="L72" s="506"/>
      <c r="M72" s="507"/>
      <c r="N72" s="508"/>
      <c r="O72" s="509"/>
      <c r="S72" s="495"/>
      <c r="T72" s="495"/>
      <c r="U72" s="495"/>
      <c r="V72" s="495"/>
    </row>
    <row r="73" customFormat="false" ht="16.15" hidden="false" customHeight="false" outlineLevel="0" collapsed="false">
      <c r="A73" s="488" t="str">
        <f aca="false">B73</f>
        <v>Ekadipatya Shodhana</v>
      </c>
      <c r="B73" s="497" t="s">
        <v>760</v>
      </c>
      <c r="C73" s="497"/>
      <c r="D73" s="497"/>
      <c r="E73" s="497"/>
      <c r="F73" s="497"/>
      <c r="G73" s="497"/>
      <c r="H73" s="497"/>
      <c r="I73" s="497"/>
      <c r="J73" s="497"/>
      <c r="K73" s="497"/>
      <c r="L73" s="497"/>
      <c r="M73" s="497"/>
      <c r="N73" s="497"/>
      <c r="O73" s="497"/>
      <c r="S73" s="495"/>
      <c r="T73" s="495"/>
      <c r="U73" s="495"/>
      <c r="V73" s="495"/>
    </row>
    <row r="74" customFormat="false" ht="15" hidden="false" customHeight="false" outlineLevel="0" collapsed="false">
      <c r="A74" s="488" t="str">
        <f aca="false">A73</f>
        <v>Ekadipatya Shodhana</v>
      </c>
      <c r="B74" s="474" t="str">
        <f aca="false">"ES"&amp;B17</f>
        <v>ESSaturn</v>
      </c>
      <c r="C74" s="206"/>
      <c r="D74" s="478" t="n">
        <f aca="false">IF(OR(D$27,NOT(D41*K41)), D41,IF(OR(AND(K$27,D41&lt;=K41),D41=K41), 0,  MIN(D41,K41)))</f>
        <v>2</v>
      </c>
      <c r="E74" s="479" t="n">
        <f aca="false">IF(OR(E$27,NOT(E41*J41)), E41,IF(OR(AND(J$27,E41&lt;=J41),E41=J41), 0,  MIN(E41,J41)))</f>
        <v>3</v>
      </c>
      <c r="F74" s="479" t="n">
        <f aca="false">IF(OR(F$27,NOT(F41*I41)), F41,IF(OR(AND(I$27,F41&lt;=I41),F41=I41), 0,  MIN(F41,I41)))</f>
        <v>1</v>
      </c>
      <c r="G74" s="480" t="n">
        <f aca="false">G41</f>
        <v>0</v>
      </c>
      <c r="H74" s="478" t="n">
        <f aca="false">H41</f>
        <v>0</v>
      </c>
      <c r="I74" s="479" t="n">
        <f aca="false">IF(OR(I$27,NOT(I41*F41)), I41,IF(OR(AND(F$27,I41&lt;=F41),I41=F41), 0,  MIN(I41,F41)))</f>
        <v>0</v>
      </c>
      <c r="J74" s="479" t="n">
        <f aca="false">IF(OR(J$27,NOT(J41*E41)), J41,IF(OR(AND(E$27,J41&lt;=E41),J41=E41), 0,  MIN(J41,E41)))</f>
        <v>3</v>
      </c>
      <c r="K74" s="480" t="n">
        <f aca="false">IF(OR(K$27,NOT(K41*D41)), K41,IF(OR(AND(D$27,K41&lt;=D41),K41=D41), 0,  MIN(K41,D41)))</f>
        <v>0</v>
      </c>
      <c r="L74" s="478" t="n">
        <f aca="false">IF(OR(L$27,NOT(L41*O41)), L41,IF(OR(AND(O$27,L41&lt;=O41),L41=O41), 0,  MIN(L41,O41)))</f>
        <v>0</v>
      </c>
      <c r="M74" s="479" t="n">
        <f aca="false">IF(OR(M$27,NOT(M41*N41)), M41,IF(OR(AND(N$27,M41&lt;=N41),M41=N41), 0,  MIN(M41,N41)))</f>
        <v>0</v>
      </c>
      <c r="N74" s="479" t="n">
        <f aca="false">IF(OR(N$27,NOT(N41*M41)), N41,IF(OR(AND(M$27,N41&lt;=M41),N41=M41), 0,  MIN(N41,M41)))</f>
        <v>0</v>
      </c>
      <c r="O74" s="480" t="n">
        <f aca="false">IF(OR(O$27,NOT(O41*L41)), O41,IF(OR(AND(L$27,O41&lt;=L41),O41=L41), 0,  MIN(O41,L41)))</f>
        <v>2</v>
      </c>
      <c r="S74" s="495"/>
      <c r="T74" s="495"/>
      <c r="U74" s="495"/>
      <c r="V74" s="495"/>
    </row>
    <row r="75" customFormat="false" ht="15" hidden="false" customHeight="false" outlineLevel="0" collapsed="false">
      <c r="A75" s="488" t="str">
        <f aca="false">A74</f>
        <v>Ekadipatya Shodhana</v>
      </c>
      <c r="B75" s="474" t="str">
        <f aca="false">"ES"&amp;B18</f>
        <v>ESVenus</v>
      </c>
      <c r="C75" s="206"/>
      <c r="D75" s="475" t="n">
        <f aca="false">IF(OR(D$27,NOT(D42*K42)), D42,IF(OR(AND(K$27,D42&lt;=K42),D42=K42), 0,  MIN(D42,K42)))</f>
        <v>0</v>
      </c>
      <c r="E75" s="474" t="n">
        <f aca="false">IF(OR(E$27,NOT(E42*J42)), E42,IF(OR(AND(J$27,E42&lt;=J42),E42=J42), 0,  MIN(E42,J42)))</f>
        <v>0</v>
      </c>
      <c r="F75" s="474" t="n">
        <f aca="false">IF(OR(F$27,NOT(F42*I42)), F42,IF(OR(AND(I$27,F42&lt;=I42),F42=I42), 0,  MIN(F42,I42)))</f>
        <v>4</v>
      </c>
      <c r="G75" s="476" t="n">
        <f aca="false">G42</f>
        <v>1</v>
      </c>
      <c r="H75" s="475" t="n">
        <f aca="false">H42</f>
        <v>1</v>
      </c>
      <c r="I75" s="474" t="n">
        <f aca="false">IF(OR(I$27,NOT(I42*F42)), I42,IF(OR(AND(F$27,I42&lt;=F42),I42=F42), 0,  MIN(I42,F42)))</f>
        <v>0</v>
      </c>
      <c r="J75" s="474" t="n">
        <f aca="false">IF(OR(J$27,NOT(J42*E42)), J42,IF(OR(AND(E$27,J42&lt;=E42),J42=E42), 0,  MIN(J42,E42)))</f>
        <v>0</v>
      </c>
      <c r="K75" s="476" t="n">
        <f aca="false">IF(OR(K$27,NOT(K42*D42)), K42,IF(OR(AND(D$27,K42&lt;=D42),K42=D42), 0,  MIN(K42,D42)))</f>
        <v>0</v>
      </c>
      <c r="L75" s="475" t="n">
        <f aca="false">IF(OR(L$27,NOT(L42*O42)), L42,IF(OR(AND(O$27,L42&lt;=O42),L42=O42), 0,  MIN(L42,O42)))</f>
        <v>1</v>
      </c>
      <c r="M75" s="474" t="n">
        <f aca="false">IF(OR(M$27,NOT(M42*N42)), M42,IF(OR(AND(N$27,M42&lt;=N42),M42=N42), 0,  MIN(M42,N42)))</f>
        <v>0</v>
      </c>
      <c r="N75" s="474" t="n">
        <f aca="false">IF(OR(N$27,NOT(N42*M42)), N42,IF(OR(AND(M$27,N42&lt;=M42),N42=M42), 0,  MIN(N42,M42)))</f>
        <v>1</v>
      </c>
      <c r="O75" s="476" t="n">
        <f aca="false">IF(OR(O$27,NOT(O42*L42)), O42,IF(OR(AND(L$27,O42&lt;=L42),O42=L42), 0,  MIN(O42,L42)))</f>
        <v>1</v>
      </c>
      <c r="S75" s="495"/>
      <c r="T75" s="495"/>
      <c r="U75" s="495"/>
      <c r="V75" s="495"/>
    </row>
    <row r="76" customFormat="false" ht="15" hidden="false" customHeight="false" outlineLevel="0" collapsed="false">
      <c r="A76" s="488" t="str">
        <f aca="false">A75</f>
        <v>Ekadipatya Shodhana</v>
      </c>
      <c r="B76" s="474" t="str">
        <f aca="false">"ES"&amp;B19</f>
        <v>ESJupiter</v>
      </c>
      <c r="C76" s="206"/>
      <c r="D76" s="475" t="n">
        <f aca="false">IF(OR(D$27,NOT(D43*K43)), D43,IF(OR(AND(K$27,D43&lt;=K43),D43=K43), 0,  MIN(D43,K43)))</f>
        <v>2</v>
      </c>
      <c r="E76" s="474" t="n">
        <f aca="false">IF(OR(E$27,NOT(E43*J43)), E43,IF(OR(AND(J$27,E43&lt;=J43),E43=J43), 0,  MIN(E43,J43)))</f>
        <v>0</v>
      </c>
      <c r="F76" s="474" t="n">
        <f aca="false">IF(OR(F$27,NOT(F43*I43)), F43,IF(OR(AND(I$27,F43&lt;=I43),F43=I43), 0,  MIN(F43,I43)))</f>
        <v>0</v>
      </c>
      <c r="G76" s="476" t="n">
        <f aca="false">G43</f>
        <v>1</v>
      </c>
      <c r="H76" s="475" t="n">
        <f aca="false">H43</f>
        <v>2</v>
      </c>
      <c r="I76" s="474" t="n">
        <f aca="false">IF(OR(I$27,NOT(I43*F43)), I43,IF(OR(AND(F$27,I43&lt;=F43),I43=F43), 0,  MIN(I43,F43)))</f>
        <v>1</v>
      </c>
      <c r="J76" s="474" t="n">
        <f aca="false">IF(OR(J$27,NOT(J43*E43)), J43,IF(OR(AND(E$27,J43&lt;=E43),J43=E43), 0,  MIN(J43,E43)))</f>
        <v>2</v>
      </c>
      <c r="K76" s="476" t="n">
        <f aca="false">IF(OR(K$27,NOT(K43*D43)), K43,IF(OR(AND(D$27,K43&lt;=D43),K43=D43), 0,  MIN(K43,D43)))</f>
        <v>2</v>
      </c>
      <c r="L76" s="475" t="n">
        <f aca="false">IF(OR(L$27,NOT(L43*O43)), L43,IF(OR(AND(O$27,L43&lt;=O43),L43=O43), 0,  MIN(L43,O43)))</f>
        <v>0</v>
      </c>
      <c r="M76" s="474" t="n">
        <f aca="false">IF(OR(M$27,NOT(M43*N43)), M43,IF(OR(AND(N$27,M43&lt;=N43),M43=N43), 0,  MIN(M43,N43)))</f>
        <v>1</v>
      </c>
      <c r="N76" s="474" t="n">
        <f aca="false">IF(OR(N$27,NOT(N43*M43)), N43,IF(OR(AND(M$27,N43&lt;=M43),N43=M43), 0,  MIN(N43,M43)))</f>
        <v>1</v>
      </c>
      <c r="O76" s="476" t="n">
        <f aca="false">IF(OR(O$27,NOT(O43*L43)), O43,IF(OR(AND(L$27,O43&lt;=L43),O43=L43), 0,  MIN(O43,L43)))</f>
        <v>0</v>
      </c>
      <c r="S76" s="495"/>
      <c r="T76" s="495"/>
      <c r="U76" s="495"/>
      <c r="V76" s="495"/>
    </row>
    <row r="77" customFormat="false" ht="15" hidden="false" customHeight="false" outlineLevel="0" collapsed="false">
      <c r="A77" s="488" t="str">
        <f aca="false">A76</f>
        <v>Ekadipatya Shodhana</v>
      </c>
      <c r="B77" s="474" t="str">
        <f aca="false">"ES"&amp;B20</f>
        <v>ESMercury</v>
      </c>
      <c r="C77" s="206"/>
      <c r="D77" s="475" t="n">
        <f aca="false">IF(OR(D$27,NOT(D44*K44)), D44,IF(OR(AND(K$27,D44&lt;=K44),D44=K44), 0,  MIN(D44,K44)))</f>
        <v>0</v>
      </c>
      <c r="E77" s="474" t="n">
        <f aca="false">IF(OR(E$27,NOT(E44*J44)), E44,IF(OR(AND(J$27,E44&lt;=J44),E44=J44), 0,  MIN(E44,J44)))</f>
        <v>0</v>
      </c>
      <c r="F77" s="474" t="n">
        <f aca="false">IF(OR(F$27,NOT(F44*I44)), F44,IF(OR(AND(I$27,F44&lt;=I44),F44=I44), 0,  MIN(F44,I44)))</f>
        <v>3</v>
      </c>
      <c r="G77" s="476" t="n">
        <f aca="false">G44</f>
        <v>0</v>
      </c>
      <c r="H77" s="475" t="n">
        <f aca="false">H44</f>
        <v>1</v>
      </c>
      <c r="I77" s="474" t="n">
        <f aca="false">IF(OR(I$27,NOT(I44*F44)), I44,IF(OR(AND(F$27,I44&lt;=F44),I44=F44), 0,  MIN(I44,F44)))</f>
        <v>0</v>
      </c>
      <c r="J77" s="474" t="n">
        <f aca="false">IF(OR(J$27,NOT(J44*E44)), J44,IF(OR(AND(E$27,J44&lt;=E44),J44=E44), 0,  MIN(J44,E44)))</f>
        <v>0</v>
      </c>
      <c r="K77" s="476" t="n">
        <f aca="false">IF(OR(K$27,NOT(K44*D44)), K44,IF(OR(AND(D$27,K44&lt;=D44),K44=D44), 0,  MIN(K44,D44)))</f>
        <v>2</v>
      </c>
      <c r="L77" s="475" t="n">
        <f aca="false">IF(OR(L$27,NOT(L44*O44)), L44,IF(OR(AND(O$27,L44&lt;=O44),L44=O44), 0,  MIN(L44,O44)))</f>
        <v>0</v>
      </c>
      <c r="M77" s="474" t="n">
        <f aca="false">IF(OR(M$27,NOT(M44*N44)), M44,IF(OR(AND(N$27,M44&lt;=N44),M44=N44), 0,  MIN(M44,N44)))</f>
        <v>0</v>
      </c>
      <c r="N77" s="474" t="n">
        <f aca="false">IF(OR(N$27,NOT(N44*M44)), N44,IF(OR(AND(M$27,N44&lt;=M44),N44=M44), 0,  MIN(N44,M44)))</f>
        <v>0</v>
      </c>
      <c r="O77" s="476" t="n">
        <f aca="false">IF(OR(O$27,NOT(O44*L44)), O44,IF(OR(AND(L$27,O44&lt;=L44),O44=L44), 0,  MIN(O44,L44)))</f>
        <v>2</v>
      </c>
      <c r="S77" s="495"/>
      <c r="T77" s="495"/>
      <c r="U77" s="495"/>
      <c r="V77" s="495"/>
    </row>
    <row r="78" customFormat="false" ht="15" hidden="false" customHeight="false" outlineLevel="0" collapsed="false">
      <c r="A78" s="488" t="str">
        <f aca="false">A77</f>
        <v>Ekadipatya Shodhana</v>
      </c>
      <c r="B78" s="474" t="str">
        <f aca="false">"ES"&amp;B21</f>
        <v>ESMars</v>
      </c>
      <c r="C78" s="206"/>
      <c r="D78" s="475" t="n">
        <f aca="false">IF(OR(D$27,NOT(D45*K45)), D45,IF(OR(AND(K$27,D45&lt;=K45),D45=K45), 0,  MIN(D45,K45)))</f>
        <v>0</v>
      </c>
      <c r="E78" s="474" t="n">
        <f aca="false">IF(OR(E$27,NOT(E45*J45)), E45,IF(OR(AND(J$27,E45&lt;=J45),E45=J45), 0,  MIN(E45,J45)))</f>
        <v>2</v>
      </c>
      <c r="F78" s="474" t="n">
        <f aca="false">IF(OR(F$27,NOT(F45*I45)), F45,IF(OR(AND(I$27,F45&lt;=I45),F45=I45), 0,  MIN(F45,I45)))</f>
        <v>0</v>
      </c>
      <c r="G78" s="476" t="n">
        <f aca="false">G45</f>
        <v>0</v>
      </c>
      <c r="H78" s="475" t="n">
        <f aca="false">H45</f>
        <v>1</v>
      </c>
      <c r="I78" s="474" t="n">
        <f aca="false">IF(OR(I$27,NOT(I45*F45)), I45,IF(OR(AND(F$27,I45&lt;=F45),I45=F45), 0,  MIN(I45,F45)))</f>
        <v>0</v>
      </c>
      <c r="J78" s="474" t="n">
        <f aca="false">IF(OR(J$27,NOT(J45*E45)), J45,IF(OR(AND(E$27,J45&lt;=E45),J45=E45), 0,  MIN(J45,E45)))</f>
        <v>2</v>
      </c>
      <c r="K78" s="476" t="n">
        <f aca="false">IF(OR(K$27,NOT(K45*D45)), K45,IF(OR(AND(D$27,K45&lt;=D45),K45=D45), 0,  MIN(K45,D45)))</f>
        <v>3</v>
      </c>
      <c r="L78" s="475" t="n">
        <f aca="false">IF(OR(L$27,NOT(L45*O45)), L45,IF(OR(AND(O$27,L45&lt;=O45),L45=O45), 0,  MIN(L45,O45)))</f>
        <v>0</v>
      </c>
      <c r="M78" s="474" t="n">
        <f aca="false">IF(OR(M$27,NOT(M45*N45)), M45,IF(OR(AND(N$27,M45&lt;=N45),M45=N45), 0,  MIN(M45,N45)))</f>
        <v>1</v>
      </c>
      <c r="N78" s="474" t="n">
        <f aca="false">IF(OR(N$27,NOT(N45*M45)), N45,IF(OR(AND(M$27,N45&lt;=M45),N45=M45), 0,  MIN(N45,M45)))</f>
        <v>0</v>
      </c>
      <c r="O78" s="476" t="n">
        <f aca="false">IF(OR(O$27,NOT(O45*L45)), O45,IF(OR(AND(L$27,O45&lt;=L45),O45=L45), 0,  MIN(O45,L45)))</f>
        <v>0</v>
      </c>
      <c r="S78" s="495"/>
      <c r="T78" s="495"/>
      <c r="U78" s="495"/>
      <c r="V78" s="495"/>
    </row>
    <row r="79" customFormat="false" ht="15" hidden="false" customHeight="false" outlineLevel="0" collapsed="false">
      <c r="A79" s="488" t="str">
        <f aca="false">A78</f>
        <v>Ekadipatya Shodhana</v>
      </c>
      <c r="B79" s="474" t="str">
        <f aca="false">"ES"&amp;B22</f>
        <v>ESMoon</v>
      </c>
      <c r="C79" s="206"/>
      <c r="D79" s="475" t="n">
        <f aca="false">IF(OR(D$27,NOT(D46*K46)), D46,IF(OR(AND(K$27,D46&lt;=K46),D46=K46), 0,  MIN(D46,K46)))</f>
        <v>0</v>
      </c>
      <c r="E79" s="474" t="n">
        <f aca="false">IF(OR(E$27,NOT(E46*J46)), E46,IF(OR(AND(J$27,E46&lt;=J46),E46=J46), 0,  MIN(E46,J46)))</f>
        <v>2</v>
      </c>
      <c r="F79" s="474" t="n">
        <f aca="false">IF(OR(F$27,NOT(F46*I46)), F46,IF(OR(AND(I$27,F46&lt;=I46),F46=I46), 0,  MIN(F46,I46)))</f>
        <v>0</v>
      </c>
      <c r="G79" s="476" t="n">
        <f aca="false">G46</f>
        <v>0</v>
      </c>
      <c r="H79" s="475" t="n">
        <f aca="false">H46</f>
        <v>0</v>
      </c>
      <c r="I79" s="474" t="n">
        <f aca="false">IF(OR(I$27,NOT(I46*F46)), I46,IF(OR(AND(F$27,I46&lt;=F46),I46=F46), 0,  MIN(I46,F46)))</f>
        <v>1</v>
      </c>
      <c r="J79" s="474" t="n">
        <f aca="false">IF(OR(J$27,NOT(J46*E46)), J46,IF(OR(AND(E$27,J46&lt;=E46),J46=E46), 0,  MIN(J46,E46)))</f>
        <v>2</v>
      </c>
      <c r="K79" s="476" t="n">
        <f aca="false">IF(OR(K$27,NOT(K46*D46)), K46,IF(OR(AND(D$27,K46&lt;=D46),K46=D46), 0,  MIN(K46,D46)))</f>
        <v>1</v>
      </c>
      <c r="L79" s="475" t="n">
        <f aca="false">IF(OR(L$27,NOT(L46*O46)), L46,IF(OR(AND(O$27,L46&lt;=O46),L46=O46), 0,  MIN(L46,O46)))</f>
        <v>0</v>
      </c>
      <c r="M79" s="474" t="n">
        <f aca="false">IF(OR(M$27,NOT(M46*N46)), M46,IF(OR(AND(N$27,M46&lt;=N46),M46=N46), 0,  MIN(M46,N46)))</f>
        <v>0</v>
      </c>
      <c r="N79" s="474" t="n">
        <f aca="false">IF(OR(N$27,NOT(N46*M46)), N46,IF(OR(AND(M$27,N46&lt;=M46),N46=M46), 0,  MIN(N46,M46)))</f>
        <v>3</v>
      </c>
      <c r="O79" s="476" t="n">
        <f aca="false">IF(OR(O$27,NOT(O46*L46)), O46,IF(OR(AND(L$27,O46&lt;=L46),O46=L46), 0,  MIN(O46,L46)))</f>
        <v>0</v>
      </c>
      <c r="S79" s="495"/>
      <c r="T79" s="495"/>
      <c r="U79" s="495"/>
      <c r="V79" s="495"/>
    </row>
    <row r="80" customFormat="false" ht="15" hidden="false" customHeight="false" outlineLevel="0" collapsed="false">
      <c r="A80" s="488" t="str">
        <f aca="false">A79</f>
        <v>Ekadipatya Shodhana</v>
      </c>
      <c r="B80" s="474" t="str">
        <f aca="false">"ES"&amp;B23</f>
        <v>ESSun</v>
      </c>
      <c r="C80" s="206"/>
      <c r="D80" s="475" t="n">
        <f aca="false">IF(OR(D$27,NOT(D47*K47)), D47,IF(OR(AND(K$27,D47&lt;=K47),D47=K47), 0,  MIN(D47,K47)))</f>
        <v>1</v>
      </c>
      <c r="E80" s="474" t="n">
        <f aca="false">IF(OR(E$27,NOT(E47*J47)), E47,IF(OR(AND(J$27,E47&lt;=J47),E47=J47), 0,  MIN(E47,J47)))</f>
        <v>2</v>
      </c>
      <c r="F80" s="474" t="n">
        <f aca="false">IF(OR(F$27,NOT(F47*I47)), F47,IF(OR(AND(I$27,F47&lt;=I47),F47=I47), 0,  MIN(F47,I47)))</f>
        <v>0</v>
      </c>
      <c r="G80" s="476" t="n">
        <f aca="false">G47</f>
        <v>0</v>
      </c>
      <c r="H80" s="475" t="n">
        <f aca="false">H47</f>
        <v>0</v>
      </c>
      <c r="I80" s="474" t="n">
        <f aca="false">IF(OR(I$27,NOT(I47*F47)), I47,IF(OR(AND(F$27,I47&lt;=F47),I47=F47), 0,  MIN(I47,F47)))</f>
        <v>0</v>
      </c>
      <c r="J80" s="474" t="n">
        <f aca="false">IF(OR(J$27,NOT(J47*E47)), J47,IF(OR(AND(E$27,J47&lt;=E47),J47=E47), 0,  MIN(J47,E47)))</f>
        <v>0</v>
      </c>
      <c r="K80" s="476" t="n">
        <f aca="false">IF(OR(K$27,NOT(K47*D47)), K47,IF(OR(AND(D$27,K47&lt;=D47),K47=D47), 0,  MIN(K47,D47)))</f>
        <v>0</v>
      </c>
      <c r="L80" s="475" t="n">
        <f aca="false">IF(OR(L$27,NOT(L47*O47)), L47,IF(OR(AND(O$27,L47&lt;=O47),L47=O47), 0,  MIN(L47,O47)))</f>
        <v>0</v>
      </c>
      <c r="M80" s="474" t="n">
        <f aca="false">IF(OR(M$27,NOT(M47*N47)), M47,IF(OR(AND(N$27,M47&lt;=N47),M47=N47), 0,  MIN(M47,N47)))</f>
        <v>1</v>
      </c>
      <c r="N80" s="474" t="n">
        <f aca="false">IF(OR(N$27,NOT(N47*M47)), N47,IF(OR(AND(M$27,N47&lt;=M47),N47=M47), 0,  MIN(N47,M47)))</f>
        <v>0</v>
      </c>
      <c r="O80" s="476" t="n">
        <f aca="false">IF(OR(O$27,NOT(O47*L47)), O47,IF(OR(AND(L$27,O47&lt;=L47),O47=L47), 0,  MIN(O47,L47)))</f>
        <v>0</v>
      </c>
      <c r="S80" s="495"/>
      <c r="T80" s="495"/>
      <c r="U80" s="495"/>
      <c r="V80" s="495"/>
    </row>
    <row r="81" customFormat="false" ht="16.15" hidden="false" customHeight="false" outlineLevel="0" collapsed="false">
      <c r="A81" s="488" t="str">
        <f aca="false">A80</f>
        <v>Ekadipatya Shodhana</v>
      </c>
      <c r="B81" s="474" t="str">
        <f aca="false">"ES"&amp;B24</f>
        <v>ESLagna</v>
      </c>
      <c r="C81" s="206"/>
      <c r="D81" s="475" t="n">
        <f aca="false">IF(OR(D$27,NOT(D48*K48)), D48,IF(OR(AND(K$27,D48&lt;=K48),D48=K48), 0,  MIN(D48,K48)))</f>
        <v>1</v>
      </c>
      <c r="E81" s="474" t="n">
        <f aca="false">IF(OR(E$27,NOT(E48*J48)), E48,IF(OR(AND(J$27,E48&lt;=J48),E48=J48), 0,  MIN(E48,J48)))</f>
        <v>2</v>
      </c>
      <c r="F81" s="474" t="n">
        <f aca="false">IF(OR(F$27,NOT(F48*I48)), F48,IF(OR(AND(I$27,F48&lt;=I48),F48=I48), 0,  MIN(F48,I48)))</f>
        <v>0</v>
      </c>
      <c r="G81" s="476" t="n">
        <f aca="false">G48</f>
        <v>3</v>
      </c>
      <c r="H81" s="475" t="n">
        <f aca="false">H48</f>
        <v>1</v>
      </c>
      <c r="I81" s="474" t="n">
        <f aca="false">IF(OR(I$27,NOT(I48*F48)), I48,IF(OR(AND(F$27,I48&lt;=F48),I48=F48), 0,  MIN(I48,F48)))</f>
        <v>0</v>
      </c>
      <c r="J81" s="474" t="n">
        <f aca="false">IF(OR(J$27,NOT(J48*E48)), J48,IF(OR(AND(E$27,J48&lt;=E48),J48=E48), 0,  MIN(J48,E48)))</f>
        <v>2</v>
      </c>
      <c r="K81" s="476" t="n">
        <f aca="false">IF(OR(K$27,NOT(K48*D48)), K48,IF(OR(AND(D$27,K48&lt;=D48),K48=D48), 0,  MIN(K48,D48)))</f>
        <v>0</v>
      </c>
      <c r="L81" s="475" t="n">
        <f aca="false">IF(OR(L$27,NOT(L48*O48)), L48,IF(OR(AND(O$27,L48&lt;=O48),L48=O48), 0,  MIN(L48,O48)))</f>
        <v>0</v>
      </c>
      <c r="M81" s="474" t="n">
        <f aca="false">IF(OR(M$27,NOT(M48*N48)), M48,IF(OR(AND(N$27,M48&lt;=N48),M48=N48), 0,  MIN(M48,N48)))</f>
        <v>0</v>
      </c>
      <c r="N81" s="474" t="n">
        <f aca="false">IF(OR(N$27,NOT(N48*M48)), N48,IF(OR(AND(M$27,N48&lt;=M48),N48=M48), 0,  MIN(N48,M48)))</f>
        <v>1</v>
      </c>
      <c r="O81" s="476" t="n">
        <f aca="false">IF(OR(O$27,NOT(O48*L48)), O48,IF(OR(AND(L$27,O48&lt;=L48),O48=L48), 0,  MIN(O48,L48)))</f>
        <v>2</v>
      </c>
      <c r="Q81" s="474"/>
      <c r="S81" s="495"/>
      <c r="T81" s="495"/>
      <c r="U81" s="495"/>
      <c r="V81" s="495"/>
      <c r="AB81" s="512" t="s">
        <v>761</v>
      </c>
    </row>
    <row r="82" customFormat="false" ht="15" hidden="false" customHeight="false" outlineLevel="0" collapsed="false">
      <c r="A82" s="488" t="str">
        <f aca="false">A81</f>
        <v>Ekadipatya Shodhana</v>
      </c>
      <c r="B82" s="474" t="str">
        <f aca="false">"ES"&amp;B25</f>
        <v>ESSarva+L</v>
      </c>
      <c r="C82" s="206"/>
      <c r="D82" s="475" t="n">
        <f aca="false">IF(OR(D$27,NOT(D49*K49)), D49,IF(OR(AND(K$27,D49&lt;=K49),D49=K49), 0,  MIN(D49,K49)))</f>
        <v>0</v>
      </c>
      <c r="E82" s="474" t="n">
        <f aca="false">IF(OR(E$27,NOT(E49*J49)), E49,IF(OR(AND(J$27,E49&lt;=J49),E49=J49), 0,  MIN(E49,J49)))</f>
        <v>0</v>
      </c>
      <c r="F82" s="474" t="n">
        <f aca="false">IF(OR(F$27,NOT(F49*I49)), F49,IF(OR(AND(I$27,F49&lt;=I49),F49=I49), 0,  MIN(F49,I49)))</f>
        <v>0</v>
      </c>
      <c r="G82" s="476" t="n">
        <f aca="false">G49</f>
        <v>0</v>
      </c>
      <c r="H82" s="475" t="n">
        <f aca="false">H49</f>
        <v>0</v>
      </c>
      <c r="I82" s="474" t="n">
        <f aca="false">IF(OR(I$27,NOT(I49*F49)), I49,IF(OR(AND(F$27,I49&lt;=F49),I49=F49), 0,  MIN(I49,F49)))</f>
        <v>0</v>
      </c>
      <c r="J82" s="474" t="n">
        <f aca="false">IF(OR(J$27,NOT(J49*E49)), J49,IF(OR(AND(E$27,J49&lt;=E49),J49=E49), 0,  MIN(J49,E49)))</f>
        <v>0</v>
      </c>
      <c r="K82" s="476" t="n">
        <f aca="false">IF(OR(K$27,NOT(K49*D49)), K49,IF(OR(AND(D$27,K49&lt;=D49),K49=D49), 0,  MIN(K49,D49)))</f>
        <v>0</v>
      </c>
      <c r="L82" s="475" t="n">
        <f aca="false">IF(OR(L$27,NOT(L49*O49)), L49,IF(OR(AND(O$27,L49&lt;=O49),L49=O49), 0,  MIN(L49,O49)))</f>
        <v>0</v>
      </c>
      <c r="M82" s="474" t="n">
        <f aca="false">IF(OR(M$27,NOT(M49*N49)), M49,IF(OR(AND(N$27,M49&lt;=N49),M49=N49), 0,  MIN(M49,N49)))</f>
        <v>0</v>
      </c>
      <c r="N82" s="474" t="n">
        <f aca="false">IF(OR(N$27,NOT(N49*M49)), N49,IF(OR(AND(M$27,N49&lt;=M49),N49=M49), 0,  MIN(N49,M49)))</f>
        <v>0</v>
      </c>
      <c r="O82" s="476" t="n">
        <f aca="false">IF(OR(O$27,NOT(O49*L49)), O49,IF(OR(AND(L$27,O49&lt;=L49),O49=L49), 0,  MIN(O49,L49)))</f>
        <v>0</v>
      </c>
      <c r="S82" s="495"/>
      <c r="T82" s="495"/>
      <c r="U82" s="495"/>
      <c r="V82" s="495"/>
      <c r="X82" s="474" t="s">
        <v>762</v>
      </c>
      <c r="Y82" s="193" t="b">
        <f aca="false">FALSE()</f>
        <v>0</v>
      </c>
    </row>
    <row r="83" customFormat="false" ht="15" hidden="false" customHeight="false" outlineLevel="0" collapsed="false">
      <c r="A83" s="488" t="str">
        <f aca="false">A82</f>
        <v>Ekadipatya Shodhana</v>
      </c>
      <c r="B83" s="474" t="str">
        <f aca="false">"ES"&amp;B26</f>
        <v>ESSarva-L</v>
      </c>
      <c r="D83" s="475" t="n">
        <f aca="false">IF(OR(D$27,NOT(D50*K50)), D50,IF(OR(AND(K$27,D50&lt;=K50),D50=K50), 0,  MIN(D50,K50)))</f>
        <v>0</v>
      </c>
      <c r="E83" s="474" t="n">
        <f aca="false">IF(OR(E$27,NOT(E50*J50)), E50,IF(OR(AND(J$27,E50&lt;=J50),E50=J50), 0,  MIN(E50,J50)))</f>
        <v>0</v>
      </c>
      <c r="F83" s="474" t="n">
        <f aca="false">IF(OR(F$27,NOT(F50*I50)), F50,IF(OR(AND(I$27,F50&lt;=I50),F50=I50), 0,  MIN(F50,I50)))</f>
        <v>0</v>
      </c>
      <c r="G83" s="476" t="n">
        <f aca="false">G50</f>
        <v>0</v>
      </c>
      <c r="H83" s="475" t="n">
        <f aca="false">H50</f>
        <v>0</v>
      </c>
      <c r="I83" s="474" t="n">
        <f aca="false">IF(OR(I$27,NOT(I50*F50)), I50,IF(OR(AND(F$27,I50&lt;=F50),I50=F50), 0,  MIN(I50,F50)))</f>
        <v>0</v>
      </c>
      <c r="J83" s="474" t="n">
        <f aca="false">IF(OR(J$27,NOT(J50*E50)), J50,IF(OR(AND(E$27,J50&lt;=E50),J50=E50), 0,  MIN(J50,E50)))</f>
        <v>0</v>
      </c>
      <c r="K83" s="476" t="n">
        <f aca="false">IF(OR(K$27,NOT(K50*D50)), K50,IF(OR(AND(D$27,K50&lt;=D50),K50=D50), 0,  MIN(K50,D50)))</f>
        <v>0</v>
      </c>
      <c r="L83" s="475" t="n">
        <f aca="false">IF(OR(L$27,NOT(L50*O50)), L50,IF(OR(AND(O$27,L50&lt;=O50),L50=O50), 0,  MIN(L50,O50)))</f>
        <v>0</v>
      </c>
      <c r="M83" s="474" t="n">
        <f aca="false">IF(OR(M$27,NOT(M50*N50)), M50,IF(OR(AND(N$27,M50&lt;=N50),M50=N50), 0,  MIN(M50,N50)))</f>
        <v>0</v>
      </c>
      <c r="N83" s="474" t="n">
        <f aca="false">IF(OR(N$27,NOT(N50*M50)), N50,IF(OR(AND(M$27,N50&lt;=M50),N50=M50), 0,  MIN(N50,M50)))</f>
        <v>0</v>
      </c>
      <c r="O83" s="476" t="n">
        <f aca="false">IF(OR(O$27,NOT(O50*L50)), O50,IF(OR(AND(L$27,O50&lt;=L50),O50=L50), 0,  MIN(O50,L50)))</f>
        <v>0</v>
      </c>
      <c r="S83" s="495"/>
      <c r="T83" s="495"/>
      <c r="U83" s="495"/>
      <c r="V83" s="495"/>
      <c r="Z83" s="474" t="str">
        <f aca="false">IF(NOT(Y82),"From Graha Good and Bad Transit of ","Good and Bad transits of graha from ")</f>
        <v>From Graha Good and Bad Transit of </v>
      </c>
    </row>
    <row r="84" customFormat="false" ht="15" hidden="false" customHeight="false" outlineLevel="0" collapsed="false">
      <c r="A84" s="488" t="str">
        <f aca="false">A83</f>
        <v>Ekadipatya Shodhana</v>
      </c>
      <c r="D84" s="492" t="n">
        <f aca="false">IF(OR(D$27,NOT(D51*K51)), D51,IF(OR(AND(K$27,D51&lt;=K51),D51=K51), 0,  MIN(D51,K51)))</f>
        <v>0</v>
      </c>
      <c r="E84" s="493" t="n">
        <f aca="false">IF(OR(E$27,NOT(E51*J51)), E51,IF(OR(AND(J$27,E51&lt;=J51),E51=J51), 0,  MIN(E51,J51)))</f>
        <v>0</v>
      </c>
      <c r="F84" s="493" t="n">
        <f aca="false">IF(OR(F$27,NOT(F51*I51)), F51,IF(OR(AND(I$27,F51&lt;=I51),F51=I51), 0,  MIN(F51,I51)))</f>
        <v>0</v>
      </c>
      <c r="G84" s="494" t="n">
        <f aca="false">G51</f>
        <v>0</v>
      </c>
      <c r="H84" s="492" t="n">
        <f aca="false">H51</f>
        <v>0</v>
      </c>
      <c r="I84" s="493" t="n">
        <f aca="false">IF(OR(I$27,NOT(I51*F51)), I51,IF(OR(AND(F$27,I51&lt;=F51),I51=F51), 0,  MIN(I51,F51)))</f>
        <v>0</v>
      </c>
      <c r="J84" s="493" t="n">
        <f aca="false">IF(OR(J$27,NOT(J51*E51)), J51,IF(OR(AND(E$27,J51&lt;=E51),J51=E51), 0,  MIN(J51,E51)))</f>
        <v>0</v>
      </c>
      <c r="K84" s="494" t="n">
        <f aca="false">IF(OR(K$27,NOT(K51*D51)), K51,IF(OR(AND(D$27,K51&lt;=D51),K51=D51), 0,  MIN(K51,D51)))</f>
        <v>0</v>
      </c>
      <c r="L84" s="492" t="n">
        <f aca="false">IF(OR(L$27,NOT(L51*O51)), L51,IF(OR(AND(O$27,L51&lt;=O51),L51=O51), 0,  MIN(L51,O51)))</f>
        <v>0</v>
      </c>
      <c r="M84" s="493" t="n">
        <f aca="false">IF(OR(M$27,NOT(M51*N51)), M51,IF(OR(AND(N$27,M51&lt;=N51),M51=N51), 0,  MIN(M51,N51)))</f>
        <v>0</v>
      </c>
      <c r="N84" s="493" t="n">
        <f aca="false">IF(OR(N$27,NOT(N51*M51)), N51,IF(OR(AND(M$27,N51&lt;=M51),N51=M51), 0,  MIN(N51,M51)))</f>
        <v>0</v>
      </c>
      <c r="O84" s="494" t="n">
        <f aca="false">IF(OR(O$27,NOT(O51*L51)), O51,IF(OR(AND(L$27,O51&lt;=L51),O51=L51), 0,  MIN(O51,L51)))</f>
        <v>0</v>
      </c>
    </row>
    <row r="85" customFormat="false" ht="16.15" hidden="false" customHeight="false" outlineLevel="0" collapsed="false">
      <c r="A85" s="488" t="str">
        <f aca="false">B85</f>
        <v>Rashi Pinda</v>
      </c>
      <c r="B85" s="497" t="s">
        <v>763</v>
      </c>
      <c r="C85" s="497"/>
      <c r="D85" s="497"/>
      <c r="E85" s="497"/>
      <c r="F85" s="497"/>
      <c r="G85" s="497"/>
      <c r="H85" s="497"/>
      <c r="I85" s="497"/>
      <c r="J85" s="497"/>
      <c r="K85" s="497"/>
      <c r="L85" s="497"/>
      <c r="M85" s="497"/>
      <c r="N85" s="497"/>
      <c r="O85" s="497"/>
      <c r="P85" s="39" t="s">
        <v>764</v>
      </c>
    </row>
    <row r="86" customFormat="false" ht="15" hidden="false" customHeight="false" outlineLevel="0" collapsed="false">
      <c r="A86" s="488" t="str">
        <f aca="false">A85</f>
        <v>Rashi Pinda</v>
      </c>
      <c r="B86" s="474" t="str">
        <f aca="false">"RP"&amp;B74</f>
        <v>RPESSaturn</v>
      </c>
      <c r="D86" s="474" t="n">
        <f aca="false">D74*D$28</f>
        <v>14</v>
      </c>
      <c r="E86" s="474" t="n">
        <f aca="false">E74*E$28</f>
        <v>30</v>
      </c>
      <c r="F86" s="474" t="n">
        <f aca="false">F74*F$28</f>
        <v>8</v>
      </c>
      <c r="G86" s="474" t="n">
        <f aca="false">G74*G$28</f>
        <v>0</v>
      </c>
      <c r="H86" s="474" t="n">
        <f aca="false">H74*H$28</f>
        <v>0</v>
      </c>
      <c r="I86" s="474" t="n">
        <f aca="false">I74*I$28</f>
        <v>0</v>
      </c>
      <c r="J86" s="474" t="n">
        <f aca="false">J74*J$28</f>
        <v>21</v>
      </c>
      <c r="K86" s="474" t="n">
        <f aca="false">K74*K$28</f>
        <v>0</v>
      </c>
      <c r="L86" s="474" t="n">
        <f aca="false">L74*L$28</f>
        <v>0</v>
      </c>
      <c r="M86" s="474" t="n">
        <f aca="false">M74*M$28</f>
        <v>0</v>
      </c>
      <c r="N86" s="474" t="n">
        <f aca="false">N74*N$28</f>
        <v>0</v>
      </c>
      <c r="O86" s="474" t="n">
        <f aca="false">O74*O$28</f>
        <v>24</v>
      </c>
      <c r="P86" s="39" t="n">
        <f aca="false">SUM(D86:O86)</f>
        <v>97</v>
      </c>
      <c r="T86" s="495"/>
      <c r="U86" s="495"/>
      <c r="V86" s="495"/>
    </row>
    <row r="87" customFormat="false" ht="15" hidden="false" customHeight="false" outlineLevel="0" collapsed="false">
      <c r="A87" s="488" t="str">
        <f aca="false">A86</f>
        <v>Rashi Pinda</v>
      </c>
      <c r="B87" s="474" t="str">
        <f aca="false">"RP"&amp;B75</f>
        <v>RPESVenus</v>
      </c>
      <c r="D87" s="474" t="n">
        <f aca="false">D75*D$28</f>
        <v>0</v>
      </c>
      <c r="E87" s="474" t="n">
        <f aca="false">E75*E$28</f>
        <v>0</v>
      </c>
      <c r="F87" s="474" t="n">
        <f aca="false">F75*F$28</f>
        <v>32</v>
      </c>
      <c r="G87" s="474" t="n">
        <f aca="false">G75*G$28</f>
        <v>4</v>
      </c>
      <c r="H87" s="474" t="n">
        <f aca="false">H75*H$28</f>
        <v>10</v>
      </c>
      <c r="I87" s="474" t="n">
        <f aca="false">I75*I$28</f>
        <v>0</v>
      </c>
      <c r="J87" s="474" t="n">
        <f aca="false">J75*J$28</f>
        <v>0</v>
      </c>
      <c r="K87" s="474" t="n">
        <f aca="false">K75*K$28</f>
        <v>0</v>
      </c>
      <c r="L87" s="474" t="n">
        <f aca="false">L75*L$28</f>
        <v>9</v>
      </c>
      <c r="M87" s="474" t="n">
        <f aca="false">M75*M$28</f>
        <v>0</v>
      </c>
      <c r="N87" s="474" t="n">
        <f aca="false">N75*N$28</f>
        <v>11</v>
      </c>
      <c r="O87" s="474" t="n">
        <f aca="false">O75*O$28</f>
        <v>12</v>
      </c>
      <c r="P87" s="39" t="n">
        <f aca="false">SUM(D87:O87)</f>
        <v>78</v>
      </c>
      <c r="T87" s="495"/>
      <c r="U87" s="495"/>
      <c r="V87" s="495"/>
    </row>
    <row r="88" customFormat="false" ht="15" hidden="false" customHeight="false" outlineLevel="0" collapsed="false">
      <c r="A88" s="488" t="str">
        <f aca="false">A87</f>
        <v>Rashi Pinda</v>
      </c>
      <c r="B88" s="474" t="str">
        <f aca="false">"RP"&amp;B76</f>
        <v>RPESJupiter</v>
      </c>
      <c r="D88" s="474" t="n">
        <f aca="false">D76*D$28</f>
        <v>14</v>
      </c>
      <c r="E88" s="474" t="n">
        <f aca="false">E76*E$28</f>
        <v>0</v>
      </c>
      <c r="F88" s="474" t="n">
        <f aca="false">F76*F$28</f>
        <v>0</v>
      </c>
      <c r="G88" s="474" t="n">
        <f aca="false">G76*G$28</f>
        <v>4</v>
      </c>
      <c r="H88" s="474" t="n">
        <f aca="false">H76*H$28</f>
        <v>20</v>
      </c>
      <c r="I88" s="474" t="n">
        <f aca="false">I76*I$28</f>
        <v>5</v>
      </c>
      <c r="J88" s="474" t="n">
        <f aca="false">J76*J$28</f>
        <v>14</v>
      </c>
      <c r="K88" s="474" t="n">
        <f aca="false">K76*K$28</f>
        <v>16</v>
      </c>
      <c r="L88" s="474" t="n">
        <f aca="false">L76*L$28</f>
        <v>0</v>
      </c>
      <c r="M88" s="474" t="n">
        <f aca="false">M76*M$28</f>
        <v>5</v>
      </c>
      <c r="N88" s="474" t="n">
        <f aca="false">N76*N$28</f>
        <v>11</v>
      </c>
      <c r="O88" s="474" t="n">
        <f aca="false">O76*O$28</f>
        <v>0</v>
      </c>
      <c r="P88" s="39" t="n">
        <f aca="false">SUM(D88:O88)</f>
        <v>89</v>
      </c>
      <c r="T88" s="495"/>
      <c r="U88" s="495"/>
      <c r="V88" s="495"/>
    </row>
    <row r="89" customFormat="false" ht="15" hidden="false" customHeight="false" outlineLevel="0" collapsed="false">
      <c r="A89" s="488" t="str">
        <f aca="false">A88</f>
        <v>Rashi Pinda</v>
      </c>
      <c r="B89" s="474" t="str">
        <f aca="false">"RP"&amp;B77</f>
        <v>RPESMercury</v>
      </c>
      <c r="D89" s="474" t="n">
        <f aca="false">D77*D$28</f>
        <v>0</v>
      </c>
      <c r="E89" s="474" t="n">
        <f aca="false">E77*E$28</f>
        <v>0</v>
      </c>
      <c r="F89" s="474" t="n">
        <f aca="false">F77*F$28</f>
        <v>24</v>
      </c>
      <c r="G89" s="474" t="n">
        <f aca="false">G77*G$28</f>
        <v>0</v>
      </c>
      <c r="H89" s="474" t="n">
        <f aca="false">H77*H$28</f>
        <v>10</v>
      </c>
      <c r="I89" s="474" t="n">
        <f aca="false">I77*I$28</f>
        <v>0</v>
      </c>
      <c r="J89" s="474" t="n">
        <f aca="false">J77*J$28</f>
        <v>0</v>
      </c>
      <c r="K89" s="474" t="n">
        <f aca="false">K77*K$28</f>
        <v>16</v>
      </c>
      <c r="L89" s="474" t="n">
        <f aca="false">L77*L$28</f>
        <v>0</v>
      </c>
      <c r="M89" s="474" t="n">
        <f aca="false">M77*M$28</f>
        <v>0</v>
      </c>
      <c r="N89" s="474" t="n">
        <f aca="false">N77*N$28</f>
        <v>0</v>
      </c>
      <c r="O89" s="474" t="n">
        <f aca="false">O77*O$28</f>
        <v>24</v>
      </c>
      <c r="P89" s="39" t="n">
        <f aca="false">SUM(D89:O89)</f>
        <v>74</v>
      </c>
      <c r="T89" s="495"/>
      <c r="U89" s="495"/>
      <c r="V89" s="495"/>
    </row>
    <row r="90" customFormat="false" ht="15" hidden="false" customHeight="false" outlineLevel="0" collapsed="false">
      <c r="A90" s="488" t="str">
        <f aca="false">A89</f>
        <v>Rashi Pinda</v>
      </c>
      <c r="B90" s="474" t="str">
        <f aca="false">"RP"&amp;B78</f>
        <v>RPESMars</v>
      </c>
      <c r="D90" s="474" t="n">
        <f aca="false">D78*D$28</f>
        <v>0</v>
      </c>
      <c r="E90" s="474" t="n">
        <f aca="false">E78*E$28</f>
        <v>20</v>
      </c>
      <c r="F90" s="474" t="n">
        <f aca="false">F78*F$28</f>
        <v>0</v>
      </c>
      <c r="G90" s="474" t="n">
        <f aca="false">G78*G$28</f>
        <v>0</v>
      </c>
      <c r="H90" s="474" t="n">
        <f aca="false">H78*H$28</f>
        <v>10</v>
      </c>
      <c r="I90" s="474" t="n">
        <f aca="false">I78*I$28</f>
        <v>0</v>
      </c>
      <c r="J90" s="474" t="n">
        <f aca="false">J78*J$28</f>
        <v>14</v>
      </c>
      <c r="K90" s="474" t="n">
        <f aca="false">K78*K$28</f>
        <v>24</v>
      </c>
      <c r="L90" s="474" t="n">
        <f aca="false">L78*L$28</f>
        <v>0</v>
      </c>
      <c r="M90" s="474" t="n">
        <f aca="false">M78*M$28</f>
        <v>5</v>
      </c>
      <c r="N90" s="474" t="n">
        <f aca="false">N78*N$28</f>
        <v>0</v>
      </c>
      <c r="O90" s="474" t="n">
        <f aca="false">O78*O$28</f>
        <v>0</v>
      </c>
      <c r="P90" s="39" t="n">
        <f aca="false">SUM(D90:O90)</f>
        <v>73</v>
      </c>
      <c r="T90" s="495"/>
      <c r="U90" s="495"/>
      <c r="V90" s="495"/>
    </row>
    <row r="91" customFormat="false" ht="15" hidden="false" customHeight="false" outlineLevel="0" collapsed="false">
      <c r="A91" s="488" t="str">
        <f aca="false">A90</f>
        <v>Rashi Pinda</v>
      </c>
      <c r="B91" s="474" t="str">
        <f aca="false">"RP"&amp;B79</f>
        <v>RPESMoon</v>
      </c>
      <c r="D91" s="474" t="n">
        <f aca="false">D79*D$28</f>
        <v>0</v>
      </c>
      <c r="E91" s="474" t="n">
        <f aca="false">E79*E$28</f>
        <v>20</v>
      </c>
      <c r="F91" s="474" t="n">
        <f aca="false">F79*F$28</f>
        <v>0</v>
      </c>
      <c r="G91" s="474" t="n">
        <f aca="false">G79*G$28</f>
        <v>0</v>
      </c>
      <c r="H91" s="474" t="n">
        <f aca="false">H79*H$28</f>
        <v>0</v>
      </c>
      <c r="I91" s="474" t="n">
        <f aca="false">I79*I$28</f>
        <v>5</v>
      </c>
      <c r="J91" s="474" t="n">
        <f aca="false">J79*J$28</f>
        <v>14</v>
      </c>
      <c r="K91" s="474" t="n">
        <f aca="false">K79*K$28</f>
        <v>8</v>
      </c>
      <c r="L91" s="474" t="n">
        <f aca="false">L79*L$28</f>
        <v>0</v>
      </c>
      <c r="M91" s="474" t="n">
        <f aca="false">M79*M$28</f>
        <v>0</v>
      </c>
      <c r="N91" s="474" t="n">
        <f aca="false">N79*N$28</f>
        <v>33</v>
      </c>
      <c r="O91" s="474" t="n">
        <f aca="false">O79*O$28</f>
        <v>0</v>
      </c>
      <c r="P91" s="39" t="n">
        <f aca="false">SUM(D91:O91)</f>
        <v>80</v>
      </c>
      <c r="T91" s="495"/>
      <c r="U91" s="495"/>
      <c r="V91" s="495"/>
    </row>
    <row r="92" customFormat="false" ht="15" hidden="false" customHeight="false" outlineLevel="0" collapsed="false">
      <c r="A92" s="488" t="str">
        <f aca="false">A91</f>
        <v>Rashi Pinda</v>
      </c>
      <c r="B92" s="474" t="str">
        <f aca="false">"RP"&amp;B80</f>
        <v>RPESSun</v>
      </c>
      <c r="D92" s="474" t="n">
        <f aca="false">D80*D$28</f>
        <v>7</v>
      </c>
      <c r="E92" s="474" t="n">
        <f aca="false">E80*E$28</f>
        <v>20</v>
      </c>
      <c r="F92" s="474" t="n">
        <f aca="false">F80*F$28</f>
        <v>0</v>
      </c>
      <c r="G92" s="474" t="n">
        <f aca="false">G80*G$28</f>
        <v>0</v>
      </c>
      <c r="H92" s="474" t="n">
        <f aca="false">H80*H$28</f>
        <v>0</v>
      </c>
      <c r="I92" s="474" t="n">
        <f aca="false">I80*I$28</f>
        <v>0</v>
      </c>
      <c r="J92" s="474" t="n">
        <f aca="false">J80*J$28</f>
        <v>0</v>
      </c>
      <c r="K92" s="474" t="n">
        <f aca="false">K80*K$28</f>
        <v>0</v>
      </c>
      <c r="L92" s="474" t="n">
        <f aca="false">L80*L$28</f>
        <v>0</v>
      </c>
      <c r="M92" s="474" t="n">
        <f aca="false">M80*M$28</f>
        <v>5</v>
      </c>
      <c r="N92" s="474" t="n">
        <f aca="false">N80*N$28</f>
        <v>0</v>
      </c>
      <c r="O92" s="474" t="n">
        <f aca="false">O80*O$28</f>
        <v>0</v>
      </c>
      <c r="P92" s="39" t="n">
        <f aca="false">SUM(D92:O92)</f>
        <v>32</v>
      </c>
      <c r="T92" s="495"/>
      <c r="U92" s="495"/>
      <c r="V92" s="495"/>
    </row>
    <row r="93" customFormat="false" ht="15" hidden="false" customHeight="false" outlineLevel="0" collapsed="false">
      <c r="A93" s="488" t="str">
        <f aca="false">A92</f>
        <v>Rashi Pinda</v>
      </c>
      <c r="B93" s="474" t="str">
        <f aca="false">"RP"&amp;B81</f>
        <v>RPESLagna</v>
      </c>
      <c r="D93" s="474" t="n">
        <f aca="false">D81*D$28</f>
        <v>7</v>
      </c>
      <c r="E93" s="474" t="n">
        <f aca="false">E81*E$28</f>
        <v>20</v>
      </c>
      <c r="F93" s="474" t="n">
        <f aca="false">F81*F$28</f>
        <v>0</v>
      </c>
      <c r="G93" s="474" t="n">
        <f aca="false">G81*G$28</f>
        <v>12</v>
      </c>
      <c r="H93" s="474" t="n">
        <f aca="false">H81*H$28</f>
        <v>10</v>
      </c>
      <c r="I93" s="474" t="n">
        <f aca="false">I81*I$28</f>
        <v>0</v>
      </c>
      <c r="J93" s="474" t="n">
        <f aca="false">J81*J$28</f>
        <v>14</v>
      </c>
      <c r="K93" s="474" t="n">
        <f aca="false">K81*K$28</f>
        <v>0</v>
      </c>
      <c r="L93" s="474" t="n">
        <f aca="false">L81*L$28</f>
        <v>0</v>
      </c>
      <c r="M93" s="474" t="n">
        <f aca="false">M81*M$28</f>
        <v>0</v>
      </c>
      <c r="N93" s="474" t="n">
        <f aca="false">N81*N$28</f>
        <v>11</v>
      </c>
      <c r="O93" s="474" t="n">
        <f aca="false">O81*O$28</f>
        <v>24</v>
      </c>
      <c r="P93" s="39" t="n">
        <f aca="false">SUM(D93:O93)</f>
        <v>98</v>
      </c>
      <c r="T93" s="495"/>
      <c r="U93" s="495"/>
      <c r="V93" s="495"/>
    </row>
    <row r="94" customFormat="false" ht="15" hidden="false" customHeight="false" outlineLevel="0" collapsed="false">
      <c r="A94" s="488" t="str">
        <f aca="false">A93</f>
        <v>Rashi Pinda</v>
      </c>
      <c r="B94" s="474" t="str">
        <f aca="false">"RP"&amp;B82</f>
        <v>RPESSarva+L</v>
      </c>
      <c r="D94" s="474" t="n">
        <f aca="false">D82*D$28</f>
        <v>0</v>
      </c>
      <c r="E94" s="474" t="n">
        <f aca="false">E82*E$28</f>
        <v>0</v>
      </c>
      <c r="F94" s="474" t="n">
        <f aca="false">F82*F$28</f>
        <v>0</v>
      </c>
      <c r="G94" s="474" t="n">
        <f aca="false">G82*G$28</f>
        <v>0</v>
      </c>
      <c r="H94" s="474" t="n">
        <f aca="false">H82*H$28</f>
        <v>0</v>
      </c>
      <c r="I94" s="474" t="n">
        <f aca="false">I82*I$28</f>
        <v>0</v>
      </c>
      <c r="J94" s="474" t="n">
        <f aca="false">J82*J$28</f>
        <v>0</v>
      </c>
      <c r="K94" s="474" t="n">
        <f aca="false">K82*K$28</f>
        <v>0</v>
      </c>
      <c r="L94" s="474" t="n">
        <f aca="false">L82*L$28</f>
        <v>0</v>
      </c>
      <c r="M94" s="474" t="n">
        <f aca="false">M82*M$28</f>
        <v>0</v>
      </c>
      <c r="N94" s="474" t="n">
        <f aca="false">N82*N$28</f>
        <v>0</v>
      </c>
      <c r="O94" s="474" t="n">
        <f aca="false">O82*O$28</f>
        <v>0</v>
      </c>
      <c r="S94" s="495"/>
      <c r="T94" s="495"/>
      <c r="U94" s="495"/>
      <c r="V94" s="495"/>
    </row>
    <row r="95" customFormat="false" ht="15" hidden="false" customHeight="false" outlineLevel="0" collapsed="false">
      <c r="A95" s="488" t="str">
        <f aca="false">A94</f>
        <v>Rashi Pinda</v>
      </c>
      <c r="B95" s="474" t="str">
        <f aca="false">"RP"&amp;B83</f>
        <v>RPESSarva-L</v>
      </c>
      <c r="D95" s="474" t="n">
        <f aca="false">D83*D$28</f>
        <v>0</v>
      </c>
      <c r="E95" s="474" t="n">
        <f aca="false">E83*E$28</f>
        <v>0</v>
      </c>
      <c r="F95" s="474" t="n">
        <f aca="false">F83*F$28</f>
        <v>0</v>
      </c>
      <c r="G95" s="474" t="n">
        <f aca="false">G83*G$28</f>
        <v>0</v>
      </c>
      <c r="H95" s="474" t="n">
        <f aca="false">H83*H$28</f>
        <v>0</v>
      </c>
      <c r="I95" s="474" t="n">
        <f aca="false">I83*I$28</f>
        <v>0</v>
      </c>
      <c r="J95" s="474" t="n">
        <f aca="false">J83*J$28</f>
        <v>0</v>
      </c>
      <c r="K95" s="474" t="n">
        <f aca="false">K83*K$28</f>
        <v>0</v>
      </c>
      <c r="L95" s="474" t="n">
        <f aca="false">L83*L$28</f>
        <v>0</v>
      </c>
      <c r="M95" s="474" t="n">
        <f aca="false">M83*M$28</f>
        <v>0</v>
      </c>
      <c r="N95" s="474" t="n">
        <f aca="false">N83*N$28</f>
        <v>0</v>
      </c>
      <c r="O95" s="474" t="n">
        <f aca="false">O83*O$28</f>
        <v>0</v>
      </c>
      <c r="S95" s="495"/>
      <c r="T95" s="495"/>
      <c r="U95" s="495"/>
      <c r="V95" s="495"/>
    </row>
    <row r="96" customFormat="false" ht="16.15" hidden="false" customHeight="false" outlineLevel="0" collapsed="false">
      <c r="A96" s="488" t="str">
        <f aca="false">B96</f>
        <v>Graha Pinda</v>
      </c>
      <c r="B96" s="497" t="s">
        <v>765</v>
      </c>
      <c r="C96" s="497"/>
      <c r="D96" s="497"/>
      <c r="E96" s="497"/>
      <c r="F96" s="497"/>
      <c r="G96" s="497"/>
      <c r="H96" s="497"/>
      <c r="I96" s="497"/>
      <c r="J96" s="497"/>
      <c r="K96" s="497"/>
      <c r="L96" s="497"/>
      <c r="M96" s="497"/>
      <c r="N96" s="497"/>
      <c r="O96" s="497"/>
      <c r="S96" s="495"/>
      <c r="T96" s="495"/>
      <c r="U96" s="495"/>
      <c r="V96" s="495"/>
    </row>
    <row r="97" customFormat="false" ht="15" hidden="false" customHeight="false" outlineLevel="0" collapsed="false">
      <c r="A97" s="488" t="str">
        <f aca="false">A96</f>
        <v>Graha Pinda</v>
      </c>
      <c r="D97" s="474" t="str">
        <f aca="false">B17</f>
        <v>Saturn</v>
      </c>
      <c r="E97" s="495" t="str">
        <f aca="false">B18</f>
        <v>Venus</v>
      </c>
      <c r="F97" s="495" t="str">
        <f aca="false">B19</f>
        <v>Jupiter</v>
      </c>
      <c r="G97" s="495" t="str">
        <f aca="false">B20</f>
        <v>Mercury</v>
      </c>
      <c r="H97" s="495" t="str">
        <f aca="false">B21</f>
        <v>Mars</v>
      </c>
      <c r="I97" s="474" t="str">
        <f aca="false">B22</f>
        <v>Moon</v>
      </c>
      <c r="J97" s="474" t="str">
        <f aca="false">B23</f>
        <v>Sun</v>
      </c>
      <c r="K97" s="474" t="str">
        <f aca="false">B24</f>
        <v>Lagna</v>
      </c>
      <c r="S97" s="495"/>
      <c r="T97" s="495"/>
      <c r="U97" s="495"/>
      <c r="V97" s="495"/>
    </row>
    <row r="98" customFormat="false" ht="15" hidden="false" customHeight="false" outlineLevel="0" collapsed="false">
      <c r="A98" s="488" t="str">
        <f aca="false">A97</f>
        <v>Graha Pinda</v>
      </c>
      <c r="C98" s="193" t="s">
        <v>766</v>
      </c>
      <c r="D98" s="474" t="n">
        <f aca="false">Q17</f>
        <v>5</v>
      </c>
      <c r="E98" s="495" t="n">
        <f aca="false">Q18</f>
        <v>7</v>
      </c>
      <c r="F98" s="495" t="n">
        <f aca="false">Q19</f>
        <v>10</v>
      </c>
      <c r="G98" s="495" t="n">
        <f aca="false">Q20</f>
        <v>5</v>
      </c>
      <c r="H98" s="495" t="n">
        <f aca="false">Q21</f>
        <v>8</v>
      </c>
      <c r="I98" s="474" t="n">
        <f aca="false">Q22</f>
        <v>5</v>
      </c>
      <c r="J98" s="474" t="n">
        <f aca="false">Q23</f>
        <v>5</v>
      </c>
      <c r="K98" s="474" t="n">
        <v>5</v>
      </c>
      <c r="S98" s="495"/>
      <c r="T98" s="495"/>
      <c r="U98" s="495"/>
      <c r="V98" s="495"/>
    </row>
    <row r="99" customFormat="false" ht="15" hidden="false" customHeight="false" outlineLevel="0" collapsed="false">
      <c r="A99" s="488" t="str">
        <f aca="false">A98</f>
        <v>Graha Pinda</v>
      </c>
      <c r="C99" s="193" t="s">
        <v>746</v>
      </c>
      <c r="D99" s="474" t="n">
        <f aca="false">C17</f>
        <v>2</v>
      </c>
      <c r="E99" s="495" t="n">
        <f aca="false">C18</f>
        <v>3</v>
      </c>
      <c r="F99" s="495" t="n">
        <f aca="false">C19</f>
        <v>8</v>
      </c>
      <c r="G99" s="495" t="n">
        <f aca="false">C20</f>
        <v>4</v>
      </c>
      <c r="H99" s="495" t="n">
        <f aca="false">C21</f>
        <v>10</v>
      </c>
      <c r="I99" s="474" t="n">
        <f aca="false">C22</f>
        <v>2</v>
      </c>
      <c r="J99" s="474" t="n">
        <f aca="false">C23</f>
        <v>4</v>
      </c>
      <c r="K99" s="474" t="n">
        <f aca="false">C24</f>
        <v>5</v>
      </c>
      <c r="O99" s="474" t="s">
        <v>767</v>
      </c>
      <c r="P99" s="39" t="s">
        <v>768</v>
      </c>
      <c r="Q99" s="474" t="s">
        <v>769</v>
      </c>
      <c r="S99" s="495"/>
      <c r="T99" s="495"/>
      <c r="U99" s="495"/>
      <c r="V99" s="495"/>
    </row>
    <row r="100" customFormat="false" ht="15" hidden="false" customHeight="false" outlineLevel="0" collapsed="false">
      <c r="A100" s="488" t="str">
        <f aca="false">A99</f>
        <v>Graha Pinda</v>
      </c>
      <c r="B100" s="474" t="str">
        <f aca="false">B17</f>
        <v>Saturn</v>
      </c>
      <c r="C100" s="474" t="n">
        <f aca="false">C17</f>
        <v>2</v>
      </c>
      <c r="D100" s="474" t="n">
        <f aca="false">INDEX($D74:$O74,D$99)*D$98</f>
        <v>15</v>
      </c>
      <c r="E100" s="474" t="n">
        <f aca="false">INDEX($D74:$O74,E$99)*E$98</f>
        <v>7</v>
      </c>
      <c r="F100" s="474" t="n">
        <f aca="false">INDEX($D74:$O74,F$99)*F$98</f>
        <v>0</v>
      </c>
      <c r="G100" s="474" t="n">
        <f aca="false">INDEX($D74:$O74,G$99)*G$98</f>
        <v>0</v>
      </c>
      <c r="H100" s="474" t="n">
        <f aca="false">INDEX($D74:$O74,H$99)*H$98</f>
        <v>0</v>
      </c>
      <c r="I100" s="474" t="n">
        <f aca="false">INDEX($D74:$O74,I$99)*I$98</f>
        <v>15</v>
      </c>
      <c r="J100" s="474" t="n">
        <f aca="false">INDEX($D74:$O74,J$99)*J$98</f>
        <v>0</v>
      </c>
      <c r="K100" s="474" t="n">
        <f aca="false">INDEX($D74:$O74,K$99)*K$98</f>
        <v>0</v>
      </c>
      <c r="O100" s="39" t="n">
        <f aca="false">SUM(D100:K100)</f>
        <v>37</v>
      </c>
      <c r="P100" s="39" t="n">
        <f aca="false">O100-K100</f>
        <v>37</v>
      </c>
      <c r="Q100" s="39" t="n">
        <f aca="false">P100</f>
        <v>37</v>
      </c>
      <c r="S100" s="495"/>
      <c r="T100" s="495"/>
      <c r="U100" s="495"/>
      <c r="V100" s="495"/>
    </row>
    <row r="101" customFormat="false" ht="15" hidden="false" customHeight="false" outlineLevel="0" collapsed="false">
      <c r="A101" s="488" t="str">
        <f aca="false">A100</f>
        <v>Graha Pinda</v>
      </c>
      <c r="B101" s="474" t="str">
        <f aca="false">B18</f>
        <v>Venus</v>
      </c>
      <c r="C101" s="474" t="n">
        <f aca="false">C18</f>
        <v>3</v>
      </c>
      <c r="D101" s="474" t="n">
        <f aca="false">INDEX($D75:$O75,D$99)*D$98</f>
        <v>0</v>
      </c>
      <c r="E101" s="474" t="n">
        <f aca="false">INDEX($D75:$O75,E$99)*E$98</f>
        <v>28</v>
      </c>
      <c r="F101" s="474" t="n">
        <f aca="false">INDEX($D75:$O75,F$99)*F$98</f>
        <v>0</v>
      </c>
      <c r="G101" s="474" t="n">
        <f aca="false">INDEX($D75:$O75,G$99)*G$98</f>
        <v>5</v>
      </c>
      <c r="H101" s="474" t="n">
        <f aca="false">INDEX($D75:$O75,H$99)*H$98</f>
        <v>0</v>
      </c>
      <c r="I101" s="474" t="n">
        <f aca="false">INDEX($D75:$O75,I$99)*I$98</f>
        <v>0</v>
      </c>
      <c r="J101" s="474" t="n">
        <f aca="false">INDEX($D75:$O75,J$99)*J$98</f>
        <v>5</v>
      </c>
      <c r="K101" s="474" t="n">
        <f aca="false">INDEX($D75:$O75,K$99)*K$98</f>
        <v>5</v>
      </c>
      <c r="O101" s="39" t="n">
        <f aca="false">SUM(D101:K101)</f>
        <v>43</v>
      </c>
      <c r="P101" s="39" t="n">
        <f aca="false">O101-K101</f>
        <v>38</v>
      </c>
      <c r="Q101" s="39" t="n">
        <f aca="false">P101</f>
        <v>38</v>
      </c>
      <c r="S101" s="495"/>
      <c r="T101" s="495"/>
      <c r="U101" s="495"/>
      <c r="V101" s="495"/>
    </row>
    <row r="102" customFormat="false" ht="15" hidden="false" customHeight="false" outlineLevel="0" collapsed="false">
      <c r="A102" s="488" t="str">
        <f aca="false">A101</f>
        <v>Graha Pinda</v>
      </c>
      <c r="B102" s="474" t="str">
        <f aca="false">B19</f>
        <v>Jupiter</v>
      </c>
      <c r="C102" s="474" t="n">
        <f aca="false">C19</f>
        <v>8</v>
      </c>
      <c r="D102" s="474" t="n">
        <f aca="false">INDEX($D76:$O76,D$99)*D$98</f>
        <v>0</v>
      </c>
      <c r="E102" s="474" t="n">
        <f aca="false">INDEX($D76:$O76,E$99)*E$98</f>
        <v>0</v>
      </c>
      <c r="F102" s="474" t="n">
        <f aca="false">INDEX($D76:$O76,F$99)*F$98</f>
        <v>20</v>
      </c>
      <c r="G102" s="474" t="n">
        <f aca="false">INDEX($D76:$O76,G$99)*G$98</f>
        <v>5</v>
      </c>
      <c r="H102" s="474" t="n">
        <f aca="false">INDEX($D76:$O76,H$99)*H$98</f>
        <v>8</v>
      </c>
      <c r="I102" s="474" t="n">
        <f aca="false">INDEX($D76:$O76,I$99)*I$98</f>
        <v>0</v>
      </c>
      <c r="J102" s="474" t="n">
        <f aca="false">INDEX($D76:$O76,J$99)*J$98</f>
        <v>5</v>
      </c>
      <c r="K102" s="474" t="n">
        <f aca="false">INDEX($D76:$O76,K$99)*K$98</f>
        <v>10</v>
      </c>
      <c r="O102" s="39" t="n">
        <f aca="false">SUM(D102:K102)</f>
        <v>48</v>
      </c>
      <c r="P102" s="39" t="n">
        <f aca="false">O102-K102</f>
        <v>38</v>
      </c>
      <c r="Q102" s="39" t="n">
        <f aca="false">P102</f>
        <v>38</v>
      </c>
      <c r="S102" s="495"/>
      <c r="T102" s="495"/>
      <c r="U102" s="495"/>
      <c r="V102" s="495"/>
    </row>
    <row r="103" customFormat="false" ht="15" hidden="false" customHeight="false" outlineLevel="0" collapsed="false">
      <c r="A103" s="488" t="str">
        <f aca="false">A102</f>
        <v>Graha Pinda</v>
      </c>
      <c r="B103" s="474" t="str">
        <f aca="false">B20</f>
        <v>Mercury</v>
      </c>
      <c r="C103" s="474" t="n">
        <f aca="false">C20</f>
        <v>4</v>
      </c>
      <c r="D103" s="474" t="n">
        <f aca="false">INDEX($D77:$O77,D$99)*D$98</f>
        <v>0</v>
      </c>
      <c r="E103" s="474" t="n">
        <f aca="false">INDEX($D77:$O77,E$99)*E$98</f>
        <v>21</v>
      </c>
      <c r="F103" s="474" t="n">
        <f aca="false">INDEX($D77:$O77,F$99)*F$98</f>
        <v>20</v>
      </c>
      <c r="G103" s="474" t="n">
        <f aca="false">INDEX($D77:$O77,G$99)*G$98</f>
        <v>0</v>
      </c>
      <c r="H103" s="474" t="n">
        <f aca="false">INDEX($D77:$O77,H$99)*H$98</f>
        <v>0</v>
      </c>
      <c r="I103" s="474" t="n">
        <f aca="false">INDEX($D77:$O77,I$99)*I$98</f>
        <v>0</v>
      </c>
      <c r="J103" s="474" t="n">
        <f aca="false">INDEX($D77:$O77,J$99)*J$98</f>
        <v>0</v>
      </c>
      <c r="K103" s="474" t="n">
        <f aca="false">INDEX($D77:$O77,K$99)*K$98</f>
        <v>5</v>
      </c>
      <c r="O103" s="39" t="n">
        <f aca="false">SUM(D103:K103)</f>
        <v>46</v>
      </c>
      <c r="P103" s="39" t="n">
        <f aca="false">O103-K103</f>
        <v>41</v>
      </c>
      <c r="Q103" s="39" t="n">
        <f aca="false">P103</f>
        <v>41</v>
      </c>
      <c r="S103" s="495"/>
      <c r="T103" s="495"/>
      <c r="U103" s="495"/>
      <c r="V103" s="495"/>
    </row>
    <row r="104" customFormat="false" ht="15" hidden="false" customHeight="false" outlineLevel="0" collapsed="false">
      <c r="A104" s="488" t="str">
        <f aca="false">A103</f>
        <v>Graha Pinda</v>
      </c>
      <c r="B104" s="474" t="str">
        <f aca="false">B21</f>
        <v>Mars</v>
      </c>
      <c r="C104" s="474" t="n">
        <f aca="false">C21</f>
        <v>10</v>
      </c>
      <c r="D104" s="474" t="n">
        <f aca="false">INDEX($D78:$O78,D$99)*D$98</f>
        <v>10</v>
      </c>
      <c r="E104" s="474" t="n">
        <f aca="false">INDEX($D78:$O78,E$99)*E$98</f>
        <v>0</v>
      </c>
      <c r="F104" s="474" t="n">
        <f aca="false">INDEX($D78:$O78,F$99)*F$98</f>
        <v>30</v>
      </c>
      <c r="G104" s="474" t="n">
        <f aca="false">INDEX($D78:$O78,G$99)*G$98</f>
        <v>0</v>
      </c>
      <c r="H104" s="474" t="n">
        <f aca="false">INDEX($D78:$O78,H$99)*H$98</f>
        <v>8</v>
      </c>
      <c r="I104" s="474" t="n">
        <f aca="false">INDEX($D78:$O78,I$99)*I$98</f>
        <v>10</v>
      </c>
      <c r="J104" s="474" t="n">
        <f aca="false">INDEX($D78:$O78,J$99)*J$98</f>
        <v>0</v>
      </c>
      <c r="K104" s="474" t="n">
        <f aca="false">INDEX($D78:$O78,K$99)*K$98</f>
        <v>5</v>
      </c>
      <c r="O104" s="39" t="n">
        <f aca="false">SUM(D104:K104)</f>
        <v>63</v>
      </c>
      <c r="P104" s="39" t="n">
        <f aca="false">O104-K104</f>
        <v>58</v>
      </c>
      <c r="Q104" s="39" t="n">
        <f aca="false">P104</f>
        <v>58</v>
      </c>
      <c r="S104" s="495"/>
      <c r="T104" s="495"/>
      <c r="U104" s="495"/>
      <c r="V104" s="495"/>
    </row>
    <row r="105" customFormat="false" ht="15" hidden="false" customHeight="false" outlineLevel="0" collapsed="false">
      <c r="A105" s="488" t="str">
        <f aca="false">A104</f>
        <v>Graha Pinda</v>
      </c>
      <c r="B105" s="474" t="str">
        <f aca="false">B22</f>
        <v>Moon</v>
      </c>
      <c r="C105" s="474" t="n">
        <f aca="false">C22</f>
        <v>2</v>
      </c>
      <c r="D105" s="474" t="n">
        <f aca="false">INDEX($D79:$O79,D$99)*D$98</f>
        <v>10</v>
      </c>
      <c r="E105" s="474" t="n">
        <f aca="false">INDEX($D79:$O79,E$99)*E$98</f>
        <v>0</v>
      </c>
      <c r="F105" s="474" t="n">
        <f aca="false">INDEX($D79:$O79,F$99)*F$98</f>
        <v>10</v>
      </c>
      <c r="G105" s="474" t="n">
        <f aca="false">INDEX($D79:$O79,G$99)*G$98</f>
        <v>0</v>
      </c>
      <c r="H105" s="474" t="n">
        <f aca="false">INDEX($D79:$O79,H$99)*H$98</f>
        <v>0</v>
      </c>
      <c r="I105" s="474" t="n">
        <f aca="false">INDEX($D79:$O79,I$99)*I$98</f>
        <v>10</v>
      </c>
      <c r="J105" s="474" t="n">
        <f aca="false">INDEX($D79:$O79,J$99)*J$98</f>
        <v>0</v>
      </c>
      <c r="K105" s="474" t="n">
        <f aca="false">INDEX($D79:$O79,K$99)*K$98</f>
        <v>0</v>
      </c>
      <c r="O105" s="39" t="n">
        <f aca="false">SUM(D105:K105)</f>
        <v>30</v>
      </c>
      <c r="P105" s="39" t="n">
        <f aca="false">O105-K105</f>
        <v>30</v>
      </c>
      <c r="Q105" s="39" t="n">
        <f aca="false">P105</f>
        <v>30</v>
      </c>
      <c r="S105" s="495"/>
      <c r="T105" s="495"/>
      <c r="U105" s="495"/>
      <c r="V105" s="495"/>
    </row>
    <row r="106" customFormat="false" ht="15" hidden="false" customHeight="false" outlineLevel="0" collapsed="false">
      <c r="A106" s="488" t="str">
        <f aca="false">A105</f>
        <v>Graha Pinda</v>
      </c>
      <c r="B106" s="474" t="str">
        <f aca="false">B23</f>
        <v>Sun</v>
      </c>
      <c r="C106" s="474" t="n">
        <f aca="false">C23</f>
        <v>4</v>
      </c>
      <c r="D106" s="474" t="n">
        <f aca="false">INDEX($D80:$O80,D$99)*D$98</f>
        <v>10</v>
      </c>
      <c r="E106" s="474" t="n">
        <f aca="false">INDEX($D80:$O80,E$99)*E$98</f>
        <v>0</v>
      </c>
      <c r="F106" s="474" t="n">
        <f aca="false">INDEX($D80:$O80,F$99)*F$98</f>
        <v>0</v>
      </c>
      <c r="G106" s="474" t="n">
        <f aca="false">INDEX($D80:$O80,G$99)*G$98</f>
        <v>0</v>
      </c>
      <c r="H106" s="474" t="n">
        <f aca="false">INDEX($D80:$O80,H$99)*H$98</f>
        <v>8</v>
      </c>
      <c r="I106" s="474" t="n">
        <f aca="false">INDEX($D80:$O80,I$99)*I$98</f>
        <v>10</v>
      </c>
      <c r="J106" s="474" t="n">
        <f aca="false">INDEX($D80:$O80,J$99)*J$98</f>
        <v>0</v>
      </c>
      <c r="K106" s="474" t="n">
        <f aca="false">INDEX($D80:$O80,K$99)*K$98</f>
        <v>0</v>
      </c>
      <c r="O106" s="39" t="n">
        <f aca="false">SUM(D106:K106)</f>
        <v>28</v>
      </c>
      <c r="P106" s="39" t="n">
        <f aca="false">O106-K106</f>
        <v>28</v>
      </c>
      <c r="Q106" s="39" t="n">
        <f aca="false">P106</f>
        <v>28</v>
      </c>
      <c r="S106" s="495"/>
      <c r="T106" s="495"/>
      <c r="U106" s="495"/>
      <c r="V106" s="495"/>
    </row>
    <row r="107" customFormat="false" ht="15" hidden="false" customHeight="false" outlineLevel="0" collapsed="false">
      <c r="A107" s="488" t="str">
        <f aca="false">A106</f>
        <v>Graha Pinda</v>
      </c>
      <c r="B107" s="474" t="str">
        <f aca="false">B24</f>
        <v>Lagna</v>
      </c>
      <c r="C107" s="474" t="n">
        <f aca="false">C24</f>
        <v>5</v>
      </c>
      <c r="D107" s="474" t="n">
        <f aca="false">INDEX($D81:$O81,D$99)*D$98</f>
        <v>10</v>
      </c>
      <c r="E107" s="474" t="n">
        <f aca="false">INDEX($D81:$O81,E$99)*E$98</f>
        <v>0</v>
      </c>
      <c r="F107" s="474" t="n">
        <f aca="false">INDEX($D81:$O81,F$99)*F$98</f>
        <v>0</v>
      </c>
      <c r="G107" s="474" t="n">
        <f aca="false">INDEX($D81:$O81,G$99)*G$98</f>
        <v>15</v>
      </c>
      <c r="H107" s="474" t="n">
        <f aca="false">INDEX($D81:$O81,H$99)*H$98</f>
        <v>0</v>
      </c>
      <c r="I107" s="474" t="n">
        <f aca="false">INDEX($D81:$O81,I$99)*I$98</f>
        <v>10</v>
      </c>
      <c r="J107" s="474" t="n">
        <f aca="false">INDEX($D81:$O81,J$99)*J$98</f>
        <v>15</v>
      </c>
      <c r="K107" s="474" t="n">
        <f aca="false">INDEX($D81:$O81,K$99)*K$98</f>
        <v>5</v>
      </c>
      <c r="O107" s="39" t="n">
        <f aca="false">SUM(D107:K107)</f>
        <v>55</v>
      </c>
      <c r="P107" s="39" t="n">
        <f aca="false">O107-K107</f>
        <v>50</v>
      </c>
      <c r="Q107" s="39" t="n">
        <f aca="false">P107</f>
        <v>50</v>
      </c>
      <c r="S107" s="495"/>
      <c r="T107" s="495"/>
      <c r="U107" s="495"/>
      <c r="V107" s="495"/>
    </row>
    <row r="108" customFormat="false" ht="15" hidden="false" customHeight="false" outlineLevel="0" collapsed="false">
      <c r="A108" s="488" t="str">
        <f aca="false">A107</f>
        <v>Graha Pinda</v>
      </c>
      <c r="C108" s="474"/>
      <c r="S108" s="495"/>
      <c r="T108" s="495"/>
      <c r="U108" s="495"/>
      <c r="V108" s="495"/>
    </row>
    <row r="109" customFormat="false" ht="15" hidden="false" customHeight="false" outlineLevel="0" collapsed="false">
      <c r="A109" s="488" t="str">
        <f aca="false">A108</f>
        <v>Graha Pinda</v>
      </c>
      <c r="C109" s="474"/>
      <c r="S109" s="495"/>
      <c r="T109" s="495"/>
      <c r="U109" s="495"/>
      <c r="V109" s="495"/>
    </row>
    <row r="110" customFormat="false" ht="16.15" hidden="false" customHeight="false" outlineLevel="0" collapsed="false">
      <c r="A110" s="488" t="str">
        <f aca="false">B110</f>
        <v>Pinda Nakshatra+</v>
      </c>
      <c r="B110" s="497" t="s">
        <v>770</v>
      </c>
      <c r="C110" s="497"/>
      <c r="D110" s="497"/>
      <c r="E110" s="497"/>
      <c r="F110" s="497"/>
      <c r="G110" s="497"/>
      <c r="H110" s="497"/>
      <c r="I110" s="497"/>
      <c r="J110" s="497"/>
      <c r="K110" s="497"/>
      <c r="L110" s="497"/>
      <c r="M110" s="497"/>
      <c r="N110" s="497"/>
      <c r="O110" s="497"/>
      <c r="S110" s="495"/>
      <c r="T110" s="495"/>
      <c r="U110" s="495"/>
      <c r="V110" s="495"/>
    </row>
    <row r="111" customFormat="false" ht="15" hidden="false" customHeight="false" outlineLevel="0" collapsed="false">
      <c r="A111" s="488" t="str">
        <f aca="false">A110</f>
        <v>Pinda Nakshatra+</v>
      </c>
      <c r="B111" s="474" t="s">
        <v>140</v>
      </c>
      <c r="C111" s="491" t="str">
        <f aca="false">C16</f>
        <v>Sign#</v>
      </c>
      <c r="D111" s="474" t="n">
        <f aca="false">D16</f>
        <v>1</v>
      </c>
      <c r="E111" s="474" t="n">
        <f aca="false">E16</f>
        <v>2</v>
      </c>
      <c r="F111" s="474" t="n">
        <f aca="false">F16</f>
        <v>3</v>
      </c>
      <c r="G111" s="474" t="n">
        <f aca="false">G16</f>
        <v>4</v>
      </c>
      <c r="H111" s="474" t="n">
        <f aca="false">H16</f>
        <v>5</v>
      </c>
      <c r="I111" s="474" t="n">
        <f aca="false">I16</f>
        <v>6</v>
      </c>
      <c r="J111" s="474" t="n">
        <f aca="false">J16</f>
        <v>7</v>
      </c>
      <c r="K111" s="474" t="n">
        <f aca="false">K16</f>
        <v>8</v>
      </c>
      <c r="L111" s="474" t="n">
        <f aca="false">L16</f>
        <v>9</v>
      </c>
      <c r="M111" s="474" t="n">
        <f aca="false">M16</f>
        <v>10</v>
      </c>
      <c r="N111" s="474" t="n">
        <f aca="false">N16</f>
        <v>11</v>
      </c>
      <c r="O111" s="474" t="n">
        <f aca="false">O16</f>
        <v>12</v>
      </c>
      <c r="Q111" s="193" t="s">
        <v>771</v>
      </c>
      <c r="S111" s="495"/>
      <c r="T111" s="495"/>
      <c r="U111" s="495"/>
      <c r="V111" s="495"/>
    </row>
    <row r="112" customFormat="false" ht="15" hidden="false" customHeight="false" outlineLevel="0" collapsed="false">
      <c r="A112" s="488" t="str">
        <f aca="false">A111</f>
        <v>Pinda Nakshatra+</v>
      </c>
      <c r="B112" s="474" t="str">
        <f aca="false">B17</f>
        <v>Saturn</v>
      </c>
      <c r="C112" s="491" t="n">
        <f aca="false">C17</f>
        <v>2</v>
      </c>
      <c r="D112" s="474" t="n">
        <f aca="false">MOD($Q112*D17,27)</f>
        <v>23</v>
      </c>
      <c r="E112" s="474" t="n">
        <f aca="false">MOD($Q112*E17,27)</f>
        <v>22</v>
      </c>
      <c r="F112" s="474" t="n">
        <f aca="false">MOD($Q112*F17,27)</f>
        <v>24</v>
      </c>
      <c r="G112" s="474" t="n">
        <f aca="false">MOD($Q112*G17,27)</f>
        <v>24</v>
      </c>
      <c r="H112" s="474" t="n">
        <f aca="false">MOD($Q112*H17,27)</f>
        <v>25</v>
      </c>
      <c r="I112" s="474" t="n">
        <f aca="false">MOD($Q112*I17,27)</f>
        <v>25</v>
      </c>
      <c r="J112" s="474" t="n">
        <f aca="false">MOD($Q112*J17,27)</f>
        <v>21</v>
      </c>
      <c r="K112" s="474" t="n">
        <f aca="false">MOD($Q112*K17,27)</f>
        <v>24</v>
      </c>
      <c r="L112" s="474" t="n">
        <f aca="false">MOD($Q112*L17,27)</f>
        <v>25</v>
      </c>
      <c r="M112" s="474" t="n">
        <f aca="false">MOD($Q112*M17,27)</f>
        <v>25</v>
      </c>
      <c r="N112" s="474" t="n">
        <f aca="false">MOD($Q112*N17,27)</f>
        <v>25</v>
      </c>
      <c r="O112" s="474" t="n">
        <f aca="false">MOD($Q112*O17,27)</f>
        <v>22</v>
      </c>
      <c r="Q112" s="474" t="n">
        <f aca="false">P86+Q100</f>
        <v>134</v>
      </c>
      <c r="S112" s="495"/>
      <c r="T112" s="495"/>
      <c r="U112" s="495"/>
      <c r="V112" s="495"/>
    </row>
    <row r="113" customFormat="false" ht="15" hidden="false" customHeight="false" outlineLevel="0" collapsed="false">
      <c r="A113" s="488" t="str">
        <f aca="false">A112</f>
        <v>Pinda Nakshatra+</v>
      </c>
      <c r="B113" s="474" t="str">
        <f aca="false">B18</f>
        <v>Venus</v>
      </c>
      <c r="C113" s="491" t="n">
        <f aca="false">C18</f>
        <v>3</v>
      </c>
      <c r="D113" s="474" t="n">
        <f aca="false">MOD($Q113*D18,27)</f>
        <v>5</v>
      </c>
      <c r="E113" s="474" t="n">
        <f aca="false">MOD($Q113*E18,27)</f>
        <v>24</v>
      </c>
      <c r="F113" s="474" t="n">
        <f aca="false">MOD($Q113*F18,27)</f>
        <v>21</v>
      </c>
      <c r="G113" s="474" t="n">
        <f aca="false">MOD($Q113*G18,27)</f>
        <v>5</v>
      </c>
      <c r="H113" s="474" t="n">
        <f aca="false">MOD($Q113*H18,27)</f>
        <v>13</v>
      </c>
      <c r="I113" s="474" t="n">
        <f aca="false">MOD($Q113*I18,27)</f>
        <v>2</v>
      </c>
      <c r="J113" s="474" t="n">
        <f aca="false">MOD($Q113*J18,27)</f>
        <v>16</v>
      </c>
      <c r="K113" s="474" t="n">
        <f aca="false">MOD($Q113*K18,27)</f>
        <v>24</v>
      </c>
      <c r="L113" s="474" t="n">
        <f aca="false">MOD($Q113*L18,27)</f>
        <v>13</v>
      </c>
      <c r="M113" s="474" t="n">
        <f aca="false">MOD($Q113*M18,27)</f>
        <v>24</v>
      </c>
      <c r="N113" s="474" t="n">
        <f aca="false">MOD($Q113*N18,27)</f>
        <v>24</v>
      </c>
      <c r="O113" s="474" t="n">
        <f aca="false">MOD($Q113*O18,27)</f>
        <v>2</v>
      </c>
      <c r="Q113" s="474" t="n">
        <f aca="false">P87+Q101</f>
        <v>116</v>
      </c>
      <c r="S113" s="495"/>
      <c r="T113" s="495"/>
      <c r="U113" s="495"/>
      <c r="V113" s="495"/>
    </row>
    <row r="114" customFormat="false" ht="15" hidden="false" customHeight="false" outlineLevel="0" collapsed="false">
      <c r="A114" s="488" t="str">
        <f aca="false">A113</f>
        <v>Pinda Nakshatra+</v>
      </c>
      <c r="B114" s="474" t="str">
        <f aca="false">B19</f>
        <v>Jupiter</v>
      </c>
      <c r="C114" s="491" t="n">
        <f aca="false">C19</f>
        <v>8</v>
      </c>
      <c r="D114" s="474" t="n">
        <f aca="false">MOD($Q114*D19,27)</f>
        <v>6</v>
      </c>
      <c r="E114" s="474" t="n">
        <f aca="false">MOD($Q114*E19,27)</f>
        <v>22</v>
      </c>
      <c r="F114" s="474" t="n">
        <f aca="false">MOD($Q114*F19,27)</f>
        <v>3</v>
      </c>
      <c r="G114" s="474" t="n">
        <f aca="false">MOD($Q114*G19,27)</f>
        <v>14</v>
      </c>
      <c r="H114" s="474" t="n">
        <f aca="false">MOD($Q114*H19,27)</f>
        <v>14</v>
      </c>
      <c r="I114" s="474" t="n">
        <f aca="false">MOD($Q114*I19,27)</f>
        <v>14</v>
      </c>
      <c r="J114" s="474" t="n">
        <f aca="false">MOD($Q114*J19,27)</f>
        <v>14</v>
      </c>
      <c r="K114" s="474" t="n">
        <f aca="false">MOD($Q114*K19,27)</f>
        <v>6</v>
      </c>
      <c r="L114" s="474" t="n">
        <f aca="false">MOD($Q114*L19,27)</f>
        <v>3</v>
      </c>
      <c r="M114" s="474" t="n">
        <f aca="false">MOD($Q114*M19,27)</f>
        <v>14</v>
      </c>
      <c r="N114" s="474" t="n">
        <f aca="false">MOD($Q114*N19,27)</f>
        <v>14</v>
      </c>
      <c r="O114" s="474" t="n">
        <f aca="false">MOD($Q114*O19,27)</f>
        <v>22</v>
      </c>
      <c r="Q114" s="474" t="n">
        <f aca="false">P88+Q102</f>
        <v>127</v>
      </c>
      <c r="S114" s="495"/>
      <c r="T114" s="495"/>
      <c r="U114" s="495"/>
      <c r="V114" s="495"/>
    </row>
    <row r="115" customFormat="false" ht="15" hidden="false" customHeight="false" outlineLevel="0" collapsed="false">
      <c r="A115" s="488" t="str">
        <f aca="false">A114</f>
        <v>Pinda Nakshatra+</v>
      </c>
      <c r="B115" s="474" t="str">
        <f aca="false">B20</f>
        <v>Mercury</v>
      </c>
      <c r="C115" s="491" t="n">
        <f aca="false">C20</f>
        <v>4</v>
      </c>
      <c r="D115" s="474" t="n">
        <f aca="false">MOD($Q115*D20,27)</f>
        <v>1</v>
      </c>
      <c r="E115" s="474" t="n">
        <f aca="false">MOD($Q115*E20,27)</f>
        <v>1</v>
      </c>
      <c r="F115" s="474" t="n">
        <f aca="false">MOD($Q115*F20,27)</f>
        <v>22</v>
      </c>
      <c r="G115" s="474" t="n">
        <f aca="false">MOD($Q115*G20,27)</f>
        <v>21</v>
      </c>
      <c r="H115" s="474" t="n">
        <f aca="false">MOD($Q115*H20,27)</f>
        <v>8</v>
      </c>
      <c r="I115" s="474" t="n">
        <f aca="false">MOD($Q115*I20,27)</f>
        <v>8</v>
      </c>
      <c r="J115" s="474" t="n">
        <f aca="false">MOD($Q115*J20,27)</f>
        <v>1</v>
      </c>
      <c r="K115" s="474" t="n">
        <f aca="false">MOD($Q115*K20,27)</f>
        <v>8</v>
      </c>
      <c r="L115" s="474" t="n">
        <f aca="false">MOD($Q115*L20,27)</f>
        <v>1</v>
      </c>
      <c r="M115" s="474" t="n">
        <f aca="false">MOD($Q115*M20,27)</f>
        <v>1</v>
      </c>
      <c r="N115" s="474" t="n">
        <f aca="false">MOD($Q115*N20,27)</f>
        <v>1</v>
      </c>
      <c r="O115" s="474" t="n">
        <f aca="false">MOD($Q115*O20,27)</f>
        <v>8</v>
      </c>
      <c r="Q115" s="474" t="n">
        <f aca="false">P89+Q103</f>
        <v>115</v>
      </c>
      <c r="S115" s="495"/>
      <c r="T115" s="495"/>
      <c r="U115" s="495"/>
      <c r="V115" s="495"/>
    </row>
    <row r="116" customFormat="false" ht="15" hidden="false" customHeight="false" outlineLevel="0" collapsed="false">
      <c r="A116" s="488" t="str">
        <f aca="false">A115</f>
        <v>Pinda Nakshatra+</v>
      </c>
      <c r="B116" s="474" t="str">
        <f aca="false">B21</f>
        <v>Mars</v>
      </c>
      <c r="C116" s="491" t="n">
        <f aca="false">C21</f>
        <v>10</v>
      </c>
      <c r="D116" s="474" t="n">
        <f aca="false">MOD($Q116*D21,27)</f>
        <v>11</v>
      </c>
      <c r="E116" s="474" t="n">
        <f aca="false">MOD($Q116*E21,27)</f>
        <v>7</v>
      </c>
      <c r="F116" s="474" t="n">
        <f aca="false">MOD($Q116*F21,27)</f>
        <v>23</v>
      </c>
      <c r="G116" s="474" t="n">
        <f aca="false">MOD($Q116*G21,27)</f>
        <v>19</v>
      </c>
      <c r="H116" s="474" t="n">
        <f aca="false">MOD($Q116*H21,27)</f>
        <v>11</v>
      </c>
      <c r="I116" s="474" t="n">
        <f aca="false">MOD($Q116*I21,27)</f>
        <v>15</v>
      </c>
      <c r="J116" s="474" t="n">
        <f aca="false">MOD($Q116*J21,27)</f>
        <v>11</v>
      </c>
      <c r="K116" s="474" t="n">
        <f aca="false">MOD($Q116*K21,27)</f>
        <v>7</v>
      </c>
      <c r="L116" s="474" t="n">
        <f aca="false">MOD($Q116*L21,27)</f>
        <v>15</v>
      </c>
      <c r="M116" s="474" t="n">
        <f aca="false">MOD($Q116*M21,27)</f>
        <v>11</v>
      </c>
      <c r="N116" s="474" t="n">
        <f aca="false">MOD($Q116*N21,27)</f>
        <v>19</v>
      </c>
      <c r="O116" s="474" t="n">
        <f aca="false">MOD($Q116*O21,27)</f>
        <v>19</v>
      </c>
      <c r="Q116" s="474" t="n">
        <f aca="false">P90+Q104</f>
        <v>131</v>
      </c>
      <c r="S116" s="495"/>
      <c r="T116" s="495"/>
      <c r="U116" s="495"/>
      <c r="V116" s="495"/>
    </row>
    <row r="117" customFormat="false" ht="15" hidden="false" customHeight="false" outlineLevel="0" collapsed="false">
      <c r="A117" s="488" t="str">
        <f aca="false">A116</f>
        <v>Pinda Nakshatra+</v>
      </c>
      <c r="B117" s="474" t="str">
        <f aca="false">B22</f>
        <v>Moon</v>
      </c>
      <c r="C117" s="491" t="n">
        <f aca="false">C22</f>
        <v>2</v>
      </c>
      <c r="D117" s="474" t="n">
        <f aca="false">MOD($Q117*D22,27)</f>
        <v>6</v>
      </c>
      <c r="E117" s="474" t="n">
        <f aca="false">MOD($Q117*E22,27)</f>
        <v>12</v>
      </c>
      <c r="F117" s="474" t="n">
        <f aca="false">MOD($Q117*F22,27)</f>
        <v>6</v>
      </c>
      <c r="G117" s="474" t="n">
        <f aca="false">MOD($Q117*G22,27)</f>
        <v>6</v>
      </c>
      <c r="H117" s="474" t="n">
        <f aca="false">MOD($Q117*H22,27)</f>
        <v>4</v>
      </c>
      <c r="I117" s="474" t="n">
        <f aca="false">MOD($Q117*I22,27)</f>
        <v>10</v>
      </c>
      <c r="J117" s="474" t="n">
        <f aca="false">MOD($Q117*J22,27)</f>
        <v>12</v>
      </c>
      <c r="K117" s="474" t="n">
        <f aca="false">MOD($Q117*K22,27)</f>
        <v>8</v>
      </c>
      <c r="L117" s="474" t="n">
        <f aca="false">MOD($Q117*L22,27)</f>
        <v>6</v>
      </c>
      <c r="M117" s="474" t="n">
        <f aca="false">MOD($Q117*M22,27)</f>
        <v>8</v>
      </c>
      <c r="N117" s="474" t="n">
        <f aca="false">MOD($Q117*N22,27)</f>
        <v>12</v>
      </c>
      <c r="O117" s="474" t="n">
        <f aca="false">MOD($Q117*O22,27)</f>
        <v>8</v>
      </c>
      <c r="Q117" s="474" t="n">
        <f aca="false">P91+Q105</f>
        <v>110</v>
      </c>
      <c r="S117" s="495"/>
      <c r="T117" s="495"/>
      <c r="U117" s="495"/>
      <c r="V117" s="495"/>
    </row>
    <row r="118" customFormat="false" ht="15" hidden="false" customHeight="false" outlineLevel="0" collapsed="false">
      <c r="A118" s="488" t="str">
        <f aca="false">A117</f>
        <v>Pinda Nakshatra+</v>
      </c>
      <c r="B118" s="474" t="str">
        <f aca="false">B23</f>
        <v>Sun</v>
      </c>
      <c r="C118" s="491" t="n">
        <f aca="false">C23</f>
        <v>4</v>
      </c>
      <c r="D118" s="474" t="n">
        <f aca="false">MOD($Q118*D23,27)</f>
        <v>24</v>
      </c>
      <c r="E118" s="474" t="n">
        <f aca="false">MOD($Q118*E23,27)</f>
        <v>3</v>
      </c>
      <c r="F118" s="474" t="n">
        <f aca="false">MOD($Q118*F23,27)</f>
        <v>18</v>
      </c>
      <c r="G118" s="474" t="n">
        <f aca="false">MOD($Q118*G23,27)</f>
        <v>3</v>
      </c>
      <c r="H118" s="474" t="n">
        <f aca="false">MOD($Q118*H23,27)</f>
        <v>18</v>
      </c>
      <c r="I118" s="474" t="n">
        <f aca="false">MOD($Q118*I23,27)</f>
        <v>18</v>
      </c>
      <c r="J118" s="474" t="n">
        <f aca="false">MOD($Q118*J23,27)</f>
        <v>24</v>
      </c>
      <c r="K118" s="474" t="n">
        <f aca="false">MOD($Q118*K23,27)</f>
        <v>3</v>
      </c>
      <c r="L118" s="474" t="n">
        <f aca="false">MOD($Q118*L23,27)</f>
        <v>18</v>
      </c>
      <c r="M118" s="474" t="n">
        <f aca="false">MOD($Q118*M23,27)</f>
        <v>24</v>
      </c>
      <c r="N118" s="474" t="n">
        <f aca="false">MOD($Q118*N23,27)</f>
        <v>24</v>
      </c>
      <c r="O118" s="474" t="n">
        <f aca="false">MOD($Q118*O23,27)</f>
        <v>3</v>
      </c>
      <c r="Q118" s="474" t="n">
        <f aca="false">P92+Q106</f>
        <v>60</v>
      </c>
      <c r="S118" s="495"/>
      <c r="T118" s="495"/>
      <c r="U118" s="495"/>
      <c r="V118" s="495"/>
    </row>
    <row r="119" customFormat="false" ht="15" hidden="false" customHeight="false" outlineLevel="0" collapsed="false">
      <c r="A119" s="488" t="str">
        <f aca="false">A118</f>
        <v>Pinda Nakshatra+</v>
      </c>
      <c r="B119" s="474" t="str">
        <f aca="false">B24</f>
        <v>Lagna</v>
      </c>
      <c r="C119" s="491" t="n">
        <f aca="false">C24</f>
        <v>5</v>
      </c>
      <c r="D119" s="474" t="n">
        <f aca="false">MOD($Q119*D24,27)</f>
        <v>25</v>
      </c>
      <c r="E119" s="474" t="n">
        <f aca="false">MOD($Q119*E24,27)</f>
        <v>11</v>
      </c>
      <c r="F119" s="474" t="n">
        <f aca="false">MOD($Q119*F24,27)</f>
        <v>25</v>
      </c>
      <c r="G119" s="474" t="n">
        <f aca="false">MOD($Q119*G24,27)</f>
        <v>11</v>
      </c>
      <c r="H119" s="474" t="n">
        <f aca="false">MOD($Q119*H24,27)</f>
        <v>25</v>
      </c>
      <c r="I119" s="474" t="n">
        <f aca="false">MOD($Q119*I24,27)</f>
        <v>12</v>
      </c>
      <c r="J119" s="474" t="n">
        <f aca="false">MOD($Q119*J24,27)</f>
        <v>10</v>
      </c>
      <c r="K119" s="474" t="n">
        <f aca="false">MOD($Q119*K24,27)</f>
        <v>26</v>
      </c>
      <c r="L119" s="474" t="n">
        <f aca="false">MOD($Q119*L24,27)</f>
        <v>12</v>
      </c>
      <c r="M119" s="474" t="n">
        <f aca="false">MOD($Q119*M24,27)</f>
        <v>12</v>
      </c>
      <c r="N119" s="474" t="n">
        <f aca="false">MOD($Q119*N24,27)</f>
        <v>11</v>
      </c>
      <c r="O119" s="474" t="n">
        <f aca="false">MOD($Q119*O24,27)</f>
        <v>25</v>
      </c>
      <c r="Q119" s="474" t="n">
        <f aca="false">P93+Q107</f>
        <v>148</v>
      </c>
      <c r="S119" s="495"/>
      <c r="T119" s="495"/>
      <c r="U119" s="495"/>
      <c r="V119" s="495"/>
    </row>
    <row r="120" customFormat="false" ht="16.15" hidden="false" customHeight="false" outlineLevel="0" collapsed="false">
      <c r="A120" s="488" t="str">
        <f aca="false">B120</f>
        <v>Pinda Rashi+</v>
      </c>
      <c r="B120" s="497" t="s">
        <v>772</v>
      </c>
      <c r="C120" s="497"/>
      <c r="D120" s="497"/>
      <c r="E120" s="497"/>
      <c r="F120" s="497"/>
      <c r="G120" s="497"/>
      <c r="H120" s="497"/>
      <c r="I120" s="497"/>
      <c r="J120" s="497"/>
      <c r="K120" s="497"/>
      <c r="L120" s="497"/>
      <c r="M120" s="497"/>
      <c r="N120" s="497"/>
      <c r="O120" s="497"/>
      <c r="S120" s="495"/>
      <c r="T120" s="495"/>
      <c r="U120" s="495"/>
      <c r="V120" s="495"/>
    </row>
    <row r="121" customFormat="false" ht="15" hidden="false" customHeight="false" outlineLevel="0" collapsed="false">
      <c r="A121" s="488" t="str">
        <f aca="false">A120</f>
        <v>Pinda Rashi+</v>
      </c>
      <c r="B121" s="474" t="s">
        <v>173</v>
      </c>
      <c r="C121" s="491" t="str">
        <f aca="false">C16</f>
        <v>Sign#</v>
      </c>
      <c r="D121" s="474" t="n">
        <f aca="false">D16</f>
        <v>1</v>
      </c>
      <c r="E121" s="474" t="n">
        <f aca="false">E16</f>
        <v>2</v>
      </c>
      <c r="F121" s="474" t="n">
        <f aca="false">F16</f>
        <v>3</v>
      </c>
      <c r="G121" s="474" t="n">
        <f aca="false">G16</f>
        <v>4</v>
      </c>
      <c r="H121" s="474" t="n">
        <f aca="false">H16</f>
        <v>5</v>
      </c>
      <c r="I121" s="474" t="n">
        <f aca="false">I16</f>
        <v>6</v>
      </c>
      <c r="J121" s="474" t="n">
        <f aca="false">J16</f>
        <v>7</v>
      </c>
      <c r="K121" s="474" t="n">
        <f aca="false">K16</f>
        <v>8</v>
      </c>
      <c r="L121" s="474" t="n">
        <f aca="false">L16</f>
        <v>9</v>
      </c>
      <c r="M121" s="474" t="n">
        <f aca="false">M16</f>
        <v>10</v>
      </c>
      <c r="N121" s="474" t="n">
        <f aca="false">N16</f>
        <v>11</v>
      </c>
      <c r="O121" s="474" t="n">
        <f aca="false">O16</f>
        <v>12</v>
      </c>
      <c r="Q121" s="39" t="str">
        <f aca="false">Q111</f>
        <v>YP</v>
      </c>
      <c r="S121" s="495"/>
      <c r="T121" s="495"/>
      <c r="U121" s="495"/>
      <c r="V121" s="495"/>
    </row>
    <row r="122" customFormat="false" ht="15" hidden="false" customHeight="false" outlineLevel="0" collapsed="false">
      <c r="A122" s="488" t="str">
        <f aca="false">A121</f>
        <v>Pinda Rashi+</v>
      </c>
      <c r="B122" s="474" t="str">
        <f aca="false">B17</f>
        <v>Saturn</v>
      </c>
      <c r="C122" s="491" t="n">
        <f aca="false">C17</f>
        <v>2</v>
      </c>
      <c r="D122" s="474" t="n">
        <f aca="false">MOD(D17*$Q122,12)</f>
        <v>8</v>
      </c>
      <c r="E122" s="474" t="n">
        <f aca="false">MOD(E17*$Q122,12)</f>
        <v>10</v>
      </c>
      <c r="F122" s="474" t="n">
        <f aca="false">MOD(F17*$Q122,12)</f>
        <v>6</v>
      </c>
      <c r="G122" s="474" t="n">
        <f aca="false">MOD(G17*$Q122,12)</f>
        <v>6</v>
      </c>
      <c r="H122" s="474" t="n">
        <f aca="false">MOD(H17*$Q122,12)</f>
        <v>4</v>
      </c>
      <c r="I122" s="474" t="n">
        <f aca="false">MOD(I17*$Q122,12)</f>
        <v>4</v>
      </c>
      <c r="J122" s="474" t="n">
        <f aca="false">MOD(J17*$Q122,12)</f>
        <v>0</v>
      </c>
      <c r="K122" s="474" t="n">
        <f aca="false">MOD(K17*$Q122,12)</f>
        <v>6</v>
      </c>
      <c r="L122" s="474" t="n">
        <f aca="false">MOD(L17*$Q122,12)</f>
        <v>4</v>
      </c>
      <c r="M122" s="474" t="n">
        <f aca="false">MOD(M17*$Q122,12)</f>
        <v>4</v>
      </c>
      <c r="N122" s="474" t="n">
        <f aca="false">MOD(N17*$Q122,12)</f>
        <v>4</v>
      </c>
      <c r="O122" s="474" t="n">
        <f aca="false">MOD(O17*$Q122,12)</f>
        <v>10</v>
      </c>
      <c r="Q122" s="39" t="n">
        <f aca="false">Q112</f>
        <v>134</v>
      </c>
      <c r="S122" s="495"/>
      <c r="T122" s="495"/>
      <c r="U122" s="495"/>
      <c r="V122" s="495"/>
    </row>
    <row r="123" customFormat="false" ht="15" hidden="false" customHeight="false" outlineLevel="0" collapsed="false">
      <c r="A123" s="488" t="str">
        <f aca="false">A122</f>
        <v>Pinda Rashi+</v>
      </c>
      <c r="B123" s="474" t="str">
        <f aca="false">B18</f>
        <v>Venus</v>
      </c>
      <c r="C123" s="491" t="n">
        <f aca="false">C18</f>
        <v>3</v>
      </c>
      <c r="D123" s="474" t="n">
        <f aca="false">MOD(D18*$Q123,12)</f>
        <v>8</v>
      </c>
      <c r="E123" s="474" t="n">
        <f aca="false">MOD(E18*$Q123,12)</f>
        <v>0</v>
      </c>
      <c r="F123" s="474" t="n">
        <f aca="false">MOD(F18*$Q123,12)</f>
        <v>0</v>
      </c>
      <c r="G123" s="474" t="n">
        <f aca="false">MOD(G18*$Q123,12)</f>
        <v>8</v>
      </c>
      <c r="H123" s="474" t="n">
        <f aca="false">MOD(H18*$Q123,12)</f>
        <v>4</v>
      </c>
      <c r="I123" s="474" t="n">
        <f aca="false">MOD(I18*$Q123,12)</f>
        <v>8</v>
      </c>
      <c r="J123" s="474" t="n">
        <f aca="false">MOD(J18*$Q123,12)</f>
        <v>4</v>
      </c>
      <c r="K123" s="474" t="n">
        <f aca="false">MOD(K18*$Q123,12)</f>
        <v>0</v>
      </c>
      <c r="L123" s="474" t="n">
        <f aca="false">MOD(L18*$Q123,12)</f>
        <v>4</v>
      </c>
      <c r="M123" s="474" t="n">
        <f aca="false">MOD(M18*$Q123,12)</f>
        <v>0</v>
      </c>
      <c r="N123" s="474" t="n">
        <f aca="false">MOD(N18*$Q123,12)</f>
        <v>0</v>
      </c>
      <c r="O123" s="474" t="n">
        <f aca="false">MOD(O18*$Q123,12)</f>
        <v>8</v>
      </c>
      <c r="Q123" s="39" t="n">
        <f aca="false">Q113</f>
        <v>116</v>
      </c>
      <c r="S123" s="495"/>
      <c r="T123" s="495"/>
      <c r="U123" s="495"/>
      <c r="V123" s="495"/>
    </row>
    <row r="124" customFormat="false" ht="15" hidden="false" customHeight="false" outlineLevel="0" collapsed="false">
      <c r="A124" s="488" t="str">
        <f aca="false">A123</f>
        <v>Pinda Rashi+</v>
      </c>
      <c r="B124" s="474" t="str">
        <f aca="false">B19</f>
        <v>Jupiter</v>
      </c>
      <c r="C124" s="491" t="n">
        <f aca="false">C19</f>
        <v>8</v>
      </c>
      <c r="D124" s="474" t="n">
        <f aca="false">MOD(D19*$Q124,12)</f>
        <v>6</v>
      </c>
      <c r="E124" s="474" t="n">
        <f aca="false">MOD(E19*$Q124,12)</f>
        <v>4</v>
      </c>
      <c r="F124" s="474" t="n">
        <f aca="false">MOD(F19*$Q124,12)</f>
        <v>9</v>
      </c>
      <c r="G124" s="474" t="n">
        <f aca="false">MOD(G19*$Q124,12)</f>
        <v>11</v>
      </c>
      <c r="H124" s="474" t="n">
        <f aca="false">MOD(H19*$Q124,12)</f>
        <v>11</v>
      </c>
      <c r="I124" s="474" t="n">
        <f aca="false">MOD(I19*$Q124,12)</f>
        <v>11</v>
      </c>
      <c r="J124" s="474" t="n">
        <f aca="false">MOD(J19*$Q124,12)</f>
        <v>11</v>
      </c>
      <c r="K124" s="474" t="n">
        <f aca="false">MOD(K19*$Q124,12)</f>
        <v>6</v>
      </c>
      <c r="L124" s="474" t="n">
        <f aca="false">MOD(L19*$Q124,12)</f>
        <v>9</v>
      </c>
      <c r="M124" s="474" t="n">
        <f aca="false">MOD(M19*$Q124,12)</f>
        <v>11</v>
      </c>
      <c r="N124" s="474" t="n">
        <f aca="false">MOD(N19*$Q124,12)</f>
        <v>11</v>
      </c>
      <c r="O124" s="474" t="n">
        <f aca="false">MOD(O19*$Q124,12)</f>
        <v>4</v>
      </c>
      <c r="Q124" s="39" t="n">
        <f aca="false">Q114</f>
        <v>127</v>
      </c>
      <c r="S124" s="495"/>
      <c r="T124" s="495"/>
      <c r="U124" s="495"/>
      <c r="V124" s="495"/>
    </row>
    <row r="125" customFormat="false" ht="15" hidden="false" customHeight="false" outlineLevel="0" collapsed="false">
      <c r="A125" s="488" t="str">
        <f aca="false">A124</f>
        <v>Pinda Rashi+</v>
      </c>
      <c r="B125" s="474" t="str">
        <f aca="false">B20</f>
        <v>Mercury</v>
      </c>
      <c r="C125" s="491" t="n">
        <f aca="false">C20</f>
        <v>4</v>
      </c>
      <c r="D125" s="474" t="n">
        <f aca="false">MOD(D20*$Q125,12)</f>
        <v>4</v>
      </c>
      <c r="E125" s="474" t="n">
        <f aca="false">MOD(E20*$Q125,12)</f>
        <v>4</v>
      </c>
      <c r="F125" s="474" t="n">
        <f aca="false">MOD(F20*$Q125,12)</f>
        <v>1</v>
      </c>
      <c r="G125" s="474" t="n">
        <f aca="false">MOD(G20*$Q125,12)</f>
        <v>9</v>
      </c>
      <c r="H125" s="474" t="n">
        <f aca="false">MOD(H20*$Q125,12)</f>
        <v>11</v>
      </c>
      <c r="I125" s="474" t="n">
        <f aca="false">MOD(I20*$Q125,12)</f>
        <v>11</v>
      </c>
      <c r="J125" s="474" t="n">
        <f aca="false">MOD(J20*$Q125,12)</f>
        <v>4</v>
      </c>
      <c r="K125" s="474" t="n">
        <f aca="false">MOD(K20*$Q125,12)</f>
        <v>11</v>
      </c>
      <c r="L125" s="474" t="n">
        <f aca="false">MOD(L20*$Q125,12)</f>
        <v>4</v>
      </c>
      <c r="M125" s="474" t="n">
        <f aca="false">MOD(M20*$Q125,12)</f>
        <v>4</v>
      </c>
      <c r="N125" s="474" t="n">
        <f aca="false">MOD(N20*$Q125,12)</f>
        <v>4</v>
      </c>
      <c r="O125" s="474" t="n">
        <f aca="false">MOD(O20*$Q125,12)</f>
        <v>11</v>
      </c>
      <c r="Q125" s="39" t="n">
        <f aca="false">Q115</f>
        <v>115</v>
      </c>
      <c r="S125" s="495"/>
      <c r="T125" s="495"/>
      <c r="U125" s="495"/>
      <c r="V125" s="495"/>
    </row>
    <row r="126" customFormat="false" ht="15" hidden="false" customHeight="false" outlineLevel="0" collapsed="false">
      <c r="A126" s="488" t="str">
        <f aca="false">A125</f>
        <v>Pinda Rashi+</v>
      </c>
      <c r="B126" s="474" t="str">
        <f aca="false">B21</f>
        <v>Mars</v>
      </c>
      <c r="C126" s="491" t="n">
        <f aca="false">C21</f>
        <v>10</v>
      </c>
      <c r="D126" s="474" t="n">
        <f aca="false">MOD(D21*$Q126,12)</f>
        <v>8</v>
      </c>
      <c r="E126" s="474" t="n">
        <f aca="false">MOD(E21*$Q126,12)</f>
        <v>7</v>
      </c>
      <c r="F126" s="474" t="n">
        <f aca="false">MOD(F21*$Q126,12)</f>
        <v>11</v>
      </c>
      <c r="G126" s="474" t="n">
        <f aca="false">MOD(G21*$Q126,12)</f>
        <v>10</v>
      </c>
      <c r="H126" s="474" t="n">
        <f aca="false">MOD(H21*$Q126,12)</f>
        <v>8</v>
      </c>
      <c r="I126" s="474" t="n">
        <f aca="false">MOD(I21*$Q126,12)</f>
        <v>9</v>
      </c>
      <c r="J126" s="474" t="n">
        <f aca="false">MOD(J21*$Q126,12)</f>
        <v>8</v>
      </c>
      <c r="K126" s="474" t="n">
        <f aca="false">MOD(K21*$Q126,12)</f>
        <v>7</v>
      </c>
      <c r="L126" s="474" t="n">
        <f aca="false">MOD(L21*$Q126,12)</f>
        <v>9</v>
      </c>
      <c r="M126" s="474" t="n">
        <f aca="false">MOD(M21*$Q126,12)</f>
        <v>8</v>
      </c>
      <c r="N126" s="474" t="n">
        <f aca="false">MOD(N21*$Q126,12)</f>
        <v>10</v>
      </c>
      <c r="O126" s="474" t="n">
        <f aca="false">MOD(O21*$Q126,12)</f>
        <v>10</v>
      </c>
      <c r="Q126" s="39" t="n">
        <f aca="false">Q116</f>
        <v>131</v>
      </c>
      <c r="S126" s="495"/>
      <c r="T126" s="495"/>
      <c r="U126" s="495"/>
      <c r="V126" s="495"/>
    </row>
    <row r="127" customFormat="false" ht="15" hidden="false" customHeight="false" outlineLevel="0" collapsed="false">
      <c r="A127" s="488" t="str">
        <f aca="false">A126</f>
        <v>Pinda Rashi+</v>
      </c>
      <c r="B127" s="474" t="str">
        <f aca="false">B22</f>
        <v>Moon</v>
      </c>
      <c r="C127" s="491" t="n">
        <f aca="false">C22</f>
        <v>2</v>
      </c>
      <c r="D127" s="474" t="n">
        <f aca="false">MOD(D22*$Q127,12)</f>
        <v>6</v>
      </c>
      <c r="E127" s="474" t="n">
        <f aca="false">MOD(E22*$Q127,12)</f>
        <v>0</v>
      </c>
      <c r="F127" s="474" t="n">
        <f aca="false">MOD(F22*$Q127,12)</f>
        <v>6</v>
      </c>
      <c r="G127" s="474" t="n">
        <f aca="false">MOD(G22*$Q127,12)</f>
        <v>6</v>
      </c>
      <c r="H127" s="474" t="n">
        <f aca="false">MOD(H22*$Q127,12)</f>
        <v>4</v>
      </c>
      <c r="I127" s="474" t="n">
        <f aca="false">MOD(I22*$Q127,12)</f>
        <v>10</v>
      </c>
      <c r="J127" s="474" t="n">
        <f aca="false">MOD(J22*$Q127,12)</f>
        <v>0</v>
      </c>
      <c r="K127" s="474" t="n">
        <f aca="false">MOD(K22*$Q127,12)</f>
        <v>8</v>
      </c>
      <c r="L127" s="474" t="n">
        <f aca="false">MOD(L22*$Q127,12)</f>
        <v>6</v>
      </c>
      <c r="M127" s="474" t="n">
        <f aca="false">MOD(M22*$Q127,12)</f>
        <v>8</v>
      </c>
      <c r="N127" s="474" t="n">
        <f aca="false">MOD(N22*$Q127,12)</f>
        <v>0</v>
      </c>
      <c r="O127" s="474" t="n">
        <f aca="false">MOD(O22*$Q127,12)</f>
        <v>8</v>
      </c>
      <c r="Q127" s="39" t="n">
        <f aca="false">Q117</f>
        <v>110</v>
      </c>
      <c r="S127" s="495"/>
      <c r="T127" s="495"/>
      <c r="U127" s="495"/>
      <c r="V127" s="495"/>
    </row>
    <row r="128" customFormat="false" ht="15" hidden="false" customHeight="false" outlineLevel="0" collapsed="false">
      <c r="A128" s="488" t="str">
        <f aca="false">A127</f>
        <v>Pinda Rashi+</v>
      </c>
      <c r="B128" s="474" t="str">
        <f aca="false">B23</f>
        <v>Sun</v>
      </c>
      <c r="C128" s="491" t="n">
        <f aca="false">C23</f>
        <v>4</v>
      </c>
      <c r="D128" s="474" t="n">
        <f aca="false">MOD(D23*$Q128,12)</f>
        <v>0</v>
      </c>
      <c r="E128" s="474" t="n">
        <f aca="false">MOD(E23*$Q128,12)</f>
        <v>0</v>
      </c>
      <c r="F128" s="474" t="n">
        <f aca="false">MOD(F23*$Q128,12)</f>
        <v>0</v>
      </c>
      <c r="G128" s="474" t="n">
        <f aca="false">MOD(G23*$Q128,12)</f>
        <v>0</v>
      </c>
      <c r="H128" s="474" t="n">
        <f aca="false">MOD(H23*$Q128,12)</f>
        <v>0</v>
      </c>
      <c r="I128" s="474" t="n">
        <f aca="false">MOD(I23*$Q128,12)</f>
        <v>0</v>
      </c>
      <c r="J128" s="474" t="n">
        <f aca="false">MOD(J23*$Q128,12)</f>
        <v>0</v>
      </c>
      <c r="K128" s="474" t="n">
        <f aca="false">MOD(K23*$Q128,12)</f>
        <v>0</v>
      </c>
      <c r="L128" s="474" t="n">
        <f aca="false">MOD(L23*$Q128,12)</f>
        <v>0</v>
      </c>
      <c r="M128" s="474" t="n">
        <f aca="false">MOD(M23*$Q128,12)</f>
        <v>0</v>
      </c>
      <c r="N128" s="474" t="n">
        <f aca="false">MOD(N23*$Q128,12)</f>
        <v>0</v>
      </c>
      <c r="O128" s="474" t="n">
        <f aca="false">MOD(O23*$Q128,12)</f>
        <v>0</v>
      </c>
      <c r="Q128" s="39" t="n">
        <f aca="false">Q118</f>
        <v>60</v>
      </c>
      <c r="S128" s="495"/>
      <c r="T128" s="495"/>
      <c r="U128" s="495"/>
      <c r="V128" s="495"/>
    </row>
    <row r="129" customFormat="false" ht="15" hidden="false" customHeight="false" outlineLevel="0" collapsed="false">
      <c r="A129" s="488" t="str">
        <f aca="false">A128</f>
        <v>Pinda Rashi+</v>
      </c>
      <c r="B129" s="474" t="str">
        <f aca="false">B24</f>
        <v>Lagna</v>
      </c>
      <c r="C129" s="491" t="n">
        <f aca="false">C24</f>
        <v>5</v>
      </c>
      <c r="D129" s="474" t="n">
        <f aca="false">MOD(D24*$Q129,12)</f>
        <v>4</v>
      </c>
      <c r="E129" s="474" t="n">
        <f aca="false">MOD(E24*$Q129,12)</f>
        <v>8</v>
      </c>
      <c r="F129" s="474" t="n">
        <f aca="false">MOD(F24*$Q129,12)</f>
        <v>4</v>
      </c>
      <c r="G129" s="474" t="n">
        <f aca="false">MOD(G24*$Q129,12)</f>
        <v>8</v>
      </c>
      <c r="H129" s="474" t="n">
        <f aca="false">MOD(H24*$Q129,12)</f>
        <v>4</v>
      </c>
      <c r="I129" s="474" t="n">
        <f aca="false">MOD(I24*$Q129,12)</f>
        <v>0</v>
      </c>
      <c r="J129" s="474" t="n">
        <f aca="false">MOD(J24*$Q129,12)</f>
        <v>4</v>
      </c>
      <c r="K129" s="474" t="n">
        <f aca="false">MOD(K24*$Q129,12)</f>
        <v>8</v>
      </c>
      <c r="L129" s="474" t="n">
        <f aca="false">MOD(L24*$Q129,12)</f>
        <v>0</v>
      </c>
      <c r="M129" s="474" t="n">
        <f aca="false">MOD(M24*$Q129,12)</f>
        <v>0</v>
      </c>
      <c r="N129" s="474" t="n">
        <f aca="false">MOD(N24*$Q129,12)</f>
        <v>8</v>
      </c>
      <c r="O129" s="474" t="n">
        <f aca="false">MOD(O24*$Q129,12)</f>
        <v>4</v>
      </c>
      <c r="Q129" s="39" t="n">
        <f aca="false">Q119</f>
        <v>148</v>
      </c>
      <c r="S129" s="495"/>
      <c r="T129" s="495"/>
      <c r="U129" s="495"/>
      <c r="V129" s="495"/>
    </row>
    <row r="130" customFormat="false" ht="16.15" hidden="false" customHeight="false" outlineLevel="0" collapsed="false">
      <c r="A130" s="488" t="str">
        <f aca="false">B130</f>
        <v>Pinda Nakshatra-</v>
      </c>
      <c r="B130" s="513" t="s">
        <v>773</v>
      </c>
      <c r="C130" s="513"/>
      <c r="D130" s="513"/>
      <c r="E130" s="513"/>
      <c r="F130" s="513"/>
      <c r="G130" s="513"/>
      <c r="H130" s="513"/>
      <c r="I130" s="513"/>
      <c r="J130" s="513"/>
      <c r="K130" s="513"/>
      <c r="L130" s="513"/>
      <c r="M130" s="513"/>
      <c r="N130" s="513"/>
      <c r="O130" s="513"/>
      <c r="S130" s="495"/>
      <c r="T130" s="495"/>
      <c r="U130" s="495"/>
      <c r="V130" s="495"/>
    </row>
    <row r="131" customFormat="false" ht="15" hidden="false" customHeight="false" outlineLevel="0" collapsed="false">
      <c r="A131" s="488" t="str">
        <f aca="false">A130</f>
        <v>Pinda Nakshatra-</v>
      </c>
      <c r="B131" s="514" t="s">
        <v>774</v>
      </c>
      <c r="C131" s="515" t="str">
        <f aca="false">C16</f>
        <v>Sign#</v>
      </c>
      <c r="D131" s="516" t="n">
        <f aca="false">D16</f>
        <v>1</v>
      </c>
      <c r="E131" s="516" t="n">
        <f aca="false">E16</f>
        <v>2</v>
      </c>
      <c r="F131" s="516" t="n">
        <f aca="false">F16</f>
        <v>3</v>
      </c>
      <c r="G131" s="516" t="n">
        <f aca="false">G16</f>
        <v>4</v>
      </c>
      <c r="H131" s="516" t="n">
        <f aca="false">H16</f>
        <v>5</v>
      </c>
      <c r="I131" s="516" t="n">
        <f aca="false">I16</f>
        <v>6</v>
      </c>
      <c r="J131" s="516" t="n">
        <f aca="false">J16</f>
        <v>7</v>
      </c>
      <c r="K131" s="516" t="n">
        <f aca="false">K16</f>
        <v>8</v>
      </c>
      <c r="L131" s="516" t="n">
        <f aca="false">L16</f>
        <v>9</v>
      </c>
      <c r="M131" s="516" t="n">
        <f aca="false">M16</f>
        <v>10</v>
      </c>
      <c r="N131" s="516" t="n">
        <f aca="false">N16</f>
        <v>11</v>
      </c>
      <c r="O131" s="517" t="n">
        <f aca="false">O16</f>
        <v>12</v>
      </c>
      <c r="Q131" s="39" t="str">
        <f aca="false">Q121</f>
        <v>YP</v>
      </c>
      <c r="S131" s="495"/>
      <c r="T131" s="495"/>
      <c r="U131" s="495"/>
      <c r="V131" s="495"/>
    </row>
    <row r="132" customFormat="false" ht="15" hidden="false" customHeight="false" outlineLevel="0" collapsed="false">
      <c r="A132" s="488" t="str">
        <f aca="false">A131</f>
        <v>Pinda Nakshatra-</v>
      </c>
      <c r="B132" s="518" t="str">
        <f aca="false">B17</f>
        <v>Saturn</v>
      </c>
      <c r="C132" s="515" t="n">
        <f aca="false">C17</f>
        <v>2</v>
      </c>
      <c r="D132" s="474" t="n">
        <f aca="false">MOD((8-D17)*$Q132,27)</f>
        <v>23</v>
      </c>
      <c r="E132" s="474" t="n">
        <f aca="false">MOD((8-E17)*$Q132,27)</f>
        <v>24</v>
      </c>
      <c r="F132" s="474" t="n">
        <f aca="false">MOD((8-F17)*$Q132,27)</f>
        <v>22</v>
      </c>
      <c r="G132" s="474" t="n">
        <f aca="false">MOD((8-G17)*$Q132,27)</f>
        <v>22</v>
      </c>
      <c r="H132" s="474" t="n">
        <f aca="false">MOD((8-H17)*$Q132,27)</f>
        <v>21</v>
      </c>
      <c r="I132" s="474" t="n">
        <f aca="false">MOD((8-I17)*$Q132,27)</f>
        <v>21</v>
      </c>
      <c r="J132" s="474" t="n">
        <f aca="false">MOD((8-J17)*$Q132,27)</f>
        <v>25</v>
      </c>
      <c r="K132" s="474" t="n">
        <f aca="false">MOD((8-K17)*$Q132,27)</f>
        <v>22</v>
      </c>
      <c r="L132" s="474" t="n">
        <f aca="false">MOD((8-L17)*$Q132,27)</f>
        <v>21</v>
      </c>
      <c r="M132" s="474" t="n">
        <f aca="false">MOD((8-M17)*$Q132,27)</f>
        <v>21</v>
      </c>
      <c r="N132" s="474" t="n">
        <f aca="false">MOD((8-N17)*$Q132,27)</f>
        <v>21</v>
      </c>
      <c r="O132" s="519" t="n">
        <f aca="false">MOD((8-O17)*$Q132,27)</f>
        <v>24</v>
      </c>
      <c r="Q132" s="39" t="n">
        <f aca="false">Q122</f>
        <v>134</v>
      </c>
      <c r="S132" s="495"/>
      <c r="T132" s="495"/>
      <c r="U132" s="495"/>
      <c r="V132" s="495"/>
    </row>
    <row r="133" customFormat="false" ht="15" hidden="false" customHeight="false" outlineLevel="0" collapsed="false">
      <c r="A133" s="488" t="str">
        <f aca="false">A132</f>
        <v>Pinda Nakshatra-</v>
      </c>
      <c r="B133" s="518" t="str">
        <f aca="false">B18</f>
        <v>Venus</v>
      </c>
      <c r="C133" s="515" t="n">
        <f aca="false">C18</f>
        <v>3</v>
      </c>
      <c r="D133" s="474" t="n">
        <f aca="false">MOD((8-D18)*$Q133,27)</f>
        <v>5</v>
      </c>
      <c r="E133" s="474" t="n">
        <f aca="false">MOD((8-E18)*$Q133,27)</f>
        <v>13</v>
      </c>
      <c r="F133" s="474" t="n">
        <f aca="false">MOD((8-F18)*$Q133,27)</f>
        <v>16</v>
      </c>
      <c r="G133" s="474" t="n">
        <f aca="false">MOD((8-G18)*$Q133,27)</f>
        <v>5</v>
      </c>
      <c r="H133" s="474" t="n">
        <f aca="false">MOD((8-H18)*$Q133,27)</f>
        <v>24</v>
      </c>
      <c r="I133" s="474" t="n">
        <f aca="false">MOD((8-I18)*$Q133,27)</f>
        <v>8</v>
      </c>
      <c r="J133" s="474" t="n">
        <f aca="false">MOD((8-J18)*$Q133,27)</f>
        <v>21</v>
      </c>
      <c r="K133" s="474" t="n">
        <f aca="false">MOD((8-K18)*$Q133,27)</f>
        <v>13</v>
      </c>
      <c r="L133" s="474" t="n">
        <f aca="false">MOD((8-L18)*$Q133,27)</f>
        <v>24</v>
      </c>
      <c r="M133" s="474" t="n">
        <f aca="false">MOD((8-M18)*$Q133,27)</f>
        <v>13</v>
      </c>
      <c r="N133" s="474" t="n">
        <f aca="false">MOD((8-N18)*$Q133,27)</f>
        <v>13</v>
      </c>
      <c r="O133" s="519" t="n">
        <f aca="false">MOD((8-O18)*$Q133,27)</f>
        <v>8</v>
      </c>
      <c r="Q133" s="39" t="n">
        <f aca="false">Q123</f>
        <v>116</v>
      </c>
      <c r="S133" s="495"/>
      <c r="T133" s="495"/>
      <c r="U133" s="495"/>
      <c r="V133" s="495"/>
    </row>
    <row r="134" customFormat="false" ht="15" hidden="false" customHeight="false" outlineLevel="0" collapsed="false">
      <c r="A134" s="488" t="str">
        <f aca="false">A133</f>
        <v>Pinda Nakshatra-</v>
      </c>
      <c r="B134" s="518" t="str">
        <f aca="false">B19</f>
        <v>Jupiter</v>
      </c>
      <c r="C134" s="515" t="n">
        <f aca="false">C19</f>
        <v>8</v>
      </c>
      <c r="D134" s="474" t="n">
        <f aca="false">MOD((8-D19)*$Q134,27)</f>
        <v>11</v>
      </c>
      <c r="E134" s="474" t="n">
        <f aca="false">MOD((8-E19)*$Q134,27)</f>
        <v>22</v>
      </c>
      <c r="F134" s="474" t="n">
        <f aca="false">MOD((8-F19)*$Q134,27)</f>
        <v>14</v>
      </c>
      <c r="G134" s="474" t="n">
        <f aca="false">MOD((8-G19)*$Q134,27)</f>
        <v>3</v>
      </c>
      <c r="H134" s="474" t="n">
        <f aca="false">MOD((8-H19)*$Q134,27)</f>
        <v>3</v>
      </c>
      <c r="I134" s="474" t="n">
        <f aca="false">MOD((8-I19)*$Q134,27)</f>
        <v>3</v>
      </c>
      <c r="J134" s="474" t="n">
        <f aca="false">MOD((8-J19)*$Q134,27)</f>
        <v>3</v>
      </c>
      <c r="K134" s="474" t="n">
        <f aca="false">MOD((8-K19)*$Q134,27)</f>
        <v>11</v>
      </c>
      <c r="L134" s="474" t="n">
        <f aca="false">MOD((8-L19)*$Q134,27)</f>
        <v>14</v>
      </c>
      <c r="M134" s="474" t="n">
        <f aca="false">MOD((8-M19)*$Q134,27)</f>
        <v>3</v>
      </c>
      <c r="N134" s="474" t="n">
        <f aca="false">MOD((8-N19)*$Q134,27)</f>
        <v>3</v>
      </c>
      <c r="O134" s="519" t="n">
        <f aca="false">MOD((8-O19)*$Q134,27)</f>
        <v>22</v>
      </c>
      <c r="Q134" s="39" t="n">
        <f aca="false">Q124</f>
        <v>127</v>
      </c>
      <c r="S134" s="495"/>
      <c r="T134" s="495"/>
      <c r="U134" s="495"/>
      <c r="V134" s="495"/>
    </row>
    <row r="135" customFormat="false" ht="15" hidden="false" customHeight="false" outlineLevel="0" collapsed="false">
      <c r="A135" s="488" t="str">
        <f aca="false">A134</f>
        <v>Pinda Nakshatra-</v>
      </c>
      <c r="B135" s="518" t="str">
        <f aca="false">B20</f>
        <v>Mercury</v>
      </c>
      <c r="C135" s="515" t="n">
        <f aca="false">C20</f>
        <v>4</v>
      </c>
      <c r="D135" s="474" t="n">
        <f aca="false">MOD((8-D20)*$Q135,27)</f>
        <v>1</v>
      </c>
      <c r="E135" s="474" t="n">
        <f aca="false">MOD((8-E20)*$Q135,27)</f>
        <v>1</v>
      </c>
      <c r="F135" s="474" t="n">
        <f aca="false">MOD((8-F20)*$Q135,27)</f>
        <v>7</v>
      </c>
      <c r="G135" s="474" t="n">
        <f aca="false">MOD((8-G20)*$Q135,27)</f>
        <v>8</v>
      </c>
      <c r="H135" s="474" t="n">
        <f aca="false">MOD((8-H20)*$Q135,27)</f>
        <v>21</v>
      </c>
      <c r="I135" s="474" t="n">
        <f aca="false">MOD((8-I20)*$Q135,27)</f>
        <v>21</v>
      </c>
      <c r="J135" s="474" t="n">
        <f aca="false">MOD((8-J20)*$Q135,27)</f>
        <v>1</v>
      </c>
      <c r="K135" s="474" t="n">
        <f aca="false">MOD((8-K20)*$Q135,27)</f>
        <v>21</v>
      </c>
      <c r="L135" s="474" t="n">
        <f aca="false">MOD((8-L20)*$Q135,27)</f>
        <v>1</v>
      </c>
      <c r="M135" s="474" t="n">
        <f aca="false">MOD((8-M20)*$Q135,27)</f>
        <v>1</v>
      </c>
      <c r="N135" s="474" t="n">
        <f aca="false">MOD((8-N20)*$Q135,27)</f>
        <v>1</v>
      </c>
      <c r="O135" s="519" t="n">
        <f aca="false">MOD((8-O20)*$Q135,27)</f>
        <v>21</v>
      </c>
      <c r="Q135" s="39" t="n">
        <f aca="false">Q125</f>
        <v>115</v>
      </c>
      <c r="S135" s="495"/>
      <c r="T135" s="495"/>
      <c r="U135" s="495"/>
      <c r="V135" s="495"/>
    </row>
    <row r="136" customFormat="false" ht="15" hidden="false" customHeight="false" outlineLevel="0" collapsed="false">
      <c r="A136" s="488" t="str">
        <f aca="false">A135</f>
        <v>Pinda Nakshatra-</v>
      </c>
      <c r="B136" s="518" t="str">
        <f aca="false">B21</f>
        <v>Mars</v>
      </c>
      <c r="C136" s="515" t="n">
        <f aca="false">C21</f>
        <v>10</v>
      </c>
      <c r="D136" s="474" t="n">
        <f aca="false">MOD((8-D21)*$Q136,27)</f>
        <v>11</v>
      </c>
      <c r="E136" s="474" t="n">
        <f aca="false">MOD((8-E21)*$Q136,27)</f>
        <v>15</v>
      </c>
      <c r="F136" s="474" t="n">
        <f aca="false">MOD((8-F21)*$Q136,27)</f>
        <v>26</v>
      </c>
      <c r="G136" s="474" t="n">
        <f aca="false">MOD((8-G21)*$Q136,27)</f>
        <v>3</v>
      </c>
      <c r="H136" s="474" t="n">
        <f aca="false">MOD((8-H21)*$Q136,27)</f>
        <v>11</v>
      </c>
      <c r="I136" s="474" t="n">
        <f aca="false">MOD((8-I21)*$Q136,27)</f>
        <v>7</v>
      </c>
      <c r="J136" s="474" t="n">
        <f aca="false">MOD((8-J21)*$Q136,27)</f>
        <v>11</v>
      </c>
      <c r="K136" s="474" t="n">
        <f aca="false">MOD((8-K21)*$Q136,27)</f>
        <v>15</v>
      </c>
      <c r="L136" s="474" t="n">
        <f aca="false">MOD((8-L21)*$Q136,27)</f>
        <v>7</v>
      </c>
      <c r="M136" s="474" t="n">
        <f aca="false">MOD((8-M21)*$Q136,27)</f>
        <v>11</v>
      </c>
      <c r="N136" s="474" t="n">
        <f aca="false">MOD((8-N21)*$Q136,27)</f>
        <v>3</v>
      </c>
      <c r="O136" s="519" t="n">
        <f aca="false">MOD((8-O21)*$Q136,27)</f>
        <v>3</v>
      </c>
      <c r="Q136" s="39" t="n">
        <f aca="false">Q126</f>
        <v>131</v>
      </c>
      <c r="S136" s="495"/>
      <c r="T136" s="495"/>
      <c r="U136" s="495"/>
      <c r="V136" s="495"/>
    </row>
    <row r="137" customFormat="false" ht="15" hidden="false" customHeight="false" outlineLevel="0" collapsed="false">
      <c r="A137" s="488" t="str">
        <f aca="false">A136</f>
        <v>Pinda Nakshatra-</v>
      </c>
      <c r="B137" s="518" t="str">
        <f aca="false">B22</f>
        <v>Moon</v>
      </c>
      <c r="C137" s="515" t="n">
        <f aca="false">C22</f>
        <v>2</v>
      </c>
      <c r="D137" s="474" t="n">
        <f aca="false">MOD((8-D22)*$Q137,27)</f>
        <v>10</v>
      </c>
      <c r="E137" s="474" t="n">
        <f aca="false">MOD((8-E22)*$Q137,27)</f>
        <v>4</v>
      </c>
      <c r="F137" s="474" t="n">
        <f aca="false">MOD((8-F22)*$Q137,27)</f>
        <v>10</v>
      </c>
      <c r="G137" s="474" t="n">
        <f aca="false">MOD((8-G22)*$Q137,27)</f>
        <v>10</v>
      </c>
      <c r="H137" s="474" t="n">
        <f aca="false">MOD((8-H22)*$Q137,27)</f>
        <v>12</v>
      </c>
      <c r="I137" s="474" t="n">
        <f aca="false">MOD((8-I22)*$Q137,27)</f>
        <v>6</v>
      </c>
      <c r="J137" s="474" t="n">
        <f aca="false">MOD((8-J22)*$Q137,27)</f>
        <v>4</v>
      </c>
      <c r="K137" s="474" t="n">
        <f aca="false">MOD((8-K22)*$Q137,27)</f>
        <v>8</v>
      </c>
      <c r="L137" s="474" t="n">
        <f aca="false">MOD((8-L22)*$Q137,27)</f>
        <v>10</v>
      </c>
      <c r="M137" s="474" t="n">
        <f aca="false">MOD((8-M22)*$Q137,27)</f>
        <v>8</v>
      </c>
      <c r="N137" s="474" t="n">
        <f aca="false">MOD((8-N22)*$Q137,27)</f>
        <v>4</v>
      </c>
      <c r="O137" s="519" t="n">
        <f aca="false">MOD((8-O22)*$Q137,27)</f>
        <v>8</v>
      </c>
      <c r="Q137" s="39" t="n">
        <f aca="false">Q127</f>
        <v>110</v>
      </c>
      <c r="S137" s="495"/>
      <c r="T137" s="495"/>
      <c r="U137" s="495"/>
      <c r="V137" s="495"/>
    </row>
    <row r="138" customFormat="false" ht="15" hidden="false" customHeight="false" outlineLevel="0" collapsed="false">
      <c r="A138" s="488" t="str">
        <f aca="false">A137</f>
        <v>Pinda Nakshatra-</v>
      </c>
      <c r="B138" s="518" t="str">
        <f aca="false">B23</f>
        <v>Sun</v>
      </c>
      <c r="C138" s="515" t="n">
        <f aca="false">C23</f>
        <v>4</v>
      </c>
      <c r="D138" s="474" t="n">
        <f aca="false">MOD((8-D23)*$Q138,27)</f>
        <v>24</v>
      </c>
      <c r="E138" s="474" t="n">
        <f aca="false">MOD((8-E23)*$Q138,27)</f>
        <v>18</v>
      </c>
      <c r="F138" s="474" t="n">
        <f aca="false">MOD((8-F23)*$Q138,27)</f>
        <v>3</v>
      </c>
      <c r="G138" s="474" t="n">
        <f aca="false">MOD((8-G23)*$Q138,27)</f>
        <v>18</v>
      </c>
      <c r="H138" s="474" t="n">
        <f aca="false">MOD((8-H23)*$Q138,27)</f>
        <v>3</v>
      </c>
      <c r="I138" s="474" t="n">
        <f aca="false">MOD((8-I23)*$Q138,27)</f>
        <v>3</v>
      </c>
      <c r="J138" s="474" t="n">
        <f aca="false">MOD((8-J23)*$Q138,27)</f>
        <v>24</v>
      </c>
      <c r="K138" s="474" t="n">
        <f aca="false">MOD((8-K23)*$Q138,27)</f>
        <v>18</v>
      </c>
      <c r="L138" s="474" t="n">
        <f aca="false">MOD((8-L23)*$Q138,27)</f>
        <v>3</v>
      </c>
      <c r="M138" s="474" t="n">
        <f aca="false">MOD((8-M23)*$Q138,27)</f>
        <v>24</v>
      </c>
      <c r="N138" s="474" t="n">
        <f aca="false">MOD((8-N23)*$Q138,27)</f>
        <v>24</v>
      </c>
      <c r="O138" s="519" t="n">
        <f aca="false">MOD((8-O23)*$Q138,27)</f>
        <v>18</v>
      </c>
      <c r="Q138" s="39" t="n">
        <f aca="false">Q128</f>
        <v>60</v>
      </c>
      <c r="S138" s="495"/>
      <c r="T138" s="495"/>
      <c r="U138" s="495"/>
      <c r="V138" s="495"/>
    </row>
    <row r="139" customFormat="false" ht="15" hidden="false" customHeight="false" outlineLevel="0" collapsed="false">
      <c r="A139" s="488" t="str">
        <f aca="false">A138</f>
        <v>Pinda Nakshatra-</v>
      </c>
      <c r="B139" s="520" t="str">
        <f aca="false">B24</f>
        <v>Lagna</v>
      </c>
      <c r="C139" s="521" t="n">
        <f aca="false">C24</f>
        <v>5</v>
      </c>
      <c r="D139" s="522" t="n">
        <f aca="false">MOD((8-D24)*$Q139,27)</f>
        <v>25</v>
      </c>
      <c r="E139" s="522" t="n">
        <f aca="false">MOD((8-E24)*$Q139,27)</f>
        <v>12</v>
      </c>
      <c r="F139" s="522" t="n">
        <f aca="false">MOD((8-F24)*$Q139,27)</f>
        <v>25</v>
      </c>
      <c r="G139" s="522" t="n">
        <f aca="false">MOD((8-G24)*$Q139,27)</f>
        <v>12</v>
      </c>
      <c r="H139" s="522" t="n">
        <f aca="false">MOD((8-H24)*$Q139,27)</f>
        <v>25</v>
      </c>
      <c r="I139" s="522" t="n">
        <f aca="false">MOD((8-I24)*$Q139,27)</f>
        <v>11</v>
      </c>
      <c r="J139" s="522" t="n">
        <f aca="false">MOD((8-J24)*$Q139,27)</f>
        <v>13</v>
      </c>
      <c r="K139" s="522" t="n">
        <f aca="false">MOD((8-K24)*$Q139,27)</f>
        <v>24</v>
      </c>
      <c r="L139" s="522" t="n">
        <f aca="false">MOD((8-L24)*$Q139,27)</f>
        <v>11</v>
      </c>
      <c r="M139" s="522" t="n">
        <f aca="false">MOD((8-M24)*$Q139,27)</f>
        <v>11</v>
      </c>
      <c r="N139" s="522" t="n">
        <f aca="false">MOD((8-N24)*$Q139,27)</f>
        <v>12</v>
      </c>
      <c r="O139" s="420" t="n">
        <f aca="false">MOD((8-O24)*$Q139,27)</f>
        <v>25</v>
      </c>
      <c r="Q139" s="39" t="n">
        <f aca="false">Q129</f>
        <v>148</v>
      </c>
      <c r="S139" s="495"/>
      <c r="T139" s="495"/>
      <c r="U139" s="495"/>
      <c r="V139" s="495"/>
    </row>
    <row r="140" customFormat="false" ht="15" hidden="false" customHeight="false" outlineLevel="0" collapsed="false">
      <c r="A140" s="488" t="str">
        <f aca="false">A139</f>
        <v>Pinda Nakshatra-</v>
      </c>
      <c r="S140" s="495"/>
      <c r="T140" s="495"/>
      <c r="U140" s="495"/>
      <c r="V140" s="495"/>
    </row>
    <row r="141" customFormat="false" ht="15" hidden="false" customHeight="false" outlineLevel="0" collapsed="false">
      <c r="A141" s="488" t="str">
        <f aca="false">A140</f>
        <v>Pinda Nakshatra-</v>
      </c>
      <c r="B141" s="488"/>
      <c r="C141" s="206"/>
      <c r="S141" s="495"/>
      <c r="T141" s="495"/>
      <c r="U141" s="495"/>
      <c r="V141" s="495"/>
    </row>
    <row r="142" customFormat="false" ht="15" hidden="false" customHeight="false" outlineLevel="0" collapsed="false">
      <c r="A142" s="488" t="str">
        <f aca="false">A141</f>
        <v>Pinda Nakshatra-</v>
      </c>
      <c r="C142" s="206"/>
      <c r="S142" s="495"/>
      <c r="T142" s="495"/>
      <c r="U142" s="495"/>
      <c r="V142" s="495"/>
    </row>
    <row r="143" customFormat="false" ht="15" hidden="false" customHeight="false" outlineLevel="0" collapsed="false">
      <c r="A143" s="488" t="str">
        <f aca="false">A142</f>
        <v>Pinda Nakshatra-</v>
      </c>
      <c r="C143" s="206"/>
      <c r="S143" s="495"/>
      <c r="T143" s="495"/>
      <c r="U143" s="495"/>
      <c r="V143" s="495"/>
    </row>
    <row r="144" customFormat="false" ht="15" hidden="false" customHeight="false" outlineLevel="0" collapsed="false">
      <c r="A144" s="488" t="str">
        <f aca="false">A143</f>
        <v>Pinda Nakshatra-</v>
      </c>
      <c r="C144" s="206"/>
      <c r="S144" s="495"/>
      <c r="T144" s="495"/>
      <c r="U144" s="495"/>
      <c r="V144" s="495"/>
    </row>
    <row r="145" customFormat="false" ht="15" hidden="false" customHeight="false" outlineLevel="0" collapsed="false">
      <c r="A145" s="488" t="str">
        <f aca="false">A144</f>
        <v>Pinda Nakshatra-</v>
      </c>
      <c r="C145" s="206"/>
      <c r="S145" s="495"/>
      <c r="T145" s="495"/>
      <c r="U145" s="495"/>
      <c r="V145" s="495"/>
    </row>
    <row r="146" customFormat="false" ht="15" hidden="false" customHeight="false" outlineLevel="0" collapsed="false">
      <c r="A146" s="488" t="str">
        <f aca="false">A145</f>
        <v>Pinda Nakshatra-</v>
      </c>
      <c r="C146" s="206"/>
      <c r="S146" s="495"/>
      <c r="T146" s="495"/>
      <c r="U146" s="495"/>
      <c r="V146" s="495"/>
    </row>
    <row r="147" customFormat="false" ht="15" hidden="false" customHeight="false" outlineLevel="0" collapsed="false">
      <c r="A147" s="488" t="str">
        <f aca="false">A146</f>
        <v>Pinda Nakshatra-</v>
      </c>
      <c r="C147" s="206"/>
      <c r="S147" s="495"/>
      <c r="T147" s="495"/>
      <c r="U147" s="495"/>
      <c r="V147" s="495"/>
    </row>
    <row r="148" customFormat="false" ht="15" hidden="false" customHeight="false" outlineLevel="0" collapsed="false">
      <c r="A148" s="488" t="str">
        <f aca="false">A147</f>
        <v>Pinda Nakshatra-</v>
      </c>
      <c r="C148" s="206"/>
      <c r="S148" s="495"/>
      <c r="T148" s="495"/>
      <c r="U148" s="495"/>
      <c r="V148" s="495"/>
    </row>
    <row r="149" customFormat="false" ht="15" hidden="false" customHeight="false" outlineLevel="0" collapsed="false">
      <c r="A149" s="488" t="str">
        <f aca="false">A148</f>
        <v>Pinda Nakshatra-</v>
      </c>
      <c r="C149" s="206"/>
      <c r="S149" s="495"/>
      <c r="T149" s="495"/>
      <c r="U149" s="495"/>
      <c r="V149" s="495"/>
    </row>
    <row r="150" customFormat="false" ht="15" hidden="false" customHeight="false" outlineLevel="0" collapsed="false">
      <c r="A150" s="488" t="s">
        <v>775</v>
      </c>
      <c r="B150" s="474" t="s">
        <v>776</v>
      </c>
      <c r="Y150" s="474" t="s">
        <v>777</v>
      </c>
    </row>
    <row r="151" customFormat="false" ht="13.5" hidden="false" customHeight="true" outlineLevel="0" collapsed="false">
      <c r="A151" s="488" t="str">
        <f aca="false">B151</f>
        <v>Saturn</v>
      </c>
      <c r="B151" s="523" t="str">
        <f aca="false">X151</f>
        <v>Saturn</v>
      </c>
      <c r="C151" s="523"/>
      <c r="D151" s="474" t="n">
        <f aca="true">INDIRECT(B151&amp;"house")</f>
        <v>2</v>
      </c>
      <c r="S151" s="495"/>
      <c r="T151" s="495"/>
      <c r="U151" s="495"/>
      <c r="V151" s="495"/>
      <c r="X151" s="193" t="s">
        <v>164</v>
      </c>
      <c r="Y151" s="474" t="str">
        <f aca="false">MIN(Y153:Y160)&amp;"-"&amp;MAX(Y153:Y160)</f>
        <v>3-7</v>
      </c>
      <c r="Z151" s="474" t="str">
        <f aca="false">$Z$83 &amp;  X151</f>
        <v>From Graha Good and Bad Transit of Saturn</v>
      </c>
      <c r="AL151" s="474"/>
      <c r="AW151" s="474"/>
      <c r="AX151" s="474" t="s">
        <v>777</v>
      </c>
    </row>
    <row r="152" customFormat="false" ht="15" hidden="false" customHeight="false" outlineLevel="0" collapsed="false">
      <c r="A152" s="488" t="str">
        <f aca="false">A151&amp;"-"&amp;B152</f>
        <v>Saturn-</v>
      </c>
      <c r="B152" s="524"/>
      <c r="C152" s="525" t="s">
        <v>746</v>
      </c>
      <c r="D152" s="526" t="n">
        <v>1</v>
      </c>
      <c r="E152" s="526" t="n">
        <v>2</v>
      </c>
      <c r="F152" s="526" t="n">
        <v>3</v>
      </c>
      <c r="G152" s="526" t="n">
        <v>4</v>
      </c>
      <c r="H152" s="526" t="n">
        <v>5</v>
      </c>
      <c r="I152" s="526" t="n">
        <v>6</v>
      </c>
      <c r="J152" s="526" t="n">
        <v>7</v>
      </c>
      <c r="K152" s="526" t="n">
        <v>8</v>
      </c>
      <c r="L152" s="526" t="n">
        <v>9</v>
      </c>
      <c r="M152" s="526" t="n">
        <v>10</v>
      </c>
      <c r="N152" s="526" t="n">
        <v>11</v>
      </c>
      <c r="O152" s="526" t="n">
        <v>12</v>
      </c>
      <c r="P152" s="527"/>
      <c r="Q152" s="527"/>
      <c r="S152" s="489" t="n">
        <f aca="false">O161</f>
        <v>5</v>
      </c>
      <c r="T152" s="489" t="n">
        <f aca="false">D161</f>
        <v>4</v>
      </c>
      <c r="U152" s="489" t="n">
        <f aca="false">E161</f>
        <v>5</v>
      </c>
      <c r="V152" s="489" t="n">
        <f aca="false">F161</f>
        <v>3</v>
      </c>
      <c r="X152" s="525" t="s">
        <v>778</v>
      </c>
      <c r="Y152" s="528" t="s">
        <v>779</v>
      </c>
      <c r="Z152" s="529" t="n">
        <v>1</v>
      </c>
      <c r="AA152" s="529" t="n">
        <v>2</v>
      </c>
      <c r="AB152" s="529" t="n">
        <v>3</v>
      </c>
      <c r="AC152" s="529" t="n">
        <v>4</v>
      </c>
      <c r="AD152" s="529" t="n">
        <v>5</v>
      </c>
      <c r="AE152" s="529" t="n">
        <v>6</v>
      </c>
      <c r="AF152" s="529" t="n">
        <v>7</v>
      </c>
      <c r="AG152" s="529" t="n">
        <v>8</v>
      </c>
      <c r="AH152" s="529" t="n">
        <v>9</v>
      </c>
      <c r="AI152" s="529" t="n">
        <v>10</v>
      </c>
      <c r="AJ152" s="529" t="n">
        <v>11</v>
      </c>
      <c r="AK152" s="529" t="n">
        <v>12</v>
      </c>
      <c r="AL152" s="530" t="n">
        <v>1</v>
      </c>
      <c r="AM152" s="526" t="n">
        <v>2</v>
      </c>
      <c r="AN152" s="526" t="n">
        <v>3</v>
      </c>
      <c r="AO152" s="526" t="n">
        <v>4</v>
      </c>
      <c r="AP152" s="526" t="n">
        <v>5</v>
      </c>
      <c r="AQ152" s="526" t="n">
        <v>6</v>
      </c>
      <c r="AR152" s="526" t="n">
        <v>7</v>
      </c>
      <c r="AS152" s="526" t="n">
        <v>8</v>
      </c>
      <c r="AT152" s="526" t="n">
        <v>9</v>
      </c>
      <c r="AU152" s="526" t="n">
        <v>10</v>
      </c>
      <c r="AV152" s="526" t="n">
        <v>11</v>
      </c>
      <c r="AW152" s="531" t="n">
        <v>12</v>
      </c>
    </row>
    <row r="153" customFormat="false" ht="15" hidden="false" customHeight="false" outlineLevel="0" collapsed="false">
      <c r="A153" s="488" t="str">
        <f aca="false">A151&amp;"-"&amp;B153</f>
        <v>Saturn-Saturn</v>
      </c>
      <c r="B153" s="532" t="s">
        <v>164</v>
      </c>
      <c r="C153" s="533" t="n">
        <f aca="false">SaturnHouse</f>
        <v>2</v>
      </c>
      <c r="D153" s="534" t="str">
        <f aca="false">INDEX($Z153:$AW153,,12+D$152-$Q153+1)</f>
        <v>*</v>
      </c>
      <c r="E153" s="534" t="str">
        <f aca="false">INDEX($Z153:$AW153,,12+E$152-$Q153+1)</f>
        <v>*</v>
      </c>
      <c r="F153" s="534" t="str">
        <f aca="false">INDEX($Z153:$AW153,,12+F$152-$Q153+1)</f>
        <v>*</v>
      </c>
      <c r="G153" s="534" t="n">
        <f aca="false">INDEX($Z153:$AW153,,12+G$152-$Q153+1)</f>
        <v>1</v>
      </c>
      <c r="H153" s="534" t="str">
        <f aca="false">INDEX($Z153:$AW153,,12+H$152-$Q153+1)</f>
        <v>*</v>
      </c>
      <c r="I153" s="534" t="n">
        <f aca="false">INDEX($Z153:$AW153,,12+I$152-$Q153+1)</f>
        <v>1</v>
      </c>
      <c r="J153" s="534" t="n">
        <f aca="false">INDEX($Z153:$AW153,,12+J$152-$Q153+1)</f>
        <v>1</v>
      </c>
      <c r="K153" s="534" t="str">
        <f aca="false">INDEX($Z153:$AW153,,12+K$152-$Q153+1)</f>
        <v>*</v>
      </c>
      <c r="L153" s="534" t="str">
        <f aca="false">INDEX($Z153:$AW153,,12+L$152-$Q153+1)</f>
        <v>*</v>
      </c>
      <c r="M153" s="534" t="str">
        <f aca="false">INDEX($Z153:$AW153,,12+M$152-$Q153+1)</f>
        <v>*</v>
      </c>
      <c r="N153" s="534" t="str">
        <f aca="false">INDEX($Z153:$AW153,,12+N$152-$Q153+1)</f>
        <v>*</v>
      </c>
      <c r="O153" s="534" t="n">
        <f aca="false">INDEX($Z153:$AW153,,12+O$152-$Q153+1)</f>
        <v>1</v>
      </c>
      <c r="P153" s="535" t="n">
        <f aca="false">SUM(D153:O153)</f>
        <v>4</v>
      </c>
      <c r="Q153" s="533" t="n">
        <f aca="false">IF($Y$82,D151,C153)</f>
        <v>2</v>
      </c>
      <c r="S153" s="489"/>
      <c r="T153" s="489"/>
      <c r="U153" s="489"/>
      <c r="V153" s="489"/>
      <c r="X153" s="532" t="s">
        <v>164</v>
      </c>
      <c r="Y153" s="536" t="n">
        <f aca="false">SUM(Z153:AK153)</f>
        <v>4</v>
      </c>
      <c r="Z153" s="534" t="s">
        <v>181</v>
      </c>
      <c r="AA153" s="534" t="s">
        <v>181</v>
      </c>
      <c r="AB153" s="534" t="n">
        <v>1</v>
      </c>
      <c r="AC153" s="534" t="s">
        <v>181</v>
      </c>
      <c r="AD153" s="534" t="n">
        <v>1</v>
      </c>
      <c r="AE153" s="534" t="n">
        <v>1</v>
      </c>
      <c r="AF153" s="534" t="s">
        <v>181</v>
      </c>
      <c r="AG153" s="534" t="s">
        <v>181</v>
      </c>
      <c r="AH153" s="534" t="s">
        <v>181</v>
      </c>
      <c r="AI153" s="534" t="s">
        <v>181</v>
      </c>
      <c r="AJ153" s="534" t="n">
        <v>1</v>
      </c>
      <c r="AK153" s="534" t="s">
        <v>181</v>
      </c>
      <c r="AL153" s="537" t="str">
        <f aca="false">Z153</f>
        <v>*</v>
      </c>
      <c r="AM153" s="534" t="str">
        <f aca="false">AA153</f>
        <v>*</v>
      </c>
      <c r="AN153" s="534" t="n">
        <f aca="false">AB153</f>
        <v>1</v>
      </c>
      <c r="AO153" s="534" t="str">
        <f aca="false">AC153</f>
        <v>*</v>
      </c>
      <c r="AP153" s="534" t="n">
        <f aca="false">AD153</f>
        <v>1</v>
      </c>
      <c r="AQ153" s="534" t="n">
        <f aca="false">AE153</f>
        <v>1</v>
      </c>
      <c r="AR153" s="534" t="str">
        <f aca="false">AF153</f>
        <v>*</v>
      </c>
      <c r="AS153" s="534" t="str">
        <f aca="false">AG153</f>
        <v>*</v>
      </c>
      <c r="AT153" s="534" t="str">
        <f aca="false">AH153</f>
        <v>*</v>
      </c>
      <c r="AU153" s="534" t="str">
        <f aca="false">AI153</f>
        <v>*</v>
      </c>
      <c r="AV153" s="534" t="n">
        <f aca="false">AJ153</f>
        <v>1</v>
      </c>
      <c r="AW153" s="538" t="str">
        <f aca="false">AK153</f>
        <v>*</v>
      </c>
      <c r="AX153" s="474" t="str">
        <f aca="false">MIN($Y$153,$Y$167,$Y$181,$Y$195,$Y$209,$Y$223,$Y$237,$Y$251)&amp;"-"&amp;MAX($Y$153,$Y$167,$Y$181,$Y$195,$Y$209,$Y$223,$Y$237,$Y$251)</f>
        <v>4-8</v>
      </c>
      <c r="AY153" s="474" t="s">
        <v>780</v>
      </c>
    </row>
    <row r="154" customFormat="false" ht="15" hidden="false" customHeight="false" outlineLevel="0" collapsed="false">
      <c r="A154" s="488" t="str">
        <f aca="false">A151&amp;"-"&amp;B154</f>
        <v>Saturn-Jupiter</v>
      </c>
      <c r="B154" s="532" t="s">
        <v>162</v>
      </c>
      <c r="C154" s="533" t="n">
        <f aca="false">JupiterHouse</f>
        <v>8</v>
      </c>
      <c r="D154" s="534" t="n">
        <f aca="false">INDEX($Z154:$AW154,,12+D$152-$Q154+1)</f>
        <v>1</v>
      </c>
      <c r="E154" s="534" t="str">
        <f aca="false">INDEX($Z154:$AW154,,12+E$152-$Q154+1)</f>
        <v>*</v>
      </c>
      <c r="F154" s="534" t="str">
        <f aca="false">INDEX($Z154:$AW154,,12+F$152-$Q154+1)</f>
        <v>*</v>
      </c>
      <c r="G154" s="534" t="str">
        <f aca="false">INDEX($Z154:$AW154,,12+G$152-$Q154+1)</f>
        <v>*</v>
      </c>
      <c r="H154" s="534" t="str">
        <f aca="false">INDEX($Z154:$AW154,,12+H$152-$Q154+1)</f>
        <v>*</v>
      </c>
      <c r="I154" s="534" t="n">
        <f aca="false">INDEX($Z154:$AW154,,12+I$152-$Q154+1)</f>
        <v>1</v>
      </c>
      <c r="J154" s="534" t="n">
        <f aca="false">INDEX($Z154:$AW154,,12+J$152-$Q154+1)</f>
        <v>1</v>
      </c>
      <c r="K154" s="534" t="str">
        <f aca="false">INDEX($Z154:$AW154,,12+K$152-$Q154+1)</f>
        <v>*</v>
      </c>
      <c r="L154" s="534" t="str">
        <f aca="false">INDEX($Z154:$AW154,,12+L$152-$Q154+1)</f>
        <v>*</v>
      </c>
      <c r="M154" s="534" t="str">
        <f aca="false">INDEX($Z154:$AW154,,12+M$152-$Q154+1)</f>
        <v>*</v>
      </c>
      <c r="N154" s="534" t="str">
        <f aca="false">INDEX($Z154:$AW154,,12+N$152-$Q154+1)</f>
        <v>*</v>
      </c>
      <c r="O154" s="534" t="n">
        <f aca="false">INDEX($Z154:$AW154,,12+O$152-$Q154+1)</f>
        <v>1</v>
      </c>
      <c r="P154" s="535" t="n">
        <f aca="false">SUM(D154:O154)</f>
        <v>4</v>
      </c>
      <c r="Q154" s="533" t="n">
        <f aca="false">IF($Y$82,D151,C154)</f>
        <v>8</v>
      </c>
      <c r="S154" s="489"/>
      <c r="T154" s="489"/>
      <c r="U154" s="489"/>
      <c r="V154" s="489"/>
      <c r="X154" s="532" t="s">
        <v>162</v>
      </c>
      <c r="Y154" s="536" t="n">
        <f aca="false">SUM(Z154:AK154)</f>
        <v>4</v>
      </c>
      <c r="Z154" s="534" t="s">
        <v>181</v>
      </c>
      <c r="AA154" s="534" t="s">
        <v>181</v>
      </c>
      <c r="AB154" s="534" t="s">
        <v>181</v>
      </c>
      <c r="AC154" s="534" t="s">
        <v>181</v>
      </c>
      <c r="AD154" s="534" t="n">
        <v>1</v>
      </c>
      <c r="AE154" s="534" t="n">
        <v>1</v>
      </c>
      <c r="AF154" s="534" t="s">
        <v>181</v>
      </c>
      <c r="AG154" s="534" t="s">
        <v>181</v>
      </c>
      <c r="AH154" s="534" t="s">
        <v>181</v>
      </c>
      <c r="AI154" s="534" t="s">
        <v>181</v>
      </c>
      <c r="AJ154" s="534" t="n">
        <v>1</v>
      </c>
      <c r="AK154" s="534" t="n">
        <v>1</v>
      </c>
      <c r="AL154" s="537" t="str">
        <f aca="false">Z154</f>
        <v>*</v>
      </c>
      <c r="AM154" s="534" t="str">
        <f aca="false">AA154</f>
        <v>*</v>
      </c>
      <c r="AN154" s="534" t="str">
        <f aca="false">AB154</f>
        <v>*</v>
      </c>
      <c r="AO154" s="534" t="str">
        <f aca="false">AC154</f>
        <v>*</v>
      </c>
      <c r="AP154" s="534" t="n">
        <f aca="false">AD154</f>
        <v>1</v>
      </c>
      <c r="AQ154" s="534" t="n">
        <f aca="false">AE154</f>
        <v>1</v>
      </c>
      <c r="AR154" s="534" t="str">
        <f aca="false">AF154</f>
        <v>*</v>
      </c>
      <c r="AS154" s="534" t="str">
        <f aca="false">AG154</f>
        <v>*</v>
      </c>
      <c r="AT154" s="534" t="str">
        <f aca="false">AH154</f>
        <v>*</v>
      </c>
      <c r="AU154" s="534" t="str">
        <f aca="false">AI154</f>
        <v>*</v>
      </c>
      <c r="AV154" s="534" t="n">
        <f aca="false">AJ154</f>
        <v>1</v>
      </c>
      <c r="AW154" s="538" t="n">
        <f aca="false">AK154</f>
        <v>1</v>
      </c>
      <c r="AX154" s="474" t="str">
        <f aca="false">MIN($Y$154,$Y$168,$Y$182,$Y$196,$Y$210,$Y$224,$Y$238,$Y$252)&amp;"-"&amp;MAX($Y$154,$Y$168,$Y$182,$Y$196,$Y$210,$Y$224,$Y$238,$Y$252)</f>
        <v>4-9</v>
      </c>
      <c r="AY154" s="474" t="s">
        <v>780</v>
      </c>
    </row>
    <row r="155" customFormat="false" ht="15" hidden="false" customHeight="false" outlineLevel="0" collapsed="false">
      <c r="A155" s="488" t="str">
        <f aca="false">A151&amp;"-"&amp;B155</f>
        <v>Saturn-Mars</v>
      </c>
      <c r="B155" s="532" t="s">
        <v>160</v>
      </c>
      <c r="C155" s="533" t="n">
        <f aca="false">MarsHouse</f>
        <v>10</v>
      </c>
      <c r="D155" s="534" t="str">
        <f aca="false">INDEX($Z155:$AW155,,12+D$152-$Q155+1)</f>
        <v>*</v>
      </c>
      <c r="E155" s="534" t="n">
        <f aca="false">INDEX($Z155:$AW155,,12+E$152-$Q155+1)</f>
        <v>1</v>
      </c>
      <c r="F155" s="534" t="n">
        <f aca="false">INDEX($Z155:$AW155,,12+F$152-$Q155+1)</f>
        <v>1</v>
      </c>
      <c r="G155" s="534" t="str">
        <f aca="false">INDEX($Z155:$AW155,,12+G$152-$Q155+1)</f>
        <v>*</v>
      </c>
      <c r="H155" s="534" t="str">
        <f aca="false">INDEX($Z155:$AW155,,12+H$152-$Q155+1)</f>
        <v>*</v>
      </c>
      <c r="I155" s="534" t="str">
        <f aca="false">INDEX($Z155:$AW155,,12+I$152-$Q155+1)</f>
        <v>*</v>
      </c>
      <c r="J155" s="534" t="n">
        <f aca="false">INDEX($Z155:$AW155,,12+J$152-$Q155+1)</f>
        <v>1</v>
      </c>
      <c r="K155" s="534" t="n">
        <f aca="false">INDEX($Z155:$AW155,,12+K$152-$Q155+1)</f>
        <v>1</v>
      </c>
      <c r="L155" s="534" t="n">
        <f aca="false">INDEX($Z155:$AW155,,12+L$152-$Q155+1)</f>
        <v>1</v>
      </c>
      <c r="M155" s="534" t="str">
        <f aca="false">INDEX($Z155:$AW155,,12+M$152-$Q155+1)</f>
        <v>*</v>
      </c>
      <c r="N155" s="534" t="str">
        <f aca="false">INDEX($Z155:$AW155,,12+N$152-$Q155+1)</f>
        <v>*</v>
      </c>
      <c r="O155" s="534" t="n">
        <f aca="false">INDEX($Z155:$AW155,,12+O$152-$Q155+1)</f>
        <v>1</v>
      </c>
      <c r="P155" s="535" t="n">
        <f aca="false">SUM(D155:O155)</f>
        <v>6</v>
      </c>
      <c r="Q155" s="533" t="n">
        <f aca="false">IF($Y$82,D151,C155)</f>
        <v>10</v>
      </c>
      <c r="S155" s="489" t="n">
        <f aca="false">N161</f>
        <v>2</v>
      </c>
      <c r="T155" s="490" t="str">
        <f aca="false">C151&amp;"  Ashtakavarga  "&amp;P161</f>
        <v>  Ashtakavarga  39</v>
      </c>
      <c r="U155" s="490"/>
      <c r="V155" s="489" t="n">
        <f aca="false">G161</f>
        <v>3</v>
      </c>
      <c r="X155" s="532" t="s">
        <v>160</v>
      </c>
      <c r="Y155" s="536" t="n">
        <f aca="false">SUM(Z155:AK155)</f>
        <v>6</v>
      </c>
      <c r="Z155" s="534" t="s">
        <v>181</v>
      </c>
      <c r="AA155" s="534" t="s">
        <v>181</v>
      </c>
      <c r="AB155" s="534" t="n">
        <v>1</v>
      </c>
      <c r="AC155" s="534" t="s">
        <v>181</v>
      </c>
      <c r="AD155" s="534" t="n">
        <v>1</v>
      </c>
      <c r="AE155" s="534" t="n">
        <v>1</v>
      </c>
      <c r="AF155" s="534" t="s">
        <v>181</v>
      </c>
      <c r="AG155" s="534" t="s">
        <v>181</v>
      </c>
      <c r="AH155" s="534" t="s">
        <v>181</v>
      </c>
      <c r="AI155" s="534" t="n">
        <v>1</v>
      </c>
      <c r="AJ155" s="534" t="n">
        <v>1</v>
      </c>
      <c r="AK155" s="534" t="n">
        <v>1</v>
      </c>
      <c r="AL155" s="537" t="str">
        <f aca="false">Z155</f>
        <v>*</v>
      </c>
      <c r="AM155" s="534" t="str">
        <f aca="false">AA155</f>
        <v>*</v>
      </c>
      <c r="AN155" s="534" t="n">
        <f aca="false">AB155</f>
        <v>1</v>
      </c>
      <c r="AO155" s="534" t="str">
        <f aca="false">AC155</f>
        <v>*</v>
      </c>
      <c r="AP155" s="534" t="n">
        <f aca="false">AD155</f>
        <v>1</v>
      </c>
      <c r="AQ155" s="534" t="n">
        <f aca="false">AE155</f>
        <v>1</v>
      </c>
      <c r="AR155" s="534" t="str">
        <f aca="false">AF155</f>
        <v>*</v>
      </c>
      <c r="AS155" s="534" t="str">
        <f aca="false">AG155</f>
        <v>*</v>
      </c>
      <c r="AT155" s="534" t="str">
        <f aca="false">AH155</f>
        <v>*</v>
      </c>
      <c r="AU155" s="534" t="n">
        <f aca="false">AI155</f>
        <v>1</v>
      </c>
      <c r="AV155" s="534" t="n">
        <f aca="false">AJ155</f>
        <v>1</v>
      </c>
      <c r="AW155" s="538" t="n">
        <f aca="false">AK155</f>
        <v>1</v>
      </c>
      <c r="AX155" s="474" t="str">
        <f aca="false">MIN($Y$155,$Y$169,$Y$183,$Y$197,$Y$211,$Y$225,$Y$239,$Y$253)&amp;"-"&amp;MAX($Y$155,$Y$169,$Y$183,$Y$197,$Y$211,$Y$225,$Y$239,$Y$253)</f>
        <v>5-8</v>
      </c>
    </row>
    <row r="156" customFormat="false" ht="15" hidden="false" customHeight="false" outlineLevel="0" collapsed="false">
      <c r="A156" s="488" t="str">
        <f aca="false">A151&amp;"-"&amp;B156</f>
        <v>Saturn-Sun</v>
      </c>
      <c r="B156" s="532" t="s">
        <v>158</v>
      </c>
      <c r="C156" s="533" t="n">
        <f aca="false">SunHouse</f>
        <v>4</v>
      </c>
      <c r="D156" s="534" t="n">
        <f aca="false">INDEX($Z156:$AW156,,12+D$152-$Q156+1)</f>
        <v>1</v>
      </c>
      <c r="E156" s="534" t="n">
        <f aca="false">INDEX($Z156:$AW156,,12+E$152-$Q156+1)</f>
        <v>1</v>
      </c>
      <c r="F156" s="534" t="str">
        <f aca="false">INDEX($Z156:$AW156,,12+F$152-$Q156+1)</f>
        <v>*</v>
      </c>
      <c r="G156" s="534" t="n">
        <f aca="false">INDEX($Z156:$AW156,,12+G$152-$Q156+1)</f>
        <v>1</v>
      </c>
      <c r="H156" s="534" t="n">
        <f aca="false">INDEX($Z156:$AW156,,12+H$152-$Q156+1)</f>
        <v>1</v>
      </c>
      <c r="I156" s="534" t="str">
        <f aca="false">INDEX($Z156:$AW156,,12+I$152-$Q156+1)</f>
        <v>*</v>
      </c>
      <c r="J156" s="534" t="n">
        <f aca="false">INDEX($Z156:$AW156,,12+J$152-$Q156+1)</f>
        <v>1</v>
      </c>
      <c r="K156" s="534" t="str">
        <f aca="false">INDEX($Z156:$AW156,,12+K$152-$Q156+1)</f>
        <v>*</v>
      </c>
      <c r="L156" s="534" t="str">
        <f aca="false">INDEX($Z156:$AW156,,12+L$152-$Q156+1)</f>
        <v>*</v>
      </c>
      <c r="M156" s="534" t="n">
        <f aca="false">INDEX($Z156:$AW156,,12+M$152-$Q156+1)</f>
        <v>1</v>
      </c>
      <c r="N156" s="534" t="n">
        <f aca="false">INDEX($Z156:$AW156,,12+N$152-$Q156+1)</f>
        <v>1</v>
      </c>
      <c r="O156" s="534" t="str">
        <f aca="false">INDEX($Z156:$AW156,,12+O$152-$Q156+1)</f>
        <v>*</v>
      </c>
      <c r="P156" s="535" t="n">
        <f aca="false">SUM(D156:O156)</f>
        <v>7</v>
      </c>
      <c r="Q156" s="533" t="n">
        <f aca="false">IF($Y$82,D151,C156)</f>
        <v>4</v>
      </c>
      <c r="S156" s="489"/>
      <c r="T156" s="489"/>
      <c r="U156" s="490"/>
      <c r="V156" s="489"/>
      <c r="X156" s="532" t="s">
        <v>158</v>
      </c>
      <c r="Y156" s="536" t="n">
        <f aca="false">SUM(Z156:AK156)</f>
        <v>7</v>
      </c>
      <c r="Z156" s="534" t="n">
        <v>1</v>
      </c>
      <c r="AA156" s="534" t="n">
        <v>1</v>
      </c>
      <c r="AB156" s="534" t="s">
        <v>181</v>
      </c>
      <c r="AC156" s="534" t="n">
        <v>1</v>
      </c>
      <c r="AD156" s="534" t="s">
        <v>181</v>
      </c>
      <c r="AE156" s="534" t="s">
        <v>181</v>
      </c>
      <c r="AF156" s="534" t="n">
        <v>1</v>
      </c>
      <c r="AG156" s="534" t="n">
        <v>1</v>
      </c>
      <c r="AH156" s="534" t="s">
        <v>181</v>
      </c>
      <c r="AI156" s="534" t="n">
        <v>1</v>
      </c>
      <c r="AJ156" s="534" t="n">
        <v>1</v>
      </c>
      <c r="AK156" s="534" t="s">
        <v>181</v>
      </c>
      <c r="AL156" s="537" t="n">
        <f aca="false">Z156</f>
        <v>1</v>
      </c>
      <c r="AM156" s="534" t="n">
        <f aca="false">AA156</f>
        <v>1</v>
      </c>
      <c r="AN156" s="534" t="str">
        <f aca="false">AB156</f>
        <v>*</v>
      </c>
      <c r="AO156" s="534" t="n">
        <f aca="false">AC156</f>
        <v>1</v>
      </c>
      <c r="AP156" s="534" t="str">
        <f aca="false">AD156</f>
        <v>*</v>
      </c>
      <c r="AQ156" s="534" t="str">
        <f aca="false">AE156</f>
        <v>*</v>
      </c>
      <c r="AR156" s="534" t="n">
        <f aca="false">AF156</f>
        <v>1</v>
      </c>
      <c r="AS156" s="534" t="n">
        <f aca="false">AG156</f>
        <v>1</v>
      </c>
      <c r="AT156" s="534" t="str">
        <f aca="false">AH156</f>
        <v>*</v>
      </c>
      <c r="AU156" s="534" t="n">
        <f aca="false">AI156</f>
        <v>1</v>
      </c>
      <c r="AV156" s="534" t="n">
        <f aca="false">AJ156</f>
        <v>1</v>
      </c>
      <c r="AW156" s="538" t="str">
        <f aca="false">AK156</f>
        <v>*</v>
      </c>
      <c r="AX156" s="474" t="str">
        <f aca="false">MIN($Y$156,$Y$170,$Y$184,$Y$198,$Y$212,$Y$226,$Y$240,$Y$254)&amp;"-"&amp;MAX($Y$156,$Y$170,$Y$184,$Y$198,$Y$212,$Y$226,$Y$240,$Y$254)</f>
        <v>3-9</v>
      </c>
    </row>
    <row r="157" customFormat="false" ht="15" hidden="false" customHeight="false" outlineLevel="0" collapsed="false">
      <c r="A157" s="488" t="str">
        <f aca="false">A151&amp;"-"&amp;B157</f>
        <v>Saturn-Venus</v>
      </c>
      <c r="B157" s="532" t="s">
        <v>163</v>
      </c>
      <c r="C157" s="533" t="n">
        <f aca="false">VenusHouse</f>
        <v>3</v>
      </c>
      <c r="D157" s="534" t="n">
        <f aca="false">INDEX($Z157:$AW157,,12+D$152-$Q157+1)</f>
        <v>1</v>
      </c>
      <c r="E157" s="534" t="n">
        <f aca="false">INDEX($Z157:$AW157,,12+E$152-$Q157+1)</f>
        <v>1</v>
      </c>
      <c r="F157" s="534" t="str">
        <f aca="false">INDEX($Z157:$AW157,,12+F$152-$Q157+1)</f>
        <v>*</v>
      </c>
      <c r="G157" s="534" t="str">
        <f aca="false">INDEX($Z157:$AW157,,12+G$152-$Q157+1)</f>
        <v>*</v>
      </c>
      <c r="H157" s="534" t="str">
        <f aca="false">INDEX($Z157:$AW157,,12+H$152-$Q157+1)</f>
        <v>*</v>
      </c>
      <c r="I157" s="534" t="str">
        <f aca="false">INDEX($Z157:$AW157,,12+I$152-$Q157+1)</f>
        <v>*</v>
      </c>
      <c r="J157" s="534" t="str">
        <f aca="false">INDEX($Z157:$AW157,,12+J$152-$Q157+1)</f>
        <v>*</v>
      </c>
      <c r="K157" s="534" t="n">
        <f aca="false">INDEX($Z157:$AW157,,12+K$152-$Q157+1)</f>
        <v>1</v>
      </c>
      <c r="L157" s="534" t="str">
        <f aca="false">INDEX($Z157:$AW157,,12+L$152-$Q157+1)</f>
        <v>*</v>
      </c>
      <c r="M157" s="534" t="str">
        <f aca="false">INDEX($Z157:$AW157,,12+M$152-$Q157+1)</f>
        <v>*</v>
      </c>
      <c r="N157" s="534" t="str">
        <f aca="false">INDEX($Z157:$AW157,,12+N$152-$Q157+1)</f>
        <v>*</v>
      </c>
      <c r="O157" s="534" t="str">
        <f aca="false">INDEX($Z157:$AW157,,12+O$152-$Q157+1)</f>
        <v>*</v>
      </c>
      <c r="P157" s="535" t="n">
        <f aca="false">SUM(D157:O157)</f>
        <v>3</v>
      </c>
      <c r="Q157" s="533" t="n">
        <f aca="false">IF($Y$82,D151,C157)</f>
        <v>3</v>
      </c>
      <c r="S157" s="489"/>
      <c r="T157" s="489"/>
      <c r="U157" s="490"/>
      <c r="V157" s="489"/>
      <c r="W157" s="474" t="s">
        <v>780</v>
      </c>
      <c r="X157" s="532" t="s">
        <v>163</v>
      </c>
      <c r="Y157" s="536" t="n">
        <f aca="false">SUM(Z157:AK157)</f>
        <v>3</v>
      </c>
      <c r="Z157" s="534" t="s">
        <v>181</v>
      </c>
      <c r="AA157" s="534" t="s">
        <v>181</v>
      </c>
      <c r="AB157" s="534" t="s">
        <v>181</v>
      </c>
      <c r="AC157" s="534" t="s">
        <v>181</v>
      </c>
      <c r="AD157" s="534" t="s">
        <v>181</v>
      </c>
      <c r="AE157" s="534" t="n">
        <v>1</v>
      </c>
      <c r="AF157" s="534" t="s">
        <v>181</v>
      </c>
      <c r="AG157" s="534" t="s">
        <v>181</v>
      </c>
      <c r="AH157" s="534" t="s">
        <v>181</v>
      </c>
      <c r="AI157" s="534" t="s">
        <v>181</v>
      </c>
      <c r="AJ157" s="534" t="n">
        <v>1</v>
      </c>
      <c r="AK157" s="534" t="n">
        <v>1</v>
      </c>
      <c r="AL157" s="537" t="str">
        <f aca="false">Z157</f>
        <v>*</v>
      </c>
      <c r="AM157" s="534" t="str">
        <f aca="false">AA157</f>
        <v>*</v>
      </c>
      <c r="AN157" s="534" t="str">
        <f aca="false">AB157</f>
        <v>*</v>
      </c>
      <c r="AO157" s="534" t="str">
        <f aca="false">AC157</f>
        <v>*</v>
      </c>
      <c r="AP157" s="534" t="str">
        <f aca="false">AD157</f>
        <v>*</v>
      </c>
      <c r="AQ157" s="534" t="n">
        <f aca="false">AE157</f>
        <v>1</v>
      </c>
      <c r="AR157" s="534" t="str">
        <f aca="false">AF157</f>
        <v>*</v>
      </c>
      <c r="AS157" s="534" t="str">
        <f aca="false">AG157</f>
        <v>*</v>
      </c>
      <c r="AT157" s="534" t="str">
        <f aca="false">AH157</f>
        <v>*</v>
      </c>
      <c r="AU157" s="534" t="str">
        <f aca="false">AI157</f>
        <v>*</v>
      </c>
      <c r="AV157" s="534" t="n">
        <f aca="false">AJ157</f>
        <v>1</v>
      </c>
      <c r="AW157" s="538" t="n">
        <f aca="false">AK157</f>
        <v>1</v>
      </c>
      <c r="AX157" s="474" t="str">
        <f aca="false">MIN($Y$157,$Y$171,$Y$185,$Y$199,$Y$213,$Y$227,$Y$241,$Y$255)&amp;"-"&amp;MAX($Y$157,$Y$171,$Y$185,$Y$199,$Y$213,$Y$227,$Y$241,$Y$255)</f>
        <v>3-9</v>
      </c>
      <c r="AY157" s="474" t="s">
        <v>780</v>
      </c>
    </row>
    <row r="158" customFormat="false" ht="15" hidden="false" customHeight="false" outlineLevel="0" collapsed="false">
      <c r="A158" s="488" t="str">
        <f aca="false">A151&amp;"-"&amp;B158</f>
        <v>Saturn-Mercury</v>
      </c>
      <c r="B158" s="532" t="s">
        <v>161</v>
      </c>
      <c r="C158" s="533" t="n">
        <f aca="false">MercuryHouse</f>
        <v>4</v>
      </c>
      <c r="D158" s="534" t="n">
        <f aca="false">INDEX($Z158:$AW158,,12+D$152-$Q158+1)</f>
        <v>1</v>
      </c>
      <c r="E158" s="534" t="n">
        <f aca="false">INDEX($Z158:$AW158,,12+E$152-$Q158+1)</f>
        <v>1</v>
      </c>
      <c r="F158" s="534" t="n">
        <f aca="false">INDEX($Z158:$AW158,,12+F$152-$Q158+1)</f>
        <v>1</v>
      </c>
      <c r="G158" s="534" t="str">
        <f aca="false">INDEX($Z158:$AW158,,12+G$152-$Q158+1)</f>
        <v>*</v>
      </c>
      <c r="H158" s="534" t="str">
        <f aca="false">INDEX($Z158:$AW158,,12+H$152-$Q158+1)</f>
        <v>*</v>
      </c>
      <c r="I158" s="534" t="str">
        <f aca="false">INDEX($Z158:$AW158,,12+I$152-$Q158+1)</f>
        <v>*</v>
      </c>
      <c r="J158" s="534" t="str">
        <f aca="false">INDEX($Z158:$AW158,,12+J$152-$Q158+1)</f>
        <v>*</v>
      </c>
      <c r="K158" s="534" t="str">
        <f aca="false">INDEX($Z158:$AW158,,12+K$152-$Q158+1)</f>
        <v>*</v>
      </c>
      <c r="L158" s="534" t="n">
        <f aca="false">INDEX($Z158:$AW158,,12+L$152-$Q158+1)</f>
        <v>1</v>
      </c>
      <c r="M158" s="534" t="str">
        <f aca="false">INDEX($Z158:$AW158,,12+M$152-$Q158+1)</f>
        <v>*</v>
      </c>
      <c r="N158" s="534" t="n">
        <f aca="false">INDEX($Z158:$AW158,,12+N$152-$Q158+1)</f>
        <v>1</v>
      </c>
      <c r="O158" s="534" t="n">
        <f aca="false">INDEX($Z158:$AW158,,12+O$152-$Q158+1)</f>
        <v>1</v>
      </c>
      <c r="P158" s="535" t="n">
        <f aca="false">SUM(D158:O158)</f>
        <v>6</v>
      </c>
      <c r="Q158" s="533" t="n">
        <f aca="false">IF($Y$82,D151,C158)</f>
        <v>4</v>
      </c>
      <c r="S158" s="489" t="n">
        <f aca="false">M161</f>
        <v>2</v>
      </c>
      <c r="T158" s="490"/>
      <c r="U158" s="490"/>
      <c r="V158" s="489" t="n">
        <f aca="false">H161</f>
        <v>2</v>
      </c>
      <c r="W158" s="474" t="s">
        <v>781</v>
      </c>
      <c r="X158" s="532" t="s">
        <v>161</v>
      </c>
      <c r="Y158" s="536" t="n">
        <f aca="false">SUM(Z158:AK158)</f>
        <v>6</v>
      </c>
      <c r="Z158" s="534" t="s">
        <v>181</v>
      </c>
      <c r="AA158" s="534" t="s">
        <v>181</v>
      </c>
      <c r="AB158" s="534" t="s">
        <v>181</v>
      </c>
      <c r="AC158" s="534" t="s">
        <v>181</v>
      </c>
      <c r="AD158" s="534" t="s">
        <v>181</v>
      </c>
      <c r="AE158" s="534" t="n">
        <v>1</v>
      </c>
      <c r="AF158" s="534" t="s">
        <v>181</v>
      </c>
      <c r="AG158" s="534" t="n">
        <v>1</v>
      </c>
      <c r="AH158" s="534" t="n">
        <v>1</v>
      </c>
      <c r="AI158" s="534" t="n">
        <v>1</v>
      </c>
      <c r="AJ158" s="534" t="n">
        <v>1</v>
      </c>
      <c r="AK158" s="534" t="n">
        <v>1</v>
      </c>
      <c r="AL158" s="537" t="str">
        <f aca="false">Z158</f>
        <v>*</v>
      </c>
      <c r="AM158" s="534" t="str">
        <f aca="false">AA158</f>
        <v>*</v>
      </c>
      <c r="AN158" s="534" t="str">
        <f aca="false">AB158</f>
        <v>*</v>
      </c>
      <c r="AO158" s="534" t="str">
        <f aca="false">AC158</f>
        <v>*</v>
      </c>
      <c r="AP158" s="534" t="str">
        <f aca="false">AD158</f>
        <v>*</v>
      </c>
      <c r="AQ158" s="534" t="n">
        <f aca="false">AE158</f>
        <v>1</v>
      </c>
      <c r="AR158" s="534" t="str">
        <f aca="false">AF158</f>
        <v>*</v>
      </c>
      <c r="AS158" s="534" t="n">
        <f aca="false">AG158</f>
        <v>1</v>
      </c>
      <c r="AT158" s="534" t="n">
        <f aca="false">AH158</f>
        <v>1</v>
      </c>
      <c r="AU158" s="534" t="n">
        <f aca="false">AI158</f>
        <v>1</v>
      </c>
      <c r="AV158" s="534" t="n">
        <f aca="false">AJ158</f>
        <v>1</v>
      </c>
      <c r="AW158" s="538" t="n">
        <f aca="false">AK158</f>
        <v>1</v>
      </c>
      <c r="AX158" s="474" t="str">
        <f aca="false">MIN($Y$158,$Y$172,$Y$186,$Y$200,$Y$214,$Y$228,$Y$242,$Y$256)&amp;"-"&amp;MAX($Y$158,$Y$172,$Y$186,$Y$200,$Y$214,$Y$228,$Y$242,$Y$256)</f>
        <v>4-8</v>
      </c>
    </row>
    <row r="159" customFormat="false" ht="15" hidden="false" customHeight="false" outlineLevel="0" collapsed="false">
      <c r="A159" s="488" t="str">
        <f aca="false">A151&amp;"-"&amp;B159</f>
        <v>Saturn-Moon</v>
      </c>
      <c r="B159" s="532" t="s">
        <v>159</v>
      </c>
      <c r="C159" s="533" t="n">
        <f aca="false">MoonHouse</f>
        <v>2</v>
      </c>
      <c r="D159" s="534" t="str">
        <f aca="false">INDEX($Z159:$AW159,,12+D$152-$Q159+1)</f>
        <v>*</v>
      </c>
      <c r="E159" s="534" t="str">
        <f aca="false">INDEX($Z159:$AW159,,12+E$152-$Q159+1)</f>
        <v>*</v>
      </c>
      <c r="F159" s="534" t="str">
        <f aca="false">INDEX($Z159:$AW159,,12+F$152-$Q159+1)</f>
        <v>*</v>
      </c>
      <c r="G159" s="534" t="n">
        <f aca="false">INDEX($Z159:$AW159,,12+G$152-$Q159+1)</f>
        <v>1</v>
      </c>
      <c r="H159" s="534" t="str">
        <f aca="false">INDEX($Z159:$AW159,,12+H$152-$Q159+1)</f>
        <v>*</v>
      </c>
      <c r="I159" s="534" t="str">
        <f aca="false">INDEX($Z159:$AW159,,12+I$152-$Q159+1)</f>
        <v>*</v>
      </c>
      <c r="J159" s="534" t="n">
        <f aca="false">INDEX($Z159:$AW159,,12+J$152-$Q159+1)</f>
        <v>1</v>
      </c>
      <c r="K159" s="534" t="str">
        <f aca="false">INDEX($Z159:$AW159,,12+K$152-$Q159+1)</f>
        <v>*</v>
      </c>
      <c r="L159" s="534" t="str">
        <f aca="false">INDEX($Z159:$AW159,,12+L$152-$Q159+1)</f>
        <v>*</v>
      </c>
      <c r="M159" s="534" t="str">
        <f aca="false">INDEX($Z159:$AW159,,12+M$152-$Q159+1)</f>
        <v>*</v>
      </c>
      <c r="N159" s="534" t="str">
        <f aca="false">INDEX($Z159:$AW159,,12+N$152-$Q159+1)</f>
        <v>*</v>
      </c>
      <c r="O159" s="534" t="n">
        <f aca="false">INDEX($Z159:$AW159,,12+O$152-$Q159+1)</f>
        <v>1</v>
      </c>
      <c r="P159" s="535" t="n">
        <f aca="false">SUM(D159:O159)</f>
        <v>3</v>
      </c>
      <c r="Q159" s="533" t="n">
        <f aca="false">IF($Y$82,D151,C159)</f>
        <v>2</v>
      </c>
      <c r="S159" s="489"/>
      <c r="T159" s="489"/>
      <c r="U159" s="490"/>
      <c r="V159" s="489"/>
      <c r="W159" s="474" t="s">
        <v>780</v>
      </c>
      <c r="X159" s="532" t="s">
        <v>159</v>
      </c>
      <c r="Y159" s="536" t="n">
        <f aca="false">SUM(Z159:AK159)</f>
        <v>3</v>
      </c>
      <c r="Z159" s="534" t="s">
        <v>181</v>
      </c>
      <c r="AA159" s="534" t="s">
        <v>181</v>
      </c>
      <c r="AB159" s="534" t="n">
        <v>1</v>
      </c>
      <c r="AC159" s="534" t="s">
        <v>181</v>
      </c>
      <c r="AD159" s="534" t="s">
        <v>181</v>
      </c>
      <c r="AE159" s="534" t="n">
        <v>1</v>
      </c>
      <c r="AF159" s="534" t="s">
        <v>181</v>
      </c>
      <c r="AG159" s="534" t="s">
        <v>181</v>
      </c>
      <c r="AH159" s="534" t="s">
        <v>181</v>
      </c>
      <c r="AI159" s="534" t="s">
        <v>181</v>
      </c>
      <c r="AJ159" s="534" t="n">
        <v>1</v>
      </c>
      <c r="AK159" s="534" t="s">
        <v>181</v>
      </c>
      <c r="AL159" s="537" t="str">
        <f aca="false">Z159</f>
        <v>*</v>
      </c>
      <c r="AM159" s="534" t="str">
        <f aca="false">AA159</f>
        <v>*</v>
      </c>
      <c r="AN159" s="534" t="n">
        <f aca="false">AB159</f>
        <v>1</v>
      </c>
      <c r="AO159" s="534" t="str">
        <f aca="false">AC159</f>
        <v>*</v>
      </c>
      <c r="AP159" s="534" t="str">
        <f aca="false">AD159</f>
        <v>*</v>
      </c>
      <c r="AQ159" s="534" t="n">
        <f aca="false">AE159</f>
        <v>1</v>
      </c>
      <c r="AR159" s="534" t="str">
        <f aca="false">AF159</f>
        <v>*</v>
      </c>
      <c r="AS159" s="534" t="str">
        <f aca="false">AG159</f>
        <v>*</v>
      </c>
      <c r="AT159" s="534" t="str">
        <f aca="false">AH159</f>
        <v>*</v>
      </c>
      <c r="AU159" s="534" t="str">
        <f aca="false">AI159</f>
        <v>*</v>
      </c>
      <c r="AV159" s="534" t="n">
        <f aca="false">AJ159</f>
        <v>1</v>
      </c>
      <c r="AW159" s="538" t="str">
        <f aca="false">AK159</f>
        <v>*</v>
      </c>
      <c r="AX159" s="474" t="str">
        <f aca="false">MIN($Y$159,$Y$173,$Y$187,$Y$201,$Y$215,$Y$229,$Y$243,$Y$257)&amp;"-"&amp;MAX($Y$159,$Y$173,$Y$187,$Y$201,$Y$215,$Y$229,$Y$243,$Y$257)</f>
        <v>3-9</v>
      </c>
      <c r="AY159" s="474" t="s">
        <v>780</v>
      </c>
    </row>
    <row r="160" customFormat="false" ht="15" hidden="false" customHeight="false" outlineLevel="0" collapsed="false">
      <c r="A160" s="488" t="str">
        <f aca="false">A151&amp;"-"&amp;B160</f>
        <v>Saturn-Lagna</v>
      </c>
      <c r="B160" s="532" t="s">
        <v>319</v>
      </c>
      <c r="C160" s="533" t="n">
        <f aca="false">Lagnahouse</f>
        <v>5</v>
      </c>
      <c r="D160" s="534" t="str">
        <f aca="false">INDEX($Z160:$AW160,,12+D$152-$Q160+1)</f>
        <v>*</v>
      </c>
      <c r="E160" s="534" t="n">
        <f aca="false">INDEX($Z160:$AW160,,12+E$152-$Q160+1)</f>
        <v>1</v>
      </c>
      <c r="F160" s="534" t="n">
        <f aca="false">INDEX($Z160:$AW160,,12+F$152-$Q160+1)</f>
        <v>1</v>
      </c>
      <c r="G160" s="534" t="str">
        <f aca="false">INDEX($Z160:$AW160,,12+G$152-$Q160+1)</f>
        <v>*</v>
      </c>
      <c r="H160" s="534" t="n">
        <f aca="false">INDEX($Z160:$AW160,,12+H$152-$Q160+1)</f>
        <v>1</v>
      </c>
      <c r="I160" s="534" t="str">
        <f aca="false">INDEX($Z160:$AW160,,12+I$152-$Q160+1)</f>
        <v>*</v>
      </c>
      <c r="J160" s="534" t="n">
        <f aca="false">INDEX($Z160:$AW160,,12+J$152-$Q160+1)</f>
        <v>1</v>
      </c>
      <c r="K160" s="534" t="n">
        <f aca="false">INDEX($Z160:$AW160,,12+K$152-$Q160+1)</f>
        <v>1</v>
      </c>
      <c r="L160" s="534" t="str">
        <f aca="false">INDEX($Z160:$AW160,,12+L$152-$Q160+1)</f>
        <v>*</v>
      </c>
      <c r="M160" s="534" t="n">
        <f aca="false">INDEX($Z160:$AW160,,12+M$152-$Q160+1)</f>
        <v>1</v>
      </c>
      <c r="N160" s="534" t="str">
        <f aca="false">INDEX($Z160:$AW160,,12+N$152-$Q160+1)</f>
        <v>*</v>
      </c>
      <c r="O160" s="534" t="str">
        <f aca="false">INDEX($Z160:$AW160,,12+O$152-$Q160+1)</f>
        <v>*</v>
      </c>
      <c r="P160" s="535" t="n">
        <f aca="false">SUM(D160:O160)</f>
        <v>6</v>
      </c>
      <c r="Q160" s="533" t="n">
        <f aca="false">IF($Y$82,D151,C160)</f>
        <v>5</v>
      </c>
      <c r="S160" s="489"/>
      <c r="T160" s="489"/>
      <c r="U160" s="490"/>
      <c r="V160" s="489"/>
      <c r="X160" s="532" t="s">
        <v>319</v>
      </c>
      <c r="Y160" s="536" t="n">
        <f aca="false">SUM(Z160:AK160)</f>
        <v>6</v>
      </c>
      <c r="Z160" s="534" t="n">
        <v>1</v>
      </c>
      <c r="AA160" s="534" t="s">
        <v>181</v>
      </c>
      <c r="AB160" s="534" t="n">
        <v>1</v>
      </c>
      <c r="AC160" s="534" t="n">
        <v>1</v>
      </c>
      <c r="AD160" s="534" t="s">
        <v>181</v>
      </c>
      <c r="AE160" s="534" t="n">
        <v>1</v>
      </c>
      <c r="AF160" s="534" t="s">
        <v>181</v>
      </c>
      <c r="AG160" s="534" t="s">
        <v>181</v>
      </c>
      <c r="AH160" s="534" t="s">
        <v>181</v>
      </c>
      <c r="AI160" s="534" t="n">
        <v>1</v>
      </c>
      <c r="AJ160" s="534" t="n">
        <v>1</v>
      </c>
      <c r="AK160" s="534" t="s">
        <v>181</v>
      </c>
      <c r="AL160" s="537" t="n">
        <f aca="false">Z160</f>
        <v>1</v>
      </c>
      <c r="AM160" s="534" t="str">
        <f aca="false">AA160</f>
        <v>*</v>
      </c>
      <c r="AN160" s="534" t="n">
        <f aca="false">AB160</f>
        <v>1</v>
      </c>
      <c r="AO160" s="534" t="n">
        <f aca="false">AC160</f>
        <v>1</v>
      </c>
      <c r="AP160" s="534" t="str">
        <f aca="false">AD160</f>
        <v>*</v>
      </c>
      <c r="AQ160" s="534" t="n">
        <f aca="false">AE160</f>
        <v>1</v>
      </c>
      <c r="AR160" s="534" t="str">
        <f aca="false">AF160</f>
        <v>*</v>
      </c>
      <c r="AS160" s="534" t="str">
        <f aca="false">AG160</f>
        <v>*</v>
      </c>
      <c r="AT160" s="534" t="str">
        <f aca="false">AH160</f>
        <v>*</v>
      </c>
      <c r="AU160" s="534" t="n">
        <f aca="false">AI160</f>
        <v>1</v>
      </c>
      <c r="AV160" s="534" t="n">
        <f aca="false">AJ160</f>
        <v>1</v>
      </c>
      <c r="AW160" s="538" t="str">
        <f aca="false">AK160</f>
        <v>*</v>
      </c>
      <c r="AX160" s="474" t="str">
        <f aca="false">MIN($Y$160,$Y$174,$Y$188,$Y$202,$Y$216,$Y$230,$Y$244,$Y$258)&amp;"-"&amp;MAX($Y$160,$Y$174,$Y$188,$Y$202,$Y$216,$Y$230,$Y$244,$Y$258)</f>
        <v>4-9</v>
      </c>
    </row>
    <row r="161" customFormat="false" ht="15" hidden="false" customHeight="false" outlineLevel="0" collapsed="false">
      <c r="A161" s="488" t="str">
        <f aca="false">A151&amp;"-"&amp;B161</f>
        <v>Saturn-Saturn</v>
      </c>
      <c r="B161" s="539" t="str">
        <f aca="false">B151</f>
        <v>Saturn</v>
      </c>
      <c r="C161" s="540"/>
      <c r="D161" s="540" t="n">
        <f aca="false">SUM(D153:D160)</f>
        <v>4</v>
      </c>
      <c r="E161" s="540" t="n">
        <f aca="false">SUM(E153:E160)</f>
        <v>5</v>
      </c>
      <c r="F161" s="540" t="n">
        <f aca="false">SUM(F153:F160)</f>
        <v>3</v>
      </c>
      <c r="G161" s="540" t="n">
        <f aca="false">SUM(G153:G160)</f>
        <v>3</v>
      </c>
      <c r="H161" s="540" t="n">
        <f aca="false">SUM(H153:H160)</f>
        <v>2</v>
      </c>
      <c r="I161" s="540" t="n">
        <f aca="false">SUM(I153:I160)</f>
        <v>2</v>
      </c>
      <c r="J161" s="540" t="n">
        <f aca="false">SUM(J153:J160)</f>
        <v>6</v>
      </c>
      <c r="K161" s="540" t="n">
        <f aca="false">SUM(K153:K160)</f>
        <v>3</v>
      </c>
      <c r="L161" s="540" t="n">
        <f aca="false">SUM(L153:L160)</f>
        <v>2</v>
      </c>
      <c r="M161" s="540" t="n">
        <f aca="false">SUM(M153:M160)</f>
        <v>2</v>
      </c>
      <c r="N161" s="540" t="n">
        <f aca="false">SUM(N153:N160)</f>
        <v>2</v>
      </c>
      <c r="O161" s="540" t="n">
        <f aca="false">SUM(O153:O160)</f>
        <v>5</v>
      </c>
      <c r="P161" s="541" t="n">
        <f aca="false">SUM(D161:O161)</f>
        <v>39</v>
      </c>
      <c r="Q161" s="541"/>
      <c r="S161" s="489" t="n">
        <f aca="false">L161</f>
        <v>2</v>
      </c>
      <c r="T161" s="489" t="n">
        <f aca="false">K161</f>
        <v>3</v>
      </c>
      <c r="U161" s="489" t="n">
        <f aca="false">J161</f>
        <v>6</v>
      </c>
      <c r="V161" s="489" t="n">
        <f aca="false">I161</f>
        <v>2</v>
      </c>
      <c r="X161" s="539"/>
      <c r="Y161" s="542" t="n">
        <f aca="false">SUM(Z161:AK161)</f>
        <v>39</v>
      </c>
      <c r="Z161" s="543" t="n">
        <f aca="false">SUM(Z153:Z160)</f>
        <v>2</v>
      </c>
      <c r="AA161" s="543" t="n">
        <f aca="false">SUM(AA153:AA160)</f>
        <v>1</v>
      </c>
      <c r="AB161" s="543" t="n">
        <f aca="false">SUM(AB153:AB160)</f>
        <v>4</v>
      </c>
      <c r="AC161" s="543" t="n">
        <f aca="false">SUM(AC153:AC160)</f>
        <v>2</v>
      </c>
      <c r="AD161" s="543" t="n">
        <f aca="false">SUM(AD153:AD160)</f>
        <v>3</v>
      </c>
      <c r="AE161" s="543" t="n">
        <f aca="false">SUM(AE153:AE160)</f>
        <v>7</v>
      </c>
      <c r="AF161" s="543" t="n">
        <f aca="false">SUM(AF153:AF160)</f>
        <v>1</v>
      </c>
      <c r="AG161" s="543" t="n">
        <f aca="false">SUM(AG153:AG160)</f>
        <v>2</v>
      </c>
      <c r="AH161" s="543" t="n">
        <f aca="false">SUM(AH153:AH160)</f>
        <v>1</v>
      </c>
      <c r="AI161" s="543" t="n">
        <f aca="false">SUM(AI153:AI160)</f>
        <v>4</v>
      </c>
      <c r="AJ161" s="543" t="n">
        <f aca="false">SUM(AJ153:AJ160)</f>
        <v>8</v>
      </c>
      <c r="AK161" s="543" t="n">
        <f aca="false">SUM(AK153:AK160)</f>
        <v>4</v>
      </c>
      <c r="AL161" s="544" t="n">
        <f aca="false">SUM(AL153:AL160)</f>
        <v>2</v>
      </c>
      <c r="AM161" s="545" t="n">
        <f aca="false">SUM(AM153:AM160)</f>
        <v>1</v>
      </c>
      <c r="AN161" s="545" t="n">
        <f aca="false">SUM(AN153:AN160)</f>
        <v>4</v>
      </c>
      <c r="AO161" s="545" t="n">
        <f aca="false">SUM(AO153:AO160)</f>
        <v>2</v>
      </c>
      <c r="AP161" s="545" t="n">
        <f aca="false">SUM(AP153:AP160)</f>
        <v>3</v>
      </c>
      <c r="AQ161" s="545" t="n">
        <f aca="false">SUM(AQ153:AQ160)</f>
        <v>7</v>
      </c>
      <c r="AR161" s="545" t="n">
        <f aca="false">SUM(AR153:AR160)</f>
        <v>1</v>
      </c>
      <c r="AS161" s="545" t="n">
        <f aca="false">SUM(AS153:AS160)</f>
        <v>2</v>
      </c>
      <c r="AT161" s="545" t="n">
        <f aca="false">SUM(AT153:AT160)</f>
        <v>1</v>
      </c>
      <c r="AU161" s="545" t="n">
        <f aca="false">SUM(AU153:AU160)</f>
        <v>4</v>
      </c>
      <c r="AV161" s="545" t="n">
        <f aca="false">SUM(AV153:AV160)</f>
        <v>8</v>
      </c>
      <c r="AW161" s="546" t="n">
        <f aca="false">SUM(AW153:AW160)</f>
        <v>4</v>
      </c>
    </row>
    <row r="162" customFormat="false" ht="15" hidden="false" customHeight="false" outlineLevel="0" collapsed="false">
      <c r="A162" s="488" t="str">
        <f aca="false">A151&amp;"-"&amp;B162</f>
        <v>Saturn-</v>
      </c>
      <c r="S162" s="489"/>
      <c r="T162" s="489"/>
      <c r="U162" s="489"/>
      <c r="V162" s="489"/>
      <c r="X162" s="474" t="s">
        <v>782</v>
      </c>
      <c r="AL162" s="474"/>
      <c r="AW162" s="474"/>
    </row>
    <row r="163" customFormat="false" ht="15" hidden="false" customHeight="false" outlineLevel="0" collapsed="false">
      <c r="A163" s="488" t="str">
        <f aca="false">A151&amp;"-"&amp;B163</f>
        <v>Saturn-</v>
      </c>
      <c r="S163" s="489"/>
      <c r="T163" s="489"/>
      <c r="U163" s="489"/>
      <c r="V163" s="489"/>
    </row>
    <row r="164" customFormat="false" ht="15" hidden="false" customHeight="false" outlineLevel="0" collapsed="false">
      <c r="A164" s="488" t="str">
        <f aca="false">A151&amp;"-"&amp;B164</f>
        <v>Saturn------</v>
      </c>
      <c r="B164" s="474" t="s">
        <v>776</v>
      </c>
      <c r="Y164" s="474" t="s">
        <v>777</v>
      </c>
    </row>
    <row r="165" customFormat="false" ht="15" hidden="false" customHeight="false" outlineLevel="0" collapsed="false">
      <c r="A165" s="488" t="str">
        <f aca="false">B165</f>
        <v>Venus</v>
      </c>
      <c r="B165" s="523" t="str">
        <f aca="false">X165</f>
        <v>Venus</v>
      </c>
      <c r="C165" s="523"/>
      <c r="D165" s="474" t="n">
        <f aca="true">INDIRECT(B165&amp;"house")</f>
        <v>3</v>
      </c>
      <c r="S165" s="495"/>
      <c r="T165" s="495"/>
      <c r="U165" s="495"/>
      <c r="V165" s="495"/>
      <c r="X165" s="193" t="s">
        <v>163</v>
      </c>
      <c r="Y165" s="474" t="str">
        <f aca="false">MIN(Y167:Y174)&amp;"-"&amp;MAX(Y167:Y174)</f>
        <v>3-9</v>
      </c>
      <c r="Z165" s="474" t="str">
        <f aca="false">$Z$83 &amp;  X165</f>
        <v>From Graha Good and Bad Transit of Venus</v>
      </c>
      <c r="AL165" s="474"/>
      <c r="AW165" s="474"/>
      <c r="AX165" s="474" t="s">
        <v>777</v>
      </c>
    </row>
    <row r="166" customFormat="false" ht="15" hidden="false" customHeight="false" outlineLevel="0" collapsed="false">
      <c r="A166" s="488" t="str">
        <f aca="false">A165&amp;"-"&amp;B166</f>
        <v>Venus-</v>
      </c>
      <c r="B166" s="524"/>
      <c r="C166" s="525" t="s">
        <v>746</v>
      </c>
      <c r="D166" s="526" t="n">
        <v>1</v>
      </c>
      <c r="E166" s="526" t="n">
        <v>2</v>
      </c>
      <c r="F166" s="526" t="n">
        <v>3</v>
      </c>
      <c r="G166" s="526" t="n">
        <v>4</v>
      </c>
      <c r="H166" s="526" t="n">
        <v>5</v>
      </c>
      <c r="I166" s="526" t="n">
        <v>6</v>
      </c>
      <c r="J166" s="526" t="n">
        <v>7</v>
      </c>
      <c r="K166" s="526" t="n">
        <v>8</v>
      </c>
      <c r="L166" s="526" t="n">
        <v>9</v>
      </c>
      <c r="M166" s="526" t="n">
        <v>10</v>
      </c>
      <c r="N166" s="526" t="n">
        <v>11</v>
      </c>
      <c r="O166" s="526" t="n">
        <v>12</v>
      </c>
      <c r="P166" s="527"/>
      <c r="Q166" s="527"/>
      <c r="S166" s="489" t="n">
        <f aca="false">O175</f>
        <v>7</v>
      </c>
      <c r="T166" s="489" t="n">
        <f aca="false">D175</f>
        <v>4</v>
      </c>
      <c r="U166" s="489" t="n">
        <f aca="false">E175</f>
        <v>3</v>
      </c>
      <c r="V166" s="489" t="n">
        <f aca="false">F175</f>
        <v>6</v>
      </c>
      <c r="X166" s="525" t="s">
        <v>778</v>
      </c>
      <c r="Y166" s="528" t="s">
        <v>779</v>
      </c>
      <c r="Z166" s="529" t="n">
        <v>1</v>
      </c>
      <c r="AA166" s="529" t="n">
        <v>2</v>
      </c>
      <c r="AB166" s="529" t="n">
        <v>3</v>
      </c>
      <c r="AC166" s="529" t="n">
        <v>4</v>
      </c>
      <c r="AD166" s="529" t="n">
        <v>5</v>
      </c>
      <c r="AE166" s="529" t="n">
        <v>6</v>
      </c>
      <c r="AF166" s="529" t="n">
        <v>7</v>
      </c>
      <c r="AG166" s="529" t="n">
        <v>8</v>
      </c>
      <c r="AH166" s="529" t="n">
        <v>9</v>
      </c>
      <c r="AI166" s="529" t="n">
        <v>10</v>
      </c>
      <c r="AJ166" s="529" t="n">
        <v>11</v>
      </c>
      <c r="AK166" s="529" t="n">
        <v>12</v>
      </c>
      <c r="AL166" s="530" t="n">
        <v>1</v>
      </c>
      <c r="AM166" s="526" t="n">
        <v>2</v>
      </c>
      <c r="AN166" s="526" t="n">
        <v>3</v>
      </c>
      <c r="AO166" s="526" t="n">
        <v>4</v>
      </c>
      <c r="AP166" s="526" t="n">
        <v>5</v>
      </c>
      <c r="AQ166" s="526" t="n">
        <v>6</v>
      </c>
      <c r="AR166" s="526" t="n">
        <v>7</v>
      </c>
      <c r="AS166" s="526" t="n">
        <v>8</v>
      </c>
      <c r="AT166" s="526" t="n">
        <v>9</v>
      </c>
      <c r="AU166" s="526" t="n">
        <v>10</v>
      </c>
      <c r="AV166" s="526" t="n">
        <v>11</v>
      </c>
      <c r="AW166" s="531" t="n">
        <v>12</v>
      </c>
    </row>
    <row r="167" customFormat="false" ht="15" hidden="false" customHeight="false" outlineLevel="0" collapsed="false">
      <c r="A167" s="488" t="str">
        <f aca="false">A165&amp;"-"&amp;B167</f>
        <v>Venus-Saturn</v>
      </c>
      <c r="B167" s="532" t="s">
        <v>164</v>
      </c>
      <c r="C167" s="533" t="n">
        <f aca="false">SaturnHouse</f>
        <v>2</v>
      </c>
      <c r="D167" s="534" t="str">
        <f aca="false">INDEX($Z167:$AW167,,12+D$152-$Q167+1)</f>
        <v>*</v>
      </c>
      <c r="E167" s="534" t="str">
        <f aca="false">INDEX($Z167:$AW167,,12+E$152-$Q167+1)</f>
        <v>*</v>
      </c>
      <c r="F167" s="534" t="str">
        <f aca="false">INDEX($Z167:$AW167,,12+F$152-$Q167+1)</f>
        <v>*</v>
      </c>
      <c r="G167" s="534" t="n">
        <f aca="false">INDEX($Z167:$AW167,,12+G$152-$Q167+1)</f>
        <v>1</v>
      </c>
      <c r="H167" s="534" t="n">
        <f aca="false">INDEX($Z167:$AW167,,12+H$152-$Q167+1)</f>
        <v>1</v>
      </c>
      <c r="I167" s="534" t="n">
        <f aca="false">INDEX($Z167:$AW167,,12+I$152-$Q167+1)</f>
        <v>1</v>
      </c>
      <c r="J167" s="534" t="str">
        <f aca="false">INDEX($Z167:$AW167,,12+J$152-$Q167+1)</f>
        <v>*</v>
      </c>
      <c r="K167" s="534" t="str">
        <f aca="false">INDEX($Z167:$AW167,,12+K$152-$Q167+1)</f>
        <v>*</v>
      </c>
      <c r="L167" s="534" t="n">
        <f aca="false">INDEX($Z167:$AW167,,12+L$152-$Q167+1)</f>
        <v>1</v>
      </c>
      <c r="M167" s="534" t="n">
        <f aca="false">INDEX($Z167:$AW167,,12+M$152-$Q167+1)</f>
        <v>1</v>
      </c>
      <c r="N167" s="534" t="n">
        <f aca="false">INDEX($Z167:$AW167,,12+N$152-$Q167+1)</f>
        <v>1</v>
      </c>
      <c r="O167" s="534" t="n">
        <f aca="false">INDEX($Z167:$AW167,,12+O$152-$Q167+1)</f>
        <v>1</v>
      </c>
      <c r="P167" s="535" t="n">
        <f aca="false">SUM(D167:O167)</f>
        <v>7</v>
      </c>
      <c r="Q167" s="533" t="n">
        <f aca="false">IF($Y$82,D165,C167)</f>
        <v>2</v>
      </c>
      <c r="S167" s="489"/>
      <c r="T167" s="489"/>
      <c r="U167" s="489"/>
      <c r="V167" s="489"/>
      <c r="X167" s="532" t="s">
        <v>164</v>
      </c>
      <c r="Y167" s="536" t="n">
        <f aca="false">SUM(Z167:AK167)</f>
        <v>7</v>
      </c>
      <c r="Z167" s="534" t="s">
        <v>181</v>
      </c>
      <c r="AA167" s="534" t="s">
        <v>181</v>
      </c>
      <c r="AB167" s="534" t="n">
        <v>1</v>
      </c>
      <c r="AC167" s="534" t="n">
        <v>1</v>
      </c>
      <c r="AD167" s="534" t="n">
        <v>1</v>
      </c>
      <c r="AE167" s="534" t="s">
        <v>181</v>
      </c>
      <c r="AF167" s="534" t="s">
        <v>181</v>
      </c>
      <c r="AG167" s="534" t="n">
        <v>1</v>
      </c>
      <c r="AH167" s="534" t="n">
        <v>1</v>
      </c>
      <c r="AI167" s="534" t="n">
        <v>1</v>
      </c>
      <c r="AJ167" s="534" t="n">
        <v>1</v>
      </c>
      <c r="AK167" s="534" t="s">
        <v>181</v>
      </c>
      <c r="AL167" s="537" t="str">
        <f aca="false">Z167</f>
        <v>*</v>
      </c>
      <c r="AM167" s="534" t="str">
        <f aca="false">AA167</f>
        <v>*</v>
      </c>
      <c r="AN167" s="534" t="n">
        <f aca="false">AB167</f>
        <v>1</v>
      </c>
      <c r="AO167" s="534" t="n">
        <f aca="false">AC167</f>
        <v>1</v>
      </c>
      <c r="AP167" s="534" t="n">
        <f aca="false">AD167</f>
        <v>1</v>
      </c>
      <c r="AQ167" s="534" t="str">
        <f aca="false">AE167</f>
        <v>*</v>
      </c>
      <c r="AR167" s="534" t="str">
        <f aca="false">AF167</f>
        <v>*</v>
      </c>
      <c r="AS167" s="534" t="n">
        <f aca="false">AG167</f>
        <v>1</v>
      </c>
      <c r="AT167" s="534" t="n">
        <f aca="false">AH167</f>
        <v>1</v>
      </c>
      <c r="AU167" s="534" t="n">
        <f aca="false">AI167</f>
        <v>1</v>
      </c>
      <c r="AV167" s="534" t="n">
        <f aca="false">AJ167</f>
        <v>1</v>
      </c>
      <c r="AW167" s="538" t="str">
        <f aca="false">AK167</f>
        <v>*</v>
      </c>
      <c r="AX167" s="474" t="str">
        <f aca="false">MIN($Y$153,$Y$167,$Y$181,$Y$195,$Y$209,$Y$223,$Y$237,$Y$251)&amp;"-"&amp;MAX($Y$153,$Y$167,$Y$181,$Y$195,$Y$209,$Y$223,$Y$237,$Y$251)</f>
        <v>4-8</v>
      </c>
    </row>
    <row r="168" customFormat="false" ht="15" hidden="false" customHeight="false" outlineLevel="0" collapsed="false">
      <c r="A168" s="488" t="str">
        <f aca="false">A165&amp;"-"&amp;B168</f>
        <v>Venus-Jupiter</v>
      </c>
      <c r="B168" s="532" t="s">
        <v>162</v>
      </c>
      <c r="C168" s="533" t="n">
        <f aca="false">JupiterHouse</f>
        <v>8</v>
      </c>
      <c r="D168" s="534" t="str">
        <f aca="false">INDEX($Z168:$AW168,,12+D$152-$Q168+1)</f>
        <v>*</v>
      </c>
      <c r="E168" s="534" t="str">
        <f aca="false">INDEX($Z168:$AW168,,12+E$152-$Q168+1)</f>
        <v>*</v>
      </c>
      <c r="F168" s="534" t="n">
        <f aca="false">INDEX($Z168:$AW168,,12+F$152-$Q168+1)</f>
        <v>1</v>
      </c>
      <c r="G168" s="534" t="n">
        <f aca="false">INDEX($Z168:$AW168,,12+G$152-$Q168+1)</f>
        <v>1</v>
      </c>
      <c r="H168" s="534" t="n">
        <f aca="false">INDEX($Z168:$AW168,,12+H$152-$Q168+1)</f>
        <v>1</v>
      </c>
      <c r="I168" s="534" t="n">
        <f aca="false">INDEX($Z168:$AW168,,12+I$152-$Q168+1)</f>
        <v>1</v>
      </c>
      <c r="J168" s="534" t="str">
        <f aca="false">INDEX($Z168:$AW168,,12+J$152-$Q168+1)</f>
        <v>*</v>
      </c>
      <c r="K168" s="534" t="str">
        <f aca="false">INDEX($Z168:$AW168,,12+K$152-$Q168+1)</f>
        <v>*</v>
      </c>
      <c r="L168" s="534" t="str">
        <f aca="false">INDEX($Z168:$AW168,,12+L$152-$Q168+1)</f>
        <v>*</v>
      </c>
      <c r="M168" s="534" t="str">
        <f aca="false">INDEX($Z168:$AW168,,12+M$152-$Q168+1)</f>
        <v>*</v>
      </c>
      <c r="N168" s="534" t="str">
        <f aca="false">INDEX($Z168:$AW168,,12+N$152-$Q168+1)</f>
        <v>*</v>
      </c>
      <c r="O168" s="534" t="n">
        <f aca="false">INDEX($Z168:$AW168,,12+O$152-$Q168+1)</f>
        <v>1</v>
      </c>
      <c r="P168" s="535" t="n">
        <f aca="false">SUM(D168:O168)</f>
        <v>5</v>
      </c>
      <c r="Q168" s="533" t="n">
        <f aca="false">IF($Y$82,D165,C168)</f>
        <v>8</v>
      </c>
      <c r="S168" s="489"/>
      <c r="T168" s="489"/>
      <c r="U168" s="489"/>
      <c r="V168" s="489"/>
      <c r="X168" s="532" t="s">
        <v>162</v>
      </c>
      <c r="Y168" s="536" t="n">
        <f aca="false">SUM(Z168:AK168)</f>
        <v>5</v>
      </c>
      <c r="Z168" s="534" t="s">
        <v>181</v>
      </c>
      <c r="AA168" s="534" t="s">
        <v>181</v>
      </c>
      <c r="AB168" s="534" t="s">
        <v>181</v>
      </c>
      <c r="AC168" s="534" t="s">
        <v>181</v>
      </c>
      <c r="AD168" s="534" t="n">
        <v>1</v>
      </c>
      <c r="AE168" s="534" t="s">
        <v>181</v>
      </c>
      <c r="AF168" s="534" t="s">
        <v>181</v>
      </c>
      <c r="AG168" s="534" t="n">
        <v>1</v>
      </c>
      <c r="AH168" s="534" t="n">
        <v>1</v>
      </c>
      <c r="AI168" s="534" t="n">
        <v>1</v>
      </c>
      <c r="AJ168" s="534" t="n">
        <v>1</v>
      </c>
      <c r="AK168" s="534" t="s">
        <v>181</v>
      </c>
      <c r="AL168" s="537" t="str">
        <f aca="false">Z168</f>
        <v>*</v>
      </c>
      <c r="AM168" s="534" t="str">
        <f aca="false">AA168</f>
        <v>*</v>
      </c>
      <c r="AN168" s="534" t="str">
        <f aca="false">AB168</f>
        <v>*</v>
      </c>
      <c r="AO168" s="534" t="str">
        <f aca="false">AC168</f>
        <v>*</v>
      </c>
      <c r="AP168" s="534" t="n">
        <f aca="false">AD168</f>
        <v>1</v>
      </c>
      <c r="AQ168" s="534" t="str">
        <f aca="false">AE168</f>
        <v>*</v>
      </c>
      <c r="AR168" s="534" t="str">
        <f aca="false">AF168</f>
        <v>*</v>
      </c>
      <c r="AS168" s="534" t="n">
        <f aca="false">AG168</f>
        <v>1</v>
      </c>
      <c r="AT168" s="534" t="n">
        <f aca="false">AH168</f>
        <v>1</v>
      </c>
      <c r="AU168" s="534" t="n">
        <f aca="false">AI168</f>
        <v>1</v>
      </c>
      <c r="AV168" s="534" t="n">
        <f aca="false">AJ168</f>
        <v>1</v>
      </c>
      <c r="AW168" s="538" t="str">
        <f aca="false">AK168</f>
        <v>*</v>
      </c>
      <c r="AX168" s="474" t="str">
        <f aca="false">MIN($Y$154,$Y$168,$Y$182,$Y$196,$Y$210,$Y$224,$Y$238,$Y$252)&amp;"-"&amp;MAX($Y$154,$Y$168,$Y$182,$Y$196,$Y$210,$Y$224,$Y$238,$Y$252)</f>
        <v>4-9</v>
      </c>
    </row>
    <row r="169" customFormat="false" ht="15" hidden="false" customHeight="false" outlineLevel="0" collapsed="false">
      <c r="A169" s="488" t="str">
        <f aca="false">A165&amp;"-"&amp;B169</f>
        <v>Venus-Mars</v>
      </c>
      <c r="B169" s="532" t="s">
        <v>160</v>
      </c>
      <c r="C169" s="533" t="n">
        <f aca="false">MarsHouse</f>
        <v>10</v>
      </c>
      <c r="D169" s="534" t="n">
        <f aca="false">INDEX($Z169:$AW169,,12+D$152-$Q169+1)</f>
        <v>1</v>
      </c>
      <c r="E169" s="534" t="str">
        <f aca="false">INDEX($Z169:$AW169,,12+E$152-$Q169+1)</f>
        <v>*</v>
      </c>
      <c r="F169" s="534" t="n">
        <f aca="false">INDEX($Z169:$AW169,,12+F$152-$Q169+1)</f>
        <v>1</v>
      </c>
      <c r="G169" s="534" t="str">
        <f aca="false">INDEX($Z169:$AW169,,12+G$152-$Q169+1)</f>
        <v>*</v>
      </c>
      <c r="H169" s="534" t="str">
        <f aca="false">INDEX($Z169:$AW169,,12+H$152-$Q169+1)</f>
        <v>*</v>
      </c>
      <c r="I169" s="534" t="n">
        <f aca="false">INDEX($Z169:$AW169,,12+I$152-$Q169+1)</f>
        <v>1</v>
      </c>
      <c r="J169" s="534" t="str">
        <f aca="false">INDEX($Z169:$AW169,,12+J$152-$Q169+1)</f>
        <v>*</v>
      </c>
      <c r="K169" s="534" t="n">
        <f aca="false">INDEX($Z169:$AW169,,12+K$152-$Q169+1)</f>
        <v>1</v>
      </c>
      <c r="L169" s="534" t="n">
        <f aca="false">INDEX($Z169:$AW169,,12+L$152-$Q169+1)</f>
        <v>1</v>
      </c>
      <c r="M169" s="534" t="str">
        <f aca="false">INDEX($Z169:$AW169,,12+M$152-$Q169+1)</f>
        <v>*</v>
      </c>
      <c r="N169" s="534" t="str">
        <f aca="false">INDEX($Z169:$AW169,,12+N$152-$Q169+1)</f>
        <v>*</v>
      </c>
      <c r="O169" s="534" t="n">
        <f aca="false">INDEX($Z169:$AW169,,12+O$152-$Q169+1)</f>
        <v>1</v>
      </c>
      <c r="P169" s="535" t="n">
        <f aca="false">SUM(D169:O169)</f>
        <v>6</v>
      </c>
      <c r="Q169" s="533" t="n">
        <f aca="false">IF($Y$82,D165,C169)</f>
        <v>10</v>
      </c>
      <c r="S169" s="489" t="n">
        <f aca="false">N175</f>
        <v>3</v>
      </c>
      <c r="T169" s="490" t="str">
        <f aca="false">C165&amp;"  Ashtakavarga  "&amp;P175</f>
        <v>  Ashtakavarga  52</v>
      </c>
      <c r="U169" s="490"/>
      <c r="V169" s="489" t="n">
        <f aca="false">G175</f>
        <v>4</v>
      </c>
      <c r="X169" s="532" t="s">
        <v>160</v>
      </c>
      <c r="Y169" s="536" t="n">
        <f aca="false">SUM(Z169:AK169)</f>
        <v>6</v>
      </c>
      <c r="Z169" s="534" t="s">
        <v>181</v>
      </c>
      <c r="AA169" s="534" t="s">
        <v>181</v>
      </c>
      <c r="AB169" s="534" t="n">
        <v>1</v>
      </c>
      <c r="AC169" s="534" t="n">
        <v>1</v>
      </c>
      <c r="AD169" s="534" t="s">
        <v>181</v>
      </c>
      <c r="AE169" s="534" t="n">
        <v>1</v>
      </c>
      <c r="AF169" s="534" t="s">
        <v>181</v>
      </c>
      <c r="AG169" s="534" t="s">
        <v>181</v>
      </c>
      <c r="AH169" s="534" t="n">
        <v>1</v>
      </c>
      <c r="AI169" s="534" t="s">
        <v>181</v>
      </c>
      <c r="AJ169" s="534" t="n">
        <v>1</v>
      </c>
      <c r="AK169" s="534" t="n">
        <v>1</v>
      </c>
      <c r="AL169" s="537" t="str">
        <f aca="false">Z169</f>
        <v>*</v>
      </c>
      <c r="AM169" s="534" t="str">
        <f aca="false">AA169</f>
        <v>*</v>
      </c>
      <c r="AN169" s="534" t="n">
        <f aca="false">AB169</f>
        <v>1</v>
      </c>
      <c r="AO169" s="534" t="n">
        <f aca="false">AC169</f>
        <v>1</v>
      </c>
      <c r="AP169" s="534" t="str">
        <f aca="false">AD169</f>
        <v>*</v>
      </c>
      <c r="AQ169" s="534" t="n">
        <f aca="false">AE169</f>
        <v>1</v>
      </c>
      <c r="AR169" s="534" t="str">
        <f aca="false">AF169</f>
        <v>*</v>
      </c>
      <c r="AS169" s="534" t="str">
        <f aca="false">AG169</f>
        <v>*</v>
      </c>
      <c r="AT169" s="534" t="n">
        <f aca="false">AH169</f>
        <v>1</v>
      </c>
      <c r="AU169" s="534" t="str">
        <f aca="false">AI169</f>
        <v>*</v>
      </c>
      <c r="AV169" s="534" t="n">
        <f aca="false">AJ169</f>
        <v>1</v>
      </c>
      <c r="AW169" s="538" t="n">
        <f aca="false">AK169</f>
        <v>1</v>
      </c>
      <c r="AX169" s="474" t="str">
        <f aca="false">MIN($Y$155,$Y$169,$Y$183,$Y$197,$Y$211,$Y$225,$Y$239,$Y$253)&amp;"-"&amp;MAX($Y$155,$Y$169,$Y$183,$Y$197,$Y$211,$Y$225,$Y$239,$Y$253)</f>
        <v>5-8</v>
      </c>
    </row>
    <row r="170" customFormat="false" ht="15" hidden="false" customHeight="false" outlineLevel="0" collapsed="false">
      <c r="A170" s="488" t="str">
        <f aca="false">A165&amp;"-"&amp;B170</f>
        <v>Venus-Sun</v>
      </c>
      <c r="B170" s="532" t="s">
        <v>158</v>
      </c>
      <c r="C170" s="533" t="n">
        <f aca="false">SunHouse</f>
        <v>4</v>
      </c>
      <c r="D170" s="534" t="str">
        <f aca="false">INDEX($Z170:$AW170,,12+D$152-$Q170+1)</f>
        <v>*</v>
      </c>
      <c r="E170" s="534" t="n">
        <f aca="false">INDEX($Z170:$AW170,,12+E$152-$Q170+1)</f>
        <v>1</v>
      </c>
      <c r="F170" s="534" t="n">
        <f aca="false">INDEX($Z170:$AW170,,12+F$152-$Q170+1)</f>
        <v>1</v>
      </c>
      <c r="G170" s="534" t="str">
        <f aca="false">INDEX($Z170:$AW170,,12+G$152-$Q170+1)</f>
        <v>*</v>
      </c>
      <c r="H170" s="534" t="str">
        <f aca="false">INDEX($Z170:$AW170,,12+H$152-$Q170+1)</f>
        <v>*</v>
      </c>
      <c r="I170" s="534" t="str">
        <f aca="false">INDEX($Z170:$AW170,,12+I$152-$Q170+1)</f>
        <v>*</v>
      </c>
      <c r="J170" s="534" t="str">
        <f aca="false">INDEX($Z170:$AW170,,12+J$152-$Q170+1)</f>
        <v>*</v>
      </c>
      <c r="K170" s="534" t="str">
        <f aca="false">INDEX($Z170:$AW170,,12+K$152-$Q170+1)</f>
        <v>*</v>
      </c>
      <c r="L170" s="534" t="str">
        <f aca="false">INDEX($Z170:$AW170,,12+L$152-$Q170+1)</f>
        <v>*</v>
      </c>
      <c r="M170" s="534" t="str">
        <f aca="false">INDEX($Z170:$AW170,,12+M$152-$Q170+1)</f>
        <v>*</v>
      </c>
      <c r="N170" s="534" t="n">
        <f aca="false">INDEX($Z170:$AW170,,12+N$152-$Q170+1)</f>
        <v>1</v>
      </c>
      <c r="O170" s="534" t="str">
        <f aca="false">INDEX($Z170:$AW170,,12+O$152-$Q170+1)</f>
        <v>*</v>
      </c>
      <c r="P170" s="535" t="n">
        <f aca="false">SUM(D170:O170)</f>
        <v>3</v>
      </c>
      <c r="Q170" s="533" t="n">
        <f aca="false">IF($Y$82,D165,C170)</f>
        <v>4</v>
      </c>
      <c r="S170" s="489"/>
      <c r="T170" s="489"/>
      <c r="U170" s="490"/>
      <c r="V170" s="489"/>
      <c r="W170" s="474" t="s">
        <v>780</v>
      </c>
      <c r="X170" s="532" t="s">
        <v>158</v>
      </c>
      <c r="Y170" s="536" t="n">
        <f aca="false">SUM(Z170:AK170)</f>
        <v>3</v>
      </c>
      <c r="Z170" s="534" t="s">
        <v>181</v>
      </c>
      <c r="AA170" s="534" t="s">
        <v>181</v>
      </c>
      <c r="AB170" s="534" t="s">
        <v>181</v>
      </c>
      <c r="AC170" s="534" t="s">
        <v>181</v>
      </c>
      <c r="AD170" s="534" t="s">
        <v>181</v>
      </c>
      <c r="AE170" s="534" t="s">
        <v>181</v>
      </c>
      <c r="AF170" s="534" t="s">
        <v>181</v>
      </c>
      <c r="AG170" s="534" t="n">
        <v>1</v>
      </c>
      <c r="AH170" s="534" t="s">
        <v>181</v>
      </c>
      <c r="AI170" s="534" t="s">
        <v>181</v>
      </c>
      <c r="AJ170" s="534" t="n">
        <v>1</v>
      </c>
      <c r="AK170" s="534" t="n">
        <v>1</v>
      </c>
      <c r="AL170" s="537" t="str">
        <f aca="false">Z170</f>
        <v>*</v>
      </c>
      <c r="AM170" s="534" t="str">
        <f aca="false">AA170</f>
        <v>*</v>
      </c>
      <c r="AN170" s="534" t="str">
        <f aca="false">AB170</f>
        <v>*</v>
      </c>
      <c r="AO170" s="534" t="str">
        <f aca="false">AC170</f>
        <v>*</v>
      </c>
      <c r="AP170" s="534" t="str">
        <f aca="false">AD170</f>
        <v>*</v>
      </c>
      <c r="AQ170" s="534" t="str">
        <f aca="false">AE170</f>
        <v>*</v>
      </c>
      <c r="AR170" s="534" t="str">
        <f aca="false">AF170</f>
        <v>*</v>
      </c>
      <c r="AS170" s="534" t="n">
        <f aca="false">AG170</f>
        <v>1</v>
      </c>
      <c r="AT170" s="534" t="str">
        <f aca="false">AH170</f>
        <v>*</v>
      </c>
      <c r="AU170" s="534" t="str">
        <f aca="false">AI170</f>
        <v>*</v>
      </c>
      <c r="AV170" s="534" t="n">
        <f aca="false">AJ170</f>
        <v>1</v>
      </c>
      <c r="AW170" s="538" t="n">
        <f aca="false">AK170</f>
        <v>1</v>
      </c>
      <c r="AX170" s="474" t="str">
        <f aca="false">MIN($Y$156,$Y$170,$Y$184,$Y$198,$Y$212,$Y$226,$Y$240,$Y$254)&amp;"-"&amp;MAX($Y$156,$Y$170,$Y$184,$Y$198,$Y$212,$Y$226,$Y$240,$Y$254)</f>
        <v>3-9</v>
      </c>
      <c r="AY170" s="474" t="s">
        <v>780</v>
      </c>
    </row>
    <row r="171" customFormat="false" ht="15" hidden="false" customHeight="false" outlineLevel="0" collapsed="false">
      <c r="A171" s="488" t="str">
        <f aca="false">A165&amp;"-"&amp;B171</f>
        <v>Venus-Venus</v>
      </c>
      <c r="B171" s="532" t="s">
        <v>163</v>
      </c>
      <c r="C171" s="533" t="n">
        <f aca="false">VenusHouse</f>
        <v>3</v>
      </c>
      <c r="D171" s="534" t="n">
        <f aca="false">INDEX($Z171:$AW171,,12+D$152-$Q171+1)</f>
        <v>1</v>
      </c>
      <c r="E171" s="534" t="str">
        <f aca="false">INDEX($Z171:$AW171,,12+E$152-$Q171+1)</f>
        <v>*</v>
      </c>
      <c r="F171" s="534" t="n">
        <f aca="false">INDEX($Z171:$AW171,,12+F$152-$Q171+1)</f>
        <v>1</v>
      </c>
      <c r="G171" s="534" t="n">
        <f aca="false">INDEX($Z171:$AW171,,12+G$152-$Q171+1)</f>
        <v>1</v>
      </c>
      <c r="H171" s="534" t="n">
        <f aca="false">INDEX($Z171:$AW171,,12+H$152-$Q171+1)</f>
        <v>1</v>
      </c>
      <c r="I171" s="534" t="n">
        <f aca="false">INDEX($Z171:$AW171,,12+I$152-$Q171+1)</f>
        <v>1</v>
      </c>
      <c r="J171" s="534" t="n">
        <f aca="false">INDEX($Z171:$AW171,,12+J$152-$Q171+1)</f>
        <v>1</v>
      </c>
      <c r="K171" s="534" t="str">
        <f aca="false">INDEX($Z171:$AW171,,12+K$152-$Q171+1)</f>
        <v>*</v>
      </c>
      <c r="L171" s="534" t="str">
        <f aca="false">INDEX($Z171:$AW171,,12+L$152-$Q171+1)</f>
        <v>*</v>
      </c>
      <c r="M171" s="534" t="n">
        <f aca="false">INDEX($Z171:$AW171,,12+M$152-$Q171+1)</f>
        <v>1</v>
      </c>
      <c r="N171" s="534" t="n">
        <f aca="false">INDEX($Z171:$AW171,,12+N$152-$Q171+1)</f>
        <v>1</v>
      </c>
      <c r="O171" s="534" t="n">
        <f aca="false">INDEX($Z171:$AW171,,12+O$152-$Q171+1)</f>
        <v>1</v>
      </c>
      <c r="P171" s="535" t="n">
        <f aca="false">SUM(D171:O171)</f>
        <v>9</v>
      </c>
      <c r="Q171" s="533" t="n">
        <f aca="false">IF($Y$82,D165,C171)</f>
        <v>3</v>
      </c>
      <c r="S171" s="489"/>
      <c r="T171" s="489"/>
      <c r="U171" s="490"/>
      <c r="V171" s="489"/>
      <c r="W171" s="474" t="s">
        <v>781</v>
      </c>
      <c r="X171" s="532" t="s">
        <v>163</v>
      </c>
      <c r="Y171" s="536" t="n">
        <f aca="false">SUM(Z171:AK171)</f>
        <v>9</v>
      </c>
      <c r="Z171" s="534" t="n">
        <v>1</v>
      </c>
      <c r="AA171" s="534" t="n">
        <v>1</v>
      </c>
      <c r="AB171" s="534" t="n">
        <v>1</v>
      </c>
      <c r="AC171" s="534" t="n">
        <v>1</v>
      </c>
      <c r="AD171" s="534" t="n">
        <v>1</v>
      </c>
      <c r="AE171" s="534" t="s">
        <v>181</v>
      </c>
      <c r="AF171" s="534" t="s">
        <v>181</v>
      </c>
      <c r="AG171" s="534" t="n">
        <v>1</v>
      </c>
      <c r="AH171" s="534" t="n">
        <v>1</v>
      </c>
      <c r="AI171" s="534" t="n">
        <v>1</v>
      </c>
      <c r="AJ171" s="534" t="n">
        <v>1</v>
      </c>
      <c r="AK171" s="534" t="s">
        <v>181</v>
      </c>
      <c r="AL171" s="537" t="n">
        <f aca="false">Z171</f>
        <v>1</v>
      </c>
      <c r="AM171" s="534" t="n">
        <f aca="false">AA171</f>
        <v>1</v>
      </c>
      <c r="AN171" s="534" t="n">
        <f aca="false">AB171</f>
        <v>1</v>
      </c>
      <c r="AO171" s="534" t="n">
        <f aca="false">AC171</f>
        <v>1</v>
      </c>
      <c r="AP171" s="534" t="n">
        <f aca="false">AD171</f>
        <v>1</v>
      </c>
      <c r="AQ171" s="534" t="str">
        <f aca="false">AE171</f>
        <v>*</v>
      </c>
      <c r="AR171" s="534" t="str">
        <f aca="false">AF171</f>
        <v>*</v>
      </c>
      <c r="AS171" s="534" t="n">
        <f aca="false">AG171</f>
        <v>1</v>
      </c>
      <c r="AT171" s="534" t="n">
        <f aca="false">AH171</f>
        <v>1</v>
      </c>
      <c r="AU171" s="534" t="n">
        <f aca="false">AI171</f>
        <v>1</v>
      </c>
      <c r="AV171" s="534" t="n">
        <f aca="false">AJ171</f>
        <v>1</v>
      </c>
      <c r="AW171" s="538" t="str">
        <f aca="false">AK171</f>
        <v>*</v>
      </c>
      <c r="AX171" s="474" t="str">
        <f aca="false">MIN($Y$157,$Y$171,$Y$185,$Y$199,$Y$213,$Y$227,$Y$241,$Y$255)&amp;"-"&amp;MAX($Y$157,$Y$171,$Y$185,$Y$199,$Y$213,$Y$227,$Y$241,$Y$255)</f>
        <v>3-9</v>
      </c>
      <c r="AY171" s="474" t="s">
        <v>781</v>
      </c>
    </row>
    <row r="172" customFormat="false" ht="15" hidden="false" customHeight="false" outlineLevel="0" collapsed="false">
      <c r="A172" s="488" t="str">
        <f aca="false">A165&amp;"-"&amp;B172</f>
        <v>Venus-Mercury</v>
      </c>
      <c r="B172" s="532" t="s">
        <v>161</v>
      </c>
      <c r="C172" s="533" t="n">
        <f aca="false">MercuryHouse</f>
        <v>4</v>
      </c>
      <c r="D172" s="534" t="str">
        <f aca="false">INDEX($Z172:$AW172,,12+D$152-$Q172+1)</f>
        <v>*</v>
      </c>
      <c r="E172" s="534" t="n">
        <f aca="false">INDEX($Z172:$AW172,,12+E$152-$Q172+1)</f>
        <v>1</v>
      </c>
      <c r="F172" s="534" t="str">
        <f aca="false">INDEX($Z172:$AW172,,12+F$152-$Q172+1)</f>
        <v>*</v>
      </c>
      <c r="G172" s="534" t="str">
        <f aca="false">INDEX($Z172:$AW172,,12+G$152-$Q172+1)</f>
        <v>*</v>
      </c>
      <c r="H172" s="534" t="str">
        <f aca="false">INDEX($Z172:$AW172,,12+H$152-$Q172+1)</f>
        <v>*</v>
      </c>
      <c r="I172" s="534" t="n">
        <f aca="false">INDEX($Z172:$AW172,,12+I$152-$Q172+1)</f>
        <v>1</v>
      </c>
      <c r="J172" s="534" t="str">
        <f aca="false">INDEX($Z172:$AW172,,12+J$152-$Q172+1)</f>
        <v>*</v>
      </c>
      <c r="K172" s="534" t="n">
        <f aca="false">INDEX($Z172:$AW172,,12+K$152-$Q172+1)</f>
        <v>1</v>
      </c>
      <c r="L172" s="534" t="n">
        <f aca="false">INDEX($Z172:$AW172,,12+L$152-$Q172+1)</f>
        <v>1</v>
      </c>
      <c r="M172" s="534" t="str">
        <f aca="false">INDEX($Z172:$AW172,,12+M$152-$Q172+1)</f>
        <v>*</v>
      </c>
      <c r="N172" s="534" t="str">
        <f aca="false">INDEX($Z172:$AW172,,12+N$152-$Q172+1)</f>
        <v>*</v>
      </c>
      <c r="O172" s="534" t="n">
        <f aca="false">INDEX($Z172:$AW172,,12+O$152-$Q172+1)</f>
        <v>1</v>
      </c>
      <c r="P172" s="535" t="n">
        <f aca="false">SUM(D172:O172)</f>
        <v>5</v>
      </c>
      <c r="Q172" s="533" t="n">
        <f aca="false">IF($Y$82,D165,C172)</f>
        <v>4</v>
      </c>
      <c r="S172" s="489" t="n">
        <f aca="false">M175</f>
        <v>3</v>
      </c>
      <c r="T172" s="490"/>
      <c r="U172" s="490"/>
      <c r="V172" s="489" t="n">
        <f aca="false">H175</f>
        <v>5</v>
      </c>
      <c r="X172" s="532" t="s">
        <v>161</v>
      </c>
      <c r="Y172" s="536" t="n">
        <f aca="false">SUM(Z172:AK172)</f>
        <v>5</v>
      </c>
      <c r="Z172" s="534" t="s">
        <v>181</v>
      </c>
      <c r="AA172" s="534" t="s">
        <v>181</v>
      </c>
      <c r="AB172" s="534" t="n">
        <v>1</v>
      </c>
      <c r="AC172" s="534" t="s">
        <v>181</v>
      </c>
      <c r="AD172" s="534" t="n">
        <v>1</v>
      </c>
      <c r="AE172" s="534" t="n">
        <v>1</v>
      </c>
      <c r="AF172" s="534" t="s">
        <v>181</v>
      </c>
      <c r="AG172" s="534" t="s">
        <v>181</v>
      </c>
      <c r="AH172" s="534" t="n">
        <v>1</v>
      </c>
      <c r="AI172" s="534" t="s">
        <v>181</v>
      </c>
      <c r="AJ172" s="534" t="n">
        <v>1</v>
      </c>
      <c r="AK172" s="534" t="s">
        <v>181</v>
      </c>
      <c r="AL172" s="537" t="str">
        <f aca="false">Z172</f>
        <v>*</v>
      </c>
      <c r="AM172" s="534" t="str">
        <f aca="false">AA172</f>
        <v>*</v>
      </c>
      <c r="AN172" s="534" t="n">
        <f aca="false">AB172</f>
        <v>1</v>
      </c>
      <c r="AO172" s="534" t="str">
        <f aca="false">AC172</f>
        <v>*</v>
      </c>
      <c r="AP172" s="534" t="n">
        <f aca="false">AD172</f>
        <v>1</v>
      </c>
      <c r="AQ172" s="534" t="n">
        <f aca="false">AE172</f>
        <v>1</v>
      </c>
      <c r="AR172" s="534" t="str">
        <f aca="false">AF172</f>
        <v>*</v>
      </c>
      <c r="AS172" s="534" t="str">
        <f aca="false">AG172</f>
        <v>*</v>
      </c>
      <c r="AT172" s="534" t="n">
        <f aca="false">AH172</f>
        <v>1</v>
      </c>
      <c r="AU172" s="534" t="str">
        <f aca="false">AI172</f>
        <v>*</v>
      </c>
      <c r="AV172" s="534" t="n">
        <f aca="false">AJ172</f>
        <v>1</v>
      </c>
      <c r="AW172" s="538" t="str">
        <f aca="false">AK172</f>
        <v>*</v>
      </c>
      <c r="AX172" s="474" t="str">
        <f aca="false">MIN($Y$158,$Y$172,$Y$186,$Y$200,$Y$214,$Y$228,$Y$242,$Y$256)&amp;"-"&amp;MAX($Y$158,$Y$172,$Y$186,$Y$200,$Y$214,$Y$228,$Y$242,$Y$256)</f>
        <v>4-8</v>
      </c>
    </row>
    <row r="173" customFormat="false" ht="15" hidden="false" customHeight="false" outlineLevel="0" collapsed="false">
      <c r="A173" s="488" t="str">
        <f aca="false">A165&amp;"-"&amp;B173</f>
        <v>Venus-Moon</v>
      </c>
      <c r="B173" s="532" t="s">
        <v>159</v>
      </c>
      <c r="C173" s="533" t="n">
        <f aca="false">MoonHouse</f>
        <v>2</v>
      </c>
      <c r="D173" s="534" t="n">
        <f aca="false">INDEX($Z173:$AW173,,12+D$152-$Q173+1)</f>
        <v>1</v>
      </c>
      <c r="E173" s="534" t="n">
        <f aca="false">INDEX($Z173:$AW173,,12+E$152-$Q173+1)</f>
        <v>1</v>
      </c>
      <c r="F173" s="534" t="n">
        <f aca="false">INDEX($Z173:$AW173,,12+F$152-$Q173+1)</f>
        <v>1</v>
      </c>
      <c r="G173" s="534" t="n">
        <f aca="false">INDEX($Z173:$AW173,,12+G$152-$Q173+1)</f>
        <v>1</v>
      </c>
      <c r="H173" s="534" t="n">
        <f aca="false">INDEX($Z173:$AW173,,12+H$152-$Q173+1)</f>
        <v>1</v>
      </c>
      <c r="I173" s="534" t="n">
        <f aca="false">INDEX($Z173:$AW173,,12+I$152-$Q173+1)</f>
        <v>1</v>
      </c>
      <c r="J173" s="534" t="str">
        <f aca="false">INDEX($Z173:$AW173,,12+J$152-$Q173+1)</f>
        <v>*</v>
      </c>
      <c r="K173" s="534" t="str">
        <f aca="false">INDEX($Z173:$AW173,,12+K$152-$Q173+1)</f>
        <v>*</v>
      </c>
      <c r="L173" s="534" t="n">
        <f aca="false">INDEX($Z173:$AW173,,12+L$152-$Q173+1)</f>
        <v>1</v>
      </c>
      <c r="M173" s="534" t="n">
        <f aca="false">INDEX($Z173:$AW173,,12+M$152-$Q173+1)</f>
        <v>1</v>
      </c>
      <c r="N173" s="534" t="str">
        <f aca="false">INDEX($Z173:$AW173,,12+N$152-$Q173+1)</f>
        <v>*</v>
      </c>
      <c r="O173" s="534" t="n">
        <f aca="false">INDEX($Z173:$AW173,,12+O$152-$Q173+1)</f>
        <v>1</v>
      </c>
      <c r="P173" s="535" t="n">
        <f aca="false">SUM(D173:O173)</f>
        <v>9</v>
      </c>
      <c r="Q173" s="533" t="n">
        <f aca="false">IF($Y$82,D165,C173)</f>
        <v>2</v>
      </c>
      <c r="S173" s="489"/>
      <c r="T173" s="489"/>
      <c r="U173" s="490"/>
      <c r="V173" s="489"/>
      <c r="W173" s="474" t="s">
        <v>781</v>
      </c>
      <c r="X173" s="532" t="s">
        <v>159</v>
      </c>
      <c r="Y173" s="536" t="n">
        <f aca="false">SUM(Z173:AK173)</f>
        <v>9</v>
      </c>
      <c r="Z173" s="534" t="n">
        <v>1</v>
      </c>
      <c r="AA173" s="534" t="n">
        <v>1</v>
      </c>
      <c r="AB173" s="534" t="n">
        <v>1</v>
      </c>
      <c r="AC173" s="534" t="n">
        <v>1</v>
      </c>
      <c r="AD173" s="534" t="n">
        <v>1</v>
      </c>
      <c r="AE173" s="534" t="s">
        <v>181</v>
      </c>
      <c r="AF173" s="534" t="s">
        <v>181</v>
      </c>
      <c r="AG173" s="534" t="n">
        <v>1</v>
      </c>
      <c r="AH173" s="534" t="n">
        <v>1</v>
      </c>
      <c r="AI173" s="534" t="s">
        <v>181</v>
      </c>
      <c r="AJ173" s="534" t="n">
        <v>1</v>
      </c>
      <c r="AK173" s="534" t="n">
        <v>1</v>
      </c>
      <c r="AL173" s="537" t="n">
        <f aca="false">Z173</f>
        <v>1</v>
      </c>
      <c r="AM173" s="534" t="n">
        <f aca="false">AA173</f>
        <v>1</v>
      </c>
      <c r="AN173" s="534" t="n">
        <f aca="false">AB173</f>
        <v>1</v>
      </c>
      <c r="AO173" s="534" t="n">
        <f aca="false">AC173</f>
        <v>1</v>
      </c>
      <c r="AP173" s="534" t="n">
        <f aca="false">AD173</f>
        <v>1</v>
      </c>
      <c r="AQ173" s="534" t="str">
        <f aca="false">AE173</f>
        <v>*</v>
      </c>
      <c r="AR173" s="534" t="str">
        <f aca="false">AF173</f>
        <v>*</v>
      </c>
      <c r="AS173" s="534" t="n">
        <f aca="false">AG173</f>
        <v>1</v>
      </c>
      <c r="AT173" s="534" t="n">
        <f aca="false">AH173</f>
        <v>1</v>
      </c>
      <c r="AU173" s="534" t="str">
        <f aca="false">AI173</f>
        <v>*</v>
      </c>
      <c r="AV173" s="534" t="n">
        <f aca="false">AJ173</f>
        <v>1</v>
      </c>
      <c r="AW173" s="538" t="n">
        <f aca="false">AK173</f>
        <v>1</v>
      </c>
      <c r="AX173" s="474" t="str">
        <f aca="false">MIN($Y$159,$Y$173,$Y$187,$Y$201,$Y$215,$Y$229,$Y$243,$Y$257)&amp;"-"&amp;MAX($Y$159,$Y$173,$Y$187,$Y$201,$Y$215,$Y$229,$Y$243,$Y$257)</f>
        <v>3-9</v>
      </c>
      <c r="AY173" s="474" t="s">
        <v>781</v>
      </c>
    </row>
    <row r="174" customFormat="false" ht="15" hidden="false" customHeight="false" outlineLevel="0" collapsed="false">
      <c r="A174" s="488" t="str">
        <f aca="false">A165&amp;"-"&amp;B174</f>
        <v>Venus-Lagna</v>
      </c>
      <c r="B174" s="532" t="s">
        <v>319</v>
      </c>
      <c r="C174" s="533" t="n">
        <f aca="false">Lagnahouse</f>
        <v>5</v>
      </c>
      <c r="D174" s="534" t="n">
        <f aca="false">INDEX($Z174:$AW174,,12+D$152-$Q174+1)</f>
        <v>1</v>
      </c>
      <c r="E174" s="534" t="str">
        <f aca="false">INDEX($Z174:$AW174,,12+E$152-$Q174+1)</f>
        <v>*</v>
      </c>
      <c r="F174" s="534" t="n">
        <f aca="false">INDEX($Z174:$AW174,,12+F$152-$Q174+1)</f>
        <v>1</v>
      </c>
      <c r="G174" s="534" t="str">
        <f aca="false">INDEX($Z174:$AW174,,12+G$152-$Q174+1)</f>
        <v>*</v>
      </c>
      <c r="H174" s="534" t="n">
        <f aca="false">INDEX($Z174:$AW174,,12+H$152-$Q174+1)</f>
        <v>1</v>
      </c>
      <c r="I174" s="534" t="n">
        <f aca="false">INDEX($Z174:$AW174,,12+I$152-$Q174+1)</f>
        <v>1</v>
      </c>
      <c r="J174" s="534" t="n">
        <f aca="false">INDEX($Z174:$AW174,,12+J$152-$Q174+1)</f>
        <v>1</v>
      </c>
      <c r="K174" s="534" t="n">
        <f aca="false">INDEX($Z174:$AW174,,12+K$152-$Q174+1)</f>
        <v>1</v>
      </c>
      <c r="L174" s="534" t="n">
        <f aca="false">INDEX($Z174:$AW174,,12+L$152-$Q174+1)</f>
        <v>1</v>
      </c>
      <c r="M174" s="534" t="str">
        <f aca="false">INDEX($Z174:$AW174,,12+M$152-$Q174+1)</f>
        <v>*</v>
      </c>
      <c r="N174" s="534" t="str">
        <f aca="false">INDEX($Z174:$AW174,,12+N$152-$Q174+1)</f>
        <v>*</v>
      </c>
      <c r="O174" s="534" t="n">
        <f aca="false">INDEX($Z174:$AW174,,12+O$152-$Q174+1)</f>
        <v>1</v>
      </c>
      <c r="P174" s="535" t="n">
        <f aca="false">SUM(D174:O174)</f>
        <v>8</v>
      </c>
      <c r="Q174" s="533" t="n">
        <f aca="false">IF($Y$82,D165,C174)</f>
        <v>5</v>
      </c>
      <c r="S174" s="489"/>
      <c r="T174" s="489"/>
      <c r="U174" s="490"/>
      <c r="V174" s="489"/>
      <c r="X174" s="532" t="s">
        <v>319</v>
      </c>
      <c r="Y174" s="536" t="n">
        <f aca="false">SUM(Z174:AK174)</f>
        <v>8</v>
      </c>
      <c r="Z174" s="534" t="n">
        <v>1</v>
      </c>
      <c r="AA174" s="534" t="n">
        <v>1</v>
      </c>
      <c r="AB174" s="534" t="n">
        <v>1</v>
      </c>
      <c r="AC174" s="534" t="n">
        <v>1</v>
      </c>
      <c r="AD174" s="534" t="n">
        <v>1</v>
      </c>
      <c r="AE174" s="534" t="s">
        <v>181</v>
      </c>
      <c r="AF174" s="534" t="s">
        <v>181</v>
      </c>
      <c r="AG174" s="534" t="n">
        <v>1</v>
      </c>
      <c r="AH174" s="534" t="n">
        <v>1</v>
      </c>
      <c r="AI174" s="534" t="s">
        <v>181</v>
      </c>
      <c r="AJ174" s="534" t="n">
        <v>1</v>
      </c>
      <c r="AK174" s="547" t="s">
        <v>181</v>
      </c>
      <c r="AL174" s="537" t="n">
        <f aca="false">Z174</f>
        <v>1</v>
      </c>
      <c r="AM174" s="534" t="n">
        <f aca="false">AA174</f>
        <v>1</v>
      </c>
      <c r="AN174" s="534" t="n">
        <f aca="false">AB174</f>
        <v>1</v>
      </c>
      <c r="AO174" s="534" t="n">
        <f aca="false">AC174</f>
        <v>1</v>
      </c>
      <c r="AP174" s="534" t="n">
        <f aca="false">AD174</f>
        <v>1</v>
      </c>
      <c r="AQ174" s="534" t="str">
        <f aca="false">AE174</f>
        <v>*</v>
      </c>
      <c r="AR174" s="534" t="str">
        <f aca="false">AF174</f>
        <v>*</v>
      </c>
      <c r="AS174" s="534" t="n">
        <f aca="false">AG174</f>
        <v>1</v>
      </c>
      <c r="AT174" s="534" t="n">
        <f aca="false">AH174</f>
        <v>1</v>
      </c>
      <c r="AU174" s="534" t="str">
        <f aca="false">AI174</f>
        <v>*</v>
      </c>
      <c r="AV174" s="534" t="n">
        <f aca="false">AJ174</f>
        <v>1</v>
      </c>
      <c r="AW174" s="538" t="str">
        <f aca="false">AK174</f>
        <v>*</v>
      </c>
      <c r="AX174" s="474" t="str">
        <f aca="false">MIN($Y$160,$Y$174,$Y$188,$Y$202,$Y$216,$Y$230,$Y$244,$Y$258)&amp;"-"&amp;MAX($Y$160,$Y$174,$Y$188,$Y$202,$Y$216,$Y$230,$Y$244,$Y$258)</f>
        <v>4-9</v>
      </c>
    </row>
    <row r="175" customFormat="false" ht="15" hidden="false" customHeight="false" outlineLevel="0" collapsed="false">
      <c r="A175" s="488" t="str">
        <f aca="false">A165&amp;"-"&amp;B175</f>
        <v>Venus-Venus</v>
      </c>
      <c r="B175" s="539" t="str">
        <f aca="false">B165</f>
        <v>Venus</v>
      </c>
      <c r="C175" s="540"/>
      <c r="D175" s="540" t="n">
        <f aca="false">SUM(D167:D174)</f>
        <v>4</v>
      </c>
      <c r="E175" s="540" t="n">
        <f aca="false">SUM(E167:E174)</f>
        <v>3</v>
      </c>
      <c r="F175" s="540" t="n">
        <f aca="false">SUM(F167:F174)</f>
        <v>6</v>
      </c>
      <c r="G175" s="540" t="n">
        <f aca="false">SUM(G167:G174)</f>
        <v>4</v>
      </c>
      <c r="H175" s="540" t="n">
        <f aca="false">SUM(H167:H174)</f>
        <v>5</v>
      </c>
      <c r="I175" s="540" t="n">
        <f aca="false">SUM(I167:I174)</f>
        <v>7</v>
      </c>
      <c r="J175" s="540" t="n">
        <f aca="false">SUM(J167:J174)</f>
        <v>2</v>
      </c>
      <c r="K175" s="540" t="n">
        <f aca="false">SUM(K167:K174)</f>
        <v>3</v>
      </c>
      <c r="L175" s="540" t="n">
        <f aca="false">SUM(L167:L174)</f>
        <v>5</v>
      </c>
      <c r="M175" s="540" t="n">
        <f aca="false">SUM(M167:M174)</f>
        <v>3</v>
      </c>
      <c r="N175" s="540" t="n">
        <f aca="false">SUM(N167:N174)</f>
        <v>3</v>
      </c>
      <c r="O175" s="540" t="n">
        <f aca="false">SUM(O167:O174)</f>
        <v>7</v>
      </c>
      <c r="P175" s="541" t="n">
        <f aca="false">SUM(D175:O175)</f>
        <v>52</v>
      </c>
      <c r="Q175" s="541"/>
      <c r="S175" s="489" t="n">
        <f aca="false">L175</f>
        <v>5</v>
      </c>
      <c r="T175" s="489" t="n">
        <f aca="false">K175</f>
        <v>3</v>
      </c>
      <c r="U175" s="489" t="n">
        <f aca="false">J175</f>
        <v>2</v>
      </c>
      <c r="V175" s="489" t="n">
        <f aca="false">I175</f>
        <v>7</v>
      </c>
      <c r="X175" s="539"/>
      <c r="Y175" s="542" t="n">
        <f aca="false">SUM(Z175:AK175)</f>
        <v>52</v>
      </c>
      <c r="Z175" s="543" t="n">
        <f aca="false">SUM(Z167:Z174)</f>
        <v>3</v>
      </c>
      <c r="AA175" s="543" t="n">
        <f aca="false">SUM(AA167:AA174)</f>
        <v>3</v>
      </c>
      <c r="AB175" s="543" t="n">
        <f aca="false">SUM(AB167:AB174)</f>
        <v>6</v>
      </c>
      <c r="AC175" s="543" t="n">
        <f aca="false">SUM(AC167:AC174)</f>
        <v>5</v>
      </c>
      <c r="AD175" s="543" t="n">
        <f aca="false">SUM(AD167:AD174)</f>
        <v>6</v>
      </c>
      <c r="AE175" s="543" t="n">
        <f aca="false">SUM(AE167:AE174)</f>
        <v>2</v>
      </c>
      <c r="AF175" s="543" t="n">
        <f aca="false">SUM(AF167:AF174)</f>
        <v>0</v>
      </c>
      <c r="AG175" s="543" t="n">
        <f aca="false">SUM(AG167:AG174)</f>
        <v>6</v>
      </c>
      <c r="AH175" s="543" t="n">
        <f aca="false">SUM(AH167:AH174)</f>
        <v>7</v>
      </c>
      <c r="AI175" s="543" t="n">
        <f aca="false">SUM(AI167:AI174)</f>
        <v>3</v>
      </c>
      <c r="AJ175" s="543" t="n">
        <f aca="false">SUM(AJ167:AJ174)</f>
        <v>8</v>
      </c>
      <c r="AK175" s="543" t="n">
        <f aca="false">SUM(AK167:AK174)</f>
        <v>3</v>
      </c>
      <c r="AL175" s="544" t="n">
        <f aca="false">SUM(AL167:AL174)</f>
        <v>3</v>
      </c>
      <c r="AM175" s="545" t="n">
        <f aca="false">SUM(AM167:AM174)</f>
        <v>3</v>
      </c>
      <c r="AN175" s="545" t="n">
        <f aca="false">SUM(AN167:AN174)</f>
        <v>6</v>
      </c>
      <c r="AO175" s="545" t="n">
        <f aca="false">SUM(AO167:AO174)</f>
        <v>5</v>
      </c>
      <c r="AP175" s="545" t="n">
        <f aca="false">SUM(AP167:AP174)</f>
        <v>6</v>
      </c>
      <c r="AQ175" s="545" t="n">
        <f aca="false">SUM(AQ167:AQ174)</f>
        <v>2</v>
      </c>
      <c r="AR175" s="545" t="n">
        <f aca="false">SUM(AR167:AR174)</f>
        <v>0</v>
      </c>
      <c r="AS175" s="545" t="n">
        <f aca="false">SUM(AS167:AS174)</f>
        <v>6</v>
      </c>
      <c r="AT175" s="545" t="n">
        <f aca="false">SUM(AT167:AT174)</f>
        <v>7</v>
      </c>
      <c r="AU175" s="545" t="n">
        <f aca="false">SUM(AU167:AU174)</f>
        <v>3</v>
      </c>
      <c r="AV175" s="545" t="n">
        <f aca="false">SUM(AV167:AV174)</f>
        <v>8</v>
      </c>
      <c r="AW175" s="546" t="n">
        <f aca="false">SUM(AW167:AW174)</f>
        <v>3</v>
      </c>
    </row>
    <row r="176" customFormat="false" ht="15" hidden="false" customHeight="false" outlineLevel="0" collapsed="false">
      <c r="A176" s="488" t="str">
        <f aca="false">A165&amp;"-"&amp;B176</f>
        <v>Venus-</v>
      </c>
      <c r="S176" s="489"/>
      <c r="T176" s="489"/>
      <c r="U176" s="489"/>
      <c r="V176" s="489"/>
      <c r="X176" s="474" t="s">
        <v>782</v>
      </c>
      <c r="AL176" s="474"/>
    </row>
    <row r="177" customFormat="false" ht="15" hidden="false" customHeight="false" outlineLevel="0" collapsed="false">
      <c r="A177" s="488" t="str">
        <f aca="false">A165&amp;"-"&amp;B177</f>
        <v>Venus-</v>
      </c>
      <c r="S177" s="489"/>
      <c r="T177" s="489"/>
      <c r="U177" s="489"/>
      <c r="V177" s="489"/>
    </row>
    <row r="178" customFormat="false" ht="15" hidden="false" customHeight="false" outlineLevel="0" collapsed="false">
      <c r="A178" s="488" t="str">
        <f aca="false">A165&amp;"-"&amp;B178</f>
        <v>Venus------</v>
      </c>
      <c r="B178" s="474" t="s">
        <v>776</v>
      </c>
    </row>
    <row r="179" customFormat="false" ht="15" hidden="false" customHeight="false" outlineLevel="0" collapsed="false">
      <c r="A179" s="488" t="str">
        <f aca="false">B179</f>
        <v>Jupiter</v>
      </c>
      <c r="B179" s="523" t="str">
        <f aca="false">X179</f>
        <v>Jupiter</v>
      </c>
      <c r="C179" s="523"/>
      <c r="D179" s="474" t="n">
        <f aca="true">INDIRECT(B179&amp;"house")</f>
        <v>8</v>
      </c>
      <c r="S179" s="495"/>
      <c r="T179" s="495"/>
      <c r="U179" s="495"/>
      <c r="V179" s="495"/>
      <c r="X179" s="193" t="s">
        <v>162</v>
      </c>
      <c r="Y179" s="474" t="str">
        <f aca="false">MIN(Y181:Y188)&amp;"-"&amp;MAX(Y181:Y188)</f>
        <v>4-9</v>
      </c>
      <c r="Z179" s="474" t="str">
        <f aca="false">$Z$83 &amp;  X179</f>
        <v>From Graha Good and Bad Transit of Jupiter</v>
      </c>
      <c r="AL179" s="474"/>
      <c r="AW179" s="474"/>
      <c r="AX179" s="474" t="s">
        <v>777</v>
      </c>
    </row>
    <row r="180" customFormat="false" ht="15" hidden="false" customHeight="false" outlineLevel="0" collapsed="false">
      <c r="A180" s="488" t="str">
        <f aca="false">A179&amp;"-"&amp;B180</f>
        <v>Jupiter-</v>
      </c>
      <c r="B180" s="524"/>
      <c r="C180" s="525" t="s">
        <v>746</v>
      </c>
      <c r="D180" s="526" t="n">
        <v>1</v>
      </c>
      <c r="E180" s="526" t="n">
        <v>2</v>
      </c>
      <c r="F180" s="526" t="n">
        <v>3</v>
      </c>
      <c r="G180" s="526" t="n">
        <v>4</v>
      </c>
      <c r="H180" s="526" t="n">
        <v>5</v>
      </c>
      <c r="I180" s="526" t="n">
        <v>6</v>
      </c>
      <c r="J180" s="526" t="n">
        <v>7</v>
      </c>
      <c r="K180" s="526" t="n">
        <v>8</v>
      </c>
      <c r="L180" s="526" t="n">
        <v>9</v>
      </c>
      <c r="M180" s="526" t="n">
        <v>10</v>
      </c>
      <c r="N180" s="526" t="n">
        <v>11</v>
      </c>
      <c r="O180" s="526" t="n">
        <v>12</v>
      </c>
      <c r="P180" s="527"/>
      <c r="Q180" s="527"/>
      <c r="S180" s="489" t="n">
        <f aca="false">O189</f>
        <v>4</v>
      </c>
      <c r="T180" s="489" t="n">
        <f aca="false">D189</f>
        <v>6</v>
      </c>
      <c r="U180" s="489" t="n">
        <f aca="false">E189</f>
        <v>4</v>
      </c>
      <c r="V180" s="489" t="n">
        <f aca="false">F189</f>
        <v>3</v>
      </c>
      <c r="X180" s="525" t="s">
        <v>778</v>
      </c>
      <c r="Y180" s="528" t="s">
        <v>779</v>
      </c>
      <c r="Z180" s="529" t="n">
        <v>1</v>
      </c>
      <c r="AA180" s="529" t="n">
        <v>2</v>
      </c>
      <c r="AB180" s="529" t="n">
        <v>3</v>
      </c>
      <c r="AC180" s="529" t="n">
        <v>4</v>
      </c>
      <c r="AD180" s="529" t="n">
        <v>5</v>
      </c>
      <c r="AE180" s="529" t="n">
        <v>6</v>
      </c>
      <c r="AF180" s="529" t="n">
        <v>7</v>
      </c>
      <c r="AG180" s="529" t="n">
        <v>8</v>
      </c>
      <c r="AH180" s="529" t="n">
        <v>9</v>
      </c>
      <c r="AI180" s="529" t="n">
        <v>10</v>
      </c>
      <c r="AJ180" s="529" t="n">
        <v>11</v>
      </c>
      <c r="AK180" s="529" t="n">
        <v>12</v>
      </c>
      <c r="AL180" s="530" t="n">
        <v>1</v>
      </c>
      <c r="AM180" s="526" t="n">
        <v>2</v>
      </c>
      <c r="AN180" s="526" t="n">
        <v>3</v>
      </c>
      <c r="AO180" s="526" t="n">
        <v>4</v>
      </c>
      <c r="AP180" s="526" t="n">
        <v>5</v>
      </c>
      <c r="AQ180" s="526" t="n">
        <v>6</v>
      </c>
      <c r="AR180" s="526" t="n">
        <v>7</v>
      </c>
      <c r="AS180" s="526" t="n">
        <v>8</v>
      </c>
      <c r="AT180" s="526" t="n">
        <v>9</v>
      </c>
      <c r="AU180" s="526" t="n">
        <v>10</v>
      </c>
      <c r="AV180" s="526" t="n">
        <v>11</v>
      </c>
      <c r="AW180" s="531" t="n">
        <v>12</v>
      </c>
    </row>
    <row r="181" customFormat="false" ht="15" hidden="false" customHeight="false" outlineLevel="0" collapsed="false">
      <c r="A181" s="488" t="str">
        <f aca="false">A179&amp;"-"&amp;B181</f>
        <v>Jupiter-Saturn</v>
      </c>
      <c r="B181" s="532" t="s">
        <v>164</v>
      </c>
      <c r="C181" s="533" t="n">
        <f aca="false">SaturnHouse</f>
        <v>2</v>
      </c>
      <c r="D181" s="534" t="n">
        <f aca="false">INDEX($Z181:$AW181,,12+D$152-$Q181+1)</f>
        <v>1</v>
      </c>
      <c r="E181" s="534" t="str">
        <f aca="false">INDEX($Z181:$AW181,,12+E$152-$Q181+1)</f>
        <v>*</v>
      </c>
      <c r="F181" s="534" t="str">
        <f aca="false">INDEX($Z181:$AW181,,12+F$152-$Q181+1)</f>
        <v>*</v>
      </c>
      <c r="G181" s="534" t="n">
        <f aca="false">INDEX($Z181:$AW181,,12+G$152-$Q181+1)</f>
        <v>1</v>
      </c>
      <c r="H181" s="534" t="str">
        <f aca="false">INDEX($Z181:$AW181,,12+H$152-$Q181+1)</f>
        <v>*</v>
      </c>
      <c r="I181" s="534" t="n">
        <f aca="false">INDEX($Z181:$AW181,,12+I$152-$Q181+1)</f>
        <v>1</v>
      </c>
      <c r="J181" s="534" t="n">
        <f aca="false">INDEX($Z181:$AW181,,12+J$152-$Q181+1)</f>
        <v>1</v>
      </c>
      <c r="K181" s="534" t="str">
        <f aca="false">INDEX($Z181:$AW181,,12+K$152-$Q181+1)</f>
        <v>*</v>
      </c>
      <c r="L181" s="534" t="str">
        <f aca="false">INDEX($Z181:$AW181,,12+L$152-$Q181+1)</f>
        <v>*</v>
      </c>
      <c r="M181" s="534" t="str">
        <f aca="false">INDEX($Z181:$AW181,,12+M$152-$Q181+1)</f>
        <v>*</v>
      </c>
      <c r="N181" s="534" t="str">
        <f aca="false">INDEX($Z181:$AW181,,12+N$152-$Q181+1)</f>
        <v>*</v>
      </c>
      <c r="O181" s="534" t="str">
        <f aca="false">INDEX($Z181:$AW181,,12+O$152-$Q181+1)</f>
        <v>*</v>
      </c>
      <c r="P181" s="535" t="n">
        <f aca="false">SUM(D181:O181)</f>
        <v>4</v>
      </c>
      <c r="Q181" s="533" t="n">
        <f aca="false">IF($Y$82,D179,C181)</f>
        <v>2</v>
      </c>
      <c r="S181" s="489"/>
      <c r="T181" s="489"/>
      <c r="U181" s="489"/>
      <c r="V181" s="489"/>
      <c r="W181" s="474" t="s">
        <v>780</v>
      </c>
      <c r="X181" s="532" t="s">
        <v>164</v>
      </c>
      <c r="Y181" s="536" t="n">
        <f aca="false">SUM(Z181:AK181)</f>
        <v>4</v>
      </c>
      <c r="Z181" s="534" t="s">
        <v>181</v>
      </c>
      <c r="AA181" s="534" t="s">
        <v>181</v>
      </c>
      <c r="AB181" s="534" t="n">
        <v>1</v>
      </c>
      <c r="AC181" s="534" t="s">
        <v>181</v>
      </c>
      <c r="AD181" s="534" t="n">
        <v>1</v>
      </c>
      <c r="AE181" s="534" t="n">
        <v>1</v>
      </c>
      <c r="AF181" s="534" t="s">
        <v>181</v>
      </c>
      <c r="AG181" s="534" t="s">
        <v>181</v>
      </c>
      <c r="AH181" s="534" t="s">
        <v>181</v>
      </c>
      <c r="AI181" s="534" t="s">
        <v>181</v>
      </c>
      <c r="AJ181" s="534" t="s">
        <v>181</v>
      </c>
      <c r="AK181" s="534" t="n">
        <v>1</v>
      </c>
      <c r="AL181" s="537" t="str">
        <f aca="false">Z181</f>
        <v>*</v>
      </c>
      <c r="AM181" s="534" t="str">
        <f aca="false">AA181</f>
        <v>*</v>
      </c>
      <c r="AN181" s="534" t="n">
        <f aca="false">AB181</f>
        <v>1</v>
      </c>
      <c r="AO181" s="534" t="str">
        <f aca="false">AC181</f>
        <v>*</v>
      </c>
      <c r="AP181" s="534" t="n">
        <f aca="false">AD181</f>
        <v>1</v>
      </c>
      <c r="AQ181" s="534" t="n">
        <f aca="false">AE181</f>
        <v>1</v>
      </c>
      <c r="AR181" s="534" t="str">
        <f aca="false">AF181</f>
        <v>*</v>
      </c>
      <c r="AS181" s="534" t="str">
        <f aca="false">AG181</f>
        <v>*</v>
      </c>
      <c r="AT181" s="534" t="str">
        <f aca="false">AH181</f>
        <v>*</v>
      </c>
      <c r="AU181" s="534" t="str">
        <f aca="false">AI181</f>
        <v>*</v>
      </c>
      <c r="AV181" s="534" t="str">
        <f aca="false">AJ181</f>
        <v>*</v>
      </c>
      <c r="AW181" s="538" t="n">
        <f aca="false">AK181</f>
        <v>1</v>
      </c>
      <c r="AX181" s="474" t="str">
        <f aca="false">MIN($Y$153,$Y$167,$Y$181,$Y$195,$Y$209,$Y$223,$Y$237,$Y$251)&amp;"-"&amp;MAX($Y$153,$Y$167,$Y$181,$Y$195,$Y$209,$Y$223,$Y$237,$Y$251)</f>
        <v>4-8</v>
      </c>
      <c r="AY181" s="474" t="s">
        <v>780</v>
      </c>
    </row>
    <row r="182" customFormat="false" ht="15" hidden="false" customHeight="false" outlineLevel="0" collapsed="false">
      <c r="A182" s="488" t="str">
        <f aca="false">A179&amp;"-"&amp;B182</f>
        <v>Jupiter-Jupiter</v>
      </c>
      <c r="B182" s="532" t="s">
        <v>162</v>
      </c>
      <c r="C182" s="533" t="n">
        <f aca="false">JupiterHouse</f>
        <v>8</v>
      </c>
      <c r="D182" s="534" t="str">
        <f aca="false">INDEX($Z182:$AW182,,12+D$152-$Q182+1)</f>
        <v>*</v>
      </c>
      <c r="E182" s="534" t="n">
        <f aca="false">INDEX($Z182:$AW182,,12+E$152-$Q182+1)</f>
        <v>1</v>
      </c>
      <c r="F182" s="534" t="n">
        <f aca="false">INDEX($Z182:$AW182,,12+F$152-$Q182+1)</f>
        <v>1</v>
      </c>
      <c r="G182" s="534" t="str">
        <f aca="false">INDEX($Z182:$AW182,,12+G$152-$Q182+1)</f>
        <v>*</v>
      </c>
      <c r="H182" s="534" t="n">
        <f aca="false">INDEX($Z182:$AW182,,12+H$152-$Q182+1)</f>
        <v>1</v>
      </c>
      <c r="I182" s="534" t="n">
        <f aca="false">INDEX($Z182:$AW182,,12+I$152-$Q182+1)</f>
        <v>1</v>
      </c>
      <c r="J182" s="534" t="str">
        <f aca="false">INDEX($Z182:$AW182,,12+J$152-$Q182+1)</f>
        <v>*</v>
      </c>
      <c r="K182" s="534" t="n">
        <f aca="false">INDEX($Z182:$AW182,,12+K$152-$Q182+1)</f>
        <v>1</v>
      </c>
      <c r="L182" s="534" t="n">
        <f aca="false">INDEX($Z182:$AW182,,12+L$152-$Q182+1)</f>
        <v>1</v>
      </c>
      <c r="M182" s="534" t="n">
        <f aca="false">INDEX($Z182:$AW182,,12+M$152-$Q182+1)</f>
        <v>1</v>
      </c>
      <c r="N182" s="534" t="n">
        <f aca="false">INDEX($Z182:$AW182,,12+N$152-$Q182+1)</f>
        <v>1</v>
      </c>
      <c r="O182" s="534" t="str">
        <f aca="false">INDEX($Z182:$AW182,,12+O$152-$Q182+1)</f>
        <v>*</v>
      </c>
      <c r="P182" s="535" t="n">
        <f aca="false">SUM(D182:O182)</f>
        <v>8</v>
      </c>
      <c r="Q182" s="533" t="n">
        <f aca="false">IF($Y$82,D179,C182)</f>
        <v>8</v>
      </c>
      <c r="S182" s="489"/>
      <c r="T182" s="489"/>
      <c r="U182" s="489"/>
      <c r="V182" s="489"/>
      <c r="X182" s="532" t="s">
        <v>162</v>
      </c>
      <c r="Y182" s="536" t="n">
        <f aca="false">SUM(Z182:AK182)</f>
        <v>8</v>
      </c>
      <c r="Z182" s="534" t="n">
        <v>1</v>
      </c>
      <c r="AA182" s="534" t="n">
        <v>1</v>
      </c>
      <c r="AB182" s="534" t="n">
        <v>1</v>
      </c>
      <c r="AC182" s="534" t="n">
        <v>1</v>
      </c>
      <c r="AD182" s="534" t="s">
        <v>181</v>
      </c>
      <c r="AE182" s="534" t="s">
        <v>181</v>
      </c>
      <c r="AF182" s="534" t="n">
        <v>1</v>
      </c>
      <c r="AG182" s="534" t="n">
        <v>1</v>
      </c>
      <c r="AH182" s="534" t="s">
        <v>181</v>
      </c>
      <c r="AI182" s="534" t="n">
        <v>1</v>
      </c>
      <c r="AJ182" s="534" t="n">
        <v>1</v>
      </c>
      <c r="AK182" s="534" t="s">
        <v>181</v>
      </c>
      <c r="AL182" s="537" t="n">
        <f aca="false">Z182</f>
        <v>1</v>
      </c>
      <c r="AM182" s="534" t="n">
        <f aca="false">AA182</f>
        <v>1</v>
      </c>
      <c r="AN182" s="534" t="n">
        <f aca="false">AB182</f>
        <v>1</v>
      </c>
      <c r="AO182" s="534" t="n">
        <f aca="false">AC182</f>
        <v>1</v>
      </c>
      <c r="AP182" s="534" t="str">
        <f aca="false">AD182</f>
        <v>*</v>
      </c>
      <c r="AQ182" s="534" t="str">
        <f aca="false">AE182</f>
        <v>*</v>
      </c>
      <c r="AR182" s="534" t="n">
        <f aca="false">AF182</f>
        <v>1</v>
      </c>
      <c r="AS182" s="534" t="n">
        <f aca="false">AG182</f>
        <v>1</v>
      </c>
      <c r="AT182" s="534" t="str">
        <f aca="false">AH182</f>
        <v>*</v>
      </c>
      <c r="AU182" s="534" t="n">
        <f aca="false">AI182</f>
        <v>1</v>
      </c>
      <c r="AV182" s="534" t="n">
        <f aca="false">AJ182</f>
        <v>1</v>
      </c>
      <c r="AW182" s="538" t="str">
        <f aca="false">AK182</f>
        <v>*</v>
      </c>
      <c r="AX182" s="474" t="str">
        <f aca="false">MIN($Y$154,$Y$168,$Y$182,$Y$196,$Y$210,$Y$224,$Y$238,$Y$252)&amp;"-"&amp;MAX($Y$154,$Y$168,$Y$182,$Y$196,$Y$210,$Y$224,$Y$238,$Y$252)</f>
        <v>4-9</v>
      </c>
    </row>
    <row r="183" customFormat="false" ht="15" hidden="false" customHeight="false" outlineLevel="0" collapsed="false">
      <c r="A183" s="488" t="str">
        <f aca="false">A179&amp;"-"&amp;B183</f>
        <v>Jupiter-Mars</v>
      </c>
      <c r="B183" s="532" t="s">
        <v>160</v>
      </c>
      <c r="C183" s="533" t="n">
        <f aca="false">MarsHouse</f>
        <v>10</v>
      </c>
      <c r="D183" s="534" t="n">
        <f aca="false">INDEX($Z183:$AW183,,12+D$152-$Q183+1)</f>
        <v>1</v>
      </c>
      <c r="E183" s="534" t="str">
        <f aca="false">INDEX($Z183:$AW183,,12+E$152-$Q183+1)</f>
        <v>*</v>
      </c>
      <c r="F183" s="534" t="str">
        <f aca="false">INDEX($Z183:$AW183,,12+F$152-$Q183+1)</f>
        <v>*</v>
      </c>
      <c r="G183" s="534" t="n">
        <f aca="false">INDEX($Z183:$AW183,,12+G$152-$Q183+1)</f>
        <v>1</v>
      </c>
      <c r="H183" s="534" t="n">
        <f aca="false">INDEX($Z183:$AW183,,12+H$152-$Q183+1)</f>
        <v>1</v>
      </c>
      <c r="I183" s="534" t="str">
        <f aca="false">INDEX($Z183:$AW183,,12+I$152-$Q183+1)</f>
        <v>*</v>
      </c>
      <c r="J183" s="534" t="n">
        <f aca="false">INDEX($Z183:$AW183,,12+J$152-$Q183+1)</f>
        <v>1</v>
      </c>
      <c r="K183" s="534" t="n">
        <f aca="false">INDEX($Z183:$AW183,,12+K$152-$Q183+1)</f>
        <v>1</v>
      </c>
      <c r="L183" s="534" t="str">
        <f aca="false">INDEX($Z183:$AW183,,12+L$152-$Q183+1)</f>
        <v>*</v>
      </c>
      <c r="M183" s="534" t="n">
        <f aca="false">INDEX($Z183:$AW183,,12+M$152-$Q183+1)</f>
        <v>1</v>
      </c>
      <c r="N183" s="534" t="n">
        <f aca="false">INDEX($Z183:$AW183,,12+N$152-$Q183+1)</f>
        <v>1</v>
      </c>
      <c r="O183" s="534" t="str">
        <f aca="false">INDEX($Z183:$AW183,,12+O$152-$Q183+1)</f>
        <v>*</v>
      </c>
      <c r="P183" s="535" t="n">
        <f aca="false">SUM(D183:O183)</f>
        <v>7</v>
      </c>
      <c r="Q183" s="533" t="n">
        <f aca="false">IF($Y$82,D179,C183)</f>
        <v>10</v>
      </c>
      <c r="S183" s="489" t="n">
        <f aca="false">N189</f>
        <v>5</v>
      </c>
      <c r="T183" s="490" t="str">
        <f aca="false">C179&amp;"  Ashtakavarga  "&amp;P189</f>
        <v>  Ashtakavarga  56</v>
      </c>
      <c r="U183" s="490"/>
      <c r="V183" s="489" t="n">
        <f aca="false">G189</f>
        <v>5</v>
      </c>
      <c r="X183" s="532" t="s">
        <v>160</v>
      </c>
      <c r="Y183" s="536" t="n">
        <f aca="false">SUM(Z183:AK183)</f>
        <v>7</v>
      </c>
      <c r="Z183" s="534" t="n">
        <v>1</v>
      </c>
      <c r="AA183" s="534" t="n">
        <v>1</v>
      </c>
      <c r="AB183" s="534" t="s">
        <v>181</v>
      </c>
      <c r="AC183" s="534" t="n">
        <v>1</v>
      </c>
      <c r="AD183" s="534" t="s">
        <v>181</v>
      </c>
      <c r="AE183" s="534" t="s">
        <v>181</v>
      </c>
      <c r="AF183" s="534" t="n">
        <v>1</v>
      </c>
      <c r="AG183" s="534" t="n">
        <v>1</v>
      </c>
      <c r="AH183" s="534" t="s">
        <v>181</v>
      </c>
      <c r="AI183" s="534" t="n">
        <v>1</v>
      </c>
      <c r="AJ183" s="534" t="n">
        <v>1</v>
      </c>
      <c r="AK183" s="534" t="s">
        <v>181</v>
      </c>
      <c r="AL183" s="537" t="n">
        <f aca="false">Z183</f>
        <v>1</v>
      </c>
      <c r="AM183" s="534" t="n">
        <f aca="false">AA183</f>
        <v>1</v>
      </c>
      <c r="AN183" s="534" t="str">
        <f aca="false">AB183</f>
        <v>*</v>
      </c>
      <c r="AO183" s="534" t="n">
        <f aca="false">AC183</f>
        <v>1</v>
      </c>
      <c r="AP183" s="534" t="str">
        <f aca="false">AD183</f>
        <v>*</v>
      </c>
      <c r="AQ183" s="534" t="str">
        <f aca="false">AE183</f>
        <v>*</v>
      </c>
      <c r="AR183" s="534" t="n">
        <f aca="false">AF183</f>
        <v>1</v>
      </c>
      <c r="AS183" s="534" t="n">
        <f aca="false">AG183</f>
        <v>1</v>
      </c>
      <c r="AT183" s="534" t="str">
        <f aca="false">AH183</f>
        <v>*</v>
      </c>
      <c r="AU183" s="534" t="n">
        <f aca="false">AI183</f>
        <v>1</v>
      </c>
      <c r="AV183" s="534" t="n">
        <f aca="false">AJ183</f>
        <v>1</v>
      </c>
      <c r="AW183" s="538" t="str">
        <f aca="false">AK183</f>
        <v>*</v>
      </c>
      <c r="AX183" s="474" t="str">
        <f aca="false">MIN($Y$155,$Y$169,$Y$183,$Y$197,$Y$211,$Y$225,$Y$239,$Y$253)&amp;"-"&amp;MAX($Y$155,$Y$169,$Y$183,$Y$197,$Y$211,$Y$225,$Y$239,$Y$253)</f>
        <v>5-8</v>
      </c>
    </row>
    <row r="184" customFormat="false" ht="15" hidden="false" customHeight="false" outlineLevel="0" collapsed="false">
      <c r="A184" s="488" t="str">
        <f aca="false">A179&amp;"-"&amp;B184</f>
        <v>Jupiter-Sun</v>
      </c>
      <c r="B184" s="532" t="s">
        <v>158</v>
      </c>
      <c r="C184" s="533" t="n">
        <f aca="false">SunHouse</f>
        <v>4</v>
      </c>
      <c r="D184" s="534" t="n">
        <f aca="false">INDEX($Z184:$AW184,,12+D$152-$Q184+1)</f>
        <v>1</v>
      </c>
      <c r="E184" s="534" t="n">
        <f aca="false">INDEX($Z184:$AW184,,12+E$152-$Q184+1)</f>
        <v>1</v>
      </c>
      <c r="F184" s="534" t="str">
        <f aca="false">INDEX($Z184:$AW184,,12+F$152-$Q184+1)</f>
        <v>*</v>
      </c>
      <c r="G184" s="534" t="n">
        <f aca="false">INDEX($Z184:$AW184,,12+G$152-$Q184+1)</f>
        <v>1</v>
      </c>
      <c r="H184" s="534" t="n">
        <f aca="false">INDEX($Z184:$AW184,,12+H$152-$Q184+1)</f>
        <v>1</v>
      </c>
      <c r="I184" s="534" t="n">
        <f aca="false">INDEX($Z184:$AW184,,12+I$152-$Q184+1)</f>
        <v>1</v>
      </c>
      <c r="J184" s="534" t="n">
        <f aca="false">INDEX($Z184:$AW184,,12+J$152-$Q184+1)</f>
        <v>1</v>
      </c>
      <c r="K184" s="534" t="str">
        <f aca="false">INDEX($Z184:$AW184,,12+K$152-$Q184+1)</f>
        <v>*</v>
      </c>
      <c r="L184" s="534" t="str">
        <f aca="false">INDEX($Z184:$AW184,,12+L$152-$Q184+1)</f>
        <v>*</v>
      </c>
      <c r="M184" s="534" t="n">
        <f aca="false">INDEX($Z184:$AW184,,12+M$152-$Q184+1)</f>
        <v>1</v>
      </c>
      <c r="N184" s="534" t="n">
        <f aca="false">INDEX($Z184:$AW184,,12+N$152-$Q184+1)</f>
        <v>1</v>
      </c>
      <c r="O184" s="534" t="n">
        <f aca="false">INDEX($Z184:$AW184,,12+O$152-$Q184+1)</f>
        <v>1</v>
      </c>
      <c r="P184" s="535" t="n">
        <f aca="false">SUM(D184:O184)</f>
        <v>9</v>
      </c>
      <c r="Q184" s="533" t="n">
        <f aca="false">IF($Y$82,D179,C184)</f>
        <v>4</v>
      </c>
      <c r="S184" s="489"/>
      <c r="T184" s="489"/>
      <c r="U184" s="490"/>
      <c r="V184" s="489"/>
      <c r="W184" s="474" t="s">
        <v>781</v>
      </c>
      <c r="X184" s="532" t="s">
        <v>158</v>
      </c>
      <c r="Y184" s="536" t="n">
        <f aca="false">SUM(Z184:AK184)</f>
        <v>9</v>
      </c>
      <c r="Z184" s="534" t="n">
        <v>1</v>
      </c>
      <c r="AA184" s="534" t="n">
        <v>1</v>
      </c>
      <c r="AB184" s="534" t="n">
        <v>1</v>
      </c>
      <c r="AC184" s="534" t="n">
        <v>1</v>
      </c>
      <c r="AD184" s="534" t="s">
        <v>181</v>
      </c>
      <c r="AE184" s="534" t="s">
        <v>181</v>
      </c>
      <c r="AF184" s="534" t="n">
        <v>1</v>
      </c>
      <c r="AG184" s="534" t="n">
        <v>1</v>
      </c>
      <c r="AH184" s="534" t="n">
        <v>1</v>
      </c>
      <c r="AI184" s="534" t="n">
        <v>1</v>
      </c>
      <c r="AJ184" s="534" t="n">
        <v>1</v>
      </c>
      <c r="AK184" s="534" t="s">
        <v>181</v>
      </c>
      <c r="AL184" s="537" t="n">
        <f aca="false">Z184</f>
        <v>1</v>
      </c>
      <c r="AM184" s="534" t="n">
        <f aca="false">AA184</f>
        <v>1</v>
      </c>
      <c r="AN184" s="534" t="n">
        <f aca="false">AB184</f>
        <v>1</v>
      </c>
      <c r="AO184" s="534" t="n">
        <f aca="false">AC184</f>
        <v>1</v>
      </c>
      <c r="AP184" s="534" t="str">
        <f aca="false">AD184</f>
        <v>*</v>
      </c>
      <c r="AQ184" s="534" t="str">
        <f aca="false">AE184</f>
        <v>*</v>
      </c>
      <c r="AR184" s="534" t="n">
        <f aca="false">AF184</f>
        <v>1</v>
      </c>
      <c r="AS184" s="534" t="n">
        <f aca="false">AG184</f>
        <v>1</v>
      </c>
      <c r="AT184" s="534" t="n">
        <f aca="false">AH184</f>
        <v>1</v>
      </c>
      <c r="AU184" s="534" t="n">
        <f aca="false">AI184</f>
        <v>1</v>
      </c>
      <c r="AV184" s="534" t="n">
        <f aca="false">AJ184</f>
        <v>1</v>
      </c>
      <c r="AW184" s="538" t="str">
        <f aca="false">AK184</f>
        <v>*</v>
      </c>
      <c r="AX184" s="474" t="str">
        <f aca="false">MIN($Y$156,$Y$170,$Y$184,$Y$198,$Y$212,$Y$226,$Y$240,$Y$254)&amp;"-"&amp;MAX($Y$156,$Y$170,$Y$184,$Y$198,$Y$212,$Y$226,$Y$240,$Y$254)</f>
        <v>3-9</v>
      </c>
      <c r="AY184" s="474" t="s">
        <v>781</v>
      </c>
    </row>
    <row r="185" customFormat="false" ht="15" hidden="false" customHeight="false" outlineLevel="0" collapsed="false">
      <c r="A185" s="488" t="str">
        <f aca="false">A179&amp;"-"&amp;B185</f>
        <v>Jupiter-Venus</v>
      </c>
      <c r="B185" s="532" t="s">
        <v>163</v>
      </c>
      <c r="C185" s="533" t="n">
        <f aca="false">VenusHouse</f>
        <v>3</v>
      </c>
      <c r="D185" s="534" t="n">
        <f aca="false">INDEX($Z185:$AW185,,12+D$152-$Q185+1)</f>
        <v>1</v>
      </c>
      <c r="E185" s="534" t="str">
        <f aca="false">INDEX($Z185:$AW185,,12+E$152-$Q185+1)</f>
        <v>*</v>
      </c>
      <c r="F185" s="534" t="str">
        <f aca="false">INDEX($Z185:$AW185,,12+F$152-$Q185+1)</f>
        <v>*</v>
      </c>
      <c r="G185" s="534" t="n">
        <f aca="false">INDEX($Z185:$AW185,,12+G$152-$Q185+1)</f>
        <v>1</v>
      </c>
      <c r="H185" s="534" t="str">
        <f aca="false">INDEX($Z185:$AW185,,12+H$152-$Q185+1)</f>
        <v>*</v>
      </c>
      <c r="I185" s="534" t="str">
        <f aca="false">INDEX($Z185:$AW185,,12+I$152-$Q185+1)</f>
        <v>*</v>
      </c>
      <c r="J185" s="534" t="n">
        <f aca="false">INDEX($Z185:$AW185,,12+J$152-$Q185+1)</f>
        <v>1</v>
      </c>
      <c r="K185" s="534" t="n">
        <f aca="false">INDEX($Z185:$AW185,,12+K$152-$Q185+1)</f>
        <v>1</v>
      </c>
      <c r="L185" s="534" t="str">
        <f aca="false">INDEX($Z185:$AW185,,12+L$152-$Q185+1)</f>
        <v>*</v>
      </c>
      <c r="M185" s="534" t="str">
        <f aca="false">INDEX($Z185:$AW185,,12+M$152-$Q185+1)</f>
        <v>*</v>
      </c>
      <c r="N185" s="534" t="n">
        <f aca="false">INDEX($Z185:$AW185,,12+N$152-$Q185+1)</f>
        <v>1</v>
      </c>
      <c r="O185" s="534" t="n">
        <f aca="false">INDEX($Z185:$AW185,,12+O$152-$Q185+1)</f>
        <v>1</v>
      </c>
      <c r="P185" s="535" t="n">
        <f aca="false">SUM(D185:O185)</f>
        <v>6</v>
      </c>
      <c r="Q185" s="533" t="n">
        <f aca="false">IF($Y$82,D179,C185)</f>
        <v>3</v>
      </c>
      <c r="S185" s="489"/>
      <c r="T185" s="489"/>
      <c r="U185" s="490"/>
      <c r="V185" s="489"/>
      <c r="X185" s="532" t="s">
        <v>163</v>
      </c>
      <c r="Y185" s="536" t="n">
        <f aca="false">SUM(Z185:AK185)</f>
        <v>6</v>
      </c>
      <c r="Z185" s="534" t="s">
        <v>181</v>
      </c>
      <c r="AA185" s="534" t="n">
        <v>1</v>
      </c>
      <c r="AB185" s="534" t="s">
        <v>181</v>
      </c>
      <c r="AC185" s="534" t="s">
        <v>181</v>
      </c>
      <c r="AD185" s="534" t="n">
        <v>1</v>
      </c>
      <c r="AE185" s="534" t="n">
        <v>1</v>
      </c>
      <c r="AF185" s="534" t="s">
        <v>181</v>
      </c>
      <c r="AG185" s="534" t="s">
        <v>181</v>
      </c>
      <c r="AH185" s="534" t="n">
        <v>1</v>
      </c>
      <c r="AI185" s="534" t="n">
        <v>1</v>
      </c>
      <c r="AJ185" s="534" t="n">
        <v>1</v>
      </c>
      <c r="AK185" s="534" t="s">
        <v>181</v>
      </c>
      <c r="AL185" s="537" t="str">
        <f aca="false">Z185</f>
        <v>*</v>
      </c>
      <c r="AM185" s="534" t="n">
        <f aca="false">AA185</f>
        <v>1</v>
      </c>
      <c r="AN185" s="534" t="str">
        <f aca="false">AB185</f>
        <v>*</v>
      </c>
      <c r="AO185" s="534" t="str">
        <f aca="false">AC185</f>
        <v>*</v>
      </c>
      <c r="AP185" s="534" t="n">
        <f aca="false">AD185</f>
        <v>1</v>
      </c>
      <c r="AQ185" s="534" t="n">
        <f aca="false">AE185</f>
        <v>1</v>
      </c>
      <c r="AR185" s="534" t="str">
        <f aca="false">AF185</f>
        <v>*</v>
      </c>
      <c r="AS185" s="534" t="str">
        <f aca="false">AG185</f>
        <v>*</v>
      </c>
      <c r="AT185" s="534" t="n">
        <f aca="false">AH185</f>
        <v>1</v>
      </c>
      <c r="AU185" s="534" t="n">
        <f aca="false">AI185</f>
        <v>1</v>
      </c>
      <c r="AV185" s="534" t="n">
        <f aca="false">AJ185</f>
        <v>1</v>
      </c>
      <c r="AW185" s="538" t="str">
        <f aca="false">AK185</f>
        <v>*</v>
      </c>
      <c r="AX185" s="474" t="str">
        <f aca="false">MIN($Y$157,$Y$171,$Y$185,$Y$199,$Y$213,$Y$227,$Y$241,$Y$255)&amp;"-"&amp;MAX($Y$157,$Y$171,$Y$185,$Y$199,$Y$213,$Y$227,$Y$241,$Y$255)</f>
        <v>3-9</v>
      </c>
    </row>
    <row r="186" customFormat="false" ht="15" hidden="false" customHeight="false" outlineLevel="0" collapsed="false">
      <c r="A186" s="488" t="str">
        <f aca="false">A179&amp;"-"&amp;B186</f>
        <v>Jupiter-Mercury</v>
      </c>
      <c r="B186" s="532" t="s">
        <v>161</v>
      </c>
      <c r="C186" s="533" t="n">
        <f aca="false">MercuryHouse</f>
        <v>4</v>
      </c>
      <c r="D186" s="534" t="n">
        <f aca="false">INDEX($Z186:$AW186,,12+D$152-$Q186+1)</f>
        <v>1</v>
      </c>
      <c r="E186" s="534" t="n">
        <f aca="false">INDEX($Z186:$AW186,,12+E$152-$Q186+1)</f>
        <v>1</v>
      </c>
      <c r="F186" s="534" t="str">
        <f aca="false">INDEX($Z186:$AW186,,12+F$152-$Q186+1)</f>
        <v>*</v>
      </c>
      <c r="G186" s="534" t="n">
        <f aca="false">INDEX($Z186:$AW186,,12+G$152-$Q186+1)</f>
        <v>1</v>
      </c>
      <c r="H186" s="534" t="n">
        <f aca="false">INDEX($Z186:$AW186,,12+H$152-$Q186+1)</f>
        <v>1</v>
      </c>
      <c r="I186" s="534" t="str">
        <f aca="false">INDEX($Z186:$AW186,,12+I$152-$Q186+1)</f>
        <v>*</v>
      </c>
      <c r="J186" s="534" t="n">
        <f aca="false">INDEX($Z186:$AW186,,12+J$152-$Q186+1)</f>
        <v>1</v>
      </c>
      <c r="K186" s="534" t="n">
        <f aca="false">INDEX($Z186:$AW186,,12+K$152-$Q186+1)</f>
        <v>1</v>
      </c>
      <c r="L186" s="534" t="n">
        <f aca="false">INDEX($Z186:$AW186,,12+L$152-$Q186+1)</f>
        <v>1</v>
      </c>
      <c r="M186" s="534" t="str">
        <f aca="false">INDEX($Z186:$AW186,,12+M$152-$Q186+1)</f>
        <v>*</v>
      </c>
      <c r="N186" s="534" t="str">
        <f aca="false">INDEX($Z186:$AW186,,12+N$152-$Q186+1)</f>
        <v>*</v>
      </c>
      <c r="O186" s="534" t="n">
        <f aca="false">INDEX($Z186:$AW186,,12+O$152-$Q186+1)</f>
        <v>1</v>
      </c>
      <c r="P186" s="535" t="n">
        <f aca="false">SUM(D186:O186)</f>
        <v>8</v>
      </c>
      <c r="Q186" s="533" t="n">
        <f aca="false">IF($Y$82,D179,C186)</f>
        <v>4</v>
      </c>
      <c r="S186" s="489" t="n">
        <f aca="false">M189</f>
        <v>5</v>
      </c>
      <c r="T186" s="490"/>
      <c r="U186" s="490"/>
      <c r="V186" s="489" t="n">
        <f aca="false">H189</f>
        <v>5</v>
      </c>
      <c r="X186" s="532" t="s">
        <v>161</v>
      </c>
      <c r="Y186" s="536" t="n">
        <f aca="false">SUM(Z186:AK186)</f>
        <v>8</v>
      </c>
      <c r="Z186" s="534" t="n">
        <v>1</v>
      </c>
      <c r="AA186" s="534" t="n">
        <v>1</v>
      </c>
      <c r="AB186" s="534" t="s">
        <v>181</v>
      </c>
      <c r="AC186" s="534" t="n">
        <v>1</v>
      </c>
      <c r="AD186" s="534" t="n">
        <v>1</v>
      </c>
      <c r="AE186" s="534" t="n">
        <v>1</v>
      </c>
      <c r="AF186" s="534" t="s">
        <v>181</v>
      </c>
      <c r="AG186" s="534" t="s">
        <v>181</v>
      </c>
      <c r="AH186" s="534" t="n">
        <v>1</v>
      </c>
      <c r="AI186" s="534" t="n">
        <v>1</v>
      </c>
      <c r="AJ186" s="534" t="n">
        <v>1</v>
      </c>
      <c r="AK186" s="534" t="s">
        <v>181</v>
      </c>
      <c r="AL186" s="537" t="n">
        <f aca="false">Z186</f>
        <v>1</v>
      </c>
      <c r="AM186" s="534" t="n">
        <f aca="false">AA186</f>
        <v>1</v>
      </c>
      <c r="AN186" s="534" t="str">
        <f aca="false">AB186</f>
        <v>*</v>
      </c>
      <c r="AO186" s="534" t="n">
        <f aca="false">AC186</f>
        <v>1</v>
      </c>
      <c r="AP186" s="534" t="n">
        <f aca="false">AD186</f>
        <v>1</v>
      </c>
      <c r="AQ186" s="534" t="n">
        <f aca="false">AE186</f>
        <v>1</v>
      </c>
      <c r="AR186" s="534" t="str">
        <f aca="false">AF186</f>
        <v>*</v>
      </c>
      <c r="AS186" s="534" t="str">
        <f aca="false">AG186</f>
        <v>*</v>
      </c>
      <c r="AT186" s="534" t="n">
        <f aca="false">AH186</f>
        <v>1</v>
      </c>
      <c r="AU186" s="534" t="n">
        <f aca="false">AI186</f>
        <v>1</v>
      </c>
      <c r="AV186" s="534" t="n">
        <f aca="false">AJ186</f>
        <v>1</v>
      </c>
      <c r="AW186" s="538" t="str">
        <f aca="false">AK186</f>
        <v>*</v>
      </c>
      <c r="AX186" s="474" t="str">
        <f aca="false">MIN($Y$158,$Y$172,$Y$186,$Y$200,$Y$214,$Y$228,$Y$242,$Y$256)&amp;"-"&amp;MAX($Y$158,$Y$172,$Y$186,$Y$200,$Y$214,$Y$228,$Y$242,$Y$256)</f>
        <v>4-8</v>
      </c>
      <c r="AY186" s="474" t="s">
        <v>781</v>
      </c>
    </row>
    <row r="187" customFormat="false" ht="15" hidden="false" customHeight="false" outlineLevel="0" collapsed="false">
      <c r="A187" s="488" t="str">
        <f aca="false">A179&amp;"-"&amp;B187</f>
        <v>Jupiter-Moon</v>
      </c>
      <c r="B187" s="532" t="s">
        <v>159</v>
      </c>
      <c r="C187" s="533" t="n">
        <f aca="false">MoonHouse</f>
        <v>2</v>
      </c>
      <c r="D187" s="534" t="str">
        <f aca="false">INDEX($Z187:$AW187,,12+D$152-$Q187+1)</f>
        <v>*</v>
      </c>
      <c r="E187" s="534" t="str">
        <f aca="false">INDEX($Z187:$AW187,,12+E$152-$Q187+1)</f>
        <v>*</v>
      </c>
      <c r="F187" s="534" t="n">
        <f aca="false">INDEX($Z187:$AW187,,12+F$152-$Q187+1)</f>
        <v>1</v>
      </c>
      <c r="G187" s="534" t="str">
        <f aca="false">INDEX($Z187:$AW187,,12+G$152-$Q187+1)</f>
        <v>*</v>
      </c>
      <c r="H187" s="534" t="str">
        <f aca="false">INDEX($Z187:$AW187,,12+H$152-$Q187+1)</f>
        <v>*</v>
      </c>
      <c r="I187" s="534" t="n">
        <f aca="false">INDEX($Z187:$AW187,,12+I$152-$Q187+1)</f>
        <v>1</v>
      </c>
      <c r="J187" s="534" t="str">
        <f aca="false">INDEX($Z187:$AW187,,12+J$152-$Q187+1)</f>
        <v>*</v>
      </c>
      <c r="K187" s="534" t="n">
        <f aca="false">INDEX($Z187:$AW187,,12+K$152-$Q187+1)</f>
        <v>1</v>
      </c>
      <c r="L187" s="534" t="str">
        <f aca="false">INDEX($Z187:$AW187,,12+L$152-$Q187+1)</f>
        <v>*</v>
      </c>
      <c r="M187" s="534" t="n">
        <f aca="false">INDEX($Z187:$AW187,,12+M$152-$Q187+1)</f>
        <v>1</v>
      </c>
      <c r="N187" s="534" t="str">
        <f aca="false">INDEX($Z187:$AW187,,12+N$152-$Q187+1)</f>
        <v>*</v>
      </c>
      <c r="O187" s="534" t="n">
        <f aca="false">INDEX($Z187:$AW187,,12+O$152-$Q187+1)</f>
        <v>1</v>
      </c>
      <c r="P187" s="535" t="n">
        <f aca="false">SUM(D187:O187)</f>
        <v>5</v>
      </c>
      <c r="Q187" s="533" t="n">
        <f aca="false">IF($Y$82,D179,C187)</f>
        <v>2</v>
      </c>
      <c r="S187" s="489"/>
      <c r="T187" s="489"/>
      <c r="U187" s="490"/>
      <c r="V187" s="489"/>
      <c r="X187" s="532" t="s">
        <v>159</v>
      </c>
      <c r="Y187" s="536" t="n">
        <f aca="false">SUM(Z187:AK187)</f>
        <v>5</v>
      </c>
      <c r="Z187" s="534" t="s">
        <v>181</v>
      </c>
      <c r="AA187" s="534" t="n">
        <v>1</v>
      </c>
      <c r="AB187" s="534" t="s">
        <v>181</v>
      </c>
      <c r="AC187" s="534" t="s">
        <v>181</v>
      </c>
      <c r="AD187" s="534" t="n">
        <v>1</v>
      </c>
      <c r="AE187" s="534" t="s">
        <v>181</v>
      </c>
      <c r="AF187" s="534" t="n">
        <v>1</v>
      </c>
      <c r="AG187" s="534" t="s">
        <v>181</v>
      </c>
      <c r="AH187" s="534" t="n">
        <v>1</v>
      </c>
      <c r="AI187" s="534" t="s">
        <v>181</v>
      </c>
      <c r="AJ187" s="534" t="n">
        <v>1</v>
      </c>
      <c r="AK187" s="534" t="s">
        <v>181</v>
      </c>
      <c r="AL187" s="537" t="str">
        <f aca="false">Z187</f>
        <v>*</v>
      </c>
      <c r="AM187" s="534" t="n">
        <f aca="false">AA187</f>
        <v>1</v>
      </c>
      <c r="AN187" s="534" t="str">
        <f aca="false">AB187</f>
        <v>*</v>
      </c>
      <c r="AO187" s="534" t="str">
        <f aca="false">AC187</f>
        <v>*</v>
      </c>
      <c r="AP187" s="534" t="n">
        <f aca="false">AD187</f>
        <v>1</v>
      </c>
      <c r="AQ187" s="534" t="str">
        <f aca="false">AE187</f>
        <v>*</v>
      </c>
      <c r="AR187" s="534" t="n">
        <f aca="false">AF187</f>
        <v>1</v>
      </c>
      <c r="AS187" s="534" t="str">
        <f aca="false">AG187</f>
        <v>*</v>
      </c>
      <c r="AT187" s="534" t="n">
        <f aca="false">AH187</f>
        <v>1</v>
      </c>
      <c r="AU187" s="534" t="str">
        <f aca="false">AI187</f>
        <v>*</v>
      </c>
      <c r="AV187" s="534" t="n">
        <f aca="false">AJ187</f>
        <v>1</v>
      </c>
      <c r="AW187" s="538" t="str">
        <f aca="false">AK187</f>
        <v>*</v>
      </c>
      <c r="AX187" s="474" t="str">
        <f aca="false">MIN($Y$159,$Y$173,$Y$187,$Y$201,$Y$215,$Y$229,$Y$243,$Y$257)&amp;"-"&amp;MAX($Y$159,$Y$173,$Y$187,$Y$201,$Y$215,$Y$229,$Y$243,$Y$257)</f>
        <v>3-9</v>
      </c>
    </row>
    <row r="188" customFormat="false" ht="15" hidden="false" customHeight="false" outlineLevel="0" collapsed="false">
      <c r="A188" s="488" t="str">
        <f aca="false">A179&amp;"-"&amp;B188</f>
        <v>Jupiter-Lagna</v>
      </c>
      <c r="B188" s="532" t="s">
        <v>319</v>
      </c>
      <c r="C188" s="533" t="n">
        <f aca="false">Lagnahouse</f>
        <v>5</v>
      </c>
      <c r="D188" s="534" t="n">
        <f aca="false">INDEX($Z188:$AW188,,12+D$152-$Q188+1)</f>
        <v>1</v>
      </c>
      <c r="E188" s="534" t="n">
        <f aca="false">INDEX($Z188:$AW188,,12+E$152-$Q188+1)</f>
        <v>1</v>
      </c>
      <c r="F188" s="534" t="n">
        <f aca="false">INDEX($Z188:$AW188,,12+F$152-$Q188+1)</f>
        <v>1</v>
      </c>
      <c r="G188" s="534" t="str">
        <f aca="false">INDEX($Z188:$AW188,,12+G$152-$Q188+1)</f>
        <v>*</v>
      </c>
      <c r="H188" s="534" t="n">
        <f aca="false">INDEX($Z188:$AW188,,12+H$152-$Q188+1)</f>
        <v>1</v>
      </c>
      <c r="I188" s="534" t="n">
        <f aca="false">INDEX($Z188:$AW188,,12+I$152-$Q188+1)</f>
        <v>1</v>
      </c>
      <c r="J188" s="534" t="str">
        <f aca="false">INDEX($Z188:$AW188,,12+J$152-$Q188+1)</f>
        <v>*</v>
      </c>
      <c r="K188" s="534" t="n">
        <f aca="false">INDEX($Z188:$AW188,,12+K$152-$Q188+1)</f>
        <v>1</v>
      </c>
      <c r="L188" s="534" t="n">
        <f aca="false">INDEX($Z188:$AW188,,12+L$152-$Q188+1)</f>
        <v>1</v>
      </c>
      <c r="M188" s="534" t="n">
        <f aca="false">INDEX($Z188:$AW188,,12+M$152-$Q188+1)</f>
        <v>1</v>
      </c>
      <c r="N188" s="534" t="n">
        <f aca="false">INDEX($Z188:$AW188,,12+N$152-$Q188+1)</f>
        <v>1</v>
      </c>
      <c r="O188" s="534" t="str">
        <f aca="false">INDEX($Z188:$AW188,,12+O$152-$Q188+1)</f>
        <v>*</v>
      </c>
      <c r="P188" s="535" t="n">
        <f aca="false">SUM(D188:O188)</f>
        <v>9</v>
      </c>
      <c r="Q188" s="533" t="n">
        <f aca="false">IF($Y$82,D179,C188)</f>
        <v>5</v>
      </c>
      <c r="S188" s="489"/>
      <c r="T188" s="489"/>
      <c r="U188" s="490"/>
      <c r="V188" s="489"/>
      <c r="W188" s="474" t="s">
        <v>781</v>
      </c>
      <c r="X188" s="532" t="s">
        <v>319</v>
      </c>
      <c r="Y188" s="536" t="n">
        <f aca="false">SUM(Z188:AK188)</f>
        <v>9</v>
      </c>
      <c r="Z188" s="534" t="n">
        <v>1</v>
      </c>
      <c r="AA188" s="534" t="n">
        <v>1</v>
      </c>
      <c r="AB188" s="534" t="s">
        <v>181</v>
      </c>
      <c r="AC188" s="534" t="n">
        <v>1</v>
      </c>
      <c r="AD188" s="534" t="n">
        <v>1</v>
      </c>
      <c r="AE188" s="534" t="n">
        <v>1</v>
      </c>
      <c r="AF188" s="534" t="n">
        <v>1</v>
      </c>
      <c r="AG188" s="534" t="s">
        <v>181</v>
      </c>
      <c r="AH188" s="534" t="n">
        <v>1</v>
      </c>
      <c r="AI188" s="534" t="n">
        <v>1</v>
      </c>
      <c r="AJ188" s="534" t="n">
        <v>1</v>
      </c>
      <c r="AK188" s="534" t="s">
        <v>181</v>
      </c>
      <c r="AL188" s="537" t="n">
        <f aca="false">Z188</f>
        <v>1</v>
      </c>
      <c r="AM188" s="534" t="n">
        <f aca="false">AA188</f>
        <v>1</v>
      </c>
      <c r="AN188" s="534" t="str">
        <f aca="false">AB188</f>
        <v>*</v>
      </c>
      <c r="AO188" s="534" t="n">
        <f aca="false">AC188</f>
        <v>1</v>
      </c>
      <c r="AP188" s="534" t="n">
        <f aca="false">AD188</f>
        <v>1</v>
      </c>
      <c r="AQ188" s="534" t="n">
        <f aca="false">AE188</f>
        <v>1</v>
      </c>
      <c r="AR188" s="534" t="n">
        <f aca="false">AF188</f>
        <v>1</v>
      </c>
      <c r="AS188" s="534" t="str">
        <f aca="false">AG188</f>
        <v>*</v>
      </c>
      <c r="AT188" s="534" t="n">
        <f aca="false">AH188</f>
        <v>1</v>
      </c>
      <c r="AU188" s="534" t="n">
        <f aca="false">AI188</f>
        <v>1</v>
      </c>
      <c r="AV188" s="534" t="n">
        <f aca="false">AJ188</f>
        <v>1</v>
      </c>
      <c r="AW188" s="538" t="str">
        <f aca="false">AK188</f>
        <v>*</v>
      </c>
      <c r="AX188" s="474" t="str">
        <f aca="false">MIN($Y$160,$Y$174,$Y$188,$Y$202,$Y$216,$Y$230,$Y$244,$Y$258)&amp;"-"&amp;MAX($Y$160,$Y$174,$Y$188,$Y$202,$Y$216,$Y$230,$Y$244,$Y$258)</f>
        <v>4-9</v>
      </c>
      <c r="AY188" s="474" t="s">
        <v>781</v>
      </c>
    </row>
    <row r="189" customFormat="false" ht="15" hidden="false" customHeight="false" outlineLevel="0" collapsed="false">
      <c r="A189" s="488" t="str">
        <f aca="false">A179&amp;"-"&amp;B189</f>
        <v>Jupiter-Jupiter</v>
      </c>
      <c r="B189" s="539" t="str">
        <f aca="false">B179</f>
        <v>Jupiter</v>
      </c>
      <c r="C189" s="540"/>
      <c r="D189" s="540" t="n">
        <f aca="false">SUM(D181:D188)</f>
        <v>6</v>
      </c>
      <c r="E189" s="540" t="n">
        <f aca="false">SUM(E181:E188)</f>
        <v>4</v>
      </c>
      <c r="F189" s="540" t="n">
        <f aca="false">SUM(F181:F188)</f>
        <v>3</v>
      </c>
      <c r="G189" s="540" t="n">
        <f aca="false">SUM(G181:G188)</f>
        <v>5</v>
      </c>
      <c r="H189" s="540" t="n">
        <f aca="false">SUM(H181:H188)</f>
        <v>5</v>
      </c>
      <c r="I189" s="540" t="n">
        <f aca="false">SUM(I181:I188)</f>
        <v>5</v>
      </c>
      <c r="J189" s="540" t="n">
        <f aca="false">SUM(J181:J188)</f>
        <v>5</v>
      </c>
      <c r="K189" s="540" t="n">
        <f aca="false">SUM(K181:K188)</f>
        <v>6</v>
      </c>
      <c r="L189" s="540" t="n">
        <f aca="false">SUM(L181:L188)</f>
        <v>3</v>
      </c>
      <c r="M189" s="540" t="n">
        <f aca="false">SUM(M181:M188)</f>
        <v>5</v>
      </c>
      <c r="N189" s="540" t="n">
        <f aca="false">SUM(N181:N188)</f>
        <v>5</v>
      </c>
      <c r="O189" s="540" t="n">
        <f aca="false">SUM(O181:O188)</f>
        <v>4</v>
      </c>
      <c r="P189" s="541" t="n">
        <f aca="false">SUM(D189:O189)</f>
        <v>56</v>
      </c>
      <c r="Q189" s="541"/>
      <c r="S189" s="489" t="n">
        <f aca="false">L189</f>
        <v>3</v>
      </c>
      <c r="T189" s="489" t="n">
        <f aca="false">K189</f>
        <v>6</v>
      </c>
      <c r="U189" s="489" t="n">
        <f aca="false">J189</f>
        <v>5</v>
      </c>
      <c r="V189" s="489" t="n">
        <f aca="false">I189</f>
        <v>5</v>
      </c>
      <c r="X189" s="539"/>
      <c r="Y189" s="542" t="n">
        <f aca="false">SUM(Z189:AK189)</f>
        <v>56</v>
      </c>
      <c r="Z189" s="543" t="n">
        <f aca="false">SUM(Z181:Z188)</f>
        <v>5</v>
      </c>
      <c r="AA189" s="543" t="n">
        <f aca="false">SUM(AA181:AA188)</f>
        <v>7</v>
      </c>
      <c r="AB189" s="543" t="n">
        <f aca="false">SUM(AB181:AB188)</f>
        <v>3</v>
      </c>
      <c r="AC189" s="543" t="n">
        <f aca="false">SUM(AC181:AC188)</f>
        <v>5</v>
      </c>
      <c r="AD189" s="543" t="n">
        <f aca="false">SUM(AD181:AD188)</f>
        <v>5</v>
      </c>
      <c r="AE189" s="543" t="n">
        <f aca="false">SUM(AE181:AE188)</f>
        <v>4</v>
      </c>
      <c r="AF189" s="543" t="n">
        <f aca="false">SUM(AF181:AF188)</f>
        <v>5</v>
      </c>
      <c r="AG189" s="543" t="n">
        <f aca="false">SUM(AG181:AG188)</f>
        <v>3</v>
      </c>
      <c r="AH189" s="543" t="n">
        <f aca="false">SUM(AH181:AH188)</f>
        <v>5</v>
      </c>
      <c r="AI189" s="543" t="n">
        <f aca="false">SUM(AI181:AI188)</f>
        <v>6</v>
      </c>
      <c r="AJ189" s="543" t="n">
        <f aca="false">SUM(AJ181:AJ188)</f>
        <v>7</v>
      </c>
      <c r="AK189" s="543" t="n">
        <f aca="false">SUM(AK181:AK188)</f>
        <v>1</v>
      </c>
      <c r="AL189" s="548" t="n">
        <f aca="false">SUM(AL181:AL188)</f>
        <v>5</v>
      </c>
      <c r="AM189" s="543" t="n">
        <f aca="false">SUM(AM181:AM188)</f>
        <v>7</v>
      </c>
      <c r="AN189" s="543" t="n">
        <f aca="false">SUM(AN181:AN188)</f>
        <v>3</v>
      </c>
      <c r="AO189" s="543" t="n">
        <f aca="false">SUM(AO181:AO188)</f>
        <v>5</v>
      </c>
      <c r="AP189" s="543" t="n">
        <f aca="false">SUM(AP181:AP188)</f>
        <v>5</v>
      </c>
      <c r="AQ189" s="543" t="n">
        <f aca="false">SUM(AQ181:AQ188)</f>
        <v>4</v>
      </c>
      <c r="AR189" s="543" t="n">
        <f aca="false">SUM(AR181:AR188)</f>
        <v>5</v>
      </c>
      <c r="AS189" s="543" t="n">
        <f aca="false">SUM(AS181:AS188)</f>
        <v>3</v>
      </c>
      <c r="AT189" s="543" t="n">
        <f aca="false">SUM(AT181:AT188)</f>
        <v>5</v>
      </c>
      <c r="AU189" s="543" t="n">
        <f aca="false">SUM(AU181:AU188)</f>
        <v>6</v>
      </c>
      <c r="AV189" s="543" t="n">
        <f aca="false">SUM(AV181:AV188)</f>
        <v>7</v>
      </c>
      <c r="AW189" s="549" t="n">
        <f aca="false">SUM(AW181:AW188)</f>
        <v>1</v>
      </c>
    </row>
    <row r="190" customFormat="false" ht="15" hidden="false" customHeight="false" outlineLevel="0" collapsed="false">
      <c r="A190" s="488" t="str">
        <f aca="false">A179&amp;"-"&amp;B190</f>
        <v>Jupiter-</v>
      </c>
      <c r="S190" s="489"/>
      <c r="T190" s="489"/>
      <c r="U190" s="489"/>
      <c r="V190" s="489"/>
      <c r="X190" s="474" t="s">
        <v>782</v>
      </c>
      <c r="AL190" s="474"/>
    </row>
    <row r="191" customFormat="false" ht="15" hidden="false" customHeight="false" outlineLevel="0" collapsed="false">
      <c r="A191" s="488" t="str">
        <f aca="false">A179&amp;"-"&amp;B191</f>
        <v>Jupiter-</v>
      </c>
      <c r="S191" s="489"/>
      <c r="T191" s="489"/>
      <c r="U191" s="489"/>
      <c r="V191" s="489"/>
    </row>
    <row r="192" customFormat="false" ht="15" hidden="false" customHeight="false" outlineLevel="0" collapsed="false">
      <c r="A192" s="488" t="str">
        <f aca="false">A179&amp;"-"&amp;B192</f>
        <v>Jupiter------</v>
      </c>
      <c r="B192" s="474" t="s">
        <v>776</v>
      </c>
    </row>
    <row r="193" customFormat="false" ht="15" hidden="false" customHeight="false" outlineLevel="0" collapsed="false">
      <c r="A193" s="488" t="str">
        <f aca="false">B193</f>
        <v>Mercury</v>
      </c>
      <c r="B193" s="523" t="str">
        <f aca="false">X193</f>
        <v>Mercury</v>
      </c>
      <c r="C193" s="523"/>
      <c r="D193" s="474" t="n">
        <f aca="true">INDIRECT(B193&amp;"house")</f>
        <v>4</v>
      </c>
      <c r="S193" s="495"/>
      <c r="T193" s="495"/>
      <c r="U193" s="495"/>
      <c r="V193" s="495"/>
      <c r="X193" s="193" t="s">
        <v>161</v>
      </c>
      <c r="Y193" s="474" t="str">
        <f aca="false">MIN(Y195:Y202)&amp;"-"&amp;MAX(Y195:Y202)</f>
        <v>4-8</v>
      </c>
      <c r="Z193" s="474" t="str">
        <f aca="false">$Z$83 &amp;  X193</f>
        <v>From Graha Good and Bad Transit of Mercury</v>
      </c>
      <c r="AL193" s="474"/>
      <c r="AW193" s="474"/>
      <c r="AX193" s="474" t="s">
        <v>777</v>
      </c>
    </row>
    <row r="194" customFormat="false" ht="15" hidden="false" customHeight="false" outlineLevel="0" collapsed="false">
      <c r="A194" s="488" t="str">
        <f aca="false">A193&amp;"-"&amp;B194</f>
        <v>Mercury-</v>
      </c>
      <c r="B194" s="524"/>
      <c r="C194" s="525" t="s">
        <v>746</v>
      </c>
      <c r="D194" s="526" t="n">
        <v>1</v>
      </c>
      <c r="E194" s="526" t="n">
        <v>2</v>
      </c>
      <c r="F194" s="526" t="n">
        <v>3</v>
      </c>
      <c r="G194" s="526" t="n">
        <v>4</v>
      </c>
      <c r="H194" s="526" t="n">
        <v>5</v>
      </c>
      <c r="I194" s="526" t="n">
        <v>6</v>
      </c>
      <c r="J194" s="526" t="n">
        <v>7</v>
      </c>
      <c r="K194" s="526" t="n">
        <v>8</v>
      </c>
      <c r="L194" s="526" t="n">
        <v>9</v>
      </c>
      <c r="M194" s="526" t="n">
        <v>10</v>
      </c>
      <c r="N194" s="526" t="n">
        <v>11</v>
      </c>
      <c r="O194" s="526" t="n">
        <v>12</v>
      </c>
      <c r="P194" s="527"/>
      <c r="Q194" s="527"/>
      <c r="S194" s="489" t="n">
        <f aca="false">O203</f>
        <v>5</v>
      </c>
      <c r="T194" s="489" t="n">
        <f aca="false">D203</f>
        <v>4</v>
      </c>
      <c r="U194" s="489" t="n">
        <f aca="false">E203</f>
        <v>4</v>
      </c>
      <c r="V194" s="489" t="n">
        <f aca="false">F203</f>
        <v>7</v>
      </c>
      <c r="X194" s="525" t="s">
        <v>778</v>
      </c>
      <c r="Y194" s="528" t="s">
        <v>779</v>
      </c>
      <c r="Z194" s="529" t="n">
        <v>1</v>
      </c>
      <c r="AA194" s="529" t="n">
        <v>2</v>
      </c>
      <c r="AB194" s="529" t="n">
        <v>3</v>
      </c>
      <c r="AC194" s="529" t="n">
        <v>4</v>
      </c>
      <c r="AD194" s="529" t="n">
        <v>5</v>
      </c>
      <c r="AE194" s="529" t="n">
        <v>6</v>
      </c>
      <c r="AF194" s="529" t="n">
        <v>7</v>
      </c>
      <c r="AG194" s="529" t="n">
        <v>8</v>
      </c>
      <c r="AH194" s="529" t="n">
        <v>9</v>
      </c>
      <c r="AI194" s="529" t="n">
        <v>10</v>
      </c>
      <c r="AJ194" s="529" t="n">
        <v>11</v>
      </c>
      <c r="AK194" s="529" t="n">
        <v>12</v>
      </c>
      <c r="AL194" s="530" t="n">
        <v>1</v>
      </c>
      <c r="AM194" s="526" t="n">
        <v>2</v>
      </c>
      <c r="AN194" s="526" t="n">
        <v>3</v>
      </c>
      <c r="AO194" s="526" t="n">
        <v>4</v>
      </c>
      <c r="AP194" s="526" t="n">
        <v>5</v>
      </c>
      <c r="AQ194" s="526" t="n">
        <v>6</v>
      </c>
      <c r="AR194" s="526" t="n">
        <v>7</v>
      </c>
      <c r="AS194" s="526" t="n">
        <v>8</v>
      </c>
      <c r="AT194" s="526" t="n">
        <v>9</v>
      </c>
      <c r="AU194" s="526" t="n">
        <v>10</v>
      </c>
      <c r="AV194" s="526" t="n">
        <v>11</v>
      </c>
      <c r="AW194" s="531" t="n">
        <v>12</v>
      </c>
    </row>
    <row r="195" customFormat="false" ht="15" hidden="false" customHeight="false" outlineLevel="0" collapsed="false">
      <c r="A195" s="488" t="str">
        <f aca="false">A193&amp;"-"&amp;B195</f>
        <v>Mercury-Saturn</v>
      </c>
      <c r="B195" s="532" t="s">
        <v>164</v>
      </c>
      <c r="C195" s="533" t="n">
        <f aca="false">SaturnHouse</f>
        <v>2</v>
      </c>
      <c r="D195" s="534" t="str">
        <f aca="false">INDEX($Z195:$AW195,,12+D$152-$Q195+1)</f>
        <v>*</v>
      </c>
      <c r="E195" s="534" t="n">
        <f aca="false">INDEX($Z195:$AW195,,12+E$152-$Q195+1)</f>
        <v>1</v>
      </c>
      <c r="F195" s="534" t="n">
        <f aca="false">INDEX($Z195:$AW195,,12+F$152-$Q195+1)</f>
        <v>1</v>
      </c>
      <c r="G195" s="534" t="str">
        <f aca="false">INDEX($Z195:$AW195,,12+G$152-$Q195+1)</f>
        <v>*</v>
      </c>
      <c r="H195" s="534" t="n">
        <f aca="false">INDEX($Z195:$AW195,,12+H$152-$Q195+1)</f>
        <v>1</v>
      </c>
      <c r="I195" s="534" t="str">
        <f aca="false">INDEX($Z195:$AW195,,12+I$152-$Q195+1)</f>
        <v>*</v>
      </c>
      <c r="J195" s="534" t="str">
        <f aca="false">INDEX($Z195:$AW195,,12+J$152-$Q195+1)</f>
        <v>*</v>
      </c>
      <c r="K195" s="534" t="n">
        <f aca="false">INDEX($Z195:$AW195,,12+K$152-$Q195+1)</f>
        <v>1</v>
      </c>
      <c r="L195" s="534" t="n">
        <f aca="false">INDEX($Z195:$AW195,,12+L$152-$Q195+1)</f>
        <v>1</v>
      </c>
      <c r="M195" s="534" t="n">
        <f aca="false">INDEX($Z195:$AW195,,12+M$152-$Q195+1)</f>
        <v>1</v>
      </c>
      <c r="N195" s="534" t="n">
        <f aca="false">INDEX($Z195:$AW195,,12+N$152-$Q195+1)</f>
        <v>1</v>
      </c>
      <c r="O195" s="534" t="n">
        <f aca="false">INDEX($Z195:$AW195,,12+O$152-$Q195+1)</f>
        <v>1</v>
      </c>
      <c r="P195" s="535" t="n">
        <f aca="false">SUM(D195:O195)</f>
        <v>8</v>
      </c>
      <c r="Q195" s="533" t="n">
        <f aca="false">IF($Y$82,D193,C195)</f>
        <v>2</v>
      </c>
      <c r="S195" s="489"/>
      <c r="T195" s="489"/>
      <c r="U195" s="489"/>
      <c r="V195" s="489"/>
      <c r="W195" s="474" t="s">
        <v>781</v>
      </c>
      <c r="X195" s="532" t="s">
        <v>164</v>
      </c>
      <c r="Y195" s="536" t="n">
        <f aca="false">SUM(Z195:AK195)</f>
        <v>8</v>
      </c>
      <c r="Z195" s="534" t="n">
        <v>1</v>
      </c>
      <c r="AA195" s="534" t="n">
        <v>1</v>
      </c>
      <c r="AB195" s="534" t="s">
        <v>181</v>
      </c>
      <c r="AC195" s="534" t="n">
        <v>1</v>
      </c>
      <c r="AD195" s="534" t="s">
        <v>181</v>
      </c>
      <c r="AE195" s="534" t="s">
        <v>181</v>
      </c>
      <c r="AF195" s="534" t="n">
        <v>1</v>
      </c>
      <c r="AG195" s="534" t="n">
        <v>1</v>
      </c>
      <c r="AH195" s="534" t="n">
        <v>1</v>
      </c>
      <c r="AI195" s="534" t="n">
        <v>1</v>
      </c>
      <c r="AJ195" s="534" t="n">
        <v>1</v>
      </c>
      <c r="AK195" s="534" t="s">
        <v>181</v>
      </c>
      <c r="AL195" s="537" t="n">
        <f aca="false">Z195</f>
        <v>1</v>
      </c>
      <c r="AM195" s="534" t="n">
        <f aca="false">AA195</f>
        <v>1</v>
      </c>
      <c r="AN195" s="534" t="str">
        <f aca="false">AB195</f>
        <v>*</v>
      </c>
      <c r="AO195" s="534" t="n">
        <f aca="false">AC195</f>
        <v>1</v>
      </c>
      <c r="AP195" s="534" t="str">
        <f aca="false">AD195</f>
        <v>*</v>
      </c>
      <c r="AQ195" s="534" t="str">
        <f aca="false">AE195</f>
        <v>*</v>
      </c>
      <c r="AR195" s="534" t="n">
        <f aca="false">AF195</f>
        <v>1</v>
      </c>
      <c r="AS195" s="534" t="n">
        <f aca="false">AG195</f>
        <v>1</v>
      </c>
      <c r="AT195" s="534" t="n">
        <f aca="false">AH195</f>
        <v>1</v>
      </c>
      <c r="AU195" s="534" t="n">
        <f aca="false">AI195</f>
        <v>1</v>
      </c>
      <c r="AV195" s="534" t="n">
        <f aca="false">AJ195</f>
        <v>1</v>
      </c>
      <c r="AW195" s="538" t="str">
        <f aca="false">AK195</f>
        <v>*</v>
      </c>
      <c r="AX195" s="474" t="str">
        <f aca="false">MIN($Y$153,$Y$167,$Y$181,$Y$195,$Y$209,$Y$223,$Y$237,$Y$251)&amp;"-"&amp;MAX($Y$153,$Y$167,$Y$181,$Y$195,$Y$209,$Y$223,$Y$237,$Y$251)</f>
        <v>4-8</v>
      </c>
      <c r="AY195" s="474" t="s">
        <v>781</v>
      </c>
    </row>
    <row r="196" customFormat="false" ht="15" hidden="false" customHeight="false" outlineLevel="0" collapsed="false">
      <c r="A196" s="488" t="str">
        <f aca="false">A193&amp;"-"&amp;B196</f>
        <v>Mercury-Jupiter</v>
      </c>
      <c r="B196" s="532" t="s">
        <v>162</v>
      </c>
      <c r="C196" s="533" t="n">
        <f aca="false">JupiterHouse</f>
        <v>8</v>
      </c>
      <c r="D196" s="534" t="n">
        <f aca="false">INDEX($Z196:$AW196,,12+D$152-$Q196+1)</f>
        <v>1</v>
      </c>
      <c r="E196" s="534" t="str">
        <f aca="false">INDEX($Z196:$AW196,,12+E$152-$Q196+1)</f>
        <v>*</v>
      </c>
      <c r="F196" s="534" t="n">
        <f aca="false">INDEX($Z196:$AW196,,12+F$152-$Q196+1)</f>
        <v>1</v>
      </c>
      <c r="G196" s="534" t="str">
        <f aca="false">INDEX($Z196:$AW196,,12+G$152-$Q196+1)</f>
        <v>*</v>
      </c>
      <c r="H196" s="534" t="str">
        <f aca="false">INDEX($Z196:$AW196,,12+H$152-$Q196+1)</f>
        <v>*</v>
      </c>
      <c r="I196" s="534" t="n">
        <f aca="false">INDEX($Z196:$AW196,,12+I$152-$Q196+1)</f>
        <v>1</v>
      </c>
      <c r="J196" s="534" t="n">
        <f aca="false">INDEX($Z196:$AW196,,12+J$152-$Q196+1)</f>
        <v>1</v>
      </c>
      <c r="K196" s="534" t="str">
        <f aca="false">INDEX($Z196:$AW196,,12+K$152-$Q196+1)</f>
        <v>*</v>
      </c>
      <c r="L196" s="534" t="str">
        <f aca="false">INDEX($Z196:$AW196,,12+L$152-$Q196+1)</f>
        <v>*</v>
      </c>
      <c r="M196" s="534" t="str">
        <f aca="false">INDEX($Z196:$AW196,,12+M$152-$Q196+1)</f>
        <v>*</v>
      </c>
      <c r="N196" s="534" t="str">
        <f aca="false">INDEX($Z196:$AW196,,12+N$152-$Q196+1)</f>
        <v>*</v>
      </c>
      <c r="O196" s="534" t="str">
        <f aca="false">INDEX($Z196:$AW196,,12+O$152-$Q196+1)</f>
        <v>*</v>
      </c>
      <c r="P196" s="535" t="n">
        <f aca="false">SUM(D196:O196)</f>
        <v>4</v>
      </c>
      <c r="Q196" s="533" t="n">
        <f aca="false">IF($Y$82,D193,C196)</f>
        <v>8</v>
      </c>
      <c r="S196" s="489"/>
      <c r="T196" s="489"/>
      <c r="U196" s="489"/>
      <c r="V196" s="489"/>
      <c r="W196" s="474" t="s">
        <v>780</v>
      </c>
      <c r="X196" s="532" t="s">
        <v>162</v>
      </c>
      <c r="Y196" s="536" t="n">
        <f aca="false">SUM(Z196:AK196)</f>
        <v>4</v>
      </c>
      <c r="Z196" s="534" t="s">
        <v>181</v>
      </c>
      <c r="AA196" s="534" t="s">
        <v>181</v>
      </c>
      <c r="AB196" s="534" t="s">
        <v>181</v>
      </c>
      <c r="AC196" s="534" t="s">
        <v>181</v>
      </c>
      <c r="AD196" s="534" t="s">
        <v>181</v>
      </c>
      <c r="AE196" s="534" t="n">
        <v>1</v>
      </c>
      <c r="AF196" s="534" t="s">
        <v>181</v>
      </c>
      <c r="AG196" s="534" t="n">
        <v>1</v>
      </c>
      <c r="AH196" s="534" t="s">
        <v>181</v>
      </c>
      <c r="AI196" s="534" t="s">
        <v>181</v>
      </c>
      <c r="AJ196" s="534" t="n">
        <v>1</v>
      </c>
      <c r="AK196" s="534" t="n">
        <v>1</v>
      </c>
      <c r="AL196" s="537" t="str">
        <f aca="false">Z196</f>
        <v>*</v>
      </c>
      <c r="AM196" s="534" t="str">
        <f aca="false">AA196</f>
        <v>*</v>
      </c>
      <c r="AN196" s="534" t="str">
        <f aca="false">AB196</f>
        <v>*</v>
      </c>
      <c r="AO196" s="534" t="str">
        <f aca="false">AC196</f>
        <v>*</v>
      </c>
      <c r="AP196" s="534" t="str">
        <f aca="false">AD196</f>
        <v>*</v>
      </c>
      <c r="AQ196" s="534" t="n">
        <f aca="false">AE196</f>
        <v>1</v>
      </c>
      <c r="AR196" s="534" t="str">
        <f aca="false">AF196</f>
        <v>*</v>
      </c>
      <c r="AS196" s="534" t="n">
        <f aca="false">AG196</f>
        <v>1</v>
      </c>
      <c r="AT196" s="534" t="str">
        <f aca="false">AH196</f>
        <v>*</v>
      </c>
      <c r="AU196" s="534" t="str">
        <f aca="false">AI196</f>
        <v>*</v>
      </c>
      <c r="AV196" s="534" t="n">
        <f aca="false">AJ196</f>
        <v>1</v>
      </c>
      <c r="AW196" s="538" t="n">
        <f aca="false">AK196</f>
        <v>1</v>
      </c>
      <c r="AX196" s="474" t="str">
        <f aca="false">MIN($Y$154,$Y$168,$Y$182,$Y$196,$Y$210,$Y$224,$Y$238,$Y$252)&amp;"-"&amp;MAX($Y$154,$Y$168,$Y$182,$Y$196,$Y$210,$Y$224,$Y$238,$Y$252)</f>
        <v>4-9</v>
      </c>
      <c r="AY196" s="474" t="s">
        <v>780</v>
      </c>
    </row>
    <row r="197" customFormat="false" ht="15" hidden="false" customHeight="false" outlineLevel="0" collapsed="false">
      <c r="A197" s="488" t="str">
        <f aca="false">A193&amp;"-"&amp;B197</f>
        <v>Mercury-Mars</v>
      </c>
      <c r="B197" s="532" t="s">
        <v>160</v>
      </c>
      <c r="C197" s="533" t="n">
        <f aca="false">MarsHouse</f>
        <v>10</v>
      </c>
      <c r="D197" s="534" t="n">
        <f aca="false">INDEX($Z197:$AW197,,12+D$152-$Q197+1)</f>
        <v>1</v>
      </c>
      <c r="E197" s="534" t="str">
        <f aca="false">INDEX($Z197:$AW197,,12+E$152-$Q197+1)</f>
        <v>*</v>
      </c>
      <c r="F197" s="534" t="str">
        <f aca="false">INDEX($Z197:$AW197,,12+F$152-$Q197+1)</f>
        <v>*</v>
      </c>
      <c r="G197" s="534" t="n">
        <f aca="false">INDEX($Z197:$AW197,,12+G$152-$Q197+1)</f>
        <v>1</v>
      </c>
      <c r="H197" s="534" t="n">
        <f aca="false">INDEX($Z197:$AW197,,12+H$152-$Q197+1)</f>
        <v>1</v>
      </c>
      <c r="I197" s="534" t="n">
        <f aca="false">INDEX($Z197:$AW197,,12+I$152-$Q197+1)</f>
        <v>1</v>
      </c>
      <c r="J197" s="534" t="n">
        <f aca="false">INDEX($Z197:$AW197,,12+J$152-$Q197+1)</f>
        <v>1</v>
      </c>
      <c r="K197" s="534" t="n">
        <f aca="false">INDEX($Z197:$AW197,,12+K$152-$Q197+1)</f>
        <v>1</v>
      </c>
      <c r="L197" s="534" t="str">
        <f aca="false">INDEX($Z197:$AW197,,12+L$152-$Q197+1)</f>
        <v>*</v>
      </c>
      <c r="M197" s="534" t="n">
        <f aca="false">INDEX($Z197:$AW197,,12+M$152-$Q197+1)</f>
        <v>1</v>
      </c>
      <c r="N197" s="534" t="n">
        <f aca="false">INDEX($Z197:$AW197,,12+N$152-$Q197+1)</f>
        <v>1</v>
      </c>
      <c r="O197" s="534" t="str">
        <f aca="false">INDEX($Z197:$AW197,,12+O$152-$Q197+1)</f>
        <v>*</v>
      </c>
      <c r="P197" s="535" t="n">
        <f aca="false">SUM(D197:O197)</f>
        <v>8</v>
      </c>
      <c r="Q197" s="533" t="n">
        <f aca="false">IF($Y$82,D193,C197)</f>
        <v>10</v>
      </c>
      <c r="S197" s="489" t="n">
        <f aca="false">N203</f>
        <v>4</v>
      </c>
      <c r="T197" s="490" t="str">
        <f aca="false">C193&amp;"  Ashtakavarga  "&amp;P203</f>
        <v>  Ashtakavarga  54</v>
      </c>
      <c r="U197" s="490"/>
      <c r="V197" s="489" t="n">
        <f aca="false">G203</f>
        <v>3</v>
      </c>
      <c r="X197" s="532" t="s">
        <v>160</v>
      </c>
      <c r="Y197" s="536" t="n">
        <f aca="false">SUM(Z197:AK197)</f>
        <v>8</v>
      </c>
      <c r="Z197" s="534" t="n">
        <v>1</v>
      </c>
      <c r="AA197" s="534" t="n">
        <v>1</v>
      </c>
      <c r="AB197" s="534" t="s">
        <v>181</v>
      </c>
      <c r="AC197" s="534" t="n">
        <v>1</v>
      </c>
      <c r="AD197" s="534" t="s">
        <v>181</v>
      </c>
      <c r="AE197" s="534" t="s">
        <v>181</v>
      </c>
      <c r="AF197" s="534" t="n">
        <v>1</v>
      </c>
      <c r="AG197" s="534" t="n">
        <v>1</v>
      </c>
      <c r="AH197" s="534" t="n">
        <v>1</v>
      </c>
      <c r="AI197" s="534" t="n">
        <v>1</v>
      </c>
      <c r="AJ197" s="534" t="n">
        <v>1</v>
      </c>
      <c r="AK197" s="534" t="s">
        <v>181</v>
      </c>
      <c r="AL197" s="537" t="n">
        <f aca="false">Z197</f>
        <v>1</v>
      </c>
      <c r="AM197" s="534" t="n">
        <f aca="false">AA197</f>
        <v>1</v>
      </c>
      <c r="AN197" s="534" t="str">
        <f aca="false">AB197</f>
        <v>*</v>
      </c>
      <c r="AO197" s="534" t="n">
        <f aca="false">AC197</f>
        <v>1</v>
      </c>
      <c r="AP197" s="534" t="str">
        <f aca="false">AD197</f>
        <v>*</v>
      </c>
      <c r="AQ197" s="534" t="str">
        <f aca="false">AE197</f>
        <v>*</v>
      </c>
      <c r="AR197" s="534" t="n">
        <f aca="false">AF197</f>
        <v>1</v>
      </c>
      <c r="AS197" s="534" t="n">
        <f aca="false">AG197</f>
        <v>1</v>
      </c>
      <c r="AT197" s="534" t="n">
        <f aca="false">AH197</f>
        <v>1</v>
      </c>
      <c r="AU197" s="534" t="n">
        <f aca="false">AI197</f>
        <v>1</v>
      </c>
      <c r="AV197" s="534" t="n">
        <f aca="false">AJ197</f>
        <v>1</v>
      </c>
      <c r="AW197" s="538" t="str">
        <f aca="false">AK197</f>
        <v>*</v>
      </c>
      <c r="AX197" s="474" t="str">
        <f aca="false">MIN($Y$155,$Y$169,$Y$183,$Y$197,$Y$211,$Y$225,$Y$239,$Y$253)&amp;"-"&amp;MAX($Y$155,$Y$169,$Y$183,$Y$197,$Y$211,$Y$225,$Y$239,$Y$253)</f>
        <v>5-8</v>
      </c>
      <c r="AY197" s="474" t="s">
        <v>781</v>
      </c>
    </row>
    <row r="198" customFormat="false" ht="15" hidden="false" customHeight="false" outlineLevel="0" collapsed="false">
      <c r="A198" s="488" t="str">
        <f aca="false">A193&amp;"-"&amp;B198</f>
        <v>Mercury-Sun</v>
      </c>
      <c r="B198" s="532" t="s">
        <v>158</v>
      </c>
      <c r="C198" s="533" t="n">
        <f aca="false">SunHouse</f>
        <v>4</v>
      </c>
      <c r="D198" s="534" t="str">
        <f aca="false">INDEX($Z198:$AW198,,12+D$152-$Q198+1)</f>
        <v>*</v>
      </c>
      <c r="E198" s="534" t="n">
        <f aca="false">INDEX($Z198:$AW198,,12+E$152-$Q198+1)</f>
        <v>1</v>
      </c>
      <c r="F198" s="534" t="n">
        <f aca="false">INDEX($Z198:$AW198,,12+F$152-$Q198+1)</f>
        <v>1</v>
      </c>
      <c r="G198" s="534" t="str">
        <f aca="false">INDEX($Z198:$AW198,,12+G$152-$Q198+1)</f>
        <v>*</v>
      </c>
      <c r="H198" s="534" t="str">
        <f aca="false">INDEX($Z198:$AW198,,12+H$152-$Q198+1)</f>
        <v>*</v>
      </c>
      <c r="I198" s="534" t="str">
        <f aca="false">INDEX($Z198:$AW198,,12+I$152-$Q198+1)</f>
        <v>*</v>
      </c>
      <c r="J198" s="534" t="str">
        <f aca="false">INDEX($Z198:$AW198,,12+J$152-$Q198+1)</f>
        <v>*</v>
      </c>
      <c r="K198" s="534" t="n">
        <f aca="false">INDEX($Z198:$AW198,,12+K$152-$Q198+1)</f>
        <v>1</v>
      </c>
      <c r="L198" s="534" t="n">
        <f aca="false">INDEX($Z198:$AW198,,12+L$152-$Q198+1)</f>
        <v>1</v>
      </c>
      <c r="M198" s="534" t="str">
        <f aca="false">INDEX($Z198:$AW198,,12+M$152-$Q198+1)</f>
        <v>*</v>
      </c>
      <c r="N198" s="534" t="str">
        <f aca="false">INDEX($Z198:$AW198,,12+N$152-$Q198+1)</f>
        <v>*</v>
      </c>
      <c r="O198" s="534" t="n">
        <f aca="false">INDEX($Z198:$AW198,,12+O$152-$Q198+1)</f>
        <v>1</v>
      </c>
      <c r="P198" s="535" t="n">
        <f aca="false">SUM(D198:O198)</f>
        <v>5</v>
      </c>
      <c r="Q198" s="533" t="n">
        <f aca="false">IF($Y$82,D193,C198)</f>
        <v>4</v>
      </c>
      <c r="S198" s="489"/>
      <c r="T198" s="489"/>
      <c r="U198" s="490"/>
      <c r="V198" s="489"/>
      <c r="X198" s="532" t="s">
        <v>158</v>
      </c>
      <c r="Y198" s="536" t="n">
        <f aca="false">SUM(Z198:AK198)</f>
        <v>5</v>
      </c>
      <c r="Z198" s="534" t="s">
        <v>181</v>
      </c>
      <c r="AA198" s="534" t="s">
        <v>181</v>
      </c>
      <c r="AB198" s="534" t="s">
        <v>181</v>
      </c>
      <c r="AC198" s="534" t="s">
        <v>181</v>
      </c>
      <c r="AD198" s="534" t="n">
        <v>1</v>
      </c>
      <c r="AE198" s="534" t="n">
        <v>1</v>
      </c>
      <c r="AF198" s="534" t="s">
        <v>181</v>
      </c>
      <c r="AG198" s="534" t="s">
        <v>181</v>
      </c>
      <c r="AH198" s="534" t="n">
        <v>1</v>
      </c>
      <c r="AI198" s="534" t="s">
        <v>181</v>
      </c>
      <c r="AJ198" s="534" t="n">
        <v>1</v>
      </c>
      <c r="AK198" s="534" t="n">
        <v>1</v>
      </c>
      <c r="AL198" s="537" t="str">
        <f aca="false">Z198</f>
        <v>*</v>
      </c>
      <c r="AM198" s="534" t="str">
        <f aca="false">AA198</f>
        <v>*</v>
      </c>
      <c r="AN198" s="534" t="str">
        <f aca="false">AB198</f>
        <v>*</v>
      </c>
      <c r="AO198" s="534" t="str">
        <f aca="false">AC198</f>
        <v>*</v>
      </c>
      <c r="AP198" s="534" t="n">
        <f aca="false">AD198</f>
        <v>1</v>
      </c>
      <c r="AQ198" s="534" t="n">
        <f aca="false">AE198</f>
        <v>1</v>
      </c>
      <c r="AR198" s="534" t="str">
        <f aca="false">AF198</f>
        <v>*</v>
      </c>
      <c r="AS198" s="534" t="str">
        <f aca="false">AG198</f>
        <v>*</v>
      </c>
      <c r="AT198" s="534" t="n">
        <f aca="false">AH198</f>
        <v>1</v>
      </c>
      <c r="AU198" s="534" t="str">
        <f aca="false">AI198</f>
        <v>*</v>
      </c>
      <c r="AV198" s="534" t="n">
        <f aca="false">AJ198</f>
        <v>1</v>
      </c>
      <c r="AW198" s="538" t="n">
        <f aca="false">AK198</f>
        <v>1</v>
      </c>
      <c r="AX198" s="474" t="str">
        <f aca="false">MIN($Y$156,$Y$170,$Y$184,$Y$198,$Y$212,$Y$226,$Y$240,$Y$254)&amp;"-"&amp;MAX($Y$156,$Y$170,$Y$184,$Y$198,$Y$212,$Y$226,$Y$240,$Y$254)</f>
        <v>3-9</v>
      </c>
    </row>
    <row r="199" customFormat="false" ht="15" hidden="false" customHeight="false" outlineLevel="0" collapsed="false">
      <c r="A199" s="488" t="str">
        <f aca="false">A193&amp;"-"&amp;B199</f>
        <v>Mercury-Venus</v>
      </c>
      <c r="B199" s="532" t="s">
        <v>163</v>
      </c>
      <c r="C199" s="533" t="n">
        <f aca="false">VenusHouse</f>
        <v>3</v>
      </c>
      <c r="D199" s="534" t="n">
        <f aca="false">INDEX($Z199:$AW199,,12+D$152-$Q199+1)</f>
        <v>1</v>
      </c>
      <c r="E199" s="534" t="str">
        <f aca="false">INDEX($Z199:$AW199,,12+E$152-$Q199+1)</f>
        <v>*</v>
      </c>
      <c r="F199" s="534" t="n">
        <f aca="false">INDEX($Z199:$AW199,,12+F$152-$Q199+1)</f>
        <v>1</v>
      </c>
      <c r="G199" s="534" t="n">
        <f aca="false">INDEX($Z199:$AW199,,12+G$152-$Q199+1)</f>
        <v>1</v>
      </c>
      <c r="H199" s="534" t="n">
        <f aca="false">INDEX($Z199:$AW199,,12+H$152-$Q199+1)</f>
        <v>1</v>
      </c>
      <c r="I199" s="534" t="n">
        <f aca="false">INDEX($Z199:$AW199,,12+I$152-$Q199+1)</f>
        <v>1</v>
      </c>
      <c r="J199" s="534" t="n">
        <f aca="false">INDEX($Z199:$AW199,,12+J$152-$Q199+1)</f>
        <v>1</v>
      </c>
      <c r="K199" s="534" t="str">
        <f aca="false">INDEX($Z199:$AW199,,12+K$152-$Q199+1)</f>
        <v>*</v>
      </c>
      <c r="L199" s="534" t="str">
        <f aca="false">INDEX($Z199:$AW199,,12+L$152-$Q199+1)</f>
        <v>*</v>
      </c>
      <c r="M199" s="534" t="n">
        <f aca="false">INDEX($Z199:$AW199,,12+M$152-$Q199+1)</f>
        <v>1</v>
      </c>
      <c r="N199" s="534" t="n">
        <f aca="false">INDEX($Z199:$AW199,,12+N$152-$Q199+1)</f>
        <v>1</v>
      </c>
      <c r="O199" s="534" t="str">
        <f aca="false">INDEX($Z199:$AW199,,12+O$152-$Q199+1)</f>
        <v>*</v>
      </c>
      <c r="P199" s="535" t="n">
        <f aca="false">SUM(D199:O199)</f>
        <v>8</v>
      </c>
      <c r="Q199" s="533" t="n">
        <f aca="false">IF($Y$82,D193,C199)</f>
        <v>3</v>
      </c>
      <c r="S199" s="489"/>
      <c r="T199" s="489"/>
      <c r="U199" s="490"/>
      <c r="V199" s="489"/>
      <c r="W199" s="474" t="s">
        <v>781</v>
      </c>
      <c r="X199" s="532" t="s">
        <v>163</v>
      </c>
      <c r="Y199" s="536" t="n">
        <f aca="false">SUM(Z199:AK199)</f>
        <v>8</v>
      </c>
      <c r="Z199" s="534" t="n">
        <v>1</v>
      </c>
      <c r="AA199" s="534" t="n">
        <v>1</v>
      </c>
      <c r="AB199" s="534" t="n">
        <v>1</v>
      </c>
      <c r="AC199" s="534" t="n">
        <v>1</v>
      </c>
      <c r="AD199" s="534" t="n">
        <v>1</v>
      </c>
      <c r="AE199" s="534" t="s">
        <v>181</v>
      </c>
      <c r="AF199" s="534" t="s">
        <v>181</v>
      </c>
      <c r="AG199" s="534" t="n">
        <v>1</v>
      </c>
      <c r="AH199" s="534" t="n">
        <v>1</v>
      </c>
      <c r="AI199" s="534" t="s">
        <v>181</v>
      </c>
      <c r="AJ199" s="534" t="n">
        <v>1</v>
      </c>
      <c r="AK199" s="534" t="s">
        <v>181</v>
      </c>
      <c r="AL199" s="537" t="n">
        <f aca="false">Z199</f>
        <v>1</v>
      </c>
      <c r="AM199" s="534" t="n">
        <f aca="false">AA199</f>
        <v>1</v>
      </c>
      <c r="AN199" s="534" t="n">
        <f aca="false">AB199</f>
        <v>1</v>
      </c>
      <c r="AO199" s="534" t="n">
        <f aca="false">AC199</f>
        <v>1</v>
      </c>
      <c r="AP199" s="534" t="n">
        <f aca="false">AD199</f>
        <v>1</v>
      </c>
      <c r="AQ199" s="534" t="str">
        <f aca="false">AE199</f>
        <v>*</v>
      </c>
      <c r="AR199" s="534" t="str">
        <f aca="false">AF199</f>
        <v>*</v>
      </c>
      <c r="AS199" s="534" t="n">
        <f aca="false">AG199</f>
        <v>1</v>
      </c>
      <c r="AT199" s="534" t="n">
        <f aca="false">AH199</f>
        <v>1</v>
      </c>
      <c r="AU199" s="534" t="str">
        <f aca="false">AI199</f>
        <v>*</v>
      </c>
      <c r="AV199" s="534" t="n">
        <f aca="false">AJ199</f>
        <v>1</v>
      </c>
      <c r="AW199" s="538" t="str">
        <f aca="false">AK199</f>
        <v>*</v>
      </c>
      <c r="AX199" s="474" t="str">
        <f aca="false">MIN($Y$157,$Y$171,$Y$185,$Y$199,$Y$213,$Y$227,$Y$241,$Y$255)&amp;"-"&amp;MAX($Y$157,$Y$171,$Y$185,$Y$199,$Y$213,$Y$227,$Y$241,$Y$255)</f>
        <v>3-9</v>
      </c>
    </row>
    <row r="200" customFormat="false" ht="15" hidden="false" customHeight="false" outlineLevel="0" collapsed="false">
      <c r="A200" s="488" t="str">
        <f aca="false">A193&amp;"-"&amp;B200</f>
        <v>Mercury-Mercury</v>
      </c>
      <c r="B200" s="532" t="s">
        <v>161</v>
      </c>
      <c r="C200" s="533" t="n">
        <f aca="false">MercuryHouse</f>
        <v>4</v>
      </c>
      <c r="D200" s="534" t="n">
        <f aca="false">INDEX($Z200:$AW200,,12+D$152-$Q200+1)</f>
        <v>1</v>
      </c>
      <c r="E200" s="534" t="n">
        <f aca="false">INDEX($Z200:$AW200,,12+E$152-$Q200+1)</f>
        <v>1</v>
      </c>
      <c r="F200" s="534" t="n">
        <f aca="false">INDEX($Z200:$AW200,,12+F$152-$Q200+1)</f>
        <v>1</v>
      </c>
      <c r="G200" s="534" t="n">
        <f aca="false">INDEX($Z200:$AW200,,12+G$152-$Q200+1)</f>
        <v>1</v>
      </c>
      <c r="H200" s="534" t="str">
        <f aca="false">INDEX($Z200:$AW200,,12+H$152-$Q200+1)</f>
        <v>*</v>
      </c>
      <c r="I200" s="534" t="n">
        <f aca="false">INDEX($Z200:$AW200,,12+I$152-$Q200+1)</f>
        <v>1</v>
      </c>
      <c r="J200" s="534" t="str">
        <f aca="false">INDEX($Z200:$AW200,,12+J$152-$Q200+1)</f>
        <v>*</v>
      </c>
      <c r="K200" s="534" t="n">
        <f aca="false">INDEX($Z200:$AW200,,12+K$152-$Q200+1)</f>
        <v>1</v>
      </c>
      <c r="L200" s="534" t="n">
        <f aca="false">INDEX($Z200:$AW200,,12+L$152-$Q200+1)</f>
        <v>1</v>
      </c>
      <c r="M200" s="534" t="str">
        <f aca="false">INDEX($Z200:$AW200,,12+M$152-$Q200+1)</f>
        <v>*</v>
      </c>
      <c r="N200" s="534" t="str">
        <f aca="false">INDEX($Z200:$AW200,,12+N$152-$Q200+1)</f>
        <v>*</v>
      </c>
      <c r="O200" s="534" t="n">
        <f aca="false">INDEX($Z200:$AW200,,12+O$152-$Q200+1)</f>
        <v>1</v>
      </c>
      <c r="P200" s="535" t="n">
        <f aca="false">SUM(D200:O200)</f>
        <v>8</v>
      </c>
      <c r="Q200" s="533" t="n">
        <f aca="false">IF($Y$82,D193,C200)</f>
        <v>4</v>
      </c>
      <c r="S200" s="489" t="n">
        <f aca="false">M203</f>
        <v>4</v>
      </c>
      <c r="T200" s="490"/>
      <c r="U200" s="490"/>
      <c r="V200" s="489" t="n">
        <f aca="false">H203</f>
        <v>5</v>
      </c>
      <c r="W200" s="474" t="s">
        <v>781</v>
      </c>
      <c r="X200" s="532" t="s">
        <v>161</v>
      </c>
      <c r="Y200" s="536" t="n">
        <f aca="false">SUM(Z200:AK200)</f>
        <v>8</v>
      </c>
      <c r="Z200" s="534" t="n">
        <v>1</v>
      </c>
      <c r="AA200" s="534" t="s">
        <v>181</v>
      </c>
      <c r="AB200" s="534" t="n">
        <v>1</v>
      </c>
      <c r="AC200" s="534" t="s">
        <v>181</v>
      </c>
      <c r="AD200" s="534" t="n">
        <v>1</v>
      </c>
      <c r="AE200" s="534" t="n">
        <v>1</v>
      </c>
      <c r="AF200" s="534" t="s">
        <v>181</v>
      </c>
      <c r="AG200" s="534" t="s">
        <v>181</v>
      </c>
      <c r="AH200" s="534" t="n">
        <v>1</v>
      </c>
      <c r="AI200" s="534" t="n">
        <v>1</v>
      </c>
      <c r="AJ200" s="534" t="n">
        <v>1</v>
      </c>
      <c r="AK200" s="534" t="n">
        <v>1</v>
      </c>
      <c r="AL200" s="537" t="n">
        <f aca="false">Z200</f>
        <v>1</v>
      </c>
      <c r="AM200" s="534" t="str">
        <f aca="false">AA200</f>
        <v>*</v>
      </c>
      <c r="AN200" s="534" t="n">
        <f aca="false">AB200</f>
        <v>1</v>
      </c>
      <c r="AO200" s="534" t="str">
        <f aca="false">AC200</f>
        <v>*</v>
      </c>
      <c r="AP200" s="534" t="n">
        <f aca="false">AD200</f>
        <v>1</v>
      </c>
      <c r="AQ200" s="534" t="n">
        <f aca="false">AE200</f>
        <v>1</v>
      </c>
      <c r="AR200" s="534" t="str">
        <f aca="false">AF200</f>
        <v>*</v>
      </c>
      <c r="AS200" s="534" t="str">
        <f aca="false">AG200</f>
        <v>*</v>
      </c>
      <c r="AT200" s="534" t="n">
        <f aca="false">AH200</f>
        <v>1</v>
      </c>
      <c r="AU200" s="534" t="n">
        <f aca="false">AI200</f>
        <v>1</v>
      </c>
      <c r="AV200" s="534" t="n">
        <f aca="false">AJ200</f>
        <v>1</v>
      </c>
      <c r="AW200" s="538" t="n">
        <f aca="false">AK200</f>
        <v>1</v>
      </c>
      <c r="AX200" s="474" t="str">
        <f aca="false">MIN($Y$158,$Y$172,$Y$186,$Y$200,$Y$214,$Y$228,$Y$242,$Y$256)&amp;"-"&amp;MAX($Y$158,$Y$172,$Y$186,$Y$200,$Y$214,$Y$228,$Y$242,$Y$256)</f>
        <v>4-8</v>
      </c>
      <c r="AY200" s="474" t="s">
        <v>781</v>
      </c>
    </row>
    <row r="201" customFormat="false" ht="15" hidden="false" customHeight="false" outlineLevel="0" collapsed="false">
      <c r="A201" s="488" t="str">
        <f aca="false">A193&amp;"-"&amp;B201</f>
        <v>Mercury-Moon</v>
      </c>
      <c r="B201" s="532" t="s">
        <v>159</v>
      </c>
      <c r="C201" s="533" t="n">
        <f aca="false">MoonHouse</f>
        <v>2</v>
      </c>
      <c r="D201" s="534" t="str">
        <f aca="false">INDEX($Z201:$AW201,,12+D$152-$Q201+1)</f>
        <v>*</v>
      </c>
      <c r="E201" s="534" t="str">
        <f aca="false">INDEX($Z201:$AW201,,12+E$152-$Q201+1)</f>
        <v>*</v>
      </c>
      <c r="F201" s="534" t="n">
        <f aca="false">INDEX($Z201:$AW201,,12+F$152-$Q201+1)</f>
        <v>1</v>
      </c>
      <c r="G201" s="534" t="str">
        <f aca="false">INDEX($Z201:$AW201,,12+G$152-$Q201+1)</f>
        <v>*</v>
      </c>
      <c r="H201" s="534" t="n">
        <f aca="false">INDEX($Z201:$AW201,,12+H$152-$Q201+1)</f>
        <v>1</v>
      </c>
      <c r="I201" s="534" t="str">
        <f aca="false">INDEX($Z201:$AW201,,12+I$152-$Q201+1)</f>
        <v>*</v>
      </c>
      <c r="J201" s="534" t="n">
        <f aca="false">INDEX($Z201:$AW201,,12+J$152-$Q201+1)</f>
        <v>1</v>
      </c>
      <c r="K201" s="534" t="str">
        <f aca="false">INDEX($Z201:$AW201,,12+K$152-$Q201+1)</f>
        <v>*</v>
      </c>
      <c r="L201" s="534" t="n">
        <f aca="false">INDEX($Z201:$AW201,,12+L$152-$Q201+1)</f>
        <v>1</v>
      </c>
      <c r="M201" s="534" t="str">
        <f aca="false">INDEX($Z201:$AW201,,12+M$152-$Q201+1)</f>
        <v>*</v>
      </c>
      <c r="N201" s="534" t="n">
        <f aca="false">INDEX($Z201:$AW201,,12+N$152-$Q201+1)</f>
        <v>1</v>
      </c>
      <c r="O201" s="534" t="n">
        <f aca="false">INDEX($Z201:$AW201,,12+O$152-$Q201+1)</f>
        <v>1</v>
      </c>
      <c r="P201" s="535" t="n">
        <f aca="false">SUM(D201:O201)</f>
        <v>6</v>
      </c>
      <c r="Q201" s="533" t="n">
        <f aca="false">IF($Y$82,D193,C201)</f>
        <v>2</v>
      </c>
      <c r="S201" s="489"/>
      <c r="T201" s="489"/>
      <c r="U201" s="490"/>
      <c r="V201" s="489"/>
      <c r="X201" s="532" t="s">
        <v>159</v>
      </c>
      <c r="Y201" s="536" t="n">
        <f aca="false">SUM(Z201:AK201)</f>
        <v>6</v>
      </c>
      <c r="Z201" s="534" t="s">
        <v>181</v>
      </c>
      <c r="AA201" s="534" t="n">
        <v>1</v>
      </c>
      <c r="AB201" s="534" t="s">
        <v>181</v>
      </c>
      <c r="AC201" s="534" t="n">
        <v>1</v>
      </c>
      <c r="AD201" s="534" t="s">
        <v>181</v>
      </c>
      <c r="AE201" s="534" t="n">
        <v>1</v>
      </c>
      <c r="AF201" s="534" t="s">
        <v>181</v>
      </c>
      <c r="AG201" s="534" t="n">
        <v>1</v>
      </c>
      <c r="AH201" s="534" t="s">
        <v>181</v>
      </c>
      <c r="AI201" s="534" t="n">
        <v>1</v>
      </c>
      <c r="AJ201" s="534" t="n">
        <v>1</v>
      </c>
      <c r="AK201" s="534" t="s">
        <v>181</v>
      </c>
      <c r="AL201" s="537" t="str">
        <f aca="false">Z201</f>
        <v>*</v>
      </c>
      <c r="AM201" s="534" t="n">
        <f aca="false">AA201</f>
        <v>1</v>
      </c>
      <c r="AN201" s="534" t="str">
        <f aca="false">AB201</f>
        <v>*</v>
      </c>
      <c r="AO201" s="534" t="n">
        <f aca="false">AC201</f>
        <v>1</v>
      </c>
      <c r="AP201" s="534" t="str">
        <f aca="false">AD201</f>
        <v>*</v>
      </c>
      <c r="AQ201" s="534" t="n">
        <f aca="false">AE201</f>
        <v>1</v>
      </c>
      <c r="AR201" s="534" t="str">
        <f aca="false">AF201</f>
        <v>*</v>
      </c>
      <c r="AS201" s="534" t="n">
        <f aca="false">AG201</f>
        <v>1</v>
      </c>
      <c r="AT201" s="534" t="str">
        <f aca="false">AH201</f>
        <v>*</v>
      </c>
      <c r="AU201" s="534" t="n">
        <f aca="false">AI201</f>
        <v>1</v>
      </c>
      <c r="AV201" s="534" t="n">
        <f aca="false">AJ201</f>
        <v>1</v>
      </c>
      <c r="AW201" s="538" t="str">
        <f aca="false">AK201</f>
        <v>*</v>
      </c>
      <c r="AX201" s="474" t="str">
        <f aca="false">MIN($Y$159,$Y$173,$Y$187,$Y$201,$Y$215,$Y$229,$Y$243,$Y$257)&amp;"-"&amp;MAX($Y$159,$Y$173,$Y$187,$Y$201,$Y$215,$Y$229,$Y$243,$Y$257)</f>
        <v>3-9</v>
      </c>
    </row>
    <row r="202" customFormat="false" ht="15" hidden="false" customHeight="false" outlineLevel="0" collapsed="false">
      <c r="A202" s="488" t="str">
        <f aca="false">A193&amp;"-"&amp;B202</f>
        <v>Mercury-Lagna</v>
      </c>
      <c r="B202" s="532" t="s">
        <v>319</v>
      </c>
      <c r="C202" s="533" t="n">
        <f aca="false">Lagnahouse</f>
        <v>5</v>
      </c>
      <c r="D202" s="534" t="str">
        <f aca="false">INDEX($Z202:$AW202,,12+D$152-$Q202+1)</f>
        <v>*</v>
      </c>
      <c r="E202" s="534" t="n">
        <f aca="false">INDEX($Z202:$AW202,,12+E$152-$Q202+1)</f>
        <v>1</v>
      </c>
      <c r="F202" s="534" t="n">
        <f aca="false">INDEX($Z202:$AW202,,12+F$152-$Q202+1)</f>
        <v>1</v>
      </c>
      <c r="G202" s="534" t="str">
        <f aca="false">INDEX($Z202:$AW202,,12+G$152-$Q202+1)</f>
        <v>*</v>
      </c>
      <c r="H202" s="534" t="n">
        <f aca="false">INDEX($Z202:$AW202,,12+H$152-$Q202+1)</f>
        <v>1</v>
      </c>
      <c r="I202" s="534" t="n">
        <f aca="false">INDEX($Z202:$AW202,,12+I$152-$Q202+1)</f>
        <v>1</v>
      </c>
      <c r="J202" s="534" t="str">
        <f aca="false">INDEX($Z202:$AW202,,12+J$152-$Q202+1)</f>
        <v>*</v>
      </c>
      <c r="K202" s="534" t="n">
        <f aca="false">INDEX($Z202:$AW202,,12+K$152-$Q202+1)</f>
        <v>1</v>
      </c>
      <c r="L202" s="534" t="str">
        <f aca="false">INDEX($Z202:$AW202,,12+L$152-$Q202+1)</f>
        <v>*</v>
      </c>
      <c r="M202" s="534" t="n">
        <f aca="false">INDEX($Z202:$AW202,,12+M$152-$Q202+1)</f>
        <v>1</v>
      </c>
      <c r="N202" s="534" t="str">
        <f aca="false">INDEX($Z202:$AW202,,12+N$152-$Q202+1)</f>
        <v>*</v>
      </c>
      <c r="O202" s="534" t="n">
        <f aca="false">INDEX($Z202:$AW202,,12+O$152-$Q202+1)</f>
        <v>1</v>
      </c>
      <c r="P202" s="535" t="n">
        <f aca="false">SUM(D202:O202)</f>
        <v>7</v>
      </c>
      <c r="Q202" s="533" t="n">
        <f aca="false">IF($Y$82,D193,C202)</f>
        <v>5</v>
      </c>
      <c r="S202" s="489"/>
      <c r="T202" s="489"/>
      <c r="U202" s="490"/>
      <c r="V202" s="489"/>
      <c r="X202" s="532" t="s">
        <v>319</v>
      </c>
      <c r="Y202" s="536" t="n">
        <f aca="false">SUM(Z202:AK202)</f>
        <v>7</v>
      </c>
      <c r="Z202" s="534" t="n">
        <v>1</v>
      </c>
      <c r="AA202" s="534" t="n">
        <v>1</v>
      </c>
      <c r="AB202" s="534" t="s">
        <v>181</v>
      </c>
      <c r="AC202" s="534" t="n">
        <v>1</v>
      </c>
      <c r="AD202" s="534" t="s">
        <v>181</v>
      </c>
      <c r="AE202" s="534" t="n">
        <v>1</v>
      </c>
      <c r="AF202" s="534" t="s">
        <v>181</v>
      </c>
      <c r="AG202" s="534" t="n">
        <v>1</v>
      </c>
      <c r="AH202" s="534" t="s">
        <v>181</v>
      </c>
      <c r="AI202" s="534" t="n">
        <v>1</v>
      </c>
      <c r="AJ202" s="534" t="n">
        <v>1</v>
      </c>
      <c r="AK202" s="534" t="s">
        <v>181</v>
      </c>
      <c r="AL202" s="537" t="n">
        <f aca="false">Z202</f>
        <v>1</v>
      </c>
      <c r="AM202" s="534" t="n">
        <f aca="false">AA202</f>
        <v>1</v>
      </c>
      <c r="AN202" s="534" t="str">
        <f aca="false">AB202</f>
        <v>*</v>
      </c>
      <c r="AO202" s="534" t="n">
        <f aca="false">AC202</f>
        <v>1</v>
      </c>
      <c r="AP202" s="534" t="str">
        <f aca="false">AD202</f>
        <v>*</v>
      </c>
      <c r="AQ202" s="534" t="n">
        <f aca="false">AE202</f>
        <v>1</v>
      </c>
      <c r="AR202" s="534" t="str">
        <f aca="false">AF202</f>
        <v>*</v>
      </c>
      <c r="AS202" s="534" t="n">
        <f aca="false">AG202</f>
        <v>1</v>
      </c>
      <c r="AT202" s="534" t="str">
        <f aca="false">AH202</f>
        <v>*</v>
      </c>
      <c r="AU202" s="534" t="n">
        <f aca="false">AI202</f>
        <v>1</v>
      </c>
      <c r="AV202" s="534" t="n">
        <f aca="false">AJ202</f>
        <v>1</v>
      </c>
      <c r="AW202" s="538" t="str">
        <f aca="false">AK202</f>
        <v>*</v>
      </c>
      <c r="AX202" s="474" t="str">
        <f aca="false">MIN($Y$160,$Y$174,$Y$188,$Y$202,$Y$216,$Y$230,$Y$244,$Y$258)&amp;"-"&amp;MAX($Y$160,$Y$174,$Y$188,$Y$202,$Y$216,$Y$230,$Y$244,$Y$258)</f>
        <v>4-9</v>
      </c>
    </row>
    <row r="203" customFormat="false" ht="15" hidden="false" customHeight="false" outlineLevel="0" collapsed="false">
      <c r="A203" s="488" t="str">
        <f aca="false">A193&amp;"-"&amp;B203</f>
        <v>Mercury-Mercury</v>
      </c>
      <c r="B203" s="539" t="str">
        <f aca="false">B193</f>
        <v>Mercury</v>
      </c>
      <c r="C203" s="540"/>
      <c r="D203" s="540" t="n">
        <f aca="false">SUM(D195:D202)</f>
        <v>4</v>
      </c>
      <c r="E203" s="540" t="n">
        <f aca="false">SUM(E195:E202)</f>
        <v>4</v>
      </c>
      <c r="F203" s="540" t="n">
        <f aca="false">SUM(F195:F202)</f>
        <v>7</v>
      </c>
      <c r="G203" s="540" t="n">
        <f aca="false">SUM(G195:G202)</f>
        <v>3</v>
      </c>
      <c r="H203" s="540" t="n">
        <f aca="false">SUM(H195:H202)</f>
        <v>5</v>
      </c>
      <c r="I203" s="540" t="n">
        <f aca="false">SUM(I195:I202)</f>
        <v>5</v>
      </c>
      <c r="J203" s="540" t="n">
        <f aca="false">SUM(J195:J202)</f>
        <v>4</v>
      </c>
      <c r="K203" s="540" t="n">
        <f aca="false">SUM(K195:K202)</f>
        <v>5</v>
      </c>
      <c r="L203" s="540" t="n">
        <f aca="false">SUM(L195:L202)</f>
        <v>4</v>
      </c>
      <c r="M203" s="540" t="n">
        <f aca="false">SUM(M195:M202)</f>
        <v>4</v>
      </c>
      <c r="N203" s="540" t="n">
        <f aca="false">SUM(N195:N202)</f>
        <v>4</v>
      </c>
      <c r="O203" s="540" t="n">
        <f aca="false">SUM(O195:O202)</f>
        <v>5</v>
      </c>
      <c r="P203" s="541" t="n">
        <f aca="false">SUM(D203:O203)</f>
        <v>54</v>
      </c>
      <c r="Q203" s="541"/>
      <c r="S203" s="489" t="n">
        <f aca="false">L203</f>
        <v>4</v>
      </c>
      <c r="T203" s="489" t="n">
        <f aca="false">K203</f>
        <v>5</v>
      </c>
      <c r="U203" s="489" t="n">
        <f aca="false">J203</f>
        <v>4</v>
      </c>
      <c r="V203" s="489" t="n">
        <f aca="false">I203</f>
        <v>5</v>
      </c>
      <c r="X203" s="539"/>
      <c r="Y203" s="542" t="n">
        <f aca="false">SUM(Z203:AK203)</f>
        <v>54</v>
      </c>
      <c r="Z203" s="543" t="n">
        <f aca="false">SUM(Z195:Z202)</f>
        <v>5</v>
      </c>
      <c r="AA203" s="543" t="n">
        <f aca="false">SUM(AA195:AA202)</f>
        <v>5</v>
      </c>
      <c r="AB203" s="543" t="n">
        <f aca="false">SUM(AB195:AB202)</f>
        <v>2</v>
      </c>
      <c r="AC203" s="543" t="n">
        <f aca="false">SUM(AC195:AC202)</f>
        <v>5</v>
      </c>
      <c r="AD203" s="543" t="n">
        <f aca="false">SUM(AD195:AD202)</f>
        <v>3</v>
      </c>
      <c r="AE203" s="543" t="n">
        <f aca="false">SUM(AE195:AE202)</f>
        <v>5</v>
      </c>
      <c r="AF203" s="543" t="n">
        <f aca="false">SUM(AF195:AF202)</f>
        <v>2</v>
      </c>
      <c r="AG203" s="543" t="n">
        <f aca="false">SUM(AG195:AG202)</f>
        <v>6</v>
      </c>
      <c r="AH203" s="543" t="n">
        <f aca="false">SUM(AH195:AH202)</f>
        <v>5</v>
      </c>
      <c r="AI203" s="543" t="n">
        <f aca="false">SUM(AI195:AI202)</f>
        <v>5</v>
      </c>
      <c r="AJ203" s="543" t="n">
        <f aca="false">SUM(AJ195:AJ202)</f>
        <v>8</v>
      </c>
      <c r="AK203" s="543" t="n">
        <f aca="false">SUM(AK195:AK202)</f>
        <v>3</v>
      </c>
      <c r="AL203" s="548" t="n">
        <f aca="false">SUM(AL195:AL202)</f>
        <v>5</v>
      </c>
      <c r="AM203" s="543" t="n">
        <f aca="false">SUM(AM195:AM202)</f>
        <v>5</v>
      </c>
      <c r="AN203" s="543" t="n">
        <f aca="false">SUM(AN195:AN202)</f>
        <v>2</v>
      </c>
      <c r="AO203" s="543" t="n">
        <f aca="false">SUM(AO195:AO202)</f>
        <v>5</v>
      </c>
      <c r="AP203" s="543" t="n">
        <f aca="false">SUM(AP195:AP202)</f>
        <v>3</v>
      </c>
      <c r="AQ203" s="543" t="n">
        <f aca="false">SUM(AQ195:AQ202)</f>
        <v>5</v>
      </c>
      <c r="AR203" s="543" t="n">
        <f aca="false">SUM(AR195:AR202)</f>
        <v>2</v>
      </c>
      <c r="AS203" s="543" t="n">
        <f aca="false">SUM(AS195:AS202)</f>
        <v>6</v>
      </c>
      <c r="AT203" s="543" t="n">
        <f aca="false">SUM(AT195:AT202)</f>
        <v>5</v>
      </c>
      <c r="AU203" s="543" t="n">
        <f aca="false">SUM(AU195:AU202)</f>
        <v>5</v>
      </c>
      <c r="AV203" s="543" t="n">
        <f aca="false">SUM(AV195:AV202)</f>
        <v>8</v>
      </c>
      <c r="AW203" s="549" t="n">
        <f aca="false">SUM(AW195:AW202)</f>
        <v>3</v>
      </c>
    </row>
    <row r="204" customFormat="false" ht="15" hidden="false" customHeight="false" outlineLevel="0" collapsed="false">
      <c r="A204" s="488" t="str">
        <f aca="false">A193&amp;"-"&amp;B204</f>
        <v>Mercury-</v>
      </c>
      <c r="S204" s="489"/>
      <c r="T204" s="489"/>
      <c r="U204" s="489"/>
      <c r="V204" s="489"/>
      <c r="X204" s="474" t="s">
        <v>783</v>
      </c>
    </row>
    <row r="205" customFormat="false" ht="15" hidden="false" customHeight="false" outlineLevel="0" collapsed="false">
      <c r="A205" s="488" t="str">
        <f aca="false">A193&amp;"-"&amp;B205</f>
        <v>Mercury-</v>
      </c>
      <c r="S205" s="489"/>
      <c r="T205" s="489"/>
      <c r="U205" s="489"/>
      <c r="V205" s="489"/>
    </row>
    <row r="206" customFormat="false" ht="15" hidden="false" customHeight="false" outlineLevel="0" collapsed="false">
      <c r="A206" s="488" t="str">
        <f aca="false">A193&amp;"-"&amp;B206</f>
        <v>Mercury------</v>
      </c>
      <c r="B206" s="474" t="s">
        <v>776</v>
      </c>
    </row>
    <row r="207" customFormat="false" ht="15" hidden="false" customHeight="false" outlineLevel="0" collapsed="false">
      <c r="A207" s="488" t="str">
        <f aca="false">B207</f>
        <v>Mars</v>
      </c>
      <c r="B207" s="523" t="str">
        <f aca="false">X207</f>
        <v>Mars</v>
      </c>
      <c r="C207" s="523"/>
      <c r="D207" s="474" t="n">
        <f aca="true">INDIRECT(B207&amp;"house")</f>
        <v>10</v>
      </c>
      <c r="S207" s="495"/>
      <c r="T207" s="495"/>
      <c r="U207" s="495"/>
      <c r="V207" s="495"/>
      <c r="X207" s="193" t="s">
        <v>160</v>
      </c>
      <c r="Y207" s="474" t="str">
        <f aca="false">MIN(Y209:Y216)&amp;"-"&amp;MAX(Y209:Y216)</f>
        <v>3-7</v>
      </c>
      <c r="Z207" s="474" t="str">
        <f aca="false">$Z$83 &amp;  X207</f>
        <v>From Graha Good and Bad Transit of Mars</v>
      </c>
      <c r="AL207" s="474"/>
      <c r="AW207" s="474"/>
      <c r="AX207" s="474" t="s">
        <v>777</v>
      </c>
    </row>
    <row r="208" customFormat="false" ht="15" hidden="false" customHeight="false" outlineLevel="0" collapsed="false">
      <c r="A208" s="488" t="str">
        <f aca="false">A207&amp;"-"&amp;B208</f>
        <v>Mars-</v>
      </c>
      <c r="B208" s="524"/>
      <c r="C208" s="525" t="s">
        <v>746</v>
      </c>
      <c r="D208" s="526" t="n">
        <v>1</v>
      </c>
      <c r="E208" s="526" t="n">
        <v>2</v>
      </c>
      <c r="F208" s="526" t="n">
        <v>3</v>
      </c>
      <c r="G208" s="526" t="n">
        <v>4</v>
      </c>
      <c r="H208" s="526" t="n">
        <v>5</v>
      </c>
      <c r="I208" s="526" t="n">
        <v>6</v>
      </c>
      <c r="J208" s="526" t="n">
        <v>7</v>
      </c>
      <c r="K208" s="526" t="n">
        <v>8</v>
      </c>
      <c r="L208" s="526" t="n">
        <v>9</v>
      </c>
      <c r="M208" s="526" t="n">
        <v>10</v>
      </c>
      <c r="N208" s="526" t="n">
        <v>11</v>
      </c>
      <c r="O208" s="526" t="n">
        <v>12</v>
      </c>
      <c r="P208" s="527"/>
      <c r="Q208" s="527"/>
      <c r="S208" s="489" t="n">
        <f aca="false">O217</f>
        <v>2</v>
      </c>
      <c r="T208" s="489" t="n">
        <f aca="false">D217</f>
        <v>4</v>
      </c>
      <c r="U208" s="489" t="n">
        <f aca="false">E217</f>
        <v>5</v>
      </c>
      <c r="V208" s="489" t="n">
        <f aca="false">F217</f>
        <v>1</v>
      </c>
      <c r="X208" s="525" t="s">
        <v>778</v>
      </c>
      <c r="Y208" s="528" t="s">
        <v>779</v>
      </c>
      <c r="Z208" s="529" t="n">
        <v>1</v>
      </c>
      <c r="AA208" s="529" t="n">
        <v>2</v>
      </c>
      <c r="AB208" s="529" t="n">
        <v>3</v>
      </c>
      <c r="AC208" s="529" t="n">
        <v>4</v>
      </c>
      <c r="AD208" s="529" t="n">
        <v>5</v>
      </c>
      <c r="AE208" s="529" t="n">
        <v>6</v>
      </c>
      <c r="AF208" s="529" t="n">
        <v>7</v>
      </c>
      <c r="AG208" s="529" t="n">
        <v>8</v>
      </c>
      <c r="AH208" s="529" t="n">
        <v>9</v>
      </c>
      <c r="AI208" s="529" t="n">
        <v>10</v>
      </c>
      <c r="AJ208" s="529" t="n">
        <v>11</v>
      </c>
      <c r="AK208" s="529" t="n">
        <v>12</v>
      </c>
      <c r="AL208" s="530" t="n">
        <v>1</v>
      </c>
      <c r="AM208" s="526" t="n">
        <v>2</v>
      </c>
      <c r="AN208" s="526" t="n">
        <v>3</v>
      </c>
      <c r="AO208" s="526" t="n">
        <v>4</v>
      </c>
      <c r="AP208" s="526" t="n">
        <v>5</v>
      </c>
      <c r="AQ208" s="526" t="n">
        <v>6</v>
      </c>
      <c r="AR208" s="526" t="n">
        <v>7</v>
      </c>
      <c r="AS208" s="526" t="n">
        <v>8</v>
      </c>
      <c r="AT208" s="526" t="n">
        <v>9</v>
      </c>
      <c r="AU208" s="526" t="n">
        <v>10</v>
      </c>
      <c r="AV208" s="526" t="n">
        <v>11</v>
      </c>
      <c r="AW208" s="531" t="n">
        <v>12</v>
      </c>
    </row>
    <row r="209" customFormat="false" ht="15" hidden="false" customHeight="false" outlineLevel="0" collapsed="false">
      <c r="A209" s="488" t="str">
        <f aca="false">A207&amp;"-"&amp;B209</f>
        <v>Mars-Saturn</v>
      </c>
      <c r="B209" s="532" t="s">
        <v>164</v>
      </c>
      <c r="C209" s="533" t="n">
        <f aca="false">SaturnHouse</f>
        <v>2</v>
      </c>
      <c r="D209" s="534" t="str">
        <f aca="false">INDEX($Z209:$AW209,,12+D$152-$Q209+1)</f>
        <v>*</v>
      </c>
      <c r="E209" s="534" t="n">
        <f aca="false">INDEX($Z209:$AW209,,12+E$152-$Q209+1)</f>
        <v>1</v>
      </c>
      <c r="F209" s="534" t="str">
        <f aca="false">INDEX($Z209:$AW209,,12+F$152-$Q209+1)</f>
        <v>*</v>
      </c>
      <c r="G209" s="534" t="str">
        <f aca="false">INDEX($Z209:$AW209,,12+G$152-$Q209+1)</f>
        <v>*</v>
      </c>
      <c r="H209" s="534" t="n">
        <f aca="false">INDEX($Z209:$AW209,,12+H$152-$Q209+1)</f>
        <v>1</v>
      </c>
      <c r="I209" s="534" t="str">
        <f aca="false">INDEX($Z209:$AW209,,12+I$152-$Q209+1)</f>
        <v>*</v>
      </c>
      <c r="J209" s="534" t="str">
        <f aca="false">INDEX($Z209:$AW209,,12+J$152-$Q209+1)</f>
        <v>*</v>
      </c>
      <c r="K209" s="534" t="n">
        <f aca="false">INDEX($Z209:$AW209,,12+K$152-$Q209+1)</f>
        <v>1</v>
      </c>
      <c r="L209" s="534" t="n">
        <f aca="false">INDEX($Z209:$AW209,,12+L$152-$Q209+1)</f>
        <v>1</v>
      </c>
      <c r="M209" s="534" t="n">
        <f aca="false">INDEX($Z209:$AW209,,12+M$152-$Q209+1)</f>
        <v>1</v>
      </c>
      <c r="N209" s="534" t="n">
        <f aca="false">INDEX($Z209:$AW209,,12+N$152-$Q209+1)</f>
        <v>1</v>
      </c>
      <c r="O209" s="534" t="n">
        <f aca="false">INDEX($Z209:$AW209,,12+O$152-$Q209+1)</f>
        <v>1</v>
      </c>
      <c r="P209" s="535" t="n">
        <f aca="false">SUM(D209:O209)</f>
        <v>7</v>
      </c>
      <c r="Q209" s="533" t="n">
        <f aca="false">IF($Y$82,D207,C209)</f>
        <v>2</v>
      </c>
      <c r="S209" s="489"/>
      <c r="T209" s="489"/>
      <c r="U209" s="489"/>
      <c r="V209" s="489"/>
      <c r="W209" s="474" t="s">
        <v>781</v>
      </c>
      <c r="X209" s="532" t="s">
        <v>164</v>
      </c>
      <c r="Y209" s="536" t="n">
        <f aca="false">SUM(Z209:AK209)</f>
        <v>7</v>
      </c>
      <c r="Z209" s="534" t="n">
        <v>1</v>
      </c>
      <c r="AA209" s="534" t="s">
        <v>181</v>
      </c>
      <c r="AB209" s="534" t="s">
        <v>181</v>
      </c>
      <c r="AC209" s="534" t="n">
        <v>1</v>
      </c>
      <c r="AD209" s="534" t="s">
        <v>181</v>
      </c>
      <c r="AE209" s="534" t="s">
        <v>181</v>
      </c>
      <c r="AF209" s="534" t="n">
        <v>1</v>
      </c>
      <c r="AG209" s="534" t="n">
        <v>1</v>
      </c>
      <c r="AH209" s="534" t="n">
        <v>1</v>
      </c>
      <c r="AI209" s="534" t="n">
        <v>1</v>
      </c>
      <c r="AJ209" s="534" t="n">
        <v>1</v>
      </c>
      <c r="AK209" s="534" t="s">
        <v>181</v>
      </c>
      <c r="AL209" s="537" t="n">
        <f aca="false">Z209</f>
        <v>1</v>
      </c>
      <c r="AM209" s="534" t="str">
        <f aca="false">AA209</f>
        <v>*</v>
      </c>
      <c r="AN209" s="534" t="str">
        <f aca="false">AB209</f>
        <v>*</v>
      </c>
      <c r="AO209" s="534" t="n">
        <f aca="false">AC209</f>
        <v>1</v>
      </c>
      <c r="AP209" s="534" t="str">
        <f aca="false">AD209</f>
        <v>*</v>
      </c>
      <c r="AQ209" s="534" t="str">
        <f aca="false">AE209</f>
        <v>*</v>
      </c>
      <c r="AR209" s="534" t="n">
        <f aca="false">AF209</f>
        <v>1</v>
      </c>
      <c r="AS209" s="534" t="n">
        <f aca="false">AG209</f>
        <v>1</v>
      </c>
      <c r="AT209" s="534" t="n">
        <f aca="false">AH209</f>
        <v>1</v>
      </c>
      <c r="AU209" s="534" t="n">
        <f aca="false">AI209</f>
        <v>1</v>
      </c>
      <c r="AV209" s="534" t="n">
        <f aca="false">AJ209</f>
        <v>1</v>
      </c>
      <c r="AW209" s="538" t="str">
        <f aca="false">AK209</f>
        <v>*</v>
      </c>
      <c r="AX209" s="474" t="str">
        <f aca="false">MIN($Y$153,$Y$167,$Y$181,$Y$195,$Y$209,$Y$223,$Y$237,$Y$251)&amp;"-"&amp;MAX($Y$153,$Y$167,$Y$181,$Y$195,$Y$209,$Y$223,$Y$237,$Y$251)</f>
        <v>4-8</v>
      </c>
    </row>
    <row r="210" customFormat="false" ht="15" hidden="false" customHeight="false" outlineLevel="0" collapsed="false">
      <c r="A210" s="488" t="str">
        <f aca="false">A207&amp;"-"&amp;B210</f>
        <v>Mars-Jupiter</v>
      </c>
      <c r="B210" s="532" t="s">
        <v>162</v>
      </c>
      <c r="C210" s="533" t="n">
        <f aca="false">JupiterHouse</f>
        <v>8</v>
      </c>
      <c r="D210" s="534" t="n">
        <f aca="false">INDEX($Z210:$AW210,,12+D$152-$Q210+1)</f>
        <v>1</v>
      </c>
      <c r="E210" s="534" t="str">
        <f aca="false">INDEX($Z210:$AW210,,12+E$152-$Q210+1)</f>
        <v>*</v>
      </c>
      <c r="F210" s="534" t="str">
        <f aca="false">INDEX($Z210:$AW210,,12+F$152-$Q210+1)</f>
        <v>*</v>
      </c>
      <c r="G210" s="534" t="str">
        <f aca="false">INDEX($Z210:$AW210,,12+G$152-$Q210+1)</f>
        <v>*</v>
      </c>
      <c r="H210" s="534" t="n">
        <f aca="false">INDEX($Z210:$AW210,,12+H$152-$Q210+1)</f>
        <v>1</v>
      </c>
      <c r="I210" s="534" t="n">
        <f aca="false">INDEX($Z210:$AW210,,12+I$152-$Q210+1)</f>
        <v>1</v>
      </c>
      <c r="J210" s="534" t="n">
        <f aca="false">INDEX($Z210:$AW210,,12+J$152-$Q210+1)</f>
        <v>1</v>
      </c>
      <c r="K210" s="534" t="str">
        <f aca="false">INDEX($Z210:$AW210,,12+K$152-$Q210+1)</f>
        <v>*</v>
      </c>
      <c r="L210" s="534" t="str">
        <f aca="false">INDEX($Z210:$AW210,,12+L$152-$Q210+1)</f>
        <v>*</v>
      </c>
      <c r="M210" s="534" t="str">
        <f aca="false">INDEX($Z210:$AW210,,12+M$152-$Q210+1)</f>
        <v>*</v>
      </c>
      <c r="N210" s="534" t="str">
        <f aca="false">INDEX($Z210:$AW210,,12+N$152-$Q210+1)</f>
        <v>*</v>
      </c>
      <c r="O210" s="534" t="str">
        <f aca="false">INDEX($Z210:$AW210,,12+O$152-$Q210+1)</f>
        <v>*</v>
      </c>
      <c r="P210" s="535" t="n">
        <f aca="false">SUM(D210:O210)</f>
        <v>4</v>
      </c>
      <c r="Q210" s="533" t="n">
        <f aca="false">IF($Y$82,D207,C210)</f>
        <v>8</v>
      </c>
      <c r="S210" s="489"/>
      <c r="T210" s="489"/>
      <c r="U210" s="489"/>
      <c r="V210" s="489"/>
      <c r="X210" s="532" t="s">
        <v>162</v>
      </c>
      <c r="Y210" s="536" t="n">
        <f aca="false">SUM(Z210:AK210)</f>
        <v>4</v>
      </c>
      <c r="Z210" s="534" t="s">
        <v>181</v>
      </c>
      <c r="AA210" s="534" t="s">
        <v>181</v>
      </c>
      <c r="AB210" s="534" t="s">
        <v>181</v>
      </c>
      <c r="AC210" s="534" t="s">
        <v>181</v>
      </c>
      <c r="AD210" s="534" t="s">
        <v>181</v>
      </c>
      <c r="AE210" s="534" t="n">
        <v>1</v>
      </c>
      <c r="AF210" s="534" t="s">
        <v>181</v>
      </c>
      <c r="AG210" s="534" t="s">
        <v>181</v>
      </c>
      <c r="AH210" s="534" t="s">
        <v>181</v>
      </c>
      <c r="AI210" s="534" t="n">
        <v>1</v>
      </c>
      <c r="AJ210" s="534" t="n">
        <v>1</v>
      </c>
      <c r="AK210" s="534" t="n">
        <v>1</v>
      </c>
      <c r="AL210" s="537" t="str">
        <f aca="false">Z210</f>
        <v>*</v>
      </c>
      <c r="AM210" s="534" t="str">
        <f aca="false">AA210</f>
        <v>*</v>
      </c>
      <c r="AN210" s="534" t="str">
        <f aca="false">AB210</f>
        <v>*</v>
      </c>
      <c r="AO210" s="534" t="str">
        <f aca="false">AC210</f>
        <v>*</v>
      </c>
      <c r="AP210" s="534" t="str">
        <f aca="false">AD210</f>
        <v>*</v>
      </c>
      <c r="AQ210" s="534" t="n">
        <f aca="false">AE210</f>
        <v>1</v>
      </c>
      <c r="AR210" s="534" t="str">
        <f aca="false">AF210</f>
        <v>*</v>
      </c>
      <c r="AS210" s="534" t="str">
        <f aca="false">AG210</f>
        <v>*</v>
      </c>
      <c r="AT210" s="534" t="str">
        <f aca="false">AH210</f>
        <v>*</v>
      </c>
      <c r="AU210" s="534" t="n">
        <f aca="false">AI210</f>
        <v>1</v>
      </c>
      <c r="AV210" s="534" t="n">
        <f aca="false">AJ210</f>
        <v>1</v>
      </c>
      <c r="AW210" s="538" t="n">
        <f aca="false">AK210</f>
        <v>1</v>
      </c>
      <c r="AX210" s="474" t="str">
        <f aca="false">MIN($Y$154,$Y$168,$Y$182,$Y$196,$Y$210,$Y$224,$Y$238,$Y$252)&amp;"-"&amp;MAX($Y$154,$Y$168,$Y$182,$Y$196,$Y$210,$Y$224,$Y$238,$Y$252)</f>
        <v>4-9</v>
      </c>
      <c r="AY210" s="474" t="s">
        <v>780</v>
      </c>
    </row>
    <row r="211" customFormat="false" ht="15" hidden="false" customHeight="false" outlineLevel="0" collapsed="false">
      <c r="A211" s="488" t="str">
        <f aca="false">A207&amp;"-"&amp;B211</f>
        <v>Mars-Mars</v>
      </c>
      <c r="B211" s="532" t="s">
        <v>160</v>
      </c>
      <c r="C211" s="533" t="n">
        <f aca="false">MarsHouse</f>
        <v>10</v>
      </c>
      <c r="D211" s="534" t="n">
        <f aca="false">INDEX($Z211:$AW211,,12+D$152-$Q211+1)</f>
        <v>1</v>
      </c>
      <c r="E211" s="534" t="str">
        <f aca="false">INDEX($Z211:$AW211,,12+E$152-$Q211+1)</f>
        <v>*</v>
      </c>
      <c r="F211" s="534" t="str">
        <f aca="false">INDEX($Z211:$AW211,,12+F$152-$Q211+1)</f>
        <v>*</v>
      </c>
      <c r="G211" s="534" t="n">
        <f aca="false">INDEX($Z211:$AW211,,12+G$152-$Q211+1)</f>
        <v>1</v>
      </c>
      <c r="H211" s="534" t="n">
        <f aca="false">INDEX($Z211:$AW211,,12+H$152-$Q211+1)</f>
        <v>1</v>
      </c>
      <c r="I211" s="534" t="str">
        <f aca="false">INDEX($Z211:$AW211,,12+I$152-$Q211+1)</f>
        <v>*</v>
      </c>
      <c r="J211" s="534" t="n">
        <f aca="false">INDEX($Z211:$AW211,,12+J$152-$Q211+1)</f>
        <v>1</v>
      </c>
      <c r="K211" s="534" t="n">
        <f aca="false">INDEX($Z211:$AW211,,12+K$152-$Q211+1)</f>
        <v>1</v>
      </c>
      <c r="L211" s="534" t="str">
        <f aca="false">INDEX($Z211:$AW211,,12+L$152-$Q211+1)</f>
        <v>*</v>
      </c>
      <c r="M211" s="534" t="n">
        <f aca="false">INDEX($Z211:$AW211,,12+M$152-$Q211+1)</f>
        <v>1</v>
      </c>
      <c r="N211" s="534" t="n">
        <f aca="false">INDEX($Z211:$AW211,,12+N$152-$Q211+1)</f>
        <v>1</v>
      </c>
      <c r="O211" s="534" t="str">
        <f aca="false">INDEX($Z211:$AW211,,12+O$152-$Q211+1)</f>
        <v>*</v>
      </c>
      <c r="P211" s="535" t="n">
        <f aca="false">SUM(D211:O211)</f>
        <v>7</v>
      </c>
      <c r="Q211" s="533" t="n">
        <f aca="false">IF($Y$82,D207,C211)</f>
        <v>10</v>
      </c>
      <c r="S211" s="489" t="n">
        <f aca="false">N217</f>
        <v>2</v>
      </c>
      <c r="T211" s="490" t="str">
        <f aca="false">C207&amp;"  Ashtakavarga  "&amp;P217</f>
        <v>  Ashtakavarga  39</v>
      </c>
      <c r="U211" s="490"/>
      <c r="V211" s="550" t="n">
        <f aca="false">G217</f>
        <v>2</v>
      </c>
      <c r="W211" s="474" t="s">
        <v>781</v>
      </c>
      <c r="X211" s="532" t="s">
        <v>160</v>
      </c>
      <c r="Y211" s="536" t="n">
        <f aca="false">SUM(Z211:AK211)</f>
        <v>7</v>
      </c>
      <c r="Z211" s="534" t="n">
        <v>1</v>
      </c>
      <c r="AA211" s="534" t="n">
        <v>1</v>
      </c>
      <c r="AB211" s="534" t="s">
        <v>181</v>
      </c>
      <c r="AC211" s="534" t="n">
        <v>1</v>
      </c>
      <c r="AD211" s="534" t="s">
        <v>181</v>
      </c>
      <c r="AE211" s="534" t="s">
        <v>181</v>
      </c>
      <c r="AF211" s="534" t="n">
        <v>1</v>
      </c>
      <c r="AG211" s="534" t="n">
        <v>1</v>
      </c>
      <c r="AH211" s="534" t="s">
        <v>181</v>
      </c>
      <c r="AI211" s="534" t="n">
        <v>1</v>
      </c>
      <c r="AJ211" s="534" t="n">
        <v>1</v>
      </c>
      <c r="AK211" s="534" t="s">
        <v>181</v>
      </c>
      <c r="AL211" s="537" t="n">
        <f aca="false">Z211</f>
        <v>1</v>
      </c>
      <c r="AM211" s="534" t="n">
        <f aca="false">AA211</f>
        <v>1</v>
      </c>
      <c r="AN211" s="534" t="str">
        <f aca="false">AB211</f>
        <v>*</v>
      </c>
      <c r="AO211" s="534" t="n">
        <f aca="false">AC211</f>
        <v>1</v>
      </c>
      <c r="AP211" s="534" t="str">
        <f aca="false">AD211</f>
        <v>*</v>
      </c>
      <c r="AQ211" s="534" t="str">
        <f aca="false">AE211</f>
        <v>*</v>
      </c>
      <c r="AR211" s="534" t="n">
        <f aca="false">AF211</f>
        <v>1</v>
      </c>
      <c r="AS211" s="534" t="n">
        <f aca="false">AG211</f>
        <v>1</v>
      </c>
      <c r="AT211" s="534" t="str">
        <f aca="false">AH211</f>
        <v>*</v>
      </c>
      <c r="AU211" s="534" t="n">
        <f aca="false">AI211</f>
        <v>1</v>
      </c>
      <c r="AV211" s="534" t="n">
        <f aca="false">AJ211</f>
        <v>1</v>
      </c>
      <c r="AW211" s="538" t="str">
        <f aca="false">AK211</f>
        <v>*</v>
      </c>
      <c r="AX211" s="474" t="str">
        <f aca="false">MIN($Y$155,$Y$169,$Y$183,$Y$197,$Y$211,$Y$225,$Y$239,$Y$253)&amp;"-"&amp;MAX($Y$155,$Y$169,$Y$183,$Y$197,$Y$211,$Y$225,$Y$239,$Y$253)</f>
        <v>5-8</v>
      </c>
    </row>
    <row r="212" customFormat="false" ht="15" hidden="false" customHeight="false" outlineLevel="0" collapsed="false">
      <c r="A212" s="488" t="str">
        <f aca="false">A207&amp;"-"&amp;B212</f>
        <v>Mars-Sun</v>
      </c>
      <c r="B212" s="532" t="s">
        <v>158</v>
      </c>
      <c r="C212" s="533" t="n">
        <f aca="false">SunHouse</f>
        <v>4</v>
      </c>
      <c r="D212" s="534" t="n">
        <f aca="false">INDEX($Z212:$AW212,,12+D$152-$Q212+1)</f>
        <v>1</v>
      </c>
      <c r="E212" s="534" t="n">
        <f aca="false">INDEX($Z212:$AW212,,12+E$152-$Q212+1)</f>
        <v>1</v>
      </c>
      <c r="F212" s="534" t="str">
        <f aca="false">INDEX($Z212:$AW212,,12+F$152-$Q212+1)</f>
        <v>*</v>
      </c>
      <c r="G212" s="534" t="str">
        <f aca="false">INDEX($Z212:$AW212,,12+G$152-$Q212+1)</f>
        <v>*</v>
      </c>
      <c r="H212" s="534" t="str">
        <f aca="false">INDEX($Z212:$AW212,,12+H$152-$Q212+1)</f>
        <v>*</v>
      </c>
      <c r="I212" s="534" t="n">
        <f aca="false">INDEX($Z212:$AW212,,12+I$152-$Q212+1)</f>
        <v>1</v>
      </c>
      <c r="J212" s="534" t="str">
        <f aca="false">INDEX($Z212:$AW212,,12+J$152-$Q212+1)</f>
        <v>*</v>
      </c>
      <c r="K212" s="534" t="n">
        <f aca="false">INDEX($Z212:$AW212,,12+K$152-$Q212+1)</f>
        <v>1</v>
      </c>
      <c r="L212" s="534" t="n">
        <f aca="false">INDEX($Z212:$AW212,,12+L$152-$Q212+1)</f>
        <v>1</v>
      </c>
      <c r="M212" s="534" t="str">
        <f aca="false">INDEX($Z212:$AW212,,12+M$152-$Q212+1)</f>
        <v>*</v>
      </c>
      <c r="N212" s="534" t="str">
        <f aca="false">INDEX($Z212:$AW212,,12+N$152-$Q212+1)</f>
        <v>*</v>
      </c>
      <c r="O212" s="534" t="str">
        <f aca="false">INDEX($Z212:$AW212,,12+O$152-$Q212+1)</f>
        <v>*</v>
      </c>
      <c r="P212" s="535" t="n">
        <f aca="false">SUM(D212:O212)</f>
        <v>5</v>
      </c>
      <c r="Q212" s="533" t="n">
        <f aca="false">IF($Y$82,D207,C212)</f>
        <v>4</v>
      </c>
      <c r="S212" s="489"/>
      <c r="T212" s="489"/>
      <c r="U212" s="490"/>
      <c r="V212" s="550"/>
      <c r="X212" s="532" t="s">
        <v>158</v>
      </c>
      <c r="Y212" s="536" t="n">
        <f aca="false">SUM(Z212:AK212)</f>
        <v>5</v>
      </c>
      <c r="Z212" s="534" t="s">
        <v>181</v>
      </c>
      <c r="AA212" s="534" t="s">
        <v>181</v>
      </c>
      <c r="AB212" s="534" t="n">
        <v>1</v>
      </c>
      <c r="AC212" s="534" t="s">
        <v>181</v>
      </c>
      <c r="AD212" s="534" t="n">
        <v>1</v>
      </c>
      <c r="AE212" s="534" t="n">
        <v>1</v>
      </c>
      <c r="AF212" s="534" t="s">
        <v>181</v>
      </c>
      <c r="AG212" s="534" t="s">
        <v>181</v>
      </c>
      <c r="AH212" s="534" t="s">
        <v>181</v>
      </c>
      <c r="AI212" s="534" t="n">
        <v>1</v>
      </c>
      <c r="AJ212" s="534" t="n">
        <v>1</v>
      </c>
      <c r="AK212" s="534" t="s">
        <v>181</v>
      </c>
      <c r="AL212" s="537" t="str">
        <f aca="false">Z212</f>
        <v>*</v>
      </c>
      <c r="AM212" s="534" t="str">
        <f aca="false">AA212</f>
        <v>*</v>
      </c>
      <c r="AN212" s="534" t="n">
        <f aca="false">AB212</f>
        <v>1</v>
      </c>
      <c r="AO212" s="534" t="str">
        <f aca="false">AC212</f>
        <v>*</v>
      </c>
      <c r="AP212" s="534" t="n">
        <f aca="false">AD212</f>
        <v>1</v>
      </c>
      <c r="AQ212" s="534" t="n">
        <f aca="false">AE212</f>
        <v>1</v>
      </c>
      <c r="AR212" s="534" t="str">
        <f aca="false">AF212</f>
        <v>*</v>
      </c>
      <c r="AS212" s="534" t="str">
        <f aca="false">AG212</f>
        <v>*</v>
      </c>
      <c r="AT212" s="534" t="str">
        <f aca="false">AH212</f>
        <v>*</v>
      </c>
      <c r="AU212" s="534" t="n">
        <f aca="false">AI212</f>
        <v>1</v>
      </c>
      <c r="AV212" s="534" t="n">
        <f aca="false">AJ212</f>
        <v>1</v>
      </c>
      <c r="AW212" s="538" t="str">
        <f aca="false">AK212</f>
        <v>*</v>
      </c>
      <c r="AX212" s="474" t="str">
        <f aca="false">MIN($Y$156,$Y$170,$Y$184,$Y$198,$Y$212,$Y$226,$Y$240,$Y$254)&amp;"-"&amp;MAX($Y$156,$Y$170,$Y$184,$Y$198,$Y$212,$Y$226,$Y$240,$Y$254)</f>
        <v>3-9</v>
      </c>
    </row>
    <row r="213" customFormat="false" ht="15" hidden="false" customHeight="false" outlineLevel="0" collapsed="false">
      <c r="A213" s="488" t="str">
        <f aca="false">A207&amp;"-"&amp;B213</f>
        <v>Mars-Venus</v>
      </c>
      <c r="B213" s="532" t="s">
        <v>163</v>
      </c>
      <c r="C213" s="533" t="n">
        <f aca="false">VenusHouse</f>
        <v>3</v>
      </c>
      <c r="D213" s="534" t="n">
        <f aca="false">INDEX($Z213:$AW213,,12+D$152-$Q213+1)</f>
        <v>1</v>
      </c>
      <c r="E213" s="534" t="n">
        <f aca="false">INDEX($Z213:$AW213,,12+E$152-$Q213+1)</f>
        <v>1</v>
      </c>
      <c r="F213" s="534" t="str">
        <f aca="false">INDEX($Z213:$AW213,,12+F$152-$Q213+1)</f>
        <v>*</v>
      </c>
      <c r="G213" s="534" t="str">
        <f aca="false">INDEX($Z213:$AW213,,12+G$152-$Q213+1)</f>
        <v>*</v>
      </c>
      <c r="H213" s="534" t="str">
        <f aca="false">INDEX($Z213:$AW213,,12+H$152-$Q213+1)</f>
        <v>*</v>
      </c>
      <c r="I213" s="534" t="str">
        <f aca="false">INDEX($Z213:$AW213,,12+I$152-$Q213+1)</f>
        <v>*</v>
      </c>
      <c r="J213" s="534" t="str">
        <f aca="false">INDEX($Z213:$AW213,,12+J$152-$Q213+1)</f>
        <v>*</v>
      </c>
      <c r="K213" s="534" t="n">
        <f aca="false">INDEX($Z213:$AW213,,12+K$152-$Q213+1)</f>
        <v>1</v>
      </c>
      <c r="L213" s="534" t="str">
        <f aca="false">INDEX($Z213:$AW213,,12+L$152-$Q213+1)</f>
        <v>*</v>
      </c>
      <c r="M213" s="534" t="n">
        <f aca="false">INDEX($Z213:$AW213,,12+M$152-$Q213+1)</f>
        <v>1</v>
      </c>
      <c r="N213" s="534" t="str">
        <f aca="false">INDEX($Z213:$AW213,,12+N$152-$Q213+1)</f>
        <v>*</v>
      </c>
      <c r="O213" s="534" t="str">
        <f aca="false">INDEX($Z213:$AW213,,12+O$152-$Q213+1)</f>
        <v>*</v>
      </c>
      <c r="P213" s="535" t="n">
        <f aca="false">SUM(D213:O213)</f>
        <v>4</v>
      </c>
      <c r="Q213" s="533" t="n">
        <f aca="false">IF($Y$82,D207,C213)</f>
        <v>3</v>
      </c>
      <c r="S213" s="489"/>
      <c r="T213" s="489"/>
      <c r="U213" s="490"/>
      <c r="V213" s="550"/>
      <c r="X213" s="532" t="s">
        <v>163</v>
      </c>
      <c r="Y213" s="536" t="n">
        <f aca="false">SUM(Z213:AK213)</f>
        <v>4</v>
      </c>
      <c r="Z213" s="534" t="s">
        <v>181</v>
      </c>
      <c r="AA213" s="534" t="s">
        <v>181</v>
      </c>
      <c r="AB213" s="534" t="s">
        <v>181</v>
      </c>
      <c r="AC213" s="534" t="s">
        <v>181</v>
      </c>
      <c r="AD213" s="534" t="s">
        <v>181</v>
      </c>
      <c r="AE213" s="534" t="n">
        <v>1</v>
      </c>
      <c r="AF213" s="534" t="s">
        <v>181</v>
      </c>
      <c r="AG213" s="534" t="n">
        <v>1</v>
      </c>
      <c r="AH213" s="534" t="s">
        <v>181</v>
      </c>
      <c r="AI213" s="534" t="s">
        <v>181</v>
      </c>
      <c r="AJ213" s="534" t="n">
        <v>1</v>
      </c>
      <c r="AK213" s="534" t="n">
        <v>1</v>
      </c>
      <c r="AL213" s="537" t="str">
        <f aca="false">Z213</f>
        <v>*</v>
      </c>
      <c r="AM213" s="534" t="str">
        <f aca="false">AA213</f>
        <v>*</v>
      </c>
      <c r="AN213" s="534" t="str">
        <f aca="false">AB213</f>
        <v>*</v>
      </c>
      <c r="AO213" s="534" t="str">
        <f aca="false">AC213</f>
        <v>*</v>
      </c>
      <c r="AP213" s="534" t="str">
        <f aca="false">AD213</f>
        <v>*</v>
      </c>
      <c r="AQ213" s="534" t="n">
        <f aca="false">AE213</f>
        <v>1</v>
      </c>
      <c r="AR213" s="534" t="str">
        <f aca="false">AF213</f>
        <v>*</v>
      </c>
      <c r="AS213" s="534" t="n">
        <f aca="false">AG213</f>
        <v>1</v>
      </c>
      <c r="AT213" s="534" t="str">
        <f aca="false">AH213</f>
        <v>*</v>
      </c>
      <c r="AU213" s="534" t="str">
        <f aca="false">AI213</f>
        <v>*</v>
      </c>
      <c r="AV213" s="534" t="n">
        <f aca="false">AJ213</f>
        <v>1</v>
      </c>
      <c r="AW213" s="538" t="n">
        <f aca="false">AK213</f>
        <v>1</v>
      </c>
      <c r="AX213" s="474" t="str">
        <f aca="false">MIN($Y$157,$Y$171,$Y$185,$Y$199,$Y$213,$Y$227,$Y$241,$Y$255)&amp;"-"&amp;MAX($Y$157,$Y$171,$Y$185,$Y$199,$Y$213,$Y$227,$Y$241,$Y$255)</f>
        <v>3-9</v>
      </c>
    </row>
    <row r="214" customFormat="false" ht="15" hidden="false" customHeight="false" outlineLevel="0" collapsed="false">
      <c r="A214" s="488" t="str">
        <f aca="false">A207&amp;"-"&amp;B214</f>
        <v>Mars-Mercury</v>
      </c>
      <c r="B214" s="532" t="s">
        <v>161</v>
      </c>
      <c r="C214" s="533" t="n">
        <f aca="false">MercuryHouse</f>
        <v>4</v>
      </c>
      <c r="D214" s="534" t="str">
        <f aca="false">INDEX($Z214:$AW214,,12+D$152-$Q214+1)</f>
        <v>*</v>
      </c>
      <c r="E214" s="534" t="n">
        <f aca="false">INDEX($Z214:$AW214,,12+E$152-$Q214+1)</f>
        <v>1</v>
      </c>
      <c r="F214" s="534" t="str">
        <f aca="false">INDEX($Z214:$AW214,,12+F$152-$Q214+1)</f>
        <v>*</v>
      </c>
      <c r="G214" s="534" t="str">
        <f aca="false">INDEX($Z214:$AW214,,12+G$152-$Q214+1)</f>
        <v>*</v>
      </c>
      <c r="H214" s="534" t="str">
        <f aca="false">INDEX($Z214:$AW214,,12+H$152-$Q214+1)</f>
        <v>*</v>
      </c>
      <c r="I214" s="534" t="n">
        <f aca="false">INDEX($Z214:$AW214,,12+I$152-$Q214+1)</f>
        <v>1</v>
      </c>
      <c r="J214" s="534" t="str">
        <f aca="false">INDEX($Z214:$AW214,,12+J$152-$Q214+1)</f>
        <v>*</v>
      </c>
      <c r="K214" s="534" t="n">
        <f aca="false">INDEX($Z214:$AW214,,12+K$152-$Q214+1)</f>
        <v>1</v>
      </c>
      <c r="L214" s="534" t="n">
        <f aca="false">INDEX($Z214:$AW214,,12+L$152-$Q214+1)</f>
        <v>1</v>
      </c>
      <c r="M214" s="534" t="str">
        <f aca="false">INDEX($Z214:$AW214,,12+M$152-$Q214+1)</f>
        <v>*</v>
      </c>
      <c r="N214" s="534" t="str">
        <f aca="false">INDEX($Z214:$AW214,,12+N$152-$Q214+1)</f>
        <v>*</v>
      </c>
      <c r="O214" s="534" t="str">
        <f aca="false">INDEX($Z214:$AW214,,12+O$152-$Q214+1)</f>
        <v>*</v>
      </c>
      <c r="P214" s="535" t="n">
        <f aca="false">SUM(D214:O214)</f>
        <v>4</v>
      </c>
      <c r="Q214" s="533" t="n">
        <f aca="false">IF($Y$82,D207,C214)</f>
        <v>4</v>
      </c>
      <c r="S214" s="489" t="n">
        <f aca="false">M217</f>
        <v>4</v>
      </c>
      <c r="T214" s="490"/>
      <c r="U214" s="490"/>
      <c r="V214" s="489" t="n">
        <f aca="false">H217</f>
        <v>4</v>
      </c>
      <c r="X214" s="532" t="s">
        <v>161</v>
      </c>
      <c r="Y214" s="536" t="n">
        <f aca="false">SUM(Z214:AK214)</f>
        <v>4</v>
      </c>
      <c r="Z214" s="534" t="s">
        <v>181</v>
      </c>
      <c r="AA214" s="534" t="s">
        <v>181</v>
      </c>
      <c r="AB214" s="534" t="n">
        <v>1</v>
      </c>
      <c r="AC214" s="534" t="s">
        <v>181</v>
      </c>
      <c r="AD214" s="534" t="n">
        <v>1</v>
      </c>
      <c r="AE214" s="534" t="n">
        <v>1</v>
      </c>
      <c r="AF214" s="534" t="s">
        <v>181</v>
      </c>
      <c r="AG214" s="534" t="s">
        <v>181</v>
      </c>
      <c r="AH214" s="534" t="s">
        <v>181</v>
      </c>
      <c r="AI214" s="534" t="s">
        <v>181</v>
      </c>
      <c r="AJ214" s="534" t="n">
        <v>1</v>
      </c>
      <c r="AK214" s="534" t="s">
        <v>181</v>
      </c>
      <c r="AL214" s="537" t="str">
        <f aca="false">Z214</f>
        <v>*</v>
      </c>
      <c r="AM214" s="534" t="str">
        <f aca="false">AA214</f>
        <v>*</v>
      </c>
      <c r="AN214" s="534" t="n">
        <f aca="false">AB214</f>
        <v>1</v>
      </c>
      <c r="AO214" s="534" t="str">
        <f aca="false">AC214</f>
        <v>*</v>
      </c>
      <c r="AP214" s="534" t="n">
        <f aca="false">AD214</f>
        <v>1</v>
      </c>
      <c r="AQ214" s="534" t="n">
        <f aca="false">AE214</f>
        <v>1</v>
      </c>
      <c r="AR214" s="534" t="str">
        <f aca="false">AF214</f>
        <v>*</v>
      </c>
      <c r="AS214" s="534" t="str">
        <f aca="false">AG214</f>
        <v>*</v>
      </c>
      <c r="AT214" s="534" t="str">
        <f aca="false">AH214</f>
        <v>*</v>
      </c>
      <c r="AU214" s="534" t="str">
        <f aca="false">AI214</f>
        <v>*</v>
      </c>
      <c r="AV214" s="534" t="n">
        <f aca="false">AJ214</f>
        <v>1</v>
      </c>
      <c r="AW214" s="538" t="str">
        <f aca="false">AK214</f>
        <v>*</v>
      </c>
      <c r="AX214" s="474" t="str">
        <f aca="false">MIN($Y$158,$Y$172,$Y$186,$Y$200,$Y$214,$Y$228,$Y$242,$Y$256)&amp;"-"&amp;MAX($Y$158,$Y$172,$Y$186,$Y$200,$Y$214,$Y$228,$Y$242,$Y$256)</f>
        <v>4-8</v>
      </c>
      <c r="AY214" s="474" t="s">
        <v>780</v>
      </c>
    </row>
    <row r="215" customFormat="false" ht="15" hidden="false" customHeight="false" outlineLevel="0" collapsed="false">
      <c r="A215" s="488" t="str">
        <f aca="false">A207&amp;"-"&amp;B215</f>
        <v>Mars-Moon</v>
      </c>
      <c r="B215" s="532" t="s">
        <v>159</v>
      </c>
      <c r="C215" s="533" t="n">
        <f aca="false">MoonHouse</f>
        <v>2</v>
      </c>
      <c r="D215" s="534" t="str">
        <f aca="false">INDEX($Z215:$AW215,,12+D$152-$Q215+1)</f>
        <v>*</v>
      </c>
      <c r="E215" s="534" t="str">
        <f aca="false">INDEX($Z215:$AW215,,12+E$152-$Q215+1)</f>
        <v>*</v>
      </c>
      <c r="F215" s="534" t="str">
        <f aca="false">INDEX($Z215:$AW215,,12+F$152-$Q215+1)</f>
        <v>*</v>
      </c>
      <c r="G215" s="534" t="n">
        <f aca="false">INDEX($Z215:$AW215,,12+G$152-$Q215+1)</f>
        <v>1</v>
      </c>
      <c r="H215" s="534" t="str">
        <f aca="false">INDEX($Z215:$AW215,,12+H$152-$Q215+1)</f>
        <v>*</v>
      </c>
      <c r="I215" s="534" t="str">
        <f aca="false">INDEX($Z215:$AW215,,12+I$152-$Q215+1)</f>
        <v>*</v>
      </c>
      <c r="J215" s="534" t="n">
        <f aca="false">INDEX($Z215:$AW215,,12+J$152-$Q215+1)</f>
        <v>1</v>
      </c>
      <c r="K215" s="534" t="str">
        <f aca="false">INDEX($Z215:$AW215,,12+K$152-$Q215+1)</f>
        <v>*</v>
      </c>
      <c r="L215" s="534" t="str">
        <f aca="false">INDEX($Z215:$AW215,,12+L$152-$Q215+1)</f>
        <v>*</v>
      </c>
      <c r="M215" s="534" t="str">
        <f aca="false">INDEX($Z215:$AW215,,12+M$152-$Q215+1)</f>
        <v>*</v>
      </c>
      <c r="N215" s="534" t="str">
        <f aca="false">INDEX($Z215:$AW215,,12+N$152-$Q215+1)</f>
        <v>*</v>
      </c>
      <c r="O215" s="534" t="n">
        <f aca="false">INDEX($Z215:$AW215,,12+O$152-$Q215+1)</f>
        <v>1</v>
      </c>
      <c r="P215" s="535" t="n">
        <f aca="false">SUM(D215:O215)</f>
        <v>3</v>
      </c>
      <c r="Q215" s="533" t="n">
        <f aca="false">IF($Y$82,D207,C215)</f>
        <v>2</v>
      </c>
      <c r="S215" s="489"/>
      <c r="T215" s="489"/>
      <c r="U215" s="490"/>
      <c r="V215" s="489"/>
      <c r="W215" s="474" t="s">
        <v>780</v>
      </c>
      <c r="X215" s="532" t="s">
        <v>159</v>
      </c>
      <c r="Y215" s="536" t="n">
        <f aca="false">SUM(Z215:AK215)</f>
        <v>3</v>
      </c>
      <c r="Z215" s="534" t="s">
        <v>181</v>
      </c>
      <c r="AA215" s="534" t="s">
        <v>181</v>
      </c>
      <c r="AB215" s="534" t="n">
        <v>1</v>
      </c>
      <c r="AC215" s="534" t="s">
        <v>181</v>
      </c>
      <c r="AD215" s="534" t="s">
        <v>181</v>
      </c>
      <c r="AE215" s="534" t="n">
        <v>1</v>
      </c>
      <c r="AF215" s="534" t="s">
        <v>181</v>
      </c>
      <c r="AG215" s="534" t="s">
        <v>181</v>
      </c>
      <c r="AH215" s="534" t="s">
        <v>181</v>
      </c>
      <c r="AI215" s="534" t="s">
        <v>181</v>
      </c>
      <c r="AJ215" s="534" t="n">
        <v>1</v>
      </c>
      <c r="AK215" s="534" t="s">
        <v>181</v>
      </c>
      <c r="AL215" s="537" t="str">
        <f aca="false">Z215</f>
        <v>*</v>
      </c>
      <c r="AM215" s="534" t="str">
        <f aca="false">AA215</f>
        <v>*</v>
      </c>
      <c r="AN215" s="534" t="n">
        <f aca="false">AB215</f>
        <v>1</v>
      </c>
      <c r="AO215" s="534" t="str">
        <f aca="false">AC215</f>
        <v>*</v>
      </c>
      <c r="AP215" s="534" t="str">
        <f aca="false">AD215</f>
        <v>*</v>
      </c>
      <c r="AQ215" s="534" t="n">
        <f aca="false">AE215</f>
        <v>1</v>
      </c>
      <c r="AR215" s="534" t="str">
        <f aca="false">AF215</f>
        <v>*</v>
      </c>
      <c r="AS215" s="534" t="str">
        <f aca="false">AG215</f>
        <v>*</v>
      </c>
      <c r="AT215" s="534" t="str">
        <f aca="false">AH215</f>
        <v>*</v>
      </c>
      <c r="AU215" s="534" t="str">
        <f aca="false">AI215</f>
        <v>*</v>
      </c>
      <c r="AV215" s="534" t="n">
        <f aca="false">AJ215</f>
        <v>1</v>
      </c>
      <c r="AW215" s="538" t="str">
        <f aca="false">AK215</f>
        <v>*</v>
      </c>
      <c r="AX215" s="474" t="str">
        <f aca="false">MIN($Y$159,$Y$173,$Y$187,$Y$201,$Y$215,$Y$229,$Y$243,$Y$257)&amp;"-"&amp;MAX($Y$159,$Y$173,$Y$187,$Y$201,$Y$215,$Y$229,$Y$243,$Y$257)</f>
        <v>3-9</v>
      </c>
      <c r="AY215" s="474" t="s">
        <v>780</v>
      </c>
    </row>
    <row r="216" customFormat="false" ht="15" hidden="false" customHeight="false" outlineLevel="0" collapsed="false">
      <c r="A216" s="488" t="str">
        <f aca="false">A207&amp;"-"&amp;B216</f>
        <v>Mars-Lagna</v>
      </c>
      <c r="B216" s="532" t="s">
        <v>319</v>
      </c>
      <c r="C216" s="533" t="n">
        <f aca="false">Lagnahouse</f>
        <v>5</v>
      </c>
      <c r="D216" s="534" t="str">
        <f aca="false">INDEX($Z216:$AW216,,12+D$152-$Q216+1)</f>
        <v>*</v>
      </c>
      <c r="E216" s="534" t="n">
        <f aca="false">INDEX($Z216:$AW216,,12+E$152-$Q216+1)</f>
        <v>1</v>
      </c>
      <c r="F216" s="534" t="n">
        <f aca="false">INDEX($Z216:$AW216,,12+F$152-$Q216+1)</f>
        <v>1</v>
      </c>
      <c r="G216" s="534" t="str">
        <f aca="false">INDEX($Z216:$AW216,,12+G$152-$Q216+1)</f>
        <v>*</v>
      </c>
      <c r="H216" s="534" t="n">
        <f aca="false">INDEX($Z216:$AW216,,12+H$152-$Q216+1)</f>
        <v>1</v>
      </c>
      <c r="I216" s="534" t="str">
        <f aca="false">INDEX($Z216:$AW216,,12+I$152-$Q216+1)</f>
        <v>*</v>
      </c>
      <c r="J216" s="534" t="n">
        <f aca="false">INDEX($Z216:$AW216,,12+J$152-$Q216+1)</f>
        <v>1</v>
      </c>
      <c r="K216" s="534" t="str">
        <f aca="false">INDEX($Z216:$AW216,,12+K$152-$Q216+1)</f>
        <v>*</v>
      </c>
      <c r="L216" s="534" t="str">
        <f aca="false">INDEX($Z216:$AW216,,12+L$152-$Q216+1)</f>
        <v>*</v>
      </c>
      <c r="M216" s="534" t="n">
        <f aca="false">INDEX($Z216:$AW216,,12+M$152-$Q216+1)</f>
        <v>1</v>
      </c>
      <c r="N216" s="534" t="str">
        <f aca="false">INDEX($Z216:$AW216,,12+N$152-$Q216+1)</f>
        <v>*</v>
      </c>
      <c r="O216" s="534" t="str">
        <f aca="false">INDEX($Z216:$AW216,,12+O$152-$Q216+1)</f>
        <v>*</v>
      </c>
      <c r="P216" s="535" t="n">
        <f aca="false">SUM(D216:O216)</f>
        <v>5</v>
      </c>
      <c r="Q216" s="533" t="n">
        <f aca="false">IF($Y$82,D207,C216)</f>
        <v>5</v>
      </c>
      <c r="S216" s="489"/>
      <c r="T216" s="489"/>
      <c r="U216" s="490"/>
      <c r="V216" s="489"/>
      <c r="X216" s="532" t="s">
        <v>319</v>
      </c>
      <c r="Y216" s="536" t="n">
        <f aca="false">SUM(Z216:AK216)</f>
        <v>5</v>
      </c>
      <c r="Z216" s="534" t="n">
        <v>1</v>
      </c>
      <c r="AA216" s="534" t="s">
        <v>181</v>
      </c>
      <c r="AB216" s="534" t="n">
        <v>1</v>
      </c>
      <c r="AC216" s="534" t="s">
        <v>181</v>
      </c>
      <c r="AD216" s="534" t="s">
        <v>181</v>
      </c>
      <c r="AE216" s="534" t="n">
        <v>1</v>
      </c>
      <c r="AF216" s="534" t="s">
        <v>181</v>
      </c>
      <c r="AG216" s="534" t="s">
        <v>181</v>
      </c>
      <c r="AH216" s="534" t="s">
        <v>181</v>
      </c>
      <c r="AI216" s="534" t="n">
        <v>1</v>
      </c>
      <c r="AJ216" s="534" t="n">
        <v>1</v>
      </c>
      <c r="AK216" s="534" t="s">
        <v>181</v>
      </c>
      <c r="AL216" s="537" t="n">
        <f aca="false">Z216</f>
        <v>1</v>
      </c>
      <c r="AM216" s="534" t="str">
        <f aca="false">AA216</f>
        <v>*</v>
      </c>
      <c r="AN216" s="534" t="n">
        <f aca="false">AB216</f>
        <v>1</v>
      </c>
      <c r="AO216" s="534" t="str">
        <f aca="false">AC216</f>
        <v>*</v>
      </c>
      <c r="AP216" s="534" t="str">
        <f aca="false">AD216</f>
        <v>*</v>
      </c>
      <c r="AQ216" s="534" t="n">
        <f aca="false">AE216</f>
        <v>1</v>
      </c>
      <c r="AR216" s="534" t="str">
        <f aca="false">AF216</f>
        <v>*</v>
      </c>
      <c r="AS216" s="534" t="str">
        <f aca="false">AG216</f>
        <v>*</v>
      </c>
      <c r="AT216" s="534" t="str">
        <f aca="false">AH216</f>
        <v>*</v>
      </c>
      <c r="AU216" s="534" t="n">
        <f aca="false">AI216</f>
        <v>1</v>
      </c>
      <c r="AV216" s="534" t="n">
        <f aca="false">AJ216</f>
        <v>1</v>
      </c>
      <c r="AW216" s="538" t="str">
        <f aca="false">AK216</f>
        <v>*</v>
      </c>
      <c r="AX216" s="474" t="str">
        <f aca="false">MIN($Y$160,$Y$174,$Y$188,$Y$202,$Y$216,$Y$230,$Y$244,$Y$258)&amp;"-"&amp;MAX($Y$160,$Y$174,$Y$188,$Y$202,$Y$216,$Y$230,$Y$244,$Y$258)</f>
        <v>4-9</v>
      </c>
    </row>
    <row r="217" customFormat="false" ht="15" hidden="false" customHeight="false" outlineLevel="0" collapsed="false">
      <c r="A217" s="488" t="str">
        <f aca="false">A207&amp;"-"&amp;B217</f>
        <v>Mars-Mars</v>
      </c>
      <c r="B217" s="539" t="str">
        <f aca="false">B207</f>
        <v>Mars</v>
      </c>
      <c r="C217" s="540"/>
      <c r="D217" s="540" t="n">
        <f aca="false">SUM(D209:D216)</f>
        <v>4</v>
      </c>
      <c r="E217" s="540" t="n">
        <f aca="false">SUM(E209:E216)</f>
        <v>5</v>
      </c>
      <c r="F217" s="540" t="n">
        <f aca="false">SUM(F209:F216)</f>
        <v>1</v>
      </c>
      <c r="G217" s="540" t="n">
        <f aca="false">SUM(G209:G216)</f>
        <v>2</v>
      </c>
      <c r="H217" s="540" t="n">
        <f aca="false">SUM(H209:H216)</f>
        <v>4</v>
      </c>
      <c r="I217" s="540" t="n">
        <f aca="false">SUM(I209:I216)</f>
        <v>3</v>
      </c>
      <c r="J217" s="540" t="n">
        <f aca="false">SUM(J209:J216)</f>
        <v>4</v>
      </c>
      <c r="K217" s="540" t="n">
        <f aca="false">SUM(K209:K216)</f>
        <v>5</v>
      </c>
      <c r="L217" s="540" t="n">
        <f aca="false">SUM(L209:L216)</f>
        <v>3</v>
      </c>
      <c r="M217" s="540" t="n">
        <f aca="false">SUM(M209:M216)</f>
        <v>4</v>
      </c>
      <c r="N217" s="540" t="n">
        <f aca="false">SUM(N209:N216)</f>
        <v>2</v>
      </c>
      <c r="O217" s="540" t="n">
        <f aca="false">SUM(O209:O216)</f>
        <v>2</v>
      </c>
      <c r="P217" s="541" t="n">
        <f aca="false">SUM(D217:O217)</f>
        <v>39</v>
      </c>
      <c r="Q217" s="541"/>
      <c r="S217" s="489" t="n">
        <f aca="false">L217</f>
        <v>3</v>
      </c>
      <c r="T217" s="489" t="n">
        <f aca="false">K217</f>
        <v>5</v>
      </c>
      <c r="U217" s="489" t="n">
        <f aca="false">J217</f>
        <v>4</v>
      </c>
      <c r="V217" s="489" t="n">
        <f aca="false">I217</f>
        <v>3</v>
      </c>
      <c r="X217" s="539"/>
      <c r="Y217" s="542" t="n">
        <f aca="false">SUM(Z217:AK217)</f>
        <v>39</v>
      </c>
      <c r="Z217" s="543" t="n">
        <f aca="false">SUM(Z209:Z216)</f>
        <v>3</v>
      </c>
      <c r="AA217" s="543" t="n">
        <f aca="false">SUM(AA209:AA216)</f>
        <v>1</v>
      </c>
      <c r="AB217" s="543" t="n">
        <f aca="false">SUM(AB209:AB216)</f>
        <v>4</v>
      </c>
      <c r="AC217" s="543" t="n">
        <f aca="false">SUM(AC209:AC216)</f>
        <v>2</v>
      </c>
      <c r="AD217" s="543" t="n">
        <f aca="false">SUM(AD209:AD216)</f>
        <v>2</v>
      </c>
      <c r="AE217" s="543" t="n">
        <f aca="false">SUM(AE209:AE216)</f>
        <v>6</v>
      </c>
      <c r="AF217" s="543" t="n">
        <f aca="false">SUM(AF209:AF216)</f>
        <v>2</v>
      </c>
      <c r="AG217" s="543" t="n">
        <f aca="false">SUM(AG209:AG216)</f>
        <v>3</v>
      </c>
      <c r="AH217" s="543" t="n">
        <f aca="false">SUM(AH209:AH216)</f>
        <v>1</v>
      </c>
      <c r="AI217" s="543" t="n">
        <f aca="false">SUM(AI209:AI216)</f>
        <v>5</v>
      </c>
      <c r="AJ217" s="543" t="n">
        <f aca="false">SUM(AJ209:AJ216)</f>
        <v>8</v>
      </c>
      <c r="AK217" s="543" t="n">
        <f aca="false">SUM(AK209:AK216)</f>
        <v>2</v>
      </c>
      <c r="AL217" s="548" t="n">
        <f aca="false">SUM(AL209:AL216)</f>
        <v>3</v>
      </c>
      <c r="AM217" s="543" t="n">
        <f aca="false">SUM(AM209:AM216)</f>
        <v>1</v>
      </c>
      <c r="AN217" s="543" t="n">
        <f aca="false">SUM(AN209:AN216)</f>
        <v>4</v>
      </c>
      <c r="AO217" s="543" t="n">
        <f aca="false">SUM(AO209:AO216)</f>
        <v>2</v>
      </c>
      <c r="AP217" s="543" t="n">
        <f aca="false">SUM(AP209:AP216)</f>
        <v>2</v>
      </c>
      <c r="AQ217" s="543" t="n">
        <f aca="false">SUM(AQ209:AQ216)</f>
        <v>6</v>
      </c>
      <c r="AR217" s="543" t="n">
        <f aca="false">SUM(AR209:AR216)</f>
        <v>2</v>
      </c>
      <c r="AS217" s="543" t="n">
        <f aca="false">SUM(AS209:AS216)</f>
        <v>3</v>
      </c>
      <c r="AT217" s="543" t="n">
        <f aca="false">SUM(AT209:AT216)</f>
        <v>1</v>
      </c>
      <c r="AU217" s="543" t="n">
        <f aca="false">SUM(AU209:AU216)</f>
        <v>5</v>
      </c>
      <c r="AV217" s="543" t="n">
        <f aca="false">SUM(AV209:AV216)</f>
        <v>8</v>
      </c>
      <c r="AW217" s="549" t="n">
        <f aca="false">SUM(AW209:AW216)</f>
        <v>2</v>
      </c>
    </row>
    <row r="218" customFormat="false" ht="15" hidden="false" customHeight="false" outlineLevel="0" collapsed="false">
      <c r="A218" s="488" t="str">
        <f aca="false">A207&amp;"-"&amp;B218</f>
        <v>Mars-</v>
      </c>
      <c r="S218" s="489"/>
      <c r="T218" s="489"/>
      <c r="U218" s="489"/>
      <c r="V218" s="489"/>
      <c r="X218" s="474" t="s">
        <v>782</v>
      </c>
      <c r="AL218" s="474"/>
    </row>
    <row r="219" customFormat="false" ht="15" hidden="false" customHeight="false" outlineLevel="0" collapsed="false">
      <c r="A219" s="488" t="str">
        <f aca="false">A207&amp;"-"&amp;B219</f>
        <v>Mars-</v>
      </c>
      <c r="S219" s="489"/>
      <c r="T219" s="489"/>
      <c r="U219" s="489"/>
      <c r="V219" s="489"/>
    </row>
    <row r="220" customFormat="false" ht="15" hidden="false" customHeight="false" outlineLevel="0" collapsed="false">
      <c r="A220" s="488" t="str">
        <f aca="false">A207&amp;"-"&amp;B220</f>
        <v>Mars------</v>
      </c>
      <c r="B220" s="474" t="s">
        <v>776</v>
      </c>
    </row>
    <row r="221" customFormat="false" ht="15" hidden="false" customHeight="false" outlineLevel="0" collapsed="false">
      <c r="A221" s="488" t="str">
        <f aca="false">B221</f>
        <v>Moon</v>
      </c>
      <c r="B221" s="523" t="str">
        <f aca="false">X221</f>
        <v>Moon</v>
      </c>
      <c r="C221" s="523"/>
      <c r="D221" s="474" t="n">
        <f aca="true">INDIRECT(B221&amp;"house")</f>
        <v>2</v>
      </c>
      <c r="S221" s="495"/>
      <c r="T221" s="495"/>
      <c r="U221" s="495"/>
      <c r="V221" s="495"/>
      <c r="X221" s="193" t="s">
        <v>159</v>
      </c>
      <c r="Y221" s="474" t="str">
        <f aca="false">MIN(Y223:Y230)&amp;"-"&amp;MAX(Y223:Y230)</f>
        <v>4-8</v>
      </c>
      <c r="Z221" s="474" t="str">
        <f aca="false">$Z$83 &amp;  X221</f>
        <v>From Graha Good and Bad Transit of Moon</v>
      </c>
      <c r="AL221" s="474"/>
      <c r="AW221" s="474"/>
      <c r="AX221" s="474" t="s">
        <v>777</v>
      </c>
    </row>
    <row r="222" customFormat="false" ht="15" hidden="false" customHeight="false" outlineLevel="0" collapsed="false">
      <c r="A222" s="488" t="str">
        <f aca="false">A221&amp;"-"&amp;B222</f>
        <v>Moon-</v>
      </c>
      <c r="B222" s="524"/>
      <c r="C222" s="525" t="s">
        <v>746</v>
      </c>
      <c r="D222" s="526" t="n">
        <v>1</v>
      </c>
      <c r="E222" s="526" t="n">
        <v>2</v>
      </c>
      <c r="F222" s="526" t="n">
        <v>3</v>
      </c>
      <c r="G222" s="526" t="n">
        <v>4</v>
      </c>
      <c r="H222" s="526" t="n">
        <v>5</v>
      </c>
      <c r="I222" s="526" t="n">
        <v>6</v>
      </c>
      <c r="J222" s="526" t="n">
        <v>7</v>
      </c>
      <c r="K222" s="526" t="n">
        <v>8</v>
      </c>
      <c r="L222" s="526" t="n">
        <v>9</v>
      </c>
      <c r="M222" s="526" t="n">
        <v>10</v>
      </c>
      <c r="N222" s="526" t="n">
        <v>11</v>
      </c>
      <c r="O222" s="526" t="n">
        <v>12</v>
      </c>
      <c r="P222" s="527"/>
      <c r="Q222" s="527"/>
      <c r="S222" s="489" t="n">
        <f aca="false">O231</f>
        <v>4</v>
      </c>
      <c r="T222" s="489" t="n">
        <f aca="false">D231</f>
        <v>3</v>
      </c>
      <c r="U222" s="489" t="n">
        <f aca="false">E231</f>
        <v>6</v>
      </c>
      <c r="V222" s="489" t="n">
        <f aca="false">F231</f>
        <v>3</v>
      </c>
      <c r="X222" s="525" t="s">
        <v>778</v>
      </c>
      <c r="Y222" s="528" t="s">
        <v>779</v>
      </c>
      <c r="Z222" s="529" t="n">
        <v>1</v>
      </c>
      <c r="AA222" s="529" t="n">
        <v>2</v>
      </c>
      <c r="AB222" s="529" t="n">
        <v>3</v>
      </c>
      <c r="AC222" s="529" t="n">
        <v>4</v>
      </c>
      <c r="AD222" s="529" t="n">
        <v>5</v>
      </c>
      <c r="AE222" s="529" t="n">
        <v>6</v>
      </c>
      <c r="AF222" s="529" t="n">
        <v>7</v>
      </c>
      <c r="AG222" s="529" t="n">
        <v>8</v>
      </c>
      <c r="AH222" s="529" t="n">
        <v>9</v>
      </c>
      <c r="AI222" s="529" t="n">
        <v>10</v>
      </c>
      <c r="AJ222" s="529" t="n">
        <v>11</v>
      </c>
      <c r="AK222" s="529" t="n">
        <v>12</v>
      </c>
      <c r="AL222" s="530" t="n">
        <v>1</v>
      </c>
      <c r="AM222" s="526" t="n">
        <v>2</v>
      </c>
      <c r="AN222" s="526" t="n">
        <v>3</v>
      </c>
      <c r="AO222" s="526" t="n">
        <v>4</v>
      </c>
      <c r="AP222" s="526" t="n">
        <v>5</v>
      </c>
      <c r="AQ222" s="526" t="n">
        <v>6</v>
      </c>
      <c r="AR222" s="526" t="n">
        <v>7</v>
      </c>
      <c r="AS222" s="526" t="n">
        <v>8</v>
      </c>
      <c r="AT222" s="526" t="n">
        <v>9</v>
      </c>
      <c r="AU222" s="526" t="n">
        <v>10</v>
      </c>
      <c r="AV222" s="526" t="n">
        <v>11</v>
      </c>
      <c r="AW222" s="531" t="n">
        <v>12</v>
      </c>
    </row>
    <row r="223" customFormat="false" ht="15" hidden="false" customHeight="false" outlineLevel="0" collapsed="false">
      <c r="A223" s="488" t="str">
        <f aca="false">A221&amp;"-"&amp;B223</f>
        <v>Moon-Saturn</v>
      </c>
      <c r="B223" s="532" t="s">
        <v>164</v>
      </c>
      <c r="C223" s="533" t="n">
        <f aca="false">SaturnHouse</f>
        <v>2</v>
      </c>
      <c r="D223" s="534" t="str">
        <f aca="false">INDEX($Z223:$AW223,,12+D$152-$Q223+1)</f>
        <v>*</v>
      </c>
      <c r="E223" s="534" t="str">
        <f aca="false">INDEX($Z223:$AW223,,12+E$152-$Q223+1)</f>
        <v>*</v>
      </c>
      <c r="F223" s="534" t="str">
        <f aca="false">INDEX($Z223:$AW223,,12+F$152-$Q223+1)</f>
        <v>*</v>
      </c>
      <c r="G223" s="534" t="n">
        <f aca="false">INDEX($Z223:$AW223,,12+G$152-$Q223+1)</f>
        <v>1</v>
      </c>
      <c r="H223" s="534" t="str">
        <f aca="false">INDEX($Z223:$AW223,,12+H$152-$Q223+1)</f>
        <v>*</v>
      </c>
      <c r="I223" s="534" t="n">
        <f aca="false">INDEX($Z223:$AW223,,12+I$152-$Q223+1)</f>
        <v>1</v>
      </c>
      <c r="J223" s="534" t="n">
        <f aca="false">INDEX($Z223:$AW223,,12+J$152-$Q223+1)</f>
        <v>1</v>
      </c>
      <c r="K223" s="534" t="str">
        <f aca="false">INDEX($Z223:$AW223,,12+K$152-$Q223+1)</f>
        <v>*</v>
      </c>
      <c r="L223" s="534" t="str">
        <f aca="false">INDEX($Z223:$AW223,,12+L$152-$Q223+1)</f>
        <v>*</v>
      </c>
      <c r="M223" s="534" t="str">
        <f aca="false">INDEX($Z223:$AW223,,12+M$152-$Q223+1)</f>
        <v>*</v>
      </c>
      <c r="N223" s="534" t="str">
        <f aca="false">INDEX($Z223:$AW223,,12+N$152-$Q223+1)</f>
        <v>*</v>
      </c>
      <c r="O223" s="534" t="n">
        <f aca="false">INDEX($Z223:$AW223,,12+O$152-$Q223+1)</f>
        <v>1</v>
      </c>
      <c r="P223" s="535" t="n">
        <f aca="false">SUM(D223:O223)</f>
        <v>4</v>
      </c>
      <c r="Q223" s="533" t="n">
        <f aca="false">IF($Y$82,D221,C223)</f>
        <v>2</v>
      </c>
      <c r="S223" s="489"/>
      <c r="T223" s="489"/>
      <c r="U223" s="489"/>
      <c r="V223" s="489"/>
      <c r="W223" s="474" t="s">
        <v>780</v>
      </c>
      <c r="X223" s="532" t="s">
        <v>164</v>
      </c>
      <c r="Y223" s="536" t="n">
        <f aca="false">SUM(Z223:AK223)</f>
        <v>4</v>
      </c>
      <c r="Z223" s="534" t="s">
        <v>181</v>
      </c>
      <c r="AA223" s="534" t="s">
        <v>181</v>
      </c>
      <c r="AB223" s="534" t="n">
        <v>1</v>
      </c>
      <c r="AC223" s="534" t="s">
        <v>181</v>
      </c>
      <c r="AD223" s="534" t="n">
        <v>1</v>
      </c>
      <c r="AE223" s="534" t="n">
        <v>1</v>
      </c>
      <c r="AF223" s="534" t="s">
        <v>181</v>
      </c>
      <c r="AG223" s="534" t="s">
        <v>181</v>
      </c>
      <c r="AH223" s="534" t="s">
        <v>181</v>
      </c>
      <c r="AI223" s="534" t="s">
        <v>181</v>
      </c>
      <c r="AJ223" s="534" t="n">
        <v>1</v>
      </c>
      <c r="AK223" s="534" t="s">
        <v>181</v>
      </c>
      <c r="AL223" s="537" t="str">
        <f aca="false">Z223</f>
        <v>*</v>
      </c>
      <c r="AM223" s="534" t="str">
        <f aca="false">AA223</f>
        <v>*</v>
      </c>
      <c r="AN223" s="534" t="n">
        <f aca="false">AB223</f>
        <v>1</v>
      </c>
      <c r="AO223" s="534" t="str">
        <f aca="false">AC223</f>
        <v>*</v>
      </c>
      <c r="AP223" s="534" t="n">
        <f aca="false">AD223</f>
        <v>1</v>
      </c>
      <c r="AQ223" s="534" t="n">
        <f aca="false">AE223</f>
        <v>1</v>
      </c>
      <c r="AR223" s="534" t="str">
        <f aca="false">AF223</f>
        <v>*</v>
      </c>
      <c r="AS223" s="534" t="str">
        <f aca="false">AG223</f>
        <v>*</v>
      </c>
      <c r="AT223" s="534" t="str">
        <f aca="false">AH223</f>
        <v>*</v>
      </c>
      <c r="AU223" s="534" t="str">
        <f aca="false">AI223</f>
        <v>*</v>
      </c>
      <c r="AV223" s="534" t="n">
        <f aca="false">AJ223</f>
        <v>1</v>
      </c>
      <c r="AW223" s="538" t="str">
        <f aca="false">AK223</f>
        <v>*</v>
      </c>
      <c r="AX223" s="474" t="str">
        <f aca="false">MIN($Y$153,$Y$167,$Y$181,$Y$195,$Y$209,$Y$223,$Y$237,$Y$251)&amp;"-"&amp;MAX($Y$153,$Y$167,$Y$181,$Y$195,$Y$209,$Y$223,$Y$237,$Y$251)</f>
        <v>4-8</v>
      </c>
      <c r="AY223" s="474" t="s">
        <v>780</v>
      </c>
    </row>
    <row r="224" customFormat="false" ht="15" hidden="false" customHeight="false" outlineLevel="0" collapsed="false">
      <c r="A224" s="488" t="str">
        <f aca="false">A221&amp;"-"&amp;B224</f>
        <v>Moon-Jupiter</v>
      </c>
      <c r="B224" s="532" t="s">
        <v>162</v>
      </c>
      <c r="C224" s="533" t="n">
        <f aca="false">JupiterHouse</f>
        <v>8</v>
      </c>
      <c r="D224" s="534" t="str">
        <f aca="false">INDEX($Z224:$AW224,,12+D$152-$Q224+1)</f>
        <v>*</v>
      </c>
      <c r="E224" s="534" t="n">
        <f aca="false">INDEX($Z224:$AW224,,12+E$152-$Q224+1)</f>
        <v>1</v>
      </c>
      <c r="F224" s="534" t="n">
        <f aca="false">INDEX($Z224:$AW224,,12+F$152-$Q224+1)</f>
        <v>1</v>
      </c>
      <c r="G224" s="534" t="str">
        <f aca="false">INDEX($Z224:$AW224,,12+G$152-$Q224+1)</f>
        <v>*</v>
      </c>
      <c r="H224" s="534" t="n">
        <f aca="false">INDEX($Z224:$AW224,,12+H$152-$Q224+1)</f>
        <v>1</v>
      </c>
      <c r="I224" s="534" t="n">
        <f aca="false">INDEX($Z224:$AW224,,12+I$152-$Q224+1)</f>
        <v>1</v>
      </c>
      <c r="J224" s="534" t="str">
        <f aca="false">INDEX($Z224:$AW224,,12+J$152-$Q224+1)</f>
        <v>*</v>
      </c>
      <c r="K224" s="534" t="n">
        <f aca="false">INDEX($Z224:$AW224,,12+K$152-$Q224+1)</f>
        <v>1</v>
      </c>
      <c r="L224" s="534" t="n">
        <f aca="false">INDEX($Z224:$AW224,,12+L$152-$Q224+1)</f>
        <v>1</v>
      </c>
      <c r="M224" s="534" t="str">
        <f aca="false">INDEX($Z224:$AW224,,12+M$152-$Q224+1)</f>
        <v>*</v>
      </c>
      <c r="N224" s="534" t="n">
        <f aca="false">INDEX($Z224:$AW224,,12+N$152-$Q224+1)</f>
        <v>1</v>
      </c>
      <c r="O224" s="534" t="str">
        <f aca="false">INDEX($Z224:$AW224,,12+O$152-$Q224+1)</f>
        <v>*</v>
      </c>
      <c r="P224" s="535" t="n">
        <f aca="false">SUM(D224:O224)</f>
        <v>7</v>
      </c>
      <c r="Q224" s="533" t="n">
        <f aca="false">IF($Y$82,D221,C224)</f>
        <v>8</v>
      </c>
      <c r="S224" s="489"/>
      <c r="T224" s="489"/>
      <c r="U224" s="489"/>
      <c r="V224" s="489"/>
      <c r="X224" s="532" t="s">
        <v>162</v>
      </c>
      <c r="Y224" s="536" t="n">
        <f aca="false">SUM(Z224:AK224)</f>
        <v>7</v>
      </c>
      <c r="Z224" s="534" t="n">
        <v>1</v>
      </c>
      <c r="AA224" s="534" t="n">
        <v>1</v>
      </c>
      <c r="AB224" s="534" t="s">
        <v>181</v>
      </c>
      <c r="AC224" s="534" t="n">
        <v>1</v>
      </c>
      <c r="AD224" s="534" t="s">
        <v>181</v>
      </c>
      <c r="AE224" s="534" t="s">
        <v>181</v>
      </c>
      <c r="AF224" s="534" t="n">
        <v>1</v>
      </c>
      <c r="AG224" s="534" t="n">
        <v>1</v>
      </c>
      <c r="AH224" s="534" t="s">
        <v>181</v>
      </c>
      <c r="AI224" s="534" t="n">
        <v>1</v>
      </c>
      <c r="AJ224" s="534" t="n">
        <v>1</v>
      </c>
      <c r="AK224" s="534" t="s">
        <v>181</v>
      </c>
      <c r="AL224" s="537" t="n">
        <f aca="false">Z224</f>
        <v>1</v>
      </c>
      <c r="AM224" s="534" t="n">
        <f aca="false">AA224</f>
        <v>1</v>
      </c>
      <c r="AN224" s="534" t="str">
        <f aca="false">AB224</f>
        <v>*</v>
      </c>
      <c r="AO224" s="534" t="n">
        <f aca="false">AC224</f>
        <v>1</v>
      </c>
      <c r="AP224" s="534" t="str">
        <f aca="false">AD224</f>
        <v>*</v>
      </c>
      <c r="AQ224" s="534" t="str">
        <f aca="false">AE224</f>
        <v>*</v>
      </c>
      <c r="AR224" s="534" t="n">
        <f aca="false">AF224</f>
        <v>1</v>
      </c>
      <c r="AS224" s="534" t="n">
        <f aca="false">AG224</f>
        <v>1</v>
      </c>
      <c r="AT224" s="534" t="str">
        <f aca="false">AH224</f>
        <v>*</v>
      </c>
      <c r="AU224" s="534" t="n">
        <f aca="false">AI224</f>
        <v>1</v>
      </c>
      <c r="AV224" s="534" t="n">
        <f aca="false">AJ224</f>
        <v>1</v>
      </c>
      <c r="AW224" s="538" t="str">
        <f aca="false">AK224</f>
        <v>*</v>
      </c>
      <c r="AX224" s="474" t="str">
        <f aca="false">MIN($Y$154,$Y$168,$Y$182,$Y$196,$Y$210,$Y$224,$Y$238,$Y$252)&amp;"-"&amp;MAX($Y$154,$Y$168,$Y$182,$Y$196,$Y$210,$Y$224,$Y$238,$Y$252)</f>
        <v>4-9</v>
      </c>
    </row>
    <row r="225" customFormat="false" ht="15" hidden="false" customHeight="false" outlineLevel="0" collapsed="false">
      <c r="A225" s="488" t="str">
        <f aca="false">A221&amp;"-"&amp;B225</f>
        <v>Moon-Mars</v>
      </c>
      <c r="B225" s="532" t="s">
        <v>160</v>
      </c>
      <c r="C225" s="533" t="n">
        <f aca="false">MarsHouse</f>
        <v>10</v>
      </c>
      <c r="D225" s="534" t="str">
        <f aca="false">INDEX($Z225:$AW225,,12+D$152-$Q225+1)</f>
        <v>*</v>
      </c>
      <c r="E225" s="534" t="n">
        <f aca="false">INDEX($Z225:$AW225,,12+E$152-$Q225+1)</f>
        <v>1</v>
      </c>
      <c r="F225" s="534" t="n">
        <f aca="false">INDEX($Z225:$AW225,,12+F$152-$Q225+1)</f>
        <v>1</v>
      </c>
      <c r="G225" s="534" t="str">
        <f aca="false">INDEX($Z225:$AW225,,12+G$152-$Q225+1)</f>
        <v>*</v>
      </c>
      <c r="H225" s="534" t="str">
        <f aca="false">INDEX($Z225:$AW225,,12+H$152-$Q225+1)</f>
        <v>*</v>
      </c>
      <c r="I225" s="534" t="str">
        <f aca="false">INDEX($Z225:$AW225,,12+I$152-$Q225+1)</f>
        <v>*</v>
      </c>
      <c r="J225" s="534" t="n">
        <f aca="false">INDEX($Z225:$AW225,,12+J$152-$Q225+1)</f>
        <v>1</v>
      </c>
      <c r="K225" s="534" t="n">
        <f aca="false">INDEX($Z225:$AW225,,12+K$152-$Q225+1)</f>
        <v>1</v>
      </c>
      <c r="L225" s="534" t="str">
        <f aca="false">INDEX($Z225:$AW225,,12+L$152-$Q225+1)</f>
        <v>*</v>
      </c>
      <c r="M225" s="534" t="str">
        <f aca="false">INDEX($Z225:$AW225,,12+M$152-$Q225+1)</f>
        <v>*</v>
      </c>
      <c r="N225" s="534" t="n">
        <f aca="false">INDEX($Z225:$AW225,,12+N$152-$Q225+1)</f>
        <v>1</v>
      </c>
      <c r="O225" s="534" t="n">
        <f aca="false">INDEX($Z225:$AW225,,12+O$152-$Q225+1)</f>
        <v>1</v>
      </c>
      <c r="P225" s="535" t="n">
        <f aca="false">SUM(D225:O225)</f>
        <v>6</v>
      </c>
      <c r="Q225" s="533" t="n">
        <f aca="false">IF($Y$82,D221,C225)</f>
        <v>10</v>
      </c>
      <c r="S225" s="489" t="n">
        <f aca="false">N231</f>
        <v>6</v>
      </c>
      <c r="T225" s="490" t="str">
        <f aca="false">C221&amp;"  Ashtakavarga  "&amp;P231</f>
        <v>  Ashtakavarga  49</v>
      </c>
      <c r="U225" s="490"/>
      <c r="V225" s="489" t="n">
        <f aca="false">G231</f>
        <v>3</v>
      </c>
      <c r="X225" s="532" t="s">
        <v>160</v>
      </c>
      <c r="Y225" s="536" t="n">
        <f aca="false">SUM(Z225:AK225)</f>
        <v>6</v>
      </c>
      <c r="Z225" s="534" t="s">
        <v>181</v>
      </c>
      <c r="AA225" s="534" t="n">
        <v>1</v>
      </c>
      <c r="AB225" s="534" t="n">
        <v>1</v>
      </c>
      <c r="AC225" s="534" t="s">
        <v>181</v>
      </c>
      <c r="AD225" s="534" t="n">
        <v>1</v>
      </c>
      <c r="AE225" s="534" t="n">
        <v>1</v>
      </c>
      <c r="AF225" s="534" t="s">
        <v>181</v>
      </c>
      <c r="AG225" s="534" t="s">
        <v>181</v>
      </c>
      <c r="AH225" s="534" t="s">
        <v>181</v>
      </c>
      <c r="AI225" s="534" t="n">
        <v>1</v>
      </c>
      <c r="AJ225" s="534" t="n">
        <v>1</v>
      </c>
      <c r="AK225" s="534" t="s">
        <v>181</v>
      </c>
      <c r="AL225" s="537" t="str">
        <f aca="false">Z225</f>
        <v>*</v>
      </c>
      <c r="AM225" s="534" t="n">
        <f aca="false">AA225</f>
        <v>1</v>
      </c>
      <c r="AN225" s="534" t="n">
        <f aca="false">AB225</f>
        <v>1</v>
      </c>
      <c r="AO225" s="534" t="str">
        <f aca="false">AC225</f>
        <v>*</v>
      </c>
      <c r="AP225" s="534" t="n">
        <f aca="false">AD225</f>
        <v>1</v>
      </c>
      <c r="AQ225" s="534" t="n">
        <f aca="false">AE225</f>
        <v>1</v>
      </c>
      <c r="AR225" s="534" t="str">
        <f aca="false">AF225</f>
        <v>*</v>
      </c>
      <c r="AS225" s="534" t="str">
        <f aca="false">AG225</f>
        <v>*</v>
      </c>
      <c r="AT225" s="534" t="str">
        <f aca="false">AH225</f>
        <v>*</v>
      </c>
      <c r="AU225" s="534" t="n">
        <f aca="false">AI225</f>
        <v>1</v>
      </c>
      <c r="AV225" s="534" t="n">
        <f aca="false">AJ225</f>
        <v>1</v>
      </c>
      <c r="AW225" s="538" t="str">
        <f aca="false">AK225</f>
        <v>*</v>
      </c>
      <c r="AX225" s="474" t="str">
        <f aca="false">MIN($Y$155,$Y$169,$Y$183,$Y$197,$Y$211,$Y$225,$Y$239,$Y$253)&amp;"-"&amp;MAX($Y$155,$Y$169,$Y$183,$Y$197,$Y$211,$Y$225,$Y$239,$Y$253)</f>
        <v>5-8</v>
      </c>
    </row>
    <row r="226" customFormat="false" ht="15" hidden="false" customHeight="false" outlineLevel="0" collapsed="false">
      <c r="A226" s="488" t="str">
        <f aca="false">A221&amp;"-"&amp;B226</f>
        <v>Moon-Sun</v>
      </c>
      <c r="B226" s="532" t="s">
        <v>158</v>
      </c>
      <c r="C226" s="533" t="n">
        <f aca="false">SunHouse</f>
        <v>4</v>
      </c>
      <c r="D226" s="534" t="n">
        <f aca="false">INDEX($Z226:$AW226,,12+D$152-$Q226+1)</f>
        <v>1</v>
      </c>
      <c r="E226" s="534" t="n">
        <f aca="false">INDEX($Z226:$AW226,,12+E$152-$Q226+1)</f>
        <v>1</v>
      </c>
      <c r="F226" s="534" t="str">
        <f aca="false">INDEX($Z226:$AW226,,12+F$152-$Q226+1)</f>
        <v>*</v>
      </c>
      <c r="G226" s="534" t="str">
        <f aca="false">INDEX($Z226:$AW226,,12+G$152-$Q226+1)</f>
        <v>*</v>
      </c>
      <c r="H226" s="534" t="str">
        <f aca="false">INDEX($Z226:$AW226,,12+H$152-$Q226+1)</f>
        <v>*</v>
      </c>
      <c r="I226" s="534" t="n">
        <f aca="false">INDEX($Z226:$AW226,,12+I$152-$Q226+1)</f>
        <v>1</v>
      </c>
      <c r="J226" s="534" t="str">
        <f aca="false">INDEX($Z226:$AW226,,12+J$152-$Q226+1)</f>
        <v>*</v>
      </c>
      <c r="K226" s="534" t="str">
        <f aca="false">INDEX($Z226:$AW226,,12+K$152-$Q226+1)</f>
        <v>*</v>
      </c>
      <c r="L226" s="534" t="n">
        <f aca="false">INDEX($Z226:$AW226,,12+L$152-$Q226+1)</f>
        <v>1</v>
      </c>
      <c r="M226" s="534" t="n">
        <f aca="false">INDEX($Z226:$AW226,,12+M$152-$Q226+1)</f>
        <v>1</v>
      </c>
      <c r="N226" s="534" t="n">
        <f aca="false">INDEX($Z226:$AW226,,12+N$152-$Q226+1)</f>
        <v>1</v>
      </c>
      <c r="O226" s="534" t="str">
        <f aca="false">INDEX($Z226:$AW226,,12+O$152-$Q226+1)</f>
        <v>*</v>
      </c>
      <c r="P226" s="535" t="n">
        <f aca="false">SUM(D226:O226)</f>
        <v>6</v>
      </c>
      <c r="Q226" s="533" t="n">
        <f aca="false">IF($Y$82,D221,C226)</f>
        <v>4</v>
      </c>
      <c r="S226" s="489"/>
      <c r="T226" s="489"/>
      <c r="U226" s="490"/>
      <c r="V226" s="489"/>
      <c r="X226" s="532" t="s">
        <v>158</v>
      </c>
      <c r="Y226" s="536" t="n">
        <f aca="false">SUM(Z226:AK226)</f>
        <v>6</v>
      </c>
      <c r="Z226" s="534" t="s">
        <v>181</v>
      </c>
      <c r="AA226" s="534" t="s">
        <v>181</v>
      </c>
      <c r="AB226" s="534" t="n">
        <v>1</v>
      </c>
      <c r="AC226" s="534" t="s">
        <v>181</v>
      </c>
      <c r="AD226" s="534" t="s">
        <v>181</v>
      </c>
      <c r="AE226" s="534" t="n">
        <v>1</v>
      </c>
      <c r="AF226" s="534" t="n">
        <v>1</v>
      </c>
      <c r="AG226" s="534" t="n">
        <v>1</v>
      </c>
      <c r="AH226" s="534" t="s">
        <v>181</v>
      </c>
      <c r="AI226" s="534" t="n">
        <v>1</v>
      </c>
      <c r="AJ226" s="534" t="n">
        <v>1</v>
      </c>
      <c r="AK226" s="534" t="s">
        <v>181</v>
      </c>
      <c r="AL226" s="537" t="str">
        <f aca="false">Z226</f>
        <v>*</v>
      </c>
      <c r="AM226" s="534" t="str">
        <f aca="false">AA226</f>
        <v>*</v>
      </c>
      <c r="AN226" s="534" t="n">
        <f aca="false">AB226</f>
        <v>1</v>
      </c>
      <c r="AO226" s="534" t="str">
        <f aca="false">AC226</f>
        <v>*</v>
      </c>
      <c r="AP226" s="534" t="str">
        <f aca="false">AD226</f>
        <v>*</v>
      </c>
      <c r="AQ226" s="534" t="n">
        <f aca="false">AE226</f>
        <v>1</v>
      </c>
      <c r="AR226" s="534" t="n">
        <f aca="false">AF226</f>
        <v>1</v>
      </c>
      <c r="AS226" s="534" t="n">
        <f aca="false">AG226</f>
        <v>1</v>
      </c>
      <c r="AT226" s="534" t="str">
        <f aca="false">AH226</f>
        <v>*</v>
      </c>
      <c r="AU226" s="534" t="n">
        <f aca="false">AI226</f>
        <v>1</v>
      </c>
      <c r="AV226" s="534" t="n">
        <f aca="false">AJ226</f>
        <v>1</v>
      </c>
      <c r="AW226" s="538" t="str">
        <f aca="false">AK226</f>
        <v>*</v>
      </c>
      <c r="AX226" s="474" t="str">
        <f aca="false">MIN($Y$156,$Y$170,$Y$184,$Y$198,$Y$212,$Y$226,$Y$240,$Y$254)&amp;"-"&amp;MAX($Y$156,$Y$170,$Y$184,$Y$198,$Y$212,$Y$226,$Y$240,$Y$254)</f>
        <v>3-9</v>
      </c>
    </row>
    <row r="227" customFormat="false" ht="15" hidden="false" customHeight="false" outlineLevel="0" collapsed="false">
      <c r="A227" s="488" t="str">
        <f aca="false">A221&amp;"-"&amp;B227</f>
        <v>Moon-Venus</v>
      </c>
      <c r="B227" s="532" t="s">
        <v>163</v>
      </c>
      <c r="C227" s="533" t="n">
        <f aca="false">VenusHouse</f>
        <v>3</v>
      </c>
      <c r="D227" s="534" t="n">
        <f aca="false">INDEX($Z227:$AW227,,12+D$152-$Q227+1)</f>
        <v>1</v>
      </c>
      <c r="E227" s="534" t="str">
        <f aca="false">INDEX($Z227:$AW227,,12+E$152-$Q227+1)</f>
        <v>*</v>
      </c>
      <c r="F227" s="534" t="str">
        <f aca="false">INDEX($Z227:$AW227,,12+F$152-$Q227+1)</f>
        <v>*</v>
      </c>
      <c r="G227" s="534" t="str">
        <f aca="false">INDEX($Z227:$AW227,,12+G$152-$Q227+1)</f>
        <v>*</v>
      </c>
      <c r="H227" s="534" t="n">
        <f aca="false">INDEX($Z227:$AW227,,12+H$152-$Q227+1)</f>
        <v>1</v>
      </c>
      <c r="I227" s="534" t="n">
        <f aca="false">INDEX($Z227:$AW227,,12+I$152-$Q227+1)</f>
        <v>1</v>
      </c>
      <c r="J227" s="534" t="n">
        <f aca="false">INDEX($Z227:$AW227,,12+J$152-$Q227+1)</f>
        <v>1</v>
      </c>
      <c r="K227" s="534" t="str">
        <f aca="false">INDEX($Z227:$AW227,,12+K$152-$Q227+1)</f>
        <v>*</v>
      </c>
      <c r="L227" s="534" t="n">
        <f aca="false">INDEX($Z227:$AW227,,12+L$152-$Q227+1)</f>
        <v>1</v>
      </c>
      <c r="M227" s="534" t="str">
        <f aca="false">INDEX($Z227:$AW227,,12+M$152-$Q227+1)</f>
        <v>*</v>
      </c>
      <c r="N227" s="534" t="n">
        <f aca="false">INDEX($Z227:$AW227,,12+N$152-$Q227+1)</f>
        <v>1</v>
      </c>
      <c r="O227" s="534" t="n">
        <f aca="false">INDEX($Z227:$AW227,,12+O$152-$Q227+1)</f>
        <v>1</v>
      </c>
      <c r="P227" s="535" t="n">
        <f aca="false">SUM(D227:O227)</f>
        <v>7</v>
      </c>
      <c r="Q227" s="533" t="n">
        <f aca="false">IF($Y$82,D221,C227)</f>
        <v>3</v>
      </c>
      <c r="S227" s="489"/>
      <c r="T227" s="489"/>
      <c r="U227" s="490"/>
      <c r="V227" s="489"/>
      <c r="X227" s="532" t="s">
        <v>163</v>
      </c>
      <c r="Y227" s="536" t="n">
        <f aca="false">SUM(Z227:AK227)</f>
        <v>7</v>
      </c>
      <c r="Z227" s="534" t="s">
        <v>181</v>
      </c>
      <c r="AA227" s="534" t="s">
        <v>181</v>
      </c>
      <c r="AB227" s="534" t="n">
        <v>1</v>
      </c>
      <c r="AC227" s="534" t="n">
        <v>1</v>
      </c>
      <c r="AD227" s="534" t="n">
        <v>1</v>
      </c>
      <c r="AE227" s="534" t="s">
        <v>181</v>
      </c>
      <c r="AF227" s="534" t="n">
        <v>1</v>
      </c>
      <c r="AG227" s="534" t="s">
        <v>181</v>
      </c>
      <c r="AH227" s="534" t="n">
        <v>1</v>
      </c>
      <c r="AI227" s="534" t="n">
        <v>1</v>
      </c>
      <c r="AJ227" s="534" t="n">
        <v>1</v>
      </c>
      <c r="AK227" s="534" t="s">
        <v>181</v>
      </c>
      <c r="AL227" s="537" t="str">
        <f aca="false">Z227</f>
        <v>*</v>
      </c>
      <c r="AM227" s="534" t="str">
        <f aca="false">AA227</f>
        <v>*</v>
      </c>
      <c r="AN227" s="534" t="n">
        <f aca="false">AB227</f>
        <v>1</v>
      </c>
      <c r="AO227" s="534" t="n">
        <f aca="false">AC227</f>
        <v>1</v>
      </c>
      <c r="AP227" s="534" t="n">
        <f aca="false">AD227</f>
        <v>1</v>
      </c>
      <c r="AQ227" s="534" t="str">
        <f aca="false">AE227</f>
        <v>*</v>
      </c>
      <c r="AR227" s="534" t="n">
        <f aca="false">AF227</f>
        <v>1</v>
      </c>
      <c r="AS227" s="534" t="str">
        <f aca="false">AG227</f>
        <v>*</v>
      </c>
      <c r="AT227" s="534" t="n">
        <f aca="false">AH227</f>
        <v>1</v>
      </c>
      <c r="AU227" s="534" t="n">
        <f aca="false">AI227</f>
        <v>1</v>
      </c>
      <c r="AV227" s="534" t="n">
        <f aca="false">AJ227</f>
        <v>1</v>
      </c>
      <c r="AW227" s="538" t="str">
        <f aca="false">AK227</f>
        <v>*</v>
      </c>
      <c r="AX227" s="474" t="str">
        <f aca="false">MIN($Y$157,$Y$171,$Y$185,$Y$199,$Y$213,$Y$227,$Y$241,$Y$255)&amp;"-"&amp;MAX($Y$157,$Y$171,$Y$185,$Y$199,$Y$213,$Y$227,$Y$241,$Y$255)</f>
        <v>3-9</v>
      </c>
    </row>
    <row r="228" customFormat="false" ht="15" hidden="false" customHeight="false" outlineLevel="0" collapsed="false">
      <c r="A228" s="488" t="str">
        <f aca="false">A221&amp;"-"&amp;B228</f>
        <v>Moon-Mercury</v>
      </c>
      <c r="B228" s="532" t="s">
        <v>161</v>
      </c>
      <c r="C228" s="533" t="n">
        <f aca="false">MercuryHouse</f>
        <v>4</v>
      </c>
      <c r="D228" s="534" t="n">
        <f aca="false">INDEX($Z228:$AW228,,12+D$152-$Q228+1)</f>
        <v>1</v>
      </c>
      <c r="E228" s="534" t="n">
        <f aca="false">INDEX($Z228:$AW228,,12+E$152-$Q228+1)</f>
        <v>1</v>
      </c>
      <c r="F228" s="534" t="str">
        <f aca="false">INDEX($Z228:$AW228,,12+F$152-$Q228+1)</f>
        <v>*</v>
      </c>
      <c r="G228" s="534" t="n">
        <f aca="false">INDEX($Z228:$AW228,,12+G$152-$Q228+1)</f>
        <v>1</v>
      </c>
      <c r="H228" s="534" t="str">
        <f aca="false">INDEX($Z228:$AW228,,12+H$152-$Q228+1)</f>
        <v>*</v>
      </c>
      <c r="I228" s="534" t="n">
        <f aca="false">INDEX($Z228:$AW228,,12+I$152-$Q228+1)</f>
        <v>1</v>
      </c>
      <c r="J228" s="534" t="n">
        <f aca="false">INDEX($Z228:$AW228,,12+J$152-$Q228+1)</f>
        <v>1</v>
      </c>
      <c r="K228" s="534" t="n">
        <f aca="false">INDEX($Z228:$AW228,,12+K$152-$Q228+1)</f>
        <v>1</v>
      </c>
      <c r="L228" s="534" t="str">
        <f aca="false">INDEX($Z228:$AW228,,12+L$152-$Q228+1)</f>
        <v>*</v>
      </c>
      <c r="M228" s="534" t="n">
        <f aca="false">INDEX($Z228:$AW228,,12+M$152-$Q228+1)</f>
        <v>1</v>
      </c>
      <c r="N228" s="534" t="n">
        <f aca="false">INDEX($Z228:$AW228,,12+N$152-$Q228+1)</f>
        <v>1</v>
      </c>
      <c r="O228" s="534" t="str">
        <f aca="false">INDEX($Z228:$AW228,,12+O$152-$Q228+1)</f>
        <v>*</v>
      </c>
      <c r="P228" s="535" t="n">
        <f aca="false">SUM(D228:O228)</f>
        <v>8</v>
      </c>
      <c r="Q228" s="533" t="n">
        <f aca="false">IF($Y$82,D221,C228)</f>
        <v>4</v>
      </c>
      <c r="S228" s="489" t="n">
        <f aca="false">M231</f>
        <v>4</v>
      </c>
      <c r="T228" s="490"/>
      <c r="U228" s="490"/>
      <c r="V228" s="489" t="n">
        <f aca="false">H231</f>
        <v>2</v>
      </c>
      <c r="W228" s="474" t="s">
        <v>781</v>
      </c>
      <c r="X228" s="532" t="s">
        <v>161</v>
      </c>
      <c r="Y228" s="536" t="n">
        <f aca="false">SUM(Z228:AK228)</f>
        <v>8</v>
      </c>
      <c r="Z228" s="534" t="n">
        <v>1</v>
      </c>
      <c r="AA228" s="534" t="s">
        <v>181</v>
      </c>
      <c r="AB228" s="534" t="n">
        <v>1</v>
      </c>
      <c r="AC228" s="534" t="n">
        <v>1</v>
      </c>
      <c r="AD228" s="534" t="n">
        <v>1</v>
      </c>
      <c r="AE228" s="534" t="s">
        <v>181</v>
      </c>
      <c r="AF228" s="534" t="n">
        <v>1</v>
      </c>
      <c r="AG228" s="534" t="n">
        <v>1</v>
      </c>
      <c r="AH228" s="534" t="s">
        <v>181</v>
      </c>
      <c r="AI228" s="534" t="n">
        <v>1</v>
      </c>
      <c r="AJ228" s="534" t="n">
        <v>1</v>
      </c>
      <c r="AK228" s="534" t="s">
        <v>181</v>
      </c>
      <c r="AL228" s="537" t="n">
        <f aca="false">Z228</f>
        <v>1</v>
      </c>
      <c r="AM228" s="534" t="str">
        <f aca="false">AA228</f>
        <v>*</v>
      </c>
      <c r="AN228" s="534" t="n">
        <f aca="false">AB228</f>
        <v>1</v>
      </c>
      <c r="AO228" s="534" t="n">
        <f aca="false">AC228</f>
        <v>1</v>
      </c>
      <c r="AP228" s="534" t="n">
        <f aca="false">AD228</f>
        <v>1</v>
      </c>
      <c r="AQ228" s="534" t="str">
        <f aca="false">AE228</f>
        <v>*</v>
      </c>
      <c r="AR228" s="534" t="n">
        <f aca="false">AF228</f>
        <v>1</v>
      </c>
      <c r="AS228" s="534" t="n">
        <f aca="false">AG228</f>
        <v>1</v>
      </c>
      <c r="AT228" s="534" t="str">
        <f aca="false">AH228</f>
        <v>*</v>
      </c>
      <c r="AU228" s="534" t="n">
        <f aca="false">AI228</f>
        <v>1</v>
      </c>
      <c r="AV228" s="534" t="n">
        <f aca="false">AJ228</f>
        <v>1</v>
      </c>
      <c r="AW228" s="538" t="str">
        <f aca="false">AK228</f>
        <v>*</v>
      </c>
      <c r="AX228" s="474" t="str">
        <f aca="false">MIN($Y$158,$Y$172,$Y$186,$Y$200,$Y$214,$Y$228,$Y$242,$Y$256)&amp;"-"&amp;MAX($Y$158,$Y$172,$Y$186,$Y$200,$Y$214,$Y$228,$Y$242,$Y$256)</f>
        <v>4-8</v>
      </c>
      <c r="AY228" s="474" t="s">
        <v>781</v>
      </c>
    </row>
    <row r="229" customFormat="false" ht="15" hidden="false" customHeight="false" outlineLevel="0" collapsed="false">
      <c r="A229" s="488" t="str">
        <f aca="false">A221&amp;"-"&amp;B229</f>
        <v>Moon-Moon</v>
      </c>
      <c r="B229" s="532" t="s">
        <v>159</v>
      </c>
      <c r="C229" s="533" t="n">
        <f aca="false">MoonHouse</f>
        <v>2</v>
      </c>
      <c r="D229" s="534" t="str">
        <f aca="false">INDEX($Z229:$AW229,,12+D$152-$Q229+1)</f>
        <v>*</v>
      </c>
      <c r="E229" s="534" t="n">
        <f aca="false">INDEX($Z229:$AW229,,12+E$152-$Q229+1)</f>
        <v>1</v>
      </c>
      <c r="F229" s="534" t="str">
        <f aca="false">INDEX($Z229:$AW229,,12+F$152-$Q229+1)</f>
        <v>*</v>
      </c>
      <c r="G229" s="534" t="n">
        <f aca="false">INDEX($Z229:$AW229,,12+G$152-$Q229+1)</f>
        <v>1</v>
      </c>
      <c r="H229" s="534" t="str">
        <f aca="false">INDEX($Z229:$AW229,,12+H$152-$Q229+1)</f>
        <v>*</v>
      </c>
      <c r="I229" s="534" t="str">
        <f aca="false">INDEX($Z229:$AW229,,12+I$152-$Q229+1)</f>
        <v>*</v>
      </c>
      <c r="J229" s="534" t="n">
        <f aca="false">INDEX($Z229:$AW229,,12+J$152-$Q229+1)</f>
        <v>1</v>
      </c>
      <c r="K229" s="534" t="n">
        <f aca="false">INDEX($Z229:$AW229,,12+K$152-$Q229+1)</f>
        <v>1</v>
      </c>
      <c r="L229" s="534" t="str">
        <f aca="false">INDEX($Z229:$AW229,,12+L$152-$Q229+1)</f>
        <v>*</v>
      </c>
      <c r="M229" s="534" t="n">
        <f aca="false">INDEX($Z229:$AW229,,12+M$152-$Q229+1)</f>
        <v>1</v>
      </c>
      <c r="N229" s="534" t="n">
        <f aca="false">INDEX($Z229:$AW229,,12+N$152-$Q229+1)</f>
        <v>1</v>
      </c>
      <c r="O229" s="534" t="n">
        <f aca="false">INDEX($Z229:$AW229,,12+O$152-$Q229+1)</f>
        <v>1</v>
      </c>
      <c r="P229" s="535" t="n">
        <f aca="false">SUM(D229:O229)</f>
        <v>7</v>
      </c>
      <c r="Q229" s="533" t="n">
        <f aca="false">IF($Y$82,D221,C229)</f>
        <v>2</v>
      </c>
      <c r="S229" s="489"/>
      <c r="T229" s="489"/>
      <c r="U229" s="490"/>
      <c r="V229" s="489"/>
      <c r="X229" s="532" t="s">
        <v>159</v>
      </c>
      <c r="Y229" s="536" t="n">
        <f aca="false">SUM(Z229:AK229)</f>
        <v>7</v>
      </c>
      <c r="Z229" s="534" t="n">
        <v>1</v>
      </c>
      <c r="AA229" s="534" t="s">
        <v>181</v>
      </c>
      <c r="AB229" s="534" t="n">
        <v>1</v>
      </c>
      <c r="AC229" s="534" t="s">
        <v>181</v>
      </c>
      <c r="AD229" s="534" t="s">
        <v>181</v>
      </c>
      <c r="AE229" s="534" t="n">
        <v>1</v>
      </c>
      <c r="AF229" s="534" t="n">
        <v>1</v>
      </c>
      <c r="AG229" s="534" t="s">
        <v>181</v>
      </c>
      <c r="AH229" s="534" t="n">
        <v>1</v>
      </c>
      <c r="AI229" s="534" t="n">
        <v>1</v>
      </c>
      <c r="AJ229" s="534" t="n">
        <v>1</v>
      </c>
      <c r="AK229" s="534" t="s">
        <v>181</v>
      </c>
      <c r="AL229" s="537" t="n">
        <f aca="false">Z229</f>
        <v>1</v>
      </c>
      <c r="AM229" s="534" t="str">
        <f aca="false">AA229</f>
        <v>*</v>
      </c>
      <c r="AN229" s="534" t="n">
        <f aca="false">AB229</f>
        <v>1</v>
      </c>
      <c r="AO229" s="534" t="str">
        <f aca="false">AC229</f>
        <v>*</v>
      </c>
      <c r="AP229" s="534" t="str">
        <f aca="false">AD229</f>
        <v>*</v>
      </c>
      <c r="AQ229" s="534" t="n">
        <f aca="false">AE229</f>
        <v>1</v>
      </c>
      <c r="AR229" s="534" t="n">
        <f aca="false">AF229</f>
        <v>1</v>
      </c>
      <c r="AS229" s="534" t="str">
        <f aca="false">AG229</f>
        <v>*</v>
      </c>
      <c r="AT229" s="534" t="n">
        <f aca="false">AH229</f>
        <v>1</v>
      </c>
      <c r="AU229" s="534" t="n">
        <f aca="false">AI229</f>
        <v>1</v>
      </c>
      <c r="AV229" s="534" t="n">
        <f aca="false">AJ229</f>
        <v>1</v>
      </c>
      <c r="AW229" s="538" t="str">
        <f aca="false">AK229</f>
        <v>*</v>
      </c>
      <c r="AX229" s="474" t="str">
        <f aca="false">MIN($Y$159,$Y$173,$Y$187,$Y$201,$Y$215,$Y$229,$Y$243,$Y$257)&amp;"-"&amp;MAX($Y$159,$Y$173,$Y$187,$Y$201,$Y$215,$Y$229,$Y$243,$Y$257)</f>
        <v>3-9</v>
      </c>
    </row>
    <row r="230" customFormat="false" ht="15" hidden="false" customHeight="false" outlineLevel="0" collapsed="false">
      <c r="A230" s="488" t="str">
        <f aca="false">A221&amp;"-"&amp;B230</f>
        <v>Moon-Lagna</v>
      </c>
      <c r="B230" s="532" t="s">
        <v>319</v>
      </c>
      <c r="C230" s="533" t="n">
        <f aca="false">Lagnahouse</f>
        <v>5</v>
      </c>
      <c r="D230" s="534" t="str">
        <f aca="false">INDEX($Z230:$AW230,,12+D$152-$Q230+1)</f>
        <v>*</v>
      </c>
      <c r="E230" s="534" t="n">
        <f aca="false">INDEX($Z230:$AW230,,12+E$152-$Q230+1)</f>
        <v>1</v>
      </c>
      <c r="F230" s="534" t="n">
        <f aca="false">INDEX($Z230:$AW230,,12+F$152-$Q230+1)</f>
        <v>1</v>
      </c>
      <c r="G230" s="534" t="str">
        <f aca="false">INDEX($Z230:$AW230,,12+G$152-$Q230+1)</f>
        <v>*</v>
      </c>
      <c r="H230" s="534" t="str">
        <f aca="false">INDEX($Z230:$AW230,,12+H$152-$Q230+1)</f>
        <v>*</v>
      </c>
      <c r="I230" s="534" t="str">
        <f aca="false">INDEX($Z230:$AW230,,12+I$152-$Q230+1)</f>
        <v>*</v>
      </c>
      <c r="J230" s="534" t="n">
        <f aca="false">INDEX($Z230:$AW230,,12+J$152-$Q230+1)</f>
        <v>1</v>
      </c>
      <c r="K230" s="534" t="str">
        <f aca="false">INDEX($Z230:$AW230,,12+K$152-$Q230+1)</f>
        <v>*</v>
      </c>
      <c r="L230" s="534" t="str">
        <f aca="false">INDEX($Z230:$AW230,,12+L$152-$Q230+1)</f>
        <v>*</v>
      </c>
      <c r="M230" s="534" t="n">
        <f aca="false">INDEX($Z230:$AW230,,12+M$152-$Q230+1)</f>
        <v>1</v>
      </c>
      <c r="N230" s="534" t="str">
        <f aca="false">INDEX($Z230:$AW230,,12+N$152-$Q230+1)</f>
        <v>*</v>
      </c>
      <c r="O230" s="534" t="str">
        <f aca="false">INDEX($Z230:$AW230,,12+O$152-$Q230+1)</f>
        <v>*</v>
      </c>
      <c r="P230" s="535" t="n">
        <f aca="false">SUM(D230:O230)</f>
        <v>4</v>
      </c>
      <c r="Q230" s="533" t="n">
        <f aca="false">IF($Y$82,D221,C230)</f>
        <v>5</v>
      </c>
      <c r="S230" s="489"/>
      <c r="T230" s="489"/>
      <c r="U230" s="490"/>
      <c r="V230" s="489"/>
      <c r="W230" s="474" t="s">
        <v>780</v>
      </c>
      <c r="X230" s="532" t="s">
        <v>319</v>
      </c>
      <c r="Y230" s="536" t="n">
        <f aca="false">SUM(Z230:AK230)</f>
        <v>4</v>
      </c>
      <c r="Z230" s="534" t="s">
        <v>181</v>
      </c>
      <c r="AA230" s="534" t="s">
        <v>181</v>
      </c>
      <c r="AB230" s="534" t="n">
        <v>1</v>
      </c>
      <c r="AC230" s="534" t="s">
        <v>181</v>
      </c>
      <c r="AD230" s="534" t="s">
        <v>181</v>
      </c>
      <c r="AE230" s="534" t="n">
        <v>1</v>
      </c>
      <c r="AF230" s="534" t="s">
        <v>181</v>
      </c>
      <c r="AG230" s="534" t="s">
        <v>181</v>
      </c>
      <c r="AH230" s="534" t="s">
        <v>181</v>
      </c>
      <c r="AI230" s="534" t="n">
        <v>1</v>
      </c>
      <c r="AJ230" s="534" t="n">
        <v>1</v>
      </c>
      <c r="AK230" s="534" t="s">
        <v>181</v>
      </c>
      <c r="AL230" s="537" t="str">
        <f aca="false">Z230</f>
        <v>*</v>
      </c>
      <c r="AM230" s="534" t="str">
        <f aca="false">AA230</f>
        <v>*</v>
      </c>
      <c r="AN230" s="534" t="n">
        <f aca="false">AB230</f>
        <v>1</v>
      </c>
      <c r="AO230" s="534" t="str">
        <f aca="false">AC230</f>
        <v>*</v>
      </c>
      <c r="AP230" s="534" t="str">
        <f aca="false">AD230</f>
        <v>*</v>
      </c>
      <c r="AQ230" s="534" t="n">
        <f aca="false">AE230</f>
        <v>1</v>
      </c>
      <c r="AR230" s="534" t="str">
        <f aca="false">AF230</f>
        <v>*</v>
      </c>
      <c r="AS230" s="534" t="str">
        <f aca="false">AG230</f>
        <v>*</v>
      </c>
      <c r="AT230" s="534" t="str">
        <f aca="false">AH230</f>
        <v>*</v>
      </c>
      <c r="AU230" s="534" t="n">
        <f aca="false">AI230</f>
        <v>1</v>
      </c>
      <c r="AV230" s="534" t="n">
        <f aca="false">AJ230</f>
        <v>1</v>
      </c>
      <c r="AW230" s="538" t="str">
        <f aca="false">AK230</f>
        <v>*</v>
      </c>
      <c r="AX230" s="474" t="str">
        <f aca="false">MIN($Y$160,$Y$174,$Y$188,$Y$202,$Y$216,$Y$230,$Y$244,$Y$258)&amp;"-"&amp;MAX($Y$160,$Y$174,$Y$188,$Y$202,$Y$216,$Y$230,$Y$244,$Y$258)</f>
        <v>4-9</v>
      </c>
      <c r="AY230" s="474" t="s">
        <v>780</v>
      </c>
    </row>
    <row r="231" customFormat="false" ht="15" hidden="false" customHeight="false" outlineLevel="0" collapsed="false">
      <c r="A231" s="488" t="str">
        <f aca="false">A221&amp;"-"&amp;B231</f>
        <v>Moon-Moon</v>
      </c>
      <c r="B231" s="539" t="str">
        <f aca="false">B221</f>
        <v>Moon</v>
      </c>
      <c r="C231" s="540"/>
      <c r="D231" s="540" t="n">
        <f aca="false">SUM(D223:D230)</f>
        <v>3</v>
      </c>
      <c r="E231" s="540" t="n">
        <f aca="false">SUM(E223:E230)</f>
        <v>6</v>
      </c>
      <c r="F231" s="540" t="n">
        <f aca="false">SUM(F223:F230)</f>
        <v>3</v>
      </c>
      <c r="G231" s="540" t="n">
        <f aca="false">SUM(G223:G230)</f>
        <v>3</v>
      </c>
      <c r="H231" s="540" t="n">
        <f aca="false">SUM(H223:H230)</f>
        <v>2</v>
      </c>
      <c r="I231" s="540" t="n">
        <f aca="false">SUM(I223:I230)</f>
        <v>5</v>
      </c>
      <c r="J231" s="540" t="n">
        <f aca="false">SUM(J223:J230)</f>
        <v>6</v>
      </c>
      <c r="K231" s="540" t="n">
        <f aca="false">SUM(K223:K230)</f>
        <v>4</v>
      </c>
      <c r="L231" s="540" t="n">
        <f aca="false">SUM(L223:L230)</f>
        <v>3</v>
      </c>
      <c r="M231" s="540" t="n">
        <f aca="false">SUM(M223:M230)</f>
        <v>4</v>
      </c>
      <c r="N231" s="540" t="n">
        <f aca="false">SUM(N223:N230)</f>
        <v>6</v>
      </c>
      <c r="O231" s="540" t="n">
        <f aca="false">SUM(O223:O230)</f>
        <v>4</v>
      </c>
      <c r="P231" s="541" t="n">
        <f aca="false">SUM(D231:O231)</f>
        <v>49</v>
      </c>
      <c r="Q231" s="541"/>
      <c r="S231" s="489" t="n">
        <f aca="false">L231</f>
        <v>3</v>
      </c>
      <c r="T231" s="489" t="n">
        <f aca="false">K231</f>
        <v>4</v>
      </c>
      <c r="U231" s="489" t="n">
        <f aca="false">J231</f>
        <v>6</v>
      </c>
      <c r="V231" s="489" t="n">
        <f aca="false">I231</f>
        <v>5</v>
      </c>
      <c r="X231" s="539"/>
      <c r="Y231" s="542" t="n">
        <f aca="false">SUM(Z231:AK231)</f>
        <v>49</v>
      </c>
      <c r="Z231" s="543" t="n">
        <f aca="false">SUM(Z223:Z230)</f>
        <v>3</v>
      </c>
      <c r="AA231" s="543" t="n">
        <f aca="false">SUM(AA223:AA230)</f>
        <v>2</v>
      </c>
      <c r="AB231" s="543" t="n">
        <f aca="false">SUM(AB223:AB230)</f>
        <v>7</v>
      </c>
      <c r="AC231" s="543" t="n">
        <f aca="false">SUM(AC223:AC230)</f>
        <v>3</v>
      </c>
      <c r="AD231" s="543" t="n">
        <f aca="false">SUM(AD223:AD230)</f>
        <v>4</v>
      </c>
      <c r="AE231" s="543" t="n">
        <f aca="false">SUM(AE223:AE230)</f>
        <v>5</v>
      </c>
      <c r="AF231" s="543" t="n">
        <f aca="false">SUM(AF223:AF230)</f>
        <v>5</v>
      </c>
      <c r="AG231" s="543" t="n">
        <f aca="false">SUM(AG223:AG230)</f>
        <v>3</v>
      </c>
      <c r="AH231" s="543" t="n">
        <f aca="false">SUM(AH223:AH230)</f>
        <v>2</v>
      </c>
      <c r="AI231" s="543" t="n">
        <f aca="false">SUM(AI223:AI230)</f>
        <v>7</v>
      </c>
      <c r="AJ231" s="543" t="n">
        <f aca="false">SUM(AJ223:AJ230)</f>
        <v>8</v>
      </c>
      <c r="AK231" s="543" t="n">
        <f aca="false">SUM(AK223:AK230)</f>
        <v>0</v>
      </c>
      <c r="AL231" s="548" t="n">
        <f aca="false">SUM(AL223:AL230)</f>
        <v>3</v>
      </c>
      <c r="AM231" s="543" t="n">
        <f aca="false">SUM(AM223:AM230)</f>
        <v>2</v>
      </c>
      <c r="AN231" s="543" t="n">
        <f aca="false">SUM(AN223:AN230)</f>
        <v>7</v>
      </c>
      <c r="AO231" s="543" t="n">
        <f aca="false">SUM(AO223:AO230)</f>
        <v>3</v>
      </c>
      <c r="AP231" s="543" t="n">
        <f aca="false">SUM(AP223:AP230)</f>
        <v>4</v>
      </c>
      <c r="AQ231" s="543" t="n">
        <f aca="false">SUM(AQ223:AQ230)</f>
        <v>5</v>
      </c>
      <c r="AR231" s="543" t="n">
        <f aca="false">SUM(AR223:AR230)</f>
        <v>5</v>
      </c>
      <c r="AS231" s="543" t="n">
        <f aca="false">SUM(AS223:AS230)</f>
        <v>3</v>
      </c>
      <c r="AT231" s="543" t="n">
        <f aca="false">SUM(AT223:AT230)</f>
        <v>2</v>
      </c>
      <c r="AU231" s="543" t="n">
        <f aca="false">SUM(AU223:AU230)</f>
        <v>7</v>
      </c>
      <c r="AV231" s="543" t="n">
        <f aca="false">SUM(AV223:AV230)</f>
        <v>8</v>
      </c>
      <c r="AW231" s="549" t="n">
        <f aca="false">SUM(AW223:AW230)</f>
        <v>0</v>
      </c>
    </row>
    <row r="232" customFormat="false" ht="15" hidden="false" customHeight="false" outlineLevel="0" collapsed="false">
      <c r="A232" s="488" t="str">
        <f aca="false">A221&amp;"-"&amp;B232</f>
        <v>Moon-</v>
      </c>
      <c r="S232" s="489"/>
      <c r="T232" s="489"/>
      <c r="U232" s="489"/>
      <c r="V232" s="489"/>
      <c r="X232" s="474" t="s">
        <v>782</v>
      </c>
      <c r="AL232" s="474"/>
    </row>
    <row r="233" customFormat="false" ht="15" hidden="false" customHeight="false" outlineLevel="0" collapsed="false">
      <c r="A233" s="488" t="str">
        <f aca="false">A221&amp;"-"&amp;B233</f>
        <v>Moon-</v>
      </c>
      <c r="S233" s="489"/>
      <c r="T233" s="489"/>
      <c r="U233" s="489"/>
      <c r="V233" s="489"/>
    </row>
    <row r="234" customFormat="false" ht="15" hidden="false" customHeight="false" outlineLevel="0" collapsed="false">
      <c r="A234" s="488" t="str">
        <f aca="false">A221&amp;"-"&amp;B234</f>
        <v>Moon------</v>
      </c>
      <c r="B234" s="474" t="s">
        <v>776</v>
      </c>
    </row>
    <row r="235" customFormat="false" ht="15" hidden="false" customHeight="false" outlineLevel="0" collapsed="false">
      <c r="A235" s="488" t="str">
        <f aca="false">B235</f>
        <v>Sun</v>
      </c>
      <c r="B235" s="523" t="str">
        <f aca="false">X235</f>
        <v>Sun</v>
      </c>
      <c r="C235" s="523"/>
      <c r="D235" s="474" t="n">
        <f aca="true">INDIRECT(B235&amp;"house")</f>
        <v>4</v>
      </c>
      <c r="S235" s="495"/>
      <c r="T235" s="495"/>
      <c r="U235" s="495"/>
      <c r="V235" s="495"/>
      <c r="X235" s="193" t="s">
        <v>158</v>
      </c>
      <c r="Y235" s="474" t="str">
        <f aca="false">MIN(Y237:Y244)&amp;"-"&amp;MAX(Y237:Y244)</f>
        <v>3-8</v>
      </c>
      <c r="Z235" s="474" t="str">
        <f aca="false">$Z$83 &amp;  X235</f>
        <v>From Graha Good and Bad Transit of Sun</v>
      </c>
      <c r="AL235" s="474"/>
      <c r="AW235" s="474"/>
      <c r="AX235" s="474" t="s">
        <v>777</v>
      </c>
    </row>
    <row r="236" customFormat="false" ht="15" hidden="false" customHeight="false" outlineLevel="0" collapsed="false">
      <c r="A236" s="488" t="str">
        <f aca="false">A235&amp;"-"&amp;B236</f>
        <v>Sun-</v>
      </c>
      <c r="B236" s="524"/>
      <c r="C236" s="525" t="s">
        <v>746</v>
      </c>
      <c r="D236" s="526" t="n">
        <v>1</v>
      </c>
      <c r="E236" s="526" t="n">
        <v>2</v>
      </c>
      <c r="F236" s="526" t="n">
        <v>3</v>
      </c>
      <c r="G236" s="526" t="n">
        <v>4</v>
      </c>
      <c r="H236" s="526" t="n">
        <v>5</v>
      </c>
      <c r="I236" s="526" t="n">
        <v>6</v>
      </c>
      <c r="J236" s="526" t="n">
        <v>7</v>
      </c>
      <c r="K236" s="526" t="n">
        <v>8</v>
      </c>
      <c r="L236" s="526" t="n">
        <v>9</v>
      </c>
      <c r="M236" s="526" t="n">
        <v>10</v>
      </c>
      <c r="N236" s="526" t="n">
        <v>11</v>
      </c>
      <c r="O236" s="526" t="n">
        <v>12</v>
      </c>
      <c r="P236" s="527"/>
      <c r="Q236" s="527"/>
      <c r="S236" s="489" t="n">
        <f aca="false">O245</f>
        <v>5</v>
      </c>
      <c r="T236" s="489" t="n">
        <f aca="false">D245</f>
        <v>4</v>
      </c>
      <c r="U236" s="489" t="n">
        <f aca="false">E245</f>
        <v>5</v>
      </c>
      <c r="V236" s="489" t="n">
        <f aca="false">F245</f>
        <v>3</v>
      </c>
      <c r="X236" s="525" t="s">
        <v>778</v>
      </c>
      <c r="Y236" s="528" t="s">
        <v>779</v>
      </c>
      <c r="Z236" s="529" t="n">
        <v>1</v>
      </c>
      <c r="AA236" s="529" t="n">
        <v>2</v>
      </c>
      <c r="AB236" s="529" t="n">
        <v>3</v>
      </c>
      <c r="AC236" s="529" t="n">
        <v>4</v>
      </c>
      <c r="AD236" s="529" t="n">
        <v>5</v>
      </c>
      <c r="AE236" s="529" t="n">
        <v>6</v>
      </c>
      <c r="AF236" s="529" t="n">
        <v>7</v>
      </c>
      <c r="AG236" s="529" t="n">
        <v>8</v>
      </c>
      <c r="AH236" s="529" t="n">
        <v>9</v>
      </c>
      <c r="AI236" s="529" t="n">
        <v>10</v>
      </c>
      <c r="AJ236" s="529" t="n">
        <v>11</v>
      </c>
      <c r="AK236" s="529" t="n">
        <v>12</v>
      </c>
      <c r="AL236" s="530" t="n">
        <v>1</v>
      </c>
      <c r="AM236" s="526" t="n">
        <v>2</v>
      </c>
      <c r="AN236" s="526" t="n">
        <v>3</v>
      </c>
      <c r="AO236" s="526" t="n">
        <v>4</v>
      </c>
      <c r="AP236" s="526" t="n">
        <v>5</v>
      </c>
      <c r="AQ236" s="526" t="n">
        <v>6</v>
      </c>
      <c r="AR236" s="526" t="n">
        <v>7</v>
      </c>
      <c r="AS236" s="526" t="n">
        <v>8</v>
      </c>
      <c r="AT236" s="526" t="n">
        <v>9</v>
      </c>
      <c r="AU236" s="526" t="n">
        <v>10</v>
      </c>
      <c r="AV236" s="526" t="n">
        <v>11</v>
      </c>
      <c r="AW236" s="531" t="n">
        <v>12</v>
      </c>
    </row>
    <row r="237" customFormat="false" ht="15" hidden="false" customHeight="false" outlineLevel="0" collapsed="false">
      <c r="A237" s="488" t="str">
        <f aca="false">A235&amp;"-"&amp;B237</f>
        <v>Sun-Saturn</v>
      </c>
      <c r="B237" s="532" t="s">
        <v>164</v>
      </c>
      <c r="C237" s="533" t="n">
        <f aca="false">SaturnHouse</f>
        <v>2</v>
      </c>
      <c r="D237" s="534" t="str">
        <f aca="false">INDEX($Z237:$AW237,,12+D$152-$Q237+1)</f>
        <v>*</v>
      </c>
      <c r="E237" s="534" t="n">
        <f aca="false">INDEX($Z237:$AW237,,12+E$152-$Q237+1)</f>
        <v>1</v>
      </c>
      <c r="F237" s="534" t="n">
        <f aca="false">INDEX($Z237:$AW237,,12+F$152-$Q237+1)</f>
        <v>1</v>
      </c>
      <c r="G237" s="534" t="str">
        <f aca="false">INDEX($Z237:$AW237,,12+G$152-$Q237+1)</f>
        <v>*</v>
      </c>
      <c r="H237" s="534" t="n">
        <f aca="false">INDEX($Z237:$AW237,,12+H$152-$Q237+1)</f>
        <v>1</v>
      </c>
      <c r="I237" s="534" t="str">
        <f aca="false">INDEX($Z237:$AW237,,12+I$152-$Q237+1)</f>
        <v>*</v>
      </c>
      <c r="J237" s="534" t="str">
        <f aca="false">INDEX($Z237:$AW237,,12+J$152-$Q237+1)</f>
        <v>*</v>
      </c>
      <c r="K237" s="534" t="n">
        <f aca="false">INDEX($Z237:$AW237,,12+K$152-$Q237+1)</f>
        <v>1</v>
      </c>
      <c r="L237" s="534" t="n">
        <f aca="false">INDEX($Z237:$AW237,,12+L$152-$Q237+1)</f>
        <v>1</v>
      </c>
      <c r="M237" s="534" t="n">
        <f aca="false">INDEX($Z237:$AW237,,12+M$152-$Q237+1)</f>
        <v>1</v>
      </c>
      <c r="N237" s="534" t="n">
        <f aca="false">INDEX($Z237:$AW237,,12+N$152-$Q237+1)</f>
        <v>1</v>
      </c>
      <c r="O237" s="534" t="n">
        <f aca="false">INDEX($Z237:$AW237,,12+O$152-$Q237+1)</f>
        <v>1</v>
      </c>
      <c r="P237" s="535" t="n">
        <f aca="false">SUM(D237:O237)</f>
        <v>8</v>
      </c>
      <c r="Q237" s="533" t="n">
        <f aca="false">IF($Y$82,D235,C237)</f>
        <v>2</v>
      </c>
      <c r="S237" s="489"/>
      <c r="T237" s="489"/>
      <c r="U237" s="489"/>
      <c r="V237" s="489"/>
      <c r="W237" s="474" t="s">
        <v>781</v>
      </c>
      <c r="X237" s="532" t="s">
        <v>164</v>
      </c>
      <c r="Y237" s="536" t="n">
        <f aca="false">SUM(Z237:AK237)</f>
        <v>8</v>
      </c>
      <c r="Z237" s="534" t="n">
        <v>1</v>
      </c>
      <c r="AA237" s="534" t="n">
        <v>1</v>
      </c>
      <c r="AB237" s="534" t="s">
        <v>181</v>
      </c>
      <c r="AC237" s="534" t="n">
        <v>1</v>
      </c>
      <c r="AD237" s="534" t="s">
        <v>181</v>
      </c>
      <c r="AE237" s="534" t="s">
        <v>181</v>
      </c>
      <c r="AF237" s="534" t="n">
        <v>1</v>
      </c>
      <c r="AG237" s="534" t="n">
        <v>1</v>
      </c>
      <c r="AH237" s="534" t="n">
        <v>1</v>
      </c>
      <c r="AI237" s="534" t="n">
        <v>1</v>
      </c>
      <c r="AJ237" s="534" t="n">
        <v>1</v>
      </c>
      <c r="AK237" s="534" t="s">
        <v>181</v>
      </c>
      <c r="AL237" s="537" t="n">
        <f aca="false">Z237</f>
        <v>1</v>
      </c>
      <c r="AM237" s="534" t="n">
        <f aca="false">AA237</f>
        <v>1</v>
      </c>
      <c r="AN237" s="534" t="str">
        <f aca="false">AB237</f>
        <v>*</v>
      </c>
      <c r="AO237" s="534" t="n">
        <f aca="false">AC237</f>
        <v>1</v>
      </c>
      <c r="AP237" s="534" t="str">
        <f aca="false">AD237</f>
        <v>*</v>
      </c>
      <c r="AQ237" s="534" t="str">
        <f aca="false">AE237</f>
        <v>*</v>
      </c>
      <c r="AR237" s="534" t="n">
        <f aca="false">AF237</f>
        <v>1</v>
      </c>
      <c r="AS237" s="534" t="n">
        <f aca="false">AG237</f>
        <v>1</v>
      </c>
      <c r="AT237" s="534" t="n">
        <f aca="false">AH237</f>
        <v>1</v>
      </c>
      <c r="AU237" s="534" t="n">
        <f aca="false">AI237</f>
        <v>1</v>
      </c>
      <c r="AV237" s="534" t="n">
        <f aca="false">AJ237</f>
        <v>1</v>
      </c>
      <c r="AW237" s="538" t="str">
        <f aca="false">AK237</f>
        <v>*</v>
      </c>
      <c r="AX237" s="474" t="str">
        <f aca="false">MIN($Y$153,$Y$167,$Y$181,$Y$195,$Y$209,$Y$223,$Y$237,$Y$251)&amp;"-"&amp;MAX($Y$153,$Y$167,$Y$181,$Y$195,$Y$209,$Y$223,$Y$237,$Y$251)</f>
        <v>4-8</v>
      </c>
      <c r="AY237" s="474" t="s">
        <v>781</v>
      </c>
    </row>
    <row r="238" customFormat="false" ht="15" hidden="false" customHeight="false" outlineLevel="0" collapsed="false">
      <c r="A238" s="488" t="str">
        <f aca="false">A235&amp;"-"&amp;B238</f>
        <v>Sun-Jupiter</v>
      </c>
      <c r="B238" s="532" t="s">
        <v>162</v>
      </c>
      <c r="C238" s="533" t="n">
        <f aca="false">JupiterHouse</f>
        <v>8</v>
      </c>
      <c r="D238" s="534" t="n">
        <f aca="false">INDEX($Z238:$AW238,,12+D$152-$Q238+1)</f>
        <v>1</v>
      </c>
      <c r="E238" s="534" t="str">
        <f aca="false">INDEX($Z238:$AW238,,12+E$152-$Q238+1)</f>
        <v>*</v>
      </c>
      <c r="F238" s="534" t="str">
        <f aca="false">INDEX($Z238:$AW238,,12+F$152-$Q238+1)</f>
        <v>*</v>
      </c>
      <c r="G238" s="534" t="n">
        <f aca="false">INDEX($Z238:$AW238,,12+G$152-$Q238+1)</f>
        <v>1</v>
      </c>
      <c r="H238" s="534" t="str">
        <f aca="false">INDEX($Z238:$AW238,,12+H$152-$Q238+1)</f>
        <v>*</v>
      </c>
      <c r="I238" s="534" t="n">
        <f aca="false">INDEX($Z238:$AW238,,12+I$152-$Q238+1)</f>
        <v>1</v>
      </c>
      <c r="J238" s="534" t="str">
        <f aca="false">INDEX($Z238:$AW238,,12+J$152-$Q238+1)</f>
        <v>*</v>
      </c>
      <c r="K238" s="534" t="str">
        <f aca="false">INDEX($Z238:$AW238,,12+K$152-$Q238+1)</f>
        <v>*</v>
      </c>
      <c r="L238" s="534" t="str">
        <f aca="false">INDEX($Z238:$AW238,,12+L$152-$Q238+1)</f>
        <v>*</v>
      </c>
      <c r="M238" s="534" t="str">
        <f aca="false">INDEX($Z238:$AW238,,12+M$152-$Q238+1)</f>
        <v>*</v>
      </c>
      <c r="N238" s="534" t="str">
        <f aca="false">INDEX($Z238:$AW238,,12+N$152-$Q238+1)</f>
        <v>*</v>
      </c>
      <c r="O238" s="534" t="n">
        <f aca="false">INDEX($Z238:$AW238,,12+O$152-$Q238+1)</f>
        <v>1</v>
      </c>
      <c r="P238" s="535" t="n">
        <f aca="false">SUM(D238:O238)</f>
        <v>4</v>
      </c>
      <c r="Q238" s="533" t="n">
        <f aca="false">IF($Y$82,D235,C238)</f>
        <v>8</v>
      </c>
      <c r="S238" s="489"/>
      <c r="T238" s="489"/>
      <c r="U238" s="489"/>
      <c r="V238" s="489"/>
      <c r="X238" s="532" t="s">
        <v>162</v>
      </c>
      <c r="Y238" s="536" t="n">
        <f aca="false">SUM(Z238:AK238)</f>
        <v>4</v>
      </c>
      <c r="Z238" s="534" t="s">
        <v>181</v>
      </c>
      <c r="AA238" s="534" t="s">
        <v>181</v>
      </c>
      <c r="AB238" s="534" t="s">
        <v>181</v>
      </c>
      <c r="AC238" s="534" t="s">
        <v>181</v>
      </c>
      <c r="AD238" s="534" t="n">
        <v>1</v>
      </c>
      <c r="AE238" s="534" t="n">
        <v>1</v>
      </c>
      <c r="AF238" s="534" t="s">
        <v>181</v>
      </c>
      <c r="AG238" s="534" t="s">
        <v>181</v>
      </c>
      <c r="AH238" s="534" t="n">
        <v>1</v>
      </c>
      <c r="AI238" s="534" t="s">
        <v>181</v>
      </c>
      <c r="AJ238" s="534" t="n">
        <v>1</v>
      </c>
      <c r="AK238" s="534" t="s">
        <v>181</v>
      </c>
      <c r="AL238" s="537" t="str">
        <f aca="false">Z238</f>
        <v>*</v>
      </c>
      <c r="AM238" s="534" t="str">
        <f aca="false">AA238</f>
        <v>*</v>
      </c>
      <c r="AN238" s="534" t="str">
        <f aca="false">AB238</f>
        <v>*</v>
      </c>
      <c r="AO238" s="534" t="str">
        <f aca="false">AC238</f>
        <v>*</v>
      </c>
      <c r="AP238" s="534" t="n">
        <f aca="false">AD238</f>
        <v>1</v>
      </c>
      <c r="AQ238" s="534" t="n">
        <f aca="false">AE238</f>
        <v>1</v>
      </c>
      <c r="AR238" s="534" t="str">
        <f aca="false">AF238</f>
        <v>*</v>
      </c>
      <c r="AS238" s="534" t="str">
        <f aca="false">AG238</f>
        <v>*</v>
      </c>
      <c r="AT238" s="534" t="n">
        <f aca="false">AH238</f>
        <v>1</v>
      </c>
      <c r="AU238" s="534" t="str">
        <f aca="false">AI238</f>
        <v>*</v>
      </c>
      <c r="AV238" s="534" t="n">
        <f aca="false">AJ238</f>
        <v>1</v>
      </c>
      <c r="AW238" s="538" t="str">
        <f aca="false">AK238</f>
        <v>*</v>
      </c>
      <c r="AX238" s="474" t="str">
        <f aca="false">MIN($Y$154,$Y$168,$Y$182,$Y$196,$Y$210,$Y$224,$Y$238,$Y$252)&amp;"-"&amp;MAX($Y$154,$Y$168,$Y$182,$Y$196,$Y$210,$Y$224,$Y$238,$Y$252)</f>
        <v>4-9</v>
      </c>
      <c r="AY238" s="474" t="s">
        <v>780</v>
      </c>
    </row>
    <row r="239" customFormat="false" ht="15" hidden="false" customHeight="false" outlineLevel="0" collapsed="false">
      <c r="A239" s="488" t="str">
        <f aca="false">A235&amp;"-"&amp;B239</f>
        <v>Sun-Mars</v>
      </c>
      <c r="B239" s="532" t="s">
        <v>160</v>
      </c>
      <c r="C239" s="533" t="n">
        <f aca="false">MarsHouse</f>
        <v>10</v>
      </c>
      <c r="D239" s="534" t="n">
        <f aca="false">INDEX($Z239:$AW239,,12+D$152-$Q239+1)</f>
        <v>1</v>
      </c>
      <c r="E239" s="534" t="str">
        <f aca="false">INDEX($Z239:$AW239,,12+E$152-$Q239+1)</f>
        <v>*</v>
      </c>
      <c r="F239" s="534" t="str">
        <f aca="false">INDEX($Z239:$AW239,,12+F$152-$Q239+1)</f>
        <v>*</v>
      </c>
      <c r="G239" s="534" t="n">
        <f aca="false">INDEX($Z239:$AW239,,12+G$152-$Q239+1)</f>
        <v>1</v>
      </c>
      <c r="H239" s="534" t="n">
        <f aca="false">INDEX($Z239:$AW239,,12+H$152-$Q239+1)</f>
        <v>1</v>
      </c>
      <c r="I239" s="534" t="n">
        <f aca="false">INDEX($Z239:$AW239,,12+I$152-$Q239+1)</f>
        <v>1</v>
      </c>
      <c r="J239" s="534" t="n">
        <f aca="false">INDEX($Z239:$AW239,,12+J$152-$Q239+1)</f>
        <v>1</v>
      </c>
      <c r="K239" s="534" t="n">
        <f aca="false">INDEX($Z239:$AW239,,12+K$152-$Q239+1)</f>
        <v>1</v>
      </c>
      <c r="L239" s="534" t="str">
        <f aca="false">INDEX($Z239:$AW239,,12+L$152-$Q239+1)</f>
        <v>*</v>
      </c>
      <c r="M239" s="534" t="n">
        <f aca="false">INDEX($Z239:$AW239,,12+M$152-$Q239+1)</f>
        <v>1</v>
      </c>
      <c r="N239" s="534" t="n">
        <f aca="false">INDEX($Z239:$AW239,,12+N$152-$Q239+1)</f>
        <v>1</v>
      </c>
      <c r="O239" s="534" t="str">
        <f aca="false">INDEX($Z239:$AW239,,12+O$152-$Q239+1)</f>
        <v>*</v>
      </c>
      <c r="P239" s="535" t="n">
        <f aca="false">SUM(D239:O239)</f>
        <v>8</v>
      </c>
      <c r="Q239" s="533" t="n">
        <f aca="false">IF($Y$82,D235,C239)</f>
        <v>10</v>
      </c>
      <c r="S239" s="489" t="n">
        <f aca="false">N245</f>
        <v>4</v>
      </c>
      <c r="T239" s="490" t="str">
        <f aca="false">C235&amp;"  Ashtakavarga  "&amp;P245</f>
        <v>  Ashtakavarga  48</v>
      </c>
      <c r="U239" s="490"/>
      <c r="V239" s="489" t="n">
        <f aca="false">G245</f>
        <v>5</v>
      </c>
      <c r="X239" s="532" t="s">
        <v>160</v>
      </c>
      <c r="Y239" s="536" t="n">
        <f aca="false">SUM(Z239:AK239)</f>
        <v>8</v>
      </c>
      <c r="Z239" s="534" t="n">
        <v>1</v>
      </c>
      <c r="AA239" s="534" t="n">
        <v>1</v>
      </c>
      <c r="AB239" s="534" t="s">
        <v>181</v>
      </c>
      <c r="AC239" s="534" t="n">
        <v>1</v>
      </c>
      <c r="AD239" s="534" t="s">
        <v>181</v>
      </c>
      <c r="AE239" s="534" t="s">
        <v>181</v>
      </c>
      <c r="AF239" s="534" t="n">
        <v>1</v>
      </c>
      <c r="AG239" s="534" t="n">
        <v>1</v>
      </c>
      <c r="AH239" s="534" t="n">
        <v>1</v>
      </c>
      <c r="AI239" s="534" t="n">
        <v>1</v>
      </c>
      <c r="AJ239" s="534" t="n">
        <v>1</v>
      </c>
      <c r="AK239" s="534" t="s">
        <v>181</v>
      </c>
      <c r="AL239" s="537" t="n">
        <f aca="false">Z239</f>
        <v>1</v>
      </c>
      <c r="AM239" s="534" t="n">
        <f aca="false">AA239</f>
        <v>1</v>
      </c>
      <c r="AN239" s="534" t="str">
        <f aca="false">AB239</f>
        <v>*</v>
      </c>
      <c r="AO239" s="534" t="n">
        <f aca="false">AC239</f>
        <v>1</v>
      </c>
      <c r="AP239" s="534" t="str">
        <f aca="false">AD239</f>
        <v>*</v>
      </c>
      <c r="AQ239" s="534" t="str">
        <f aca="false">AE239</f>
        <v>*</v>
      </c>
      <c r="AR239" s="534" t="n">
        <f aca="false">AF239</f>
        <v>1</v>
      </c>
      <c r="AS239" s="534" t="n">
        <f aca="false">AG239</f>
        <v>1</v>
      </c>
      <c r="AT239" s="534" t="n">
        <f aca="false">AH239</f>
        <v>1</v>
      </c>
      <c r="AU239" s="534" t="n">
        <f aca="false">AI239</f>
        <v>1</v>
      </c>
      <c r="AV239" s="534" t="n">
        <f aca="false">AJ239</f>
        <v>1</v>
      </c>
      <c r="AW239" s="538" t="str">
        <f aca="false">AK239</f>
        <v>*</v>
      </c>
      <c r="AX239" s="474" t="str">
        <f aca="false">MIN($Y$155,$Y$169,$Y$183,$Y$197,$Y$211,$Y$225,$Y$239,$Y$253)&amp;"-"&amp;MAX($Y$155,$Y$169,$Y$183,$Y$197,$Y$211,$Y$225,$Y$239,$Y$253)</f>
        <v>5-8</v>
      </c>
      <c r="AY239" s="474" t="s">
        <v>781</v>
      </c>
    </row>
    <row r="240" customFormat="false" ht="15" hidden="false" customHeight="false" outlineLevel="0" collapsed="false">
      <c r="A240" s="488" t="str">
        <f aca="false">A235&amp;"-"&amp;B240</f>
        <v>Sun-Sun</v>
      </c>
      <c r="B240" s="532" t="s">
        <v>158</v>
      </c>
      <c r="C240" s="533" t="n">
        <f aca="false">SunHouse</f>
        <v>4</v>
      </c>
      <c r="D240" s="534" t="n">
        <f aca="false">INDEX($Z240:$AW240,,12+D$152-$Q240+1)</f>
        <v>1</v>
      </c>
      <c r="E240" s="534" t="n">
        <f aca="false">INDEX($Z240:$AW240,,12+E$152-$Q240+1)</f>
        <v>1</v>
      </c>
      <c r="F240" s="534" t="str">
        <f aca="false">INDEX($Z240:$AW240,,12+F$152-$Q240+1)</f>
        <v>*</v>
      </c>
      <c r="G240" s="534" t="n">
        <f aca="false">INDEX($Z240:$AW240,,12+G$152-$Q240+1)</f>
        <v>1</v>
      </c>
      <c r="H240" s="534" t="n">
        <f aca="false">INDEX($Z240:$AW240,,12+H$152-$Q240+1)</f>
        <v>1</v>
      </c>
      <c r="I240" s="534" t="str">
        <f aca="false">INDEX($Z240:$AW240,,12+I$152-$Q240+1)</f>
        <v>*</v>
      </c>
      <c r="J240" s="534" t="n">
        <f aca="false">INDEX($Z240:$AW240,,12+J$152-$Q240+1)</f>
        <v>1</v>
      </c>
      <c r="K240" s="534" t="str">
        <f aca="false">INDEX($Z240:$AW240,,12+K$152-$Q240+1)</f>
        <v>*</v>
      </c>
      <c r="L240" s="534" t="str">
        <f aca="false">INDEX($Z240:$AW240,,12+L$152-$Q240+1)</f>
        <v>*</v>
      </c>
      <c r="M240" s="534" t="n">
        <f aca="false">INDEX($Z240:$AW240,,12+M$152-$Q240+1)</f>
        <v>1</v>
      </c>
      <c r="N240" s="534" t="n">
        <f aca="false">INDEX($Z240:$AW240,,12+N$152-$Q240+1)</f>
        <v>1</v>
      </c>
      <c r="O240" s="534" t="n">
        <f aca="false">INDEX($Z240:$AW240,,12+O$152-$Q240+1)</f>
        <v>1</v>
      </c>
      <c r="P240" s="535" t="n">
        <f aca="false">SUM(D240:O240)</f>
        <v>8</v>
      </c>
      <c r="Q240" s="533" t="n">
        <f aca="false">IF($Y$82,D235,C240)</f>
        <v>4</v>
      </c>
      <c r="S240" s="489"/>
      <c r="T240" s="489"/>
      <c r="U240" s="490"/>
      <c r="V240" s="489"/>
      <c r="W240" s="474" t="s">
        <v>781</v>
      </c>
      <c r="X240" s="532" t="s">
        <v>158</v>
      </c>
      <c r="Y240" s="536" t="n">
        <f aca="false">SUM(Z240:AK240)</f>
        <v>8</v>
      </c>
      <c r="Z240" s="534" t="n">
        <v>1</v>
      </c>
      <c r="AA240" s="534" t="n">
        <v>1</v>
      </c>
      <c r="AB240" s="534" t="s">
        <v>181</v>
      </c>
      <c r="AC240" s="534" t="n">
        <v>1</v>
      </c>
      <c r="AD240" s="534" t="s">
        <v>181</v>
      </c>
      <c r="AE240" s="534" t="s">
        <v>181</v>
      </c>
      <c r="AF240" s="534" t="n">
        <v>1</v>
      </c>
      <c r="AG240" s="534" t="n">
        <v>1</v>
      </c>
      <c r="AH240" s="534" t="n">
        <v>1</v>
      </c>
      <c r="AI240" s="534" t="n">
        <v>1</v>
      </c>
      <c r="AJ240" s="534" t="n">
        <v>1</v>
      </c>
      <c r="AK240" s="534" t="s">
        <v>181</v>
      </c>
      <c r="AL240" s="537" t="n">
        <f aca="false">Z240</f>
        <v>1</v>
      </c>
      <c r="AM240" s="534" t="n">
        <f aca="false">AA240</f>
        <v>1</v>
      </c>
      <c r="AN240" s="534" t="str">
        <f aca="false">AB240</f>
        <v>*</v>
      </c>
      <c r="AO240" s="534" t="n">
        <f aca="false">AC240</f>
        <v>1</v>
      </c>
      <c r="AP240" s="534" t="str">
        <f aca="false">AD240</f>
        <v>*</v>
      </c>
      <c r="AQ240" s="534" t="str">
        <f aca="false">AE240</f>
        <v>*</v>
      </c>
      <c r="AR240" s="534" t="n">
        <f aca="false">AF240</f>
        <v>1</v>
      </c>
      <c r="AS240" s="534" t="n">
        <f aca="false">AG240</f>
        <v>1</v>
      </c>
      <c r="AT240" s="534" t="n">
        <f aca="false">AH240</f>
        <v>1</v>
      </c>
      <c r="AU240" s="534" t="n">
        <f aca="false">AI240</f>
        <v>1</v>
      </c>
      <c r="AV240" s="534" t="n">
        <f aca="false">AJ240</f>
        <v>1</v>
      </c>
      <c r="AW240" s="538" t="str">
        <f aca="false">AK240</f>
        <v>*</v>
      </c>
      <c r="AX240" s="474" t="str">
        <f aca="false">MIN($Y$156,$Y$170,$Y$184,$Y$198,$Y$212,$Y$226,$Y$240,$Y$254)&amp;"-"&amp;MAX($Y$156,$Y$170,$Y$184,$Y$198,$Y$212,$Y$226,$Y$240,$Y$254)</f>
        <v>3-9</v>
      </c>
    </row>
    <row r="241" customFormat="false" ht="15" hidden="false" customHeight="false" outlineLevel="0" collapsed="false">
      <c r="A241" s="488" t="str">
        <f aca="false">A235&amp;"-"&amp;B241</f>
        <v>Sun-Venus</v>
      </c>
      <c r="B241" s="532" t="s">
        <v>163</v>
      </c>
      <c r="C241" s="533" t="n">
        <f aca="false">VenusHouse</f>
        <v>3</v>
      </c>
      <c r="D241" s="534" t="str">
        <f aca="false">INDEX($Z241:$AW241,,12+D$152-$Q241+1)</f>
        <v>*</v>
      </c>
      <c r="E241" s="534" t="n">
        <f aca="false">INDEX($Z241:$AW241,,12+E$152-$Q241+1)</f>
        <v>1</v>
      </c>
      <c r="F241" s="534" t="str">
        <f aca="false">INDEX($Z241:$AW241,,12+F$152-$Q241+1)</f>
        <v>*</v>
      </c>
      <c r="G241" s="534" t="str">
        <f aca="false">INDEX($Z241:$AW241,,12+G$152-$Q241+1)</f>
        <v>*</v>
      </c>
      <c r="H241" s="534" t="str">
        <f aca="false">INDEX($Z241:$AW241,,12+H$152-$Q241+1)</f>
        <v>*</v>
      </c>
      <c r="I241" s="534" t="str">
        <f aca="false">INDEX($Z241:$AW241,,12+I$152-$Q241+1)</f>
        <v>*</v>
      </c>
      <c r="J241" s="534" t="str">
        <f aca="false">INDEX($Z241:$AW241,,12+J$152-$Q241+1)</f>
        <v>*</v>
      </c>
      <c r="K241" s="534" t="n">
        <f aca="false">INDEX($Z241:$AW241,,12+K$152-$Q241+1)</f>
        <v>1</v>
      </c>
      <c r="L241" s="534" t="n">
        <f aca="false">INDEX($Z241:$AW241,,12+L$152-$Q241+1)</f>
        <v>1</v>
      </c>
      <c r="M241" s="534" t="str">
        <f aca="false">INDEX($Z241:$AW241,,12+M$152-$Q241+1)</f>
        <v>*</v>
      </c>
      <c r="N241" s="534" t="str">
        <f aca="false">INDEX($Z241:$AW241,,12+N$152-$Q241+1)</f>
        <v>*</v>
      </c>
      <c r="O241" s="534" t="str">
        <f aca="false">INDEX($Z241:$AW241,,12+O$152-$Q241+1)</f>
        <v>*</v>
      </c>
      <c r="P241" s="535" t="n">
        <f aca="false">SUM(D241:O241)</f>
        <v>3</v>
      </c>
      <c r="Q241" s="533" t="n">
        <f aca="false">IF($Y$82,D235,C241)</f>
        <v>3</v>
      </c>
      <c r="S241" s="489"/>
      <c r="T241" s="489"/>
      <c r="U241" s="490"/>
      <c r="V241" s="489"/>
      <c r="W241" s="474" t="s">
        <v>780</v>
      </c>
      <c r="X241" s="532" t="s">
        <v>163</v>
      </c>
      <c r="Y241" s="536" t="n">
        <f aca="false">SUM(Z241:AK241)</f>
        <v>3</v>
      </c>
      <c r="Z241" s="534" t="s">
        <v>181</v>
      </c>
      <c r="AA241" s="534" t="s">
        <v>181</v>
      </c>
      <c r="AB241" s="534" t="s">
        <v>181</v>
      </c>
      <c r="AC241" s="534" t="s">
        <v>181</v>
      </c>
      <c r="AD241" s="534" t="s">
        <v>181</v>
      </c>
      <c r="AE241" s="534" t="n">
        <v>1</v>
      </c>
      <c r="AF241" s="534" t="n">
        <v>1</v>
      </c>
      <c r="AG241" s="534" t="s">
        <v>181</v>
      </c>
      <c r="AH241" s="534" t="s">
        <v>181</v>
      </c>
      <c r="AI241" s="534" t="s">
        <v>181</v>
      </c>
      <c r="AJ241" s="534" t="s">
        <v>181</v>
      </c>
      <c r="AK241" s="534" t="n">
        <v>1</v>
      </c>
      <c r="AL241" s="537" t="str">
        <f aca="false">Z241</f>
        <v>*</v>
      </c>
      <c r="AM241" s="534" t="str">
        <f aca="false">AA241</f>
        <v>*</v>
      </c>
      <c r="AN241" s="534" t="str">
        <f aca="false">AB241</f>
        <v>*</v>
      </c>
      <c r="AO241" s="534" t="str">
        <f aca="false">AC241</f>
        <v>*</v>
      </c>
      <c r="AP241" s="534" t="str">
        <f aca="false">AD241</f>
        <v>*</v>
      </c>
      <c r="AQ241" s="534" t="n">
        <f aca="false">AE241</f>
        <v>1</v>
      </c>
      <c r="AR241" s="534" t="n">
        <f aca="false">AF241</f>
        <v>1</v>
      </c>
      <c r="AS241" s="534" t="str">
        <f aca="false">AG241</f>
        <v>*</v>
      </c>
      <c r="AT241" s="534" t="str">
        <f aca="false">AH241</f>
        <v>*</v>
      </c>
      <c r="AU241" s="534" t="str">
        <f aca="false">AI241</f>
        <v>*</v>
      </c>
      <c r="AV241" s="534" t="str">
        <f aca="false">AJ241</f>
        <v>*</v>
      </c>
      <c r="AW241" s="538" t="n">
        <f aca="false">AK241</f>
        <v>1</v>
      </c>
      <c r="AX241" s="474" t="str">
        <f aca="false">MIN($Y$157,$Y$171,$Y$185,$Y$199,$Y$213,$Y$227,$Y$241,$Y$255)&amp;"-"&amp;MAX($Y$157,$Y$171,$Y$185,$Y$199,$Y$213,$Y$227,$Y$241,$Y$255)</f>
        <v>3-9</v>
      </c>
      <c r="AY241" s="474" t="s">
        <v>780</v>
      </c>
    </row>
    <row r="242" customFormat="false" ht="15" hidden="false" customHeight="false" outlineLevel="0" collapsed="false">
      <c r="A242" s="488" t="str">
        <f aca="false">A235&amp;"-"&amp;B242</f>
        <v>Sun-Mercury</v>
      </c>
      <c r="B242" s="532" t="s">
        <v>161</v>
      </c>
      <c r="C242" s="533" t="n">
        <f aca="false">MercuryHouse</f>
        <v>4</v>
      </c>
      <c r="D242" s="534" t="n">
        <f aca="false">INDEX($Z242:$AW242,,12+D$152-$Q242+1)</f>
        <v>1</v>
      </c>
      <c r="E242" s="534" t="n">
        <f aca="false">INDEX($Z242:$AW242,,12+E$152-$Q242+1)</f>
        <v>1</v>
      </c>
      <c r="F242" s="534" t="n">
        <f aca="false">INDEX($Z242:$AW242,,12+F$152-$Q242+1)</f>
        <v>1</v>
      </c>
      <c r="G242" s="534" t="str">
        <f aca="false">INDEX($Z242:$AW242,,12+G$152-$Q242+1)</f>
        <v>*</v>
      </c>
      <c r="H242" s="534" t="str">
        <f aca="false">INDEX($Z242:$AW242,,12+H$152-$Q242+1)</f>
        <v>*</v>
      </c>
      <c r="I242" s="534" t="n">
        <f aca="false">INDEX($Z242:$AW242,,12+I$152-$Q242+1)</f>
        <v>1</v>
      </c>
      <c r="J242" s="534" t="str">
        <f aca="false">INDEX($Z242:$AW242,,12+J$152-$Q242+1)</f>
        <v>*</v>
      </c>
      <c r="K242" s="534" t="n">
        <f aca="false">INDEX($Z242:$AW242,,12+K$152-$Q242+1)</f>
        <v>1</v>
      </c>
      <c r="L242" s="534" t="n">
        <f aca="false">INDEX($Z242:$AW242,,12+L$152-$Q242+1)</f>
        <v>1</v>
      </c>
      <c r="M242" s="534" t="str">
        <f aca="false">INDEX($Z242:$AW242,,12+M$152-$Q242+1)</f>
        <v>*</v>
      </c>
      <c r="N242" s="534" t="str">
        <f aca="false">INDEX($Z242:$AW242,,12+N$152-$Q242+1)</f>
        <v>*</v>
      </c>
      <c r="O242" s="534" t="n">
        <f aca="false">INDEX($Z242:$AW242,,12+O$152-$Q242+1)</f>
        <v>1</v>
      </c>
      <c r="P242" s="535" t="n">
        <f aca="false">SUM(D242:O242)</f>
        <v>7</v>
      </c>
      <c r="Q242" s="533" t="n">
        <f aca="false">IF($Y$82,D235,C242)</f>
        <v>4</v>
      </c>
      <c r="S242" s="489" t="n">
        <f aca="false">M245</f>
        <v>4</v>
      </c>
      <c r="T242" s="490"/>
      <c r="U242" s="490"/>
      <c r="V242" s="489" t="n">
        <f aca="false">H245</f>
        <v>3</v>
      </c>
      <c r="X242" s="532" t="s">
        <v>161</v>
      </c>
      <c r="Y242" s="536" t="n">
        <f aca="false">SUM(Z242:AK242)</f>
        <v>7</v>
      </c>
      <c r="Z242" s="534" t="s">
        <v>181</v>
      </c>
      <c r="AA242" s="534" t="s">
        <v>181</v>
      </c>
      <c r="AB242" s="534" t="n">
        <v>1</v>
      </c>
      <c r="AC242" s="534" t="s">
        <v>181</v>
      </c>
      <c r="AD242" s="534" t="n">
        <v>1</v>
      </c>
      <c r="AE242" s="534" t="n">
        <v>1</v>
      </c>
      <c r="AF242" s="534" t="s">
        <v>181</v>
      </c>
      <c r="AG242" s="534" t="s">
        <v>181</v>
      </c>
      <c r="AH242" s="534" t="n">
        <v>1</v>
      </c>
      <c r="AI242" s="534" t="n">
        <v>1</v>
      </c>
      <c r="AJ242" s="534" t="n">
        <v>1</v>
      </c>
      <c r="AK242" s="534" t="n">
        <v>1</v>
      </c>
      <c r="AL242" s="537" t="str">
        <f aca="false">Z242</f>
        <v>*</v>
      </c>
      <c r="AM242" s="534" t="str">
        <f aca="false">AA242</f>
        <v>*</v>
      </c>
      <c r="AN242" s="534" t="n">
        <f aca="false">AB242</f>
        <v>1</v>
      </c>
      <c r="AO242" s="534" t="str">
        <f aca="false">AC242</f>
        <v>*</v>
      </c>
      <c r="AP242" s="534" t="n">
        <f aca="false">AD242</f>
        <v>1</v>
      </c>
      <c r="AQ242" s="534" t="n">
        <f aca="false">AE242</f>
        <v>1</v>
      </c>
      <c r="AR242" s="534" t="str">
        <f aca="false">AF242</f>
        <v>*</v>
      </c>
      <c r="AS242" s="534" t="str">
        <f aca="false">AG242</f>
        <v>*</v>
      </c>
      <c r="AT242" s="534" t="n">
        <f aca="false">AH242</f>
        <v>1</v>
      </c>
      <c r="AU242" s="534" t="n">
        <f aca="false">AI242</f>
        <v>1</v>
      </c>
      <c r="AV242" s="534" t="n">
        <f aca="false">AJ242</f>
        <v>1</v>
      </c>
      <c r="AW242" s="538" t="n">
        <f aca="false">AK242</f>
        <v>1</v>
      </c>
      <c r="AX242" s="474" t="str">
        <f aca="false">MIN($Y$158,$Y$172,$Y$186,$Y$200,$Y$214,$Y$228,$Y$242,$Y$256)&amp;"-"&amp;MAX($Y$158,$Y$172,$Y$186,$Y$200,$Y$214,$Y$228,$Y$242,$Y$256)</f>
        <v>4-8</v>
      </c>
    </row>
    <row r="243" customFormat="false" ht="15" hidden="false" customHeight="false" outlineLevel="0" collapsed="false">
      <c r="A243" s="488" t="str">
        <f aca="false">A235&amp;"-"&amp;B243</f>
        <v>Sun-Moon</v>
      </c>
      <c r="B243" s="532" t="s">
        <v>159</v>
      </c>
      <c r="C243" s="533" t="n">
        <f aca="false">MoonHouse</f>
        <v>2</v>
      </c>
      <c r="D243" s="534" t="str">
        <f aca="false">INDEX($Z243:$AW243,,12+D$152-$Q243+1)</f>
        <v>*</v>
      </c>
      <c r="E243" s="534" t="str">
        <f aca="false">INDEX($Z243:$AW243,,12+E$152-$Q243+1)</f>
        <v>*</v>
      </c>
      <c r="F243" s="534" t="str">
        <f aca="false">INDEX($Z243:$AW243,,12+F$152-$Q243+1)</f>
        <v>*</v>
      </c>
      <c r="G243" s="534" t="n">
        <f aca="false">INDEX($Z243:$AW243,,12+G$152-$Q243+1)</f>
        <v>1</v>
      </c>
      <c r="H243" s="534" t="str">
        <f aca="false">INDEX($Z243:$AW243,,12+H$152-$Q243+1)</f>
        <v>*</v>
      </c>
      <c r="I243" s="534" t="str">
        <f aca="false">INDEX($Z243:$AW243,,12+I$152-$Q243+1)</f>
        <v>*</v>
      </c>
      <c r="J243" s="534" t="n">
        <f aca="false">INDEX($Z243:$AW243,,12+J$152-$Q243+1)</f>
        <v>1</v>
      </c>
      <c r="K243" s="534" t="str">
        <f aca="false">INDEX($Z243:$AW243,,12+K$152-$Q243+1)</f>
        <v>*</v>
      </c>
      <c r="L243" s="534" t="str">
        <f aca="false">INDEX($Z243:$AW243,,12+L$152-$Q243+1)</f>
        <v>*</v>
      </c>
      <c r="M243" s="534" t="str">
        <f aca="false">INDEX($Z243:$AW243,,12+M$152-$Q243+1)</f>
        <v>*</v>
      </c>
      <c r="N243" s="534" t="n">
        <f aca="false">INDEX($Z243:$AW243,,12+N$152-$Q243+1)</f>
        <v>1</v>
      </c>
      <c r="O243" s="534" t="n">
        <f aca="false">INDEX($Z243:$AW243,,12+O$152-$Q243+1)</f>
        <v>1</v>
      </c>
      <c r="P243" s="535" t="n">
        <f aca="false">SUM(D243:O243)</f>
        <v>4</v>
      </c>
      <c r="Q243" s="533" t="n">
        <f aca="false">IF($Y$82,D235,C243)</f>
        <v>2</v>
      </c>
      <c r="S243" s="489"/>
      <c r="T243" s="489"/>
      <c r="U243" s="490"/>
      <c r="V243" s="489"/>
      <c r="X243" s="532" t="s">
        <v>159</v>
      </c>
      <c r="Y243" s="536" t="n">
        <f aca="false">SUM(Z243:AK243)</f>
        <v>4</v>
      </c>
      <c r="Z243" s="534" t="s">
        <v>181</v>
      </c>
      <c r="AA243" s="534" t="s">
        <v>181</v>
      </c>
      <c r="AB243" s="534" t="n">
        <v>1</v>
      </c>
      <c r="AC243" s="534" t="s">
        <v>181</v>
      </c>
      <c r="AD243" s="534" t="s">
        <v>181</v>
      </c>
      <c r="AE243" s="534" t="n">
        <v>1</v>
      </c>
      <c r="AF243" s="534" t="s">
        <v>181</v>
      </c>
      <c r="AG243" s="534" t="s">
        <v>181</v>
      </c>
      <c r="AH243" s="534" t="s">
        <v>181</v>
      </c>
      <c r="AI243" s="534" t="n">
        <v>1</v>
      </c>
      <c r="AJ243" s="534" t="n">
        <v>1</v>
      </c>
      <c r="AK243" s="534" t="s">
        <v>181</v>
      </c>
      <c r="AL243" s="537" t="str">
        <f aca="false">Z243</f>
        <v>*</v>
      </c>
      <c r="AM243" s="534" t="str">
        <f aca="false">AA243</f>
        <v>*</v>
      </c>
      <c r="AN243" s="534" t="n">
        <f aca="false">AB243</f>
        <v>1</v>
      </c>
      <c r="AO243" s="534" t="str">
        <f aca="false">AC243</f>
        <v>*</v>
      </c>
      <c r="AP243" s="534" t="str">
        <f aca="false">AD243</f>
        <v>*</v>
      </c>
      <c r="AQ243" s="534" t="n">
        <f aca="false">AE243</f>
        <v>1</v>
      </c>
      <c r="AR243" s="534" t="str">
        <f aca="false">AF243</f>
        <v>*</v>
      </c>
      <c r="AS243" s="534" t="str">
        <f aca="false">AG243</f>
        <v>*</v>
      </c>
      <c r="AT243" s="534" t="str">
        <f aca="false">AH243</f>
        <v>*</v>
      </c>
      <c r="AU243" s="534" t="n">
        <f aca="false">AI243</f>
        <v>1</v>
      </c>
      <c r="AV243" s="534" t="n">
        <f aca="false">AJ243</f>
        <v>1</v>
      </c>
      <c r="AW243" s="538" t="str">
        <f aca="false">AK243</f>
        <v>*</v>
      </c>
      <c r="AX243" s="474" t="str">
        <f aca="false">MIN($Y$159,$Y$173,$Y$187,$Y$201,$Y$215,$Y$229,$Y$243,$Y$257)&amp;"-"&amp;MAX($Y$159,$Y$173,$Y$187,$Y$201,$Y$215,$Y$229,$Y$243,$Y$257)</f>
        <v>3-9</v>
      </c>
    </row>
    <row r="244" customFormat="false" ht="15" hidden="false" customHeight="false" outlineLevel="0" collapsed="false">
      <c r="A244" s="488" t="str">
        <f aca="false">A235&amp;"-"&amp;B244</f>
        <v>Sun-Lagna</v>
      </c>
      <c r="B244" s="532" t="s">
        <v>319</v>
      </c>
      <c r="C244" s="533" t="n">
        <f aca="false">Lagnahouse</f>
        <v>5</v>
      </c>
      <c r="D244" s="534" t="str">
        <f aca="false">INDEX($Z244:$AW244,,12+D$152-$Q244+1)</f>
        <v>*</v>
      </c>
      <c r="E244" s="534" t="n">
        <f aca="false">INDEX($Z244:$AW244,,12+E$152-$Q244+1)</f>
        <v>1</v>
      </c>
      <c r="F244" s="534" t="n">
        <f aca="false">INDEX($Z244:$AW244,,12+F$152-$Q244+1)</f>
        <v>1</v>
      </c>
      <c r="G244" s="534" t="n">
        <f aca="false">INDEX($Z244:$AW244,,12+G$152-$Q244+1)</f>
        <v>1</v>
      </c>
      <c r="H244" s="534" t="str">
        <f aca="false">INDEX($Z244:$AW244,,12+H$152-$Q244+1)</f>
        <v>*</v>
      </c>
      <c r="I244" s="534" t="str">
        <f aca="false">INDEX($Z244:$AW244,,12+I$152-$Q244+1)</f>
        <v>*</v>
      </c>
      <c r="J244" s="534" t="n">
        <f aca="false">INDEX($Z244:$AW244,,12+J$152-$Q244+1)</f>
        <v>1</v>
      </c>
      <c r="K244" s="534" t="n">
        <f aca="false">INDEX($Z244:$AW244,,12+K$152-$Q244+1)</f>
        <v>1</v>
      </c>
      <c r="L244" s="534" t="str">
        <f aca="false">INDEX($Z244:$AW244,,12+L$152-$Q244+1)</f>
        <v>*</v>
      </c>
      <c r="M244" s="534" t="n">
        <f aca="false">INDEX($Z244:$AW244,,12+M$152-$Q244+1)</f>
        <v>1</v>
      </c>
      <c r="N244" s="534" t="str">
        <f aca="false">INDEX($Z244:$AW244,,12+N$152-$Q244+1)</f>
        <v>*</v>
      </c>
      <c r="O244" s="534" t="str">
        <f aca="false">INDEX($Z244:$AW244,,12+O$152-$Q244+1)</f>
        <v>*</v>
      </c>
      <c r="P244" s="535" t="n">
        <f aca="false">SUM(D244:O244)</f>
        <v>6</v>
      </c>
      <c r="Q244" s="533" t="n">
        <f aca="false">IF($Y$82,D235,C244)</f>
        <v>5</v>
      </c>
      <c r="S244" s="489"/>
      <c r="T244" s="489"/>
      <c r="U244" s="490"/>
      <c r="V244" s="489"/>
      <c r="X244" s="532" t="s">
        <v>319</v>
      </c>
      <c r="Y244" s="536" t="n">
        <f aca="false">SUM(Z244:AK244)</f>
        <v>6</v>
      </c>
      <c r="Z244" s="534" t="s">
        <v>181</v>
      </c>
      <c r="AA244" s="534" t="s">
        <v>181</v>
      </c>
      <c r="AB244" s="534" t="n">
        <v>1</v>
      </c>
      <c r="AC244" s="534" t="n">
        <v>1</v>
      </c>
      <c r="AD244" s="534" t="s">
        <v>181</v>
      </c>
      <c r="AE244" s="534" t="n">
        <v>1</v>
      </c>
      <c r="AF244" s="534" t="s">
        <v>181</v>
      </c>
      <c r="AG244" s="534" t="s">
        <v>181</v>
      </c>
      <c r="AH244" s="534" t="s">
        <v>181</v>
      </c>
      <c r="AI244" s="534" t="n">
        <v>1</v>
      </c>
      <c r="AJ244" s="534" t="n">
        <v>1</v>
      </c>
      <c r="AK244" s="534" t="n">
        <v>1</v>
      </c>
      <c r="AL244" s="537" t="str">
        <f aca="false">Z244</f>
        <v>*</v>
      </c>
      <c r="AM244" s="534" t="str">
        <f aca="false">AA244</f>
        <v>*</v>
      </c>
      <c r="AN244" s="534" t="n">
        <f aca="false">AB244</f>
        <v>1</v>
      </c>
      <c r="AO244" s="534" t="n">
        <f aca="false">AC244</f>
        <v>1</v>
      </c>
      <c r="AP244" s="534" t="str">
        <f aca="false">AD244</f>
        <v>*</v>
      </c>
      <c r="AQ244" s="534" t="n">
        <f aca="false">AE244</f>
        <v>1</v>
      </c>
      <c r="AR244" s="534" t="str">
        <f aca="false">AF244</f>
        <v>*</v>
      </c>
      <c r="AS244" s="534" t="str">
        <f aca="false">AG244</f>
        <v>*</v>
      </c>
      <c r="AT244" s="534" t="str">
        <f aca="false">AH244</f>
        <v>*</v>
      </c>
      <c r="AU244" s="534" t="n">
        <f aca="false">AI244</f>
        <v>1</v>
      </c>
      <c r="AV244" s="534" t="n">
        <f aca="false">AJ244</f>
        <v>1</v>
      </c>
      <c r="AW244" s="538" t="n">
        <f aca="false">AK244</f>
        <v>1</v>
      </c>
      <c r="AX244" s="474" t="str">
        <f aca="false">MIN($Y$160,$Y$174,$Y$188,$Y$202,$Y$216,$Y$230,$Y$244,$Y$258)&amp;"-"&amp;MAX($Y$160,$Y$174,$Y$188,$Y$202,$Y$216,$Y$230,$Y$244,$Y$258)</f>
        <v>4-9</v>
      </c>
    </row>
    <row r="245" customFormat="false" ht="15" hidden="false" customHeight="false" outlineLevel="0" collapsed="false">
      <c r="A245" s="488" t="str">
        <f aca="false">A235&amp;"-"&amp;B245</f>
        <v>Sun-Sun</v>
      </c>
      <c r="B245" s="539" t="str">
        <f aca="false">B235</f>
        <v>Sun</v>
      </c>
      <c r="C245" s="540"/>
      <c r="D245" s="540" t="n">
        <f aca="false">SUM(D237:D244)</f>
        <v>4</v>
      </c>
      <c r="E245" s="540" t="n">
        <f aca="false">SUM(E237:E244)</f>
        <v>5</v>
      </c>
      <c r="F245" s="540" t="n">
        <f aca="false">SUM(F237:F244)</f>
        <v>3</v>
      </c>
      <c r="G245" s="540" t="n">
        <f aca="false">SUM(G237:G244)</f>
        <v>5</v>
      </c>
      <c r="H245" s="540" t="n">
        <f aca="false">SUM(H237:H244)</f>
        <v>3</v>
      </c>
      <c r="I245" s="540" t="n">
        <f aca="false">SUM(I237:I244)</f>
        <v>3</v>
      </c>
      <c r="J245" s="540" t="n">
        <f aca="false">SUM(J237:J244)</f>
        <v>4</v>
      </c>
      <c r="K245" s="540" t="n">
        <f aca="false">SUM(K237:K244)</f>
        <v>5</v>
      </c>
      <c r="L245" s="540" t="n">
        <f aca="false">SUM(L237:L244)</f>
        <v>3</v>
      </c>
      <c r="M245" s="540" t="n">
        <f aca="false">SUM(M237:M244)</f>
        <v>4</v>
      </c>
      <c r="N245" s="540" t="n">
        <f aca="false">SUM(N237:N244)</f>
        <v>4</v>
      </c>
      <c r="O245" s="540" t="n">
        <f aca="false">SUM(O237:O244)</f>
        <v>5</v>
      </c>
      <c r="P245" s="541" t="n">
        <f aca="false">SUM(D245:O245)</f>
        <v>48</v>
      </c>
      <c r="Q245" s="541"/>
      <c r="S245" s="489" t="n">
        <f aca="false">L245</f>
        <v>3</v>
      </c>
      <c r="T245" s="489" t="n">
        <f aca="false">K245</f>
        <v>5</v>
      </c>
      <c r="U245" s="489" t="n">
        <f aca="false">J245</f>
        <v>4</v>
      </c>
      <c r="V245" s="489" t="n">
        <f aca="false">I245</f>
        <v>3</v>
      </c>
      <c r="X245" s="539"/>
      <c r="Y245" s="542" t="n">
        <f aca="false">SUM(Z245:AK245)</f>
        <v>48</v>
      </c>
      <c r="Z245" s="543" t="n">
        <f aca="false">SUM(Z237:Z244)</f>
        <v>3</v>
      </c>
      <c r="AA245" s="543" t="n">
        <f aca="false">SUM(AA237:AA244)</f>
        <v>3</v>
      </c>
      <c r="AB245" s="543" t="n">
        <f aca="false">SUM(AB237:AB244)</f>
        <v>3</v>
      </c>
      <c r="AC245" s="543" t="n">
        <f aca="false">SUM(AC237:AC244)</f>
        <v>4</v>
      </c>
      <c r="AD245" s="543" t="n">
        <f aca="false">SUM(AD237:AD244)</f>
        <v>2</v>
      </c>
      <c r="AE245" s="543" t="n">
        <f aca="false">SUM(AE237:AE244)</f>
        <v>5</v>
      </c>
      <c r="AF245" s="543" t="n">
        <f aca="false">SUM(AF237:AF244)</f>
        <v>4</v>
      </c>
      <c r="AG245" s="543" t="n">
        <f aca="false">SUM(AG237:AG244)</f>
        <v>3</v>
      </c>
      <c r="AH245" s="543" t="n">
        <f aca="false">SUM(AH237:AH244)</f>
        <v>5</v>
      </c>
      <c r="AI245" s="543" t="n">
        <f aca="false">SUM(AI237:AI244)</f>
        <v>6</v>
      </c>
      <c r="AJ245" s="543" t="n">
        <f aca="false">SUM(AJ237:AJ244)</f>
        <v>7</v>
      </c>
      <c r="AK245" s="543" t="n">
        <f aca="false">SUM(AK237:AK244)</f>
        <v>3</v>
      </c>
      <c r="AL245" s="548" t="n">
        <f aca="false">SUM(AL237:AL244)</f>
        <v>3</v>
      </c>
      <c r="AM245" s="543" t="n">
        <f aca="false">SUM(AM237:AM244)</f>
        <v>3</v>
      </c>
      <c r="AN245" s="543" t="n">
        <f aca="false">SUM(AN237:AN244)</f>
        <v>3</v>
      </c>
      <c r="AO245" s="543" t="n">
        <f aca="false">SUM(AO237:AO244)</f>
        <v>4</v>
      </c>
      <c r="AP245" s="543" t="n">
        <f aca="false">SUM(AP237:AP244)</f>
        <v>2</v>
      </c>
      <c r="AQ245" s="543" t="n">
        <f aca="false">SUM(AQ237:AQ244)</f>
        <v>5</v>
      </c>
      <c r="AR245" s="543" t="n">
        <f aca="false">SUM(AR237:AR244)</f>
        <v>4</v>
      </c>
      <c r="AS245" s="543" t="n">
        <f aca="false">SUM(AS237:AS244)</f>
        <v>3</v>
      </c>
      <c r="AT245" s="543" t="n">
        <f aca="false">SUM(AT237:AT244)</f>
        <v>5</v>
      </c>
      <c r="AU245" s="543" t="n">
        <f aca="false">SUM(AU237:AU244)</f>
        <v>6</v>
      </c>
      <c r="AV245" s="543" t="n">
        <f aca="false">SUM(AV237:AV244)</f>
        <v>7</v>
      </c>
      <c r="AW245" s="549" t="n">
        <f aca="false">SUM(AW237:AW244)</f>
        <v>3</v>
      </c>
    </row>
    <row r="246" customFormat="false" ht="15" hidden="false" customHeight="false" outlineLevel="0" collapsed="false">
      <c r="A246" s="488" t="str">
        <f aca="false">A235&amp;"-"&amp;B246</f>
        <v>Sun-</v>
      </c>
      <c r="S246" s="489"/>
      <c r="T246" s="489"/>
      <c r="U246" s="489"/>
      <c r="V246" s="489"/>
      <c r="X246" s="474" t="s">
        <v>782</v>
      </c>
      <c r="AL246" s="474"/>
    </row>
    <row r="247" customFormat="false" ht="15" hidden="false" customHeight="false" outlineLevel="0" collapsed="false">
      <c r="A247" s="488" t="str">
        <f aca="false">A235&amp;"-"&amp;B247</f>
        <v>Sun-</v>
      </c>
      <c r="S247" s="489"/>
      <c r="T247" s="489"/>
      <c r="U247" s="489"/>
      <c r="V247" s="489"/>
    </row>
    <row r="248" customFormat="false" ht="15" hidden="false" customHeight="false" outlineLevel="0" collapsed="false">
      <c r="A248" s="488" t="str">
        <f aca="false">A235&amp;"-"&amp;B248</f>
        <v>Sun------</v>
      </c>
      <c r="B248" s="474" t="s">
        <v>776</v>
      </c>
    </row>
    <row r="249" customFormat="false" ht="15" hidden="false" customHeight="false" outlineLevel="0" collapsed="false">
      <c r="A249" s="488" t="str">
        <f aca="false">B249</f>
        <v>Lagna</v>
      </c>
      <c r="B249" s="523" t="str">
        <f aca="false">X249</f>
        <v>Lagna</v>
      </c>
      <c r="C249" s="523"/>
      <c r="D249" s="474" t="n">
        <f aca="true">INDIRECT(B249&amp;"house")</f>
        <v>5</v>
      </c>
      <c r="S249" s="495"/>
      <c r="T249" s="495"/>
      <c r="U249" s="495"/>
      <c r="V249" s="495"/>
      <c r="X249" s="193" t="s">
        <v>319</v>
      </c>
      <c r="Y249" s="474" t="str">
        <f aca="false">MIN(Y251:Y258)&amp;"-"&amp;MAX(Y251:Y258)</f>
        <v>4-9</v>
      </c>
      <c r="Z249" s="474" t="str">
        <f aca="false">$Z$83 &amp;  X249</f>
        <v>From Graha Good and Bad Transit of Lagna</v>
      </c>
      <c r="AL249" s="474"/>
      <c r="AW249" s="474"/>
      <c r="AX249" s="474" t="s">
        <v>777</v>
      </c>
    </row>
    <row r="250" customFormat="false" ht="15" hidden="false" customHeight="false" outlineLevel="0" collapsed="false">
      <c r="A250" s="488" t="str">
        <f aca="false">A249&amp;"-"&amp;B250</f>
        <v>Lagna-</v>
      </c>
      <c r="B250" s="524"/>
      <c r="C250" s="525" t="s">
        <v>746</v>
      </c>
      <c r="D250" s="526" t="n">
        <v>1</v>
      </c>
      <c r="E250" s="526" t="n">
        <v>2</v>
      </c>
      <c r="F250" s="526" t="n">
        <v>3</v>
      </c>
      <c r="G250" s="526" t="n">
        <v>4</v>
      </c>
      <c r="H250" s="526" t="n">
        <v>5</v>
      </c>
      <c r="I250" s="526" t="n">
        <v>6</v>
      </c>
      <c r="J250" s="526" t="n">
        <v>7</v>
      </c>
      <c r="K250" s="526" t="n">
        <v>8</v>
      </c>
      <c r="L250" s="526" t="n">
        <v>9</v>
      </c>
      <c r="M250" s="526" t="n">
        <v>10</v>
      </c>
      <c r="N250" s="526" t="n">
        <v>11</v>
      </c>
      <c r="O250" s="526" t="n">
        <v>12</v>
      </c>
      <c r="P250" s="527"/>
      <c r="Q250" s="527"/>
      <c r="S250" s="489" t="n">
        <f aca="false">O259</f>
        <v>4</v>
      </c>
      <c r="T250" s="489" t="n">
        <f aca="false">D259</f>
        <v>4</v>
      </c>
      <c r="U250" s="489" t="n">
        <f aca="false">E259</f>
        <v>5</v>
      </c>
      <c r="V250" s="489" t="n">
        <f aca="false">F259</f>
        <v>4</v>
      </c>
      <c r="X250" s="525" t="s">
        <v>778</v>
      </c>
      <c r="Y250" s="528" t="s">
        <v>779</v>
      </c>
      <c r="Z250" s="529" t="n">
        <v>1</v>
      </c>
      <c r="AA250" s="529" t="n">
        <v>2</v>
      </c>
      <c r="AB250" s="529" t="n">
        <v>3</v>
      </c>
      <c r="AC250" s="529" t="n">
        <v>4</v>
      </c>
      <c r="AD250" s="529" t="n">
        <v>5</v>
      </c>
      <c r="AE250" s="529" t="n">
        <v>6</v>
      </c>
      <c r="AF250" s="529" t="n">
        <v>7</v>
      </c>
      <c r="AG250" s="529" t="n">
        <v>8</v>
      </c>
      <c r="AH250" s="529" t="n">
        <v>9</v>
      </c>
      <c r="AI250" s="529" t="n">
        <v>10</v>
      </c>
      <c r="AJ250" s="529" t="n">
        <v>11</v>
      </c>
      <c r="AK250" s="529" t="n">
        <v>12</v>
      </c>
      <c r="AL250" s="530" t="n">
        <v>1</v>
      </c>
      <c r="AM250" s="526" t="n">
        <v>2</v>
      </c>
      <c r="AN250" s="526" t="n">
        <v>3</v>
      </c>
      <c r="AO250" s="526" t="n">
        <v>4</v>
      </c>
      <c r="AP250" s="526" t="n">
        <v>5</v>
      </c>
      <c r="AQ250" s="526" t="n">
        <v>6</v>
      </c>
      <c r="AR250" s="526" t="n">
        <v>7</v>
      </c>
      <c r="AS250" s="526" t="n">
        <v>8</v>
      </c>
      <c r="AT250" s="526" t="n">
        <v>9</v>
      </c>
      <c r="AU250" s="526" t="n">
        <v>10</v>
      </c>
      <c r="AV250" s="526" t="n">
        <v>11</v>
      </c>
      <c r="AW250" s="531" t="n">
        <v>12</v>
      </c>
    </row>
    <row r="251" customFormat="false" ht="15" hidden="false" customHeight="false" outlineLevel="0" collapsed="false">
      <c r="A251" s="488" t="str">
        <f aca="false">A249&amp;"-"&amp;B251</f>
        <v>Lagna-Saturn</v>
      </c>
      <c r="B251" s="532" t="s">
        <v>164</v>
      </c>
      <c r="C251" s="533" t="n">
        <f aca="false">SaturnHouse</f>
        <v>2</v>
      </c>
      <c r="D251" s="534" t="str">
        <f aca="false">INDEX($Z251:$AW251,,12+D$152-$Q251+1)</f>
        <v>*</v>
      </c>
      <c r="E251" s="534" t="n">
        <f aca="false">INDEX($Z251:$AW251,,12+E$152-$Q251+1)</f>
        <v>1</v>
      </c>
      <c r="F251" s="534" t="str">
        <f aca="false">INDEX($Z251:$AW251,,12+F$152-$Q251+1)</f>
        <v>*</v>
      </c>
      <c r="G251" s="534" t="n">
        <f aca="false">INDEX($Z251:$AW251,,12+G$152-$Q251+1)</f>
        <v>1</v>
      </c>
      <c r="H251" s="534" t="n">
        <f aca="false">INDEX($Z251:$AW251,,12+H$152-$Q251+1)</f>
        <v>1</v>
      </c>
      <c r="I251" s="534" t="str">
        <f aca="false">INDEX($Z251:$AW251,,12+I$152-$Q251+1)</f>
        <v>*</v>
      </c>
      <c r="J251" s="534" t="n">
        <f aca="false">INDEX($Z251:$AW251,,12+J$152-$Q251+1)</f>
        <v>1</v>
      </c>
      <c r="K251" s="534" t="str">
        <f aca="false">INDEX($Z251:$AW251,,12+K$152-$Q251+1)</f>
        <v>*</v>
      </c>
      <c r="L251" s="534" t="str">
        <f aca="false">INDEX($Z251:$AW251,,12+L$152-$Q251+1)</f>
        <v>*</v>
      </c>
      <c r="M251" s="534" t="str">
        <f aca="false">INDEX($Z251:$AW251,,12+M$152-$Q251+1)</f>
        <v>*</v>
      </c>
      <c r="N251" s="534" t="n">
        <f aca="false">INDEX($Z251:$AW251,,12+N$152-$Q251+1)</f>
        <v>1</v>
      </c>
      <c r="O251" s="534" t="n">
        <f aca="false">INDEX($Z251:$AW251,,12+O$152-$Q251+1)</f>
        <v>1</v>
      </c>
      <c r="P251" s="535" t="n">
        <f aca="false">SUM(D251:O251)</f>
        <v>6</v>
      </c>
      <c r="Q251" s="533" t="n">
        <f aca="false">IF($Y$82,D249,C251)</f>
        <v>2</v>
      </c>
      <c r="S251" s="489"/>
      <c r="T251" s="489"/>
      <c r="U251" s="489"/>
      <c r="V251" s="489"/>
      <c r="X251" s="532" t="s">
        <v>164</v>
      </c>
      <c r="Y251" s="536" t="n">
        <f aca="false">SUM(Z251:AK251)</f>
        <v>6</v>
      </c>
      <c r="Z251" s="551" t="n">
        <v>1</v>
      </c>
      <c r="AA251" s="551" t="s">
        <v>181</v>
      </c>
      <c r="AB251" s="551" t="n">
        <v>1</v>
      </c>
      <c r="AC251" s="551" t="n">
        <v>1</v>
      </c>
      <c r="AD251" s="551" t="s">
        <v>181</v>
      </c>
      <c r="AE251" s="551" t="n">
        <v>1</v>
      </c>
      <c r="AF251" s="551" t="s">
        <v>181</v>
      </c>
      <c r="AG251" s="551" t="s">
        <v>181</v>
      </c>
      <c r="AH251" s="551" t="s">
        <v>181</v>
      </c>
      <c r="AI251" s="551" t="n">
        <v>1</v>
      </c>
      <c r="AJ251" s="551" t="n">
        <v>1</v>
      </c>
      <c r="AK251" s="551" t="s">
        <v>181</v>
      </c>
      <c r="AL251" s="552" t="n">
        <f aca="false">Z251</f>
        <v>1</v>
      </c>
      <c r="AM251" s="551" t="str">
        <f aca="false">AA251</f>
        <v>*</v>
      </c>
      <c r="AN251" s="551" t="n">
        <f aca="false">AB251</f>
        <v>1</v>
      </c>
      <c r="AO251" s="551" t="n">
        <f aca="false">AC251</f>
        <v>1</v>
      </c>
      <c r="AP251" s="551" t="str">
        <f aca="false">AD251</f>
        <v>*</v>
      </c>
      <c r="AQ251" s="551" t="n">
        <f aca="false">AE251</f>
        <v>1</v>
      </c>
      <c r="AR251" s="551" t="str">
        <f aca="false">AF251</f>
        <v>*</v>
      </c>
      <c r="AS251" s="551" t="str">
        <f aca="false">AG251</f>
        <v>*</v>
      </c>
      <c r="AT251" s="551" t="str">
        <f aca="false">AH251</f>
        <v>*</v>
      </c>
      <c r="AU251" s="551" t="n">
        <f aca="false">AI251</f>
        <v>1</v>
      </c>
      <c r="AV251" s="551" t="n">
        <f aca="false">AJ251</f>
        <v>1</v>
      </c>
      <c r="AW251" s="553" t="str">
        <f aca="false">AK251</f>
        <v>*</v>
      </c>
      <c r="AX251" s="474" t="str">
        <f aca="false">MIN($Y$153,$Y$167,$Y$181,$Y$195,$Y$209,$Y$223,$Y$237,$Y$251)&amp;"-"&amp;MAX($Y$153,$Y$167,$Y$181,$Y$195,$Y$209,$Y$223,$Y$237,$Y$251)</f>
        <v>4-8</v>
      </c>
    </row>
    <row r="252" customFormat="false" ht="15" hidden="false" customHeight="false" outlineLevel="0" collapsed="false">
      <c r="A252" s="488" t="str">
        <f aca="false">A249&amp;"-"&amp;B252</f>
        <v>Lagna-Jupiter</v>
      </c>
      <c r="B252" s="532" t="s">
        <v>162</v>
      </c>
      <c r="C252" s="533" t="n">
        <f aca="false">JupiterHouse</f>
        <v>8</v>
      </c>
      <c r="D252" s="534" t="n">
        <f aca="false">INDEX($Z252:$AW252,,12+D$152-$Q252+1)</f>
        <v>1</v>
      </c>
      <c r="E252" s="534" t="n">
        <f aca="false">INDEX($Z252:$AW252,,12+E$152-$Q252+1)</f>
        <v>1</v>
      </c>
      <c r="F252" s="534" t="str">
        <f aca="false">INDEX($Z252:$AW252,,12+F$152-$Q252+1)</f>
        <v>*</v>
      </c>
      <c r="G252" s="534" t="n">
        <f aca="false">INDEX($Z252:$AW252,,12+G$152-$Q252+1)</f>
        <v>1</v>
      </c>
      <c r="H252" s="534" t="n">
        <f aca="false">INDEX($Z252:$AW252,,12+H$152-$Q252+1)</f>
        <v>1</v>
      </c>
      <c r="I252" s="534" t="n">
        <f aca="false">INDEX($Z252:$AW252,,12+I$152-$Q252+1)</f>
        <v>1</v>
      </c>
      <c r="J252" s="534" t="str">
        <f aca="false">INDEX($Z252:$AW252,,12+J$152-$Q252+1)</f>
        <v>*</v>
      </c>
      <c r="K252" s="534" t="n">
        <f aca="false">INDEX($Z252:$AW252,,12+K$152-$Q252+1)</f>
        <v>1</v>
      </c>
      <c r="L252" s="534" t="n">
        <f aca="false">INDEX($Z252:$AW252,,12+L$152-$Q252+1)</f>
        <v>1</v>
      </c>
      <c r="M252" s="534" t="str">
        <f aca="false">INDEX($Z252:$AW252,,12+M$152-$Q252+1)</f>
        <v>*</v>
      </c>
      <c r="N252" s="534" t="n">
        <f aca="false">INDEX($Z252:$AW252,,12+N$152-$Q252+1)</f>
        <v>1</v>
      </c>
      <c r="O252" s="534" t="n">
        <f aca="false">INDEX($Z252:$AW252,,12+O$152-$Q252+1)</f>
        <v>1</v>
      </c>
      <c r="P252" s="535" t="n">
        <f aca="false">SUM(D252:O252)</f>
        <v>9</v>
      </c>
      <c r="Q252" s="533" t="n">
        <f aca="false">IF($Y$82,D249,C252)</f>
        <v>8</v>
      </c>
      <c r="S252" s="489"/>
      <c r="T252" s="489"/>
      <c r="U252" s="489"/>
      <c r="V252" s="489"/>
      <c r="W252" s="474" t="s">
        <v>781</v>
      </c>
      <c r="X252" s="532" t="s">
        <v>162</v>
      </c>
      <c r="Y252" s="536" t="n">
        <f aca="false">SUM(Z252:AK252)</f>
        <v>9</v>
      </c>
      <c r="Z252" s="551" t="n">
        <v>1</v>
      </c>
      <c r="AA252" s="551" t="n">
        <v>1</v>
      </c>
      <c r="AB252" s="551" t="s">
        <v>181</v>
      </c>
      <c r="AC252" s="551" t="n">
        <v>1</v>
      </c>
      <c r="AD252" s="551" t="n">
        <v>1</v>
      </c>
      <c r="AE252" s="551" t="n">
        <v>1</v>
      </c>
      <c r="AF252" s="551" t="n">
        <v>1</v>
      </c>
      <c r="AG252" s="551" t="s">
        <v>181</v>
      </c>
      <c r="AH252" s="551" t="n">
        <v>1</v>
      </c>
      <c r="AI252" s="551" t="n">
        <v>1</v>
      </c>
      <c r="AJ252" s="551" t="n">
        <v>1</v>
      </c>
      <c r="AK252" s="551" t="s">
        <v>181</v>
      </c>
      <c r="AL252" s="552" t="n">
        <f aca="false">Z252</f>
        <v>1</v>
      </c>
      <c r="AM252" s="551" t="n">
        <f aca="false">AA252</f>
        <v>1</v>
      </c>
      <c r="AN252" s="551" t="str">
        <f aca="false">AB252</f>
        <v>*</v>
      </c>
      <c r="AO252" s="551" t="n">
        <f aca="false">AC252</f>
        <v>1</v>
      </c>
      <c r="AP252" s="551" t="n">
        <f aca="false">AD252</f>
        <v>1</v>
      </c>
      <c r="AQ252" s="551" t="n">
        <f aca="false">AE252</f>
        <v>1</v>
      </c>
      <c r="AR252" s="551" t="n">
        <f aca="false">AF252</f>
        <v>1</v>
      </c>
      <c r="AS252" s="551" t="str">
        <f aca="false">AG252</f>
        <v>*</v>
      </c>
      <c r="AT252" s="551" t="n">
        <f aca="false">AH252</f>
        <v>1</v>
      </c>
      <c r="AU252" s="551" t="n">
        <f aca="false">AI252</f>
        <v>1</v>
      </c>
      <c r="AV252" s="551" t="n">
        <f aca="false">AJ252</f>
        <v>1</v>
      </c>
      <c r="AW252" s="553" t="str">
        <f aca="false">AK252</f>
        <v>*</v>
      </c>
      <c r="AX252" s="474" t="str">
        <f aca="false">MIN($Y$154,$Y$168,$Y$182,$Y$196,$Y$210,$Y$224,$Y$238,$Y$252)&amp;"-"&amp;MAX($Y$154,$Y$168,$Y$182,$Y$196,$Y$210,$Y$224,$Y$238,$Y$252)</f>
        <v>4-9</v>
      </c>
      <c r="AY252" s="474" t="s">
        <v>781</v>
      </c>
    </row>
    <row r="253" customFormat="false" ht="15" hidden="false" customHeight="false" outlineLevel="0" collapsed="false">
      <c r="A253" s="488" t="str">
        <f aca="false">A249&amp;"-"&amp;B253</f>
        <v>Lagna-Mars</v>
      </c>
      <c r="B253" s="532" t="s">
        <v>160</v>
      </c>
      <c r="C253" s="533" t="n">
        <f aca="false">MarsHouse</f>
        <v>10</v>
      </c>
      <c r="D253" s="534" t="str">
        <f aca="false">INDEX($Z253:$AW253,,12+D$152-$Q253+1)</f>
        <v>*</v>
      </c>
      <c r="E253" s="534" t="str">
        <f aca="false">INDEX($Z253:$AW253,,12+E$152-$Q253+1)</f>
        <v>*</v>
      </c>
      <c r="F253" s="534" t="n">
        <f aca="false">INDEX($Z253:$AW253,,12+F$152-$Q253+1)</f>
        <v>1</v>
      </c>
      <c r="G253" s="534" t="str">
        <f aca="false">INDEX($Z253:$AW253,,12+G$152-$Q253+1)</f>
        <v>*</v>
      </c>
      <c r="H253" s="534" t="str">
        <f aca="false">INDEX($Z253:$AW253,,12+H$152-$Q253+1)</f>
        <v>*</v>
      </c>
      <c r="I253" s="534" t="str">
        <f aca="false">INDEX($Z253:$AW253,,12+I$152-$Q253+1)</f>
        <v>*</v>
      </c>
      <c r="J253" s="534" t="n">
        <f aca="false">INDEX($Z253:$AW253,,12+J$152-$Q253+1)</f>
        <v>1</v>
      </c>
      <c r="K253" s="534" t="n">
        <f aca="false">INDEX($Z253:$AW253,,12+K$152-$Q253+1)</f>
        <v>1</v>
      </c>
      <c r="L253" s="534" t="str">
        <f aca="false">INDEX($Z253:$AW253,,12+L$152-$Q253+1)</f>
        <v>*</v>
      </c>
      <c r="M253" s="534" t="n">
        <f aca="false">INDEX($Z253:$AW253,,12+M$152-$Q253+1)</f>
        <v>1</v>
      </c>
      <c r="N253" s="534" t="str">
        <f aca="false">INDEX($Z253:$AW253,,12+N$152-$Q253+1)</f>
        <v>*</v>
      </c>
      <c r="O253" s="534" t="n">
        <f aca="false">INDEX($Z253:$AW253,,12+O$152-$Q253+1)</f>
        <v>1</v>
      </c>
      <c r="P253" s="535" t="n">
        <f aca="false">SUM(D253:O253)</f>
        <v>5</v>
      </c>
      <c r="Q253" s="533" t="n">
        <f aca="false">IF($Y$82,D249,C253)</f>
        <v>10</v>
      </c>
      <c r="S253" s="489" t="n">
        <f aca="false">N259</f>
        <v>5</v>
      </c>
      <c r="T253" s="490" t="str">
        <f aca="false">C249&amp;"  Ashtakavarga  "&amp;P259</f>
        <v>  Ashtakavarga  49</v>
      </c>
      <c r="U253" s="490"/>
      <c r="V253" s="489" t="n">
        <f aca="false">G259</f>
        <v>5</v>
      </c>
      <c r="X253" s="532" t="s">
        <v>160</v>
      </c>
      <c r="Y253" s="536" t="n">
        <f aca="false">SUM(Z253:AK253)</f>
        <v>5</v>
      </c>
      <c r="Z253" s="551" t="n">
        <v>1</v>
      </c>
      <c r="AA253" s="551" t="s">
        <v>181</v>
      </c>
      <c r="AB253" s="551" t="n">
        <v>1</v>
      </c>
      <c r="AC253" s="551" t="s">
        <v>181</v>
      </c>
      <c r="AD253" s="551" t="s">
        <v>181</v>
      </c>
      <c r="AE253" s="551" t="n">
        <v>1</v>
      </c>
      <c r="AF253" s="551" t="s">
        <v>181</v>
      </c>
      <c r="AG253" s="551" t="s">
        <v>181</v>
      </c>
      <c r="AH253" s="551" t="s">
        <v>181</v>
      </c>
      <c r="AI253" s="551" t="n">
        <v>1</v>
      </c>
      <c r="AJ253" s="551" t="n">
        <v>1</v>
      </c>
      <c r="AK253" s="551" t="s">
        <v>181</v>
      </c>
      <c r="AL253" s="552" t="n">
        <f aca="false">Z253</f>
        <v>1</v>
      </c>
      <c r="AM253" s="551" t="str">
        <f aca="false">AA253</f>
        <v>*</v>
      </c>
      <c r="AN253" s="551" t="n">
        <f aca="false">AB253</f>
        <v>1</v>
      </c>
      <c r="AO253" s="551" t="str">
        <f aca="false">AC253</f>
        <v>*</v>
      </c>
      <c r="AP253" s="551" t="str">
        <f aca="false">AD253</f>
        <v>*</v>
      </c>
      <c r="AQ253" s="551" t="n">
        <f aca="false">AE253</f>
        <v>1</v>
      </c>
      <c r="AR253" s="551" t="str">
        <f aca="false">AF253</f>
        <v>*</v>
      </c>
      <c r="AS253" s="551" t="str">
        <f aca="false">AG253</f>
        <v>*</v>
      </c>
      <c r="AT253" s="551" t="str">
        <f aca="false">AH253</f>
        <v>*</v>
      </c>
      <c r="AU253" s="551" t="n">
        <f aca="false">AI253</f>
        <v>1</v>
      </c>
      <c r="AV253" s="551" t="n">
        <f aca="false">AJ253</f>
        <v>1</v>
      </c>
      <c r="AW253" s="553" t="str">
        <f aca="false">AK253</f>
        <v>*</v>
      </c>
      <c r="AX253" s="474" t="str">
        <f aca="false">MIN($Y$155,$Y$169,$Y$183,$Y$197,$Y$211,$Y$225,$Y$239,$Y$253)&amp;"-"&amp;MAX($Y$155,$Y$169,$Y$183,$Y$197,$Y$211,$Y$225,$Y$239,$Y$253)</f>
        <v>5-8</v>
      </c>
      <c r="AY253" s="474" t="s">
        <v>780</v>
      </c>
    </row>
    <row r="254" customFormat="false" ht="15" hidden="false" customHeight="false" outlineLevel="0" collapsed="false">
      <c r="A254" s="488" t="str">
        <f aca="false">A249&amp;"-"&amp;B254</f>
        <v>Lagna-Sun</v>
      </c>
      <c r="B254" s="532" t="s">
        <v>158</v>
      </c>
      <c r="C254" s="533" t="n">
        <f aca="false">SunHouse</f>
        <v>4</v>
      </c>
      <c r="D254" s="534" t="n">
        <f aca="false">INDEX($Z254:$AW254,,12+D$152-$Q254+1)</f>
        <v>1</v>
      </c>
      <c r="E254" s="534" t="n">
        <f aca="false">INDEX($Z254:$AW254,,12+E$152-$Q254+1)</f>
        <v>1</v>
      </c>
      <c r="F254" s="534" t="n">
        <f aca="false">INDEX($Z254:$AW254,,12+F$152-$Q254+1)</f>
        <v>1</v>
      </c>
      <c r="G254" s="534" t="str">
        <f aca="false">INDEX($Z254:$AW254,,12+G$152-$Q254+1)</f>
        <v>*</v>
      </c>
      <c r="H254" s="534" t="str">
        <f aca="false">INDEX($Z254:$AW254,,12+H$152-$Q254+1)</f>
        <v>*</v>
      </c>
      <c r="I254" s="534" t="n">
        <f aca="false">INDEX($Z254:$AW254,,12+I$152-$Q254+1)</f>
        <v>1</v>
      </c>
      <c r="J254" s="534" t="n">
        <f aca="false">INDEX($Z254:$AW254,,12+J$152-$Q254+1)</f>
        <v>1</v>
      </c>
      <c r="K254" s="534" t="str">
        <f aca="false">INDEX($Z254:$AW254,,12+K$152-$Q254+1)</f>
        <v>*</v>
      </c>
      <c r="L254" s="534" t="n">
        <f aca="false">INDEX($Z254:$AW254,,12+L$152-$Q254+1)</f>
        <v>1</v>
      </c>
      <c r="M254" s="534" t="str">
        <f aca="false">INDEX($Z254:$AW254,,12+M$152-$Q254+1)</f>
        <v>*</v>
      </c>
      <c r="N254" s="534" t="str">
        <f aca="false">INDEX($Z254:$AW254,,12+N$152-$Q254+1)</f>
        <v>*</v>
      </c>
      <c r="O254" s="534" t="str">
        <f aca="false">INDEX($Z254:$AW254,,12+O$152-$Q254+1)</f>
        <v>*</v>
      </c>
      <c r="P254" s="535" t="n">
        <f aca="false">SUM(D254:O254)</f>
        <v>6</v>
      </c>
      <c r="Q254" s="533" t="n">
        <f aca="false">IF($Y$82,D249,C254)</f>
        <v>4</v>
      </c>
      <c r="S254" s="489"/>
      <c r="T254" s="489"/>
      <c r="U254" s="490"/>
      <c r="V254" s="489"/>
      <c r="X254" s="532" t="s">
        <v>158</v>
      </c>
      <c r="Y254" s="536" t="n">
        <f aca="false">SUM(Z254:AK254)</f>
        <v>6</v>
      </c>
      <c r="Z254" s="551" t="s">
        <v>181</v>
      </c>
      <c r="AA254" s="551" t="s">
        <v>181</v>
      </c>
      <c r="AB254" s="551" t="n">
        <v>1</v>
      </c>
      <c r="AC254" s="551" t="n">
        <v>1</v>
      </c>
      <c r="AD254" s="551" t="s">
        <v>181</v>
      </c>
      <c r="AE254" s="551" t="n">
        <v>1</v>
      </c>
      <c r="AF254" s="551" t="s">
        <v>181</v>
      </c>
      <c r="AG254" s="551" t="s">
        <v>181</v>
      </c>
      <c r="AH254" s="551" t="s">
        <v>181</v>
      </c>
      <c r="AI254" s="551" t="n">
        <v>1</v>
      </c>
      <c r="AJ254" s="551" t="n">
        <v>1</v>
      </c>
      <c r="AK254" s="551" t="n">
        <v>1</v>
      </c>
      <c r="AL254" s="552" t="str">
        <f aca="false">Z254</f>
        <v>*</v>
      </c>
      <c r="AM254" s="551" t="str">
        <f aca="false">AA254</f>
        <v>*</v>
      </c>
      <c r="AN254" s="551" t="n">
        <f aca="false">AB254</f>
        <v>1</v>
      </c>
      <c r="AO254" s="551" t="n">
        <f aca="false">AC254</f>
        <v>1</v>
      </c>
      <c r="AP254" s="551" t="str">
        <f aca="false">AD254</f>
        <v>*</v>
      </c>
      <c r="AQ254" s="551" t="n">
        <f aca="false">AE254</f>
        <v>1</v>
      </c>
      <c r="AR254" s="551" t="str">
        <f aca="false">AF254</f>
        <v>*</v>
      </c>
      <c r="AS254" s="551" t="str">
        <f aca="false">AG254</f>
        <v>*</v>
      </c>
      <c r="AT254" s="551" t="str">
        <f aca="false">AH254</f>
        <v>*</v>
      </c>
      <c r="AU254" s="551" t="n">
        <f aca="false">AI254</f>
        <v>1</v>
      </c>
      <c r="AV254" s="551" t="n">
        <f aca="false">AJ254</f>
        <v>1</v>
      </c>
      <c r="AW254" s="553" t="n">
        <f aca="false">AK254</f>
        <v>1</v>
      </c>
      <c r="AX254" s="474" t="str">
        <f aca="false">MIN($Y$156,$Y$170,$Y$184,$Y$198,$Y$212,$Y$226,$Y$240,$Y$254)&amp;"-"&amp;MAX($Y$156,$Y$170,$Y$184,$Y$198,$Y$212,$Y$226,$Y$240,$Y$254)</f>
        <v>3-9</v>
      </c>
    </row>
    <row r="255" customFormat="false" ht="15" hidden="false" customHeight="false" outlineLevel="0" collapsed="false">
      <c r="A255" s="488" t="str">
        <f aca="false">A249&amp;"-"&amp;B255</f>
        <v>Lagna-Venus</v>
      </c>
      <c r="B255" s="532" t="s">
        <v>163</v>
      </c>
      <c r="C255" s="533" t="n">
        <f aca="false">VenusHouse</f>
        <v>3</v>
      </c>
      <c r="D255" s="534" t="str">
        <f aca="false">INDEX($Z255:$AW255,,12+D$152-$Q255+1)</f>
        <v>*</v>
      </c>
      <c r="E255" s="534" t="str">
        <f aca="false">INDEX($Z255:$AW255,,12+E$152-$Q255+1)</f>
        <v>*</v>
      </c>
      <c r="F255" s="534" t="n">
        <f aca="false">INDEX($Z255:$AW255,,12+F$152-$Q255+1)</f>
        <v>1</v>
      </c>
      <c r="G255" s="534" t="n">
        <f aca="false">INDEX($Z255:$AW255,,12+G$152-$Q255+1)</f>
        <v>1</v>
      </c>
      <c r="H255" s="534" t="n">
        <f aca="false">INDEX($Z255:$AW255,,12+H$152-$Q255+1)</f>
        <v>1</v>
      </c>
      <c r="I255" s="534" t="n">
        <f aca="false">INDEX($Z255:$AW255,,12+I$152-$Q255+1)</f>
        <v>1</v>
      </c>
      <c r="J255" s="534" t="n">
        <f aca="false">INDEX($Z255:$AW255,,12+J$152-$Q255+1)</f>
        <v>1</v>
      </c>
      <c r="K255" s="534" t="str">
        <f aca="false">INDEX($Z255:$AW255,,12+K$152-$Q255+1)</f>
        <v>*</v>
      </c>
      <c r="L255" s="534" t="str">
        <f aca="false">INDEX($Z255:$AW255,,12+L$152-$Q255+1)</f>
        <v>*</v>
      </c>
      <c r="M255" s="534" t="n">
        <f aca="false">INDEX($Z255:$AW255,,12+M$152-$Q255+1)</f>
        <v>1</v>
      </c>
      <c r="N255" s="534" t="n">
        <f aca="false">INDEX($Z255:$AW255,,12+N$152-$Q255+1)</f>
        <v>1</v>
      </c>
      <c r="O255" s="534" t="str">
        <f aca="false">INDEX($Z255:$AW255,,12+O$152-$Q255+1)</f>
        <v>*</v>
      </c>
      <c r="P255" s="535" t="n">
        <f aca="false">SUM(D255:O255)</f>
        <v>7</v>
      </c>
      <c r="Q255" s="533" t="n">
        <f aca="false">IF($Y$82,D249,C255)</f>
        <v>3</v>
      </c>
      <c r="S255" s="489"/>
      <c r="T255" s="489"/>
      <c r="U255" s="490"/>
      <c r="V255" s="489"/>
      <c r="X255" s="532" t="s">
        <v>163</v>
      </c>
      <c r="Y255" s="536" t="n">
        <f aca="false">SUM(Z255:AK255)</f>
        <v>7</v>
      </c>
      <c r="Z255" s="551" t="n">
        <v>1</v>
      </c>
      <c r="AA255" s="551" t="n">
        <v>1</v>
      </c>
      <c r="AB255" s="551" t="n">
        <v>1</v>
      </c>
      <c r="AC255" s="551" t="n">
        <v>1</v>
      </c>
      <c r="AD255" s="551" t="n">
        <v>1</v>
      </c>
      <c r="AE255" s="551" t="s">
        <v>181</v>
      </c>
      <c r="AF255" s="551" t="s">
        <v>181</v>
      </c>
      <c r="AG255" s="551" t="n">
        <v>1</v>
      </c>
      <c r="AH255" s="551" t="n">
        <v>1</v>
      </c>
      <c r="AI255" s="551" t="s">
        <v>181</v>
      </c>
      <c r="AJ255" s="551" t="s">
        <v>181</v>
      </c>
      <c r="AK255" s="551" t="s">
        <v>181</v>
      </c>
      <c r="AL255" s="552" t="n">
        <f aca="false">Z255</f>
        <v>1</v>
      </c>
      <c r="AM255" s="551" t="n">
        <f aca="false">AA255</f>
        <v>1</v>
      </c>
      <c r="AN255" s="551" t="n">
        <f aca="false">AB255</f>
        <v>1</v>
      </c>
      <c r="AO255" s="551" t="n">
        <f aca="false">AC255</f>
        <v>1</v>
      </c>
      <c r="AP255" s="551" t="n">
        <f aca="false">AD255</f>
        <v>1</v>
      </c>
      <c r="AQ255" s="551" t="str">
        <f aca="false">AE255</f>
        <v>*</v>
      </c>
      <c r="AR255" s="551" t="str">
        <f aca="false">AF255</f>
        <v>*</v>
      </c>
      <c r="AS255" s="551" t="n">
        <f aca="false">AG255</f>
        <v>1</v>
      </c>
      <c r="AT255" s="551" t="n">
        <f aca="false">AH255</f>
        <v>1</v>
      </c>
      <c r="AU255" s="551" t="str">
        <f aca="false">AI255</f>
        <v>*</v>
      </c>
      <c r="AV255" s="551" t="str">
        <f aca="false">AJ255</f>
        <v>*</v>
      </c>
      <c r="AW255" s="553" t="str">
        <f aca="false">AK255</f>
        <v>*</v>
      </c>
      <c r="AX255" s="474" t="str">
        <f aca="false">MIN($Y$157,$Y$171,$Y$185,$Y$199,$Y$213,$Y$227,$Y$241,$Y$255)&amp;"-"&amp;MAX($Y$157,$Y$171,$Y$185,$Y$199,$Y$213,$Y$227,$Y$241,$Y$255)</f>
        <v>3-9</v>
      </c>
    </row>
    <row r="256" customFormat="false" ht="15" hidden="false" customHeight="false" outlineLevel="0" collapsed="false">
      <c r="A256" s="488" t="str">
        <f aca="false">A249&amp;"-"&amp;B256</f>
        <v>Lagna-Mercury</v>
      </c>
      <c r="B256" s="532" t="s">
        <v>161</v>
      </c>
      <c r="C256" s="533" t="n">
        <f aca="false">MercuryHouse</f>
        <v>4</v>
      </c>
      <c r="D256" s="534" t="n">
        <f aca="false">INDEX($Z256:$AW256,,12+D$152-$Q256+1)</f>
        <v>1</v>
      </c>
      <c r="E256" s="534" t="n">
        <f aca="false">INDEX($Z256:$AW256,,12+E$152-$Q256+1)</f>
        <v>1</v>
      </c>
      <c r="F256" s="534" t="str">
        <f aca="false">INDEX($Z256:$AW256,,12+F$152-$Q256+1)</f>
        <v>*</v>
      </c>
      <c r="G256" s="534" t="n">
        <f aca="false">INDEX($Z256:$AW256,,12+G$152-$Q256+1)</f>
        <v>1</v>
      </c>
      <c r="H256" s="534" t="n">
        <f aca="false">INDEX($Z256:$AW256,,12+H$152-$Q256+1)</f>
        <v>1</v>
      </c>
      <c r="I256" s="534" t="str">
        <f aca="false">INDEX($Z256:$AW256,,12+I$152-$Q256+1)</f>
        <v>*</v>
      </c>
      <c r="J256" s="534" t="n">
        <f aca="false">INDEX($Z256:$AW256,,12+J$152-$Q256+1)</f>
        <v>1</v>
      </c>
      <c r="K256" s="534" t="str">
        <f aca="false">INDEX($Z256:$AW256,,12+K$152-$Q256+1)</f>
        <v>*</v>
      </c>
      <c r="L256" s="534" t="n">
        <f aca="false">INDEX($Z256:$AW256,,12+L$152-$Q256+1)</f>
        <v>1</v>
      </c>
      <c r="M256" s="534" t="str">
        <f aca="false">INDEX($Z256:$AW256,,12+M$152-$Q256+1)</f>
        <v>*</v>
      </c>
      <c r="N256" s="534" t="n">
        <f aca="false">INDEX($Z256:$AW256,,12+N$152-$Q256+1)</f>
        <v>1</v>
      </c>
      <c r="O256" s="534" t="str">
        <f aca="false">INDEX($Z256:$AW256,,12+O$152-$Q256+1)</f>
        <v>*</v>
      </c>
      <c r="P256" s="535" t="n">
        <f aca="false">SUM(D256:O256)</f>
        <v>7</v>
      </c>
      <c r="Q256" s="533" t="n">
        <f aca="false">IF($Y$82,D249,C256)</f>
        <v>4</v>
      </c>
      <c r="S256" s="489" t="n">
        <f aca="false">M259</f>
        <v>3</v>
      </c>
      <c r="T256" s="490"/>
      <c r="U256" s="490"/>
      <c r="V256" s="489" t="n">
        <f aca="false">H259</f>
        <v>4</v>
      </c>
      <c r="X256" s="532" t="s">
        <v>161</v>
      </c>
      <c r="Y256" s="536" t="n">
        <f aca="false">SUM(Z256:AK256)</f>
        <v>7</v>
      </c>
      <c r="Z256" s="551" t="n">
        <v>1</v>
      </c>
      <c r="AA256" s="551" t="n">
        <v>1</v>
      </c>
      <c r="AB256" s="551" t="s">
        <v>181</v>
      </c>
      <c r="AC256" s="551" t="n">
        <v>1</v>
      </c>
      <c r="AD256" s="551" t="s">
        <v>181</v>
      </c>
      <c r="AE256" s="551" t="n">
        <v>1</v>
      </c>
      <c r="AF256" s="551" t="s">
        <v>181</v>
      </c>
      <c r="AG256" s="551" t="n">
        <v>1</v>
      </c>
      <c r="AH256" s="551" t="s">
        <v>181</v>
      </c>
      <c r="AI256" s="551" t="n">
        <v>1</v>
      </c>
      <c r="AJ256" s="551" t="n">
        <v>1</v>
      </c>
      <c r="AK256" s="551" t="s">
        <v>181</v>
      </c>
      <c r="AL256" s="552" t="n">
        <f aca="false">Z256</f>
        <v>1</v>
      </c>
      <c r="AM256" s="551" t="n">
        <f aca="false">AA256</f>
        <v>1</v>
      </c>
      <c r="AN256" s="551" t="str">
        <f aca="false">AB256</f>
        <v>*</v>
      </c>
      <c r="AO256" s="551" t="n">
        <f aca="false">AC256</f>
        <v>1</v>
      </c>
      <c r="AP256" s="551" t="str">
        <f aca="false">AD256</f>
        <v>*</v>
      </c>
      <c r="AQ256" s="551" t="n">
        <f aca="false">AE256</f>
        <v>1</v>
      </c>
      <c r="AR256" s="551" t="str">
        <f aca="false">AF256</f>
        <v>*</v>
      </c>
      <c r="AS256" s="551" t="n">
        <f aca="false">AG256</f>
        <v>1</v>
      </c>
      <c r="AT256" s="551" t="str">
        <f aca="false">AH256</f>
        <v>*</v>
      </c>
      <c r="AU256" s="551" t="n">
        <f aca="false">AI256</f>
        <v>1</v>
      </c>
      <c r="AV256" s="551" t="n">
        <f aca="false">AJ256</f>
        <v>1</v>
      </c>
      <c r="AW256" s="553" t="str">
        <f aca="false">AK256</f>
        <v>*</v>
      </c>
      <c r="AX256" s="474" t="str">
        <f aca="false">MIN($Y$158,$Y$172,$Y$186,$Y$200,$Y$214,$Y$228,$Y$242,$Y$256)&amp;"-"&amp;MAX($Y$158,$Y$172,$Y$186,$Y$200,$Y$214,$Y$228,$Y$242,$Y$256)</f>
        <v>4-8</v>
      </c>
    </row>
    <row r="257" customFormat="false" ht="15" hidden="false" customHeight="false" outlineLevel="0" collapsed="false">
      <c r="A257" s="488" t="str">
        <f aca="false">A249&amp;"-"&amp;B257</f>
        <v>Lagna-Moon</v>
      </c>
      <c r="B257" s="532" t="s">
        <v>159</v>
      </c>
      <c r="C257" s="533" t="n">
        <f aca="false">MoonHouse</f>
        <v>2</v>
      </c>
      <c r="D257" s="534" t="n">
        <f aca="false">INDEX($Z257:$AW257,,12+D$152-$Q257+1)</f>
        <v>1</v>
      </c>
      <c r="E257" s="534" t="str">
        <f aca="false">INDEX($Z257:$AW257,,12+E$152-$Q257+1)</f>
        <v>*</v>
      </c>
      <c r="F257" s="534" t="str">
        <f aca="false">INDEX($Z257:$AW257,,12+F$152-$Q257+1)</f>
        <v>*</v>
      </c>
      <c r="G257" s="534" t="n">
        <f aca="false">INDEX($Z257:$AW257,,12+G$152-$Q257+1)</f>
        <v>1</v>
      </c>
      <c r="H257" s="534" t="str">
        <f aca="false">INDEX($Z257:$AW257,,12+H$152-$Q257+1)</f>
        <v>*</v>
      </c>
      <c r="I257" s="534" t="str">
        <f aca="false">INDEX($Z257:$AW257,,12+I$152-$Q257+1)</f>
        <v>*</v>
      </c>
      <c r="J257" s="534" t="n">
        <f aca="false">INDEX($Z257:$AW257,,12+J$152-$Q257+1)</f>
        <v>1</v>
      </c>
      <c r="K257" s="534" t="str">
        <f aca="false">INDEX($Z257:$AW257,,12+K$152-$Q257+1)</f>
        <v>*</v>
      </c>
      <c r="L257" s="534" t="str">
        <f aca="false">INDEX($Z257:$AW257,,12+L$152-$Q257+1)</f>
        <v>*</v>
      </c>
      <c r="M257" s="534" t="str">
        <f aca="false">INDEX($Z257:$AW257,,12+M$152-$Q257+1)</f>
        <v>*</v>
      </c>
      <c r="N257" s="534" t="n">
        <f aca="false">INDEX($Z257:$AW257,,12+N$152-$Q257+1)</f>
        <v>1</v>
      </c>
      <c r="O257" s="534" t="n">
        <f aca="false">INDEX($Z257:$AW257,,12+O$152-$Q257+1)</f>
        <v>1</v>
      </c>
      <c r="P257" s="535" t="n">
        <f aca="false">SUM(D257:O257)</f>
        <v>5</v>
      </c>
      <c r="Q257" s="533" t="n">
        <f aca="false">IF($Y$82,D249,C257)</f>
        <v>2</v>
      </c>
      <c r="S257" s="489"/>
      <c r="T257" s="489"/>
      <c r="U257" s="490"/>
      <c r="V257" s="489"/>
      <c r="X257" s="532" t="s">
        <v>159</v>
      </c>
      <c r="Y257" s="536" t="n">
        <f aca="false">SUM(Z257:AK257)</f>
        <v>5</v>
      </c>
      <c r="Z257" s="551" t="s">
        <v>181</v>
      </c>
      <c r="AA257" s="551" t="s">
        <v>181</v>
      </c>
      <c r="AB257" s="551" t="n">
        <v>1</v>
      </c>
      <c r="AC257" s="551" t="s">
        <v>181</v>
      </c>
      <c r="AD257" s="551" t="s">
        <v>181</v>
      </c>
      <c r="AE257" s="551" t="n">
        <v>1</v>
      </c>
      <c r="AF257" s="551" t="s">
        <v>181</v>
      </c>
      <c r="AG257" s="551" t="s">
        <v>181</v>
      </c>
      <c r="AH257" s="551" t="s">
        <v>181</v>
      </c>
      <c r="AI257" s="551" t="n">
        <v>1</v>
      </c>
      <c r="AJ257" s="551" t="n">
        <v>1</v>
      </c>
      <c r="AK257" s="551" t="n">
        <v>1</v>
      </c>
      <c r="AL257" s="552" t="str">
        <f aca="false">Z257</f>
        <v>*</v>
      </c>
      <c r="AM257" s="551" t="str">
        <f aca="false">AA257</f>
        <v>*</v>
      </c>
      <c r="AN257" s="551" t="n">
        <f aca="false">AB257</f>
        <v>1</v>
      </c>
      <c r="AO257" s="551" t="str">
        <f aca="false">AC257</f>
        <v>*</v>
      </c>
      <c r="AP257" s="551" t="str">
        <f aca="false">AD257</f>
        <v>*</v>
      </c>
      <c r="AQ257" s="551" t="n">
        <f aca="false">AE257</f>
        <v>1</v>
      </c>
      <c r="AR257" s="551" t="str">
        <f aca="false">AF257</f>
        <v>*</v>
      </c>
      <c r="AS257" s="551" t="str">
        <f aca="false">AG257</f>
        <v>*</v>
      </c>
      <c r="AT257" s="551" t="str">
        <f aca="false">AH257</f>
        <v>*</v>
      </c>
      <c r="AU257" s="551" t="n">
        <f aca="false">AI257</f>
        <v>1</v>
      </c>
      <c r="AV257" s="551" t="n">
        <f aca="false">AJ257</f>
        <v>1</v>
      </c>
      <c r="AW257" s="553" t="n">
        <f aca="false">AK257</f>
        <v>1</v>
      </c>
      <c r="AX257" s="474" t="str">
        <f aca="false">MIN($Y$159,$Y$173,$Y$187,$Y$201,$Y$215,$Y$229,$Y$243,$Y$257)&amp;"-"&amp;MAX($Y$159,$Y$173,$Y$187,$Y$201,$Y$215,$Y$229,$Y$243,$Y$257)</f>
        <v>3-9</v>
      </c>
    </row>
    <row r="258" customFormat="false" ht="15" hidden="false" customHeight="false" outlineLevel="0" collapsed="false">
      <c r="A258" s="488" t="str">
        <f aca="false">A249&amp;"-"&amp;B258</f>
        <v>Lagna-Lagna</v>
      </c>
      <c r="B258" s="532" t="s">
        <v>319</v>
      </c>
      <c r="C258" s="533" t="n">
        <f aca="false">Lagnahouse</f>
        <v>5</v>
      </c>
      <c r="D258" s="534" t="str">
        <f aca="false">INDEX($Z258:$AW258,,12+D$152-$Q258+1)</f>
        <v>*</v>
      </c>
      <c r="E258" s="534" t="n">
        <f aca="false">INDEX($Z258:$AW258,,12+E$152-$Q258+1)</f>
        <v>1</v>
      </c>
      <c r="F258" s="534" t="n">
        <f aca="false">INDEX($Z258:$AW258,,12+F$152-$Q258+1)</f>
        <v>1</v>
      </c>
      <c r="G258" s="534" t="str">
        <f aca="false">INDEX($Z258:$AW258,,12+G$152-$Q258+1)</f>
        <v>*</v>
      </c>
      <c r="H258" s="534" t="str">
        <f aca="false">INDEX($Z258:$AW258,,12+H$152-$Q258+1)</f>
        <v>*</v>
      </c>
      <c r="I258" s="534" t="str">
        <f aca="false">INDEX($Z258:$AW258,,12+I$152-$Q258+1)</f>
        <v>*</v>
      </c>
      <c r="J258" s="534" t="n">
        <f aca="false">INDEX($Z258:$AW258,,12+J$152-$Q258+1)</f>
        <v>1</v>
      </c>
      <c r="K258" s="534" t="str">
        <f aca="false">INDEX($Z258:$AW258,,12+K$152-$Q258+1)</f>
        <v>*</v>
      </c>
      <c r="L258" s="534" t="str">
        <f aca="false">INDEX($Z258:$AW258,,12+L$152-$Q258+1)</f>
        <v>*</v>
      </c>
      <c r="M258" s="534" t="n">
        <f aca="false">INDEX($Z258:$AW258,,12+M$152-$Q258+1)</f>
        <v>1</v>
      </c>
      <c r="N258" s="534" t="str">
        <f aca="false">INDEX($Z258:$AW258,,12+N$152-$Q258+1)</f>
        <v>*</v>
      </c>
      <c r="O258" s="534" t="str">
        <f aca="false">INDEX($Z258:$AW258,,12+O$152-$Q258+1)</f>
        <v>*</v>
      </c>
      <c r="P258" s="535" t="n">
        <f aca="false">SUM(D258:O258)</f>
        <v>4</v>
      </c>
      <c r="Q258" s="533" t="n">
        <f aca="false">IF($Y$82,D249,C258)</f>
        <v>5</v>
      </c>
      <c r="S258" s="489"/>
      <c r="T258" s="489"/>
      <c r="U258" s="490"/>
      <c r="V258" s="489"/>
      <c r="W258" s="474" t="s">
        <v>780</v>
      </c>
      <c r="X258" s="532" t="s">
        <v>319</v>
      </c>
      <c r="Y258" s="536" t="n">
        <f aca="false">SUM(Z258:AK258)</f>
        <v>4</v>
      </c>
      <c r="Z258" s="551" t="s">
        <v>181</v>
      </c>
      <c r="AA258" s="551" t="s">
        <v>181</v>
      </c>
      <c r="AB258" s="551" t="n">
        <v>1</v>
      </c>
      <c r="AC258" s="551" t="s">
        <v>181</v>
      </c>
      <c r="AD258" s="551" t="s">
        <v>181</v>
      </c>
      <c r="AE258" s="551" t="n">
        <v>1</v>
      </c>
      <c r="AF258" s="551" t="s">
        <v>181</v>
      </c>
      <c r="AG258" s="551" t="s">
        <v>181</v>
      </c>
      <c r="AH258" s="551" t="s">
        <v>181</v>
      </c>
      <c r="AI258" s="551" t="n">
        <v>1</v>
      </c>
      <c r="AJ258" s="551" t="n">
        <v>1</v>
      </c>
      <c r="AK258" s="551" t="s">
        <v>181</v>
      </c>
      <c r="AL258" s="552" t="str">
        <f aca="false">Z258</f>
        <v>*</v>
      </c>
      <c r="AM258" s="551" t="str">
        <f aca="false">AA258</f>
        <v>*</v>
      </c>
      <c r="AN258" s="551" t="n">
        <f aca="false">AB258</f>
        <v>1</v>
      </c>
      <c r="AO258" s="551" t="str">
        <f aca="false">AC258</f>
        <v>*</v>
      </c>
      <c r="AP258" s="551" t="str">
        <f aca="false">AD258</f>
        <v>*</v>
      </c>
      <c r="AQ258" s="551" t="n">
        <f aca="false">AE258</f>
        <v>1</v>
      </c>
      <c r="AR258" s="551" t="str">
        <f aca="false">AF258</f>
        <v>*</v>
      </c>
      <c r="AS258" s="551" t="str">
        <f aca="false">AG258</f>
        <v>*</v>
      </c>
      <c r="AT258" s="551" t="str">
        <f aca="false">AH258</f>
        <v>*</v>
      </c>
      <c r="AU258" s="551" t="n">
        <f aca="false">AI258</f>
        <v>1</v>
      </c>
      <c r="AV258" s="551" t="n">
        <f aca="false">AJ258</f>
        <v>1</v>
      </c>
      <c r="AW258" s="553" t="str">
        <f aca="false">AK258</f>
        <v>*</v>
      </c>
      <c r="AX258" s="474" t="str">
        <f aca="false">MIN($Y$160,$Y$174,$Y$188,$Y$202,$Y$216,$Y$230,$Y$244,$Y$258)&amp;"-"&amp;MAX($Y$160,$Y$174,$Y$188,$Y$202,$Y$216,$Y$230,$Y$244,$Y$258)</f>
        <v>4-9</v>
      </c>
      <c r="AY258" s="474" t="s">
        <v>780</v>
      </c>
    </row>
    <row r="259" customFormat="false" ht="15" hidden="false" customHeight="false" outlineLevel="0" collapsed="false">
      <c r="A259" s="488" t="str">
        <f aca="false">A249&amp;"-"&amp;B259</f>
        <v>Lagna-Lagna</v>
      </c>
      <c r="B259" s="539" t="str">
        <f aca="false">B249</f>
        <v>Lagna</v>
      </c>
      <c r="C259" s="540"/>
      <c r="D259" s="540" t="n">
        <f aca="false">SUM(D251:D258)</f>
        <v>4</v>
      </c>
      <c r="E259" s="540" t="n">
        <f aca="false">SUM(E251:E258)</f>
        <v>5</v>
      </c>
      <c r="F259" s="540" t="n">
        <f aca="false">SUM(F251:F258)</f>
        <v>4</v>
      </c>
      <c r="G259" s="540" t="n">
        <f aca="false">SUM(G251:G258)</f>
        <v>5</v>
      </c>
      <c r="H259" s="540" t="n">
        <f aca="false">SUM(H251:H258)</f>
        <v>4</v>
      </c>
      <c r="I259" s="540" t="n">
        <f aca="false">SUM(I251:I258)</f>
        <v>3</v>
      </c>
      <c r="J259" s="540" t="n">
        <f aca="false">SUM(J251:J258)</f>
        <v>7</v>
      </c>
      <c r="K259" s="540" t="n">
        <f aca="false">SUM(K251:K258)</f>
        <v>2</v>
      </c>
      <c r="L259" s="540" t="n">
        <f aca="false">SUM(L251:L258)</f>
        <v>3</v>
      </c>
      <c r="M259" s="540" t="n">
        <f aca="false">SUM(M251:M258)</f>
        <v>3</v>
      </c>
      <c r="N259" s="540" t="n">
        <f aca="false">SUM(N251:N258)</f>
        <v>5</v>
      </c>
      <c r="O259" s="540" t="n">
        <f aca="false">SUM(O251:O258)</f>
        <v>4</v>
      </c>
      <c r="P259" s="541" t="n">
        <f aca="false">SUM(D259:O259)</f>
        <v>49</v>
      </c>
      <c r="Q259" s="541"/>
      <c r="S259" s="489" t="n">
        <f aca="false">L259</f>
        <v>3</v>
      </c>
      <c r="T259" s="489" t="n">
        <f aca="false">K259</f>
        <v>2</v>
      </c>
      <c r="U259" s="489" t="n">
        <f aca="false">J259</f>
        <v>7</v>
      </c>
      <c r="V259" s="489" t="n">
        <f aca="false">I259</f>
        <v>3</v>
      </c>
      <c r="X259" s="539"/>
      <c r="Y259" s="542" t="n">
        <f aca="false">SUM(Z259:AK259)</f>
        <v>49</v>
      </c>
      <c r="Z259" s="543" t="n">
        <f aca="false">SUM(Z251:Z258)</f>
        <v>5</v>
      </c>
      <c r="AA259" s="543" t="n">
        <f aca="false">SUM(AA251:AA258)</f>
        <v>3</v>
      </c>
      <c r="AB259" s="543" t="n">
        <f aca="false">SUM(AB251:AB258)</f>
        <v>6</v>
      </c>
      <c r="AC259" s="543" t="n">
        <f aca="false">SUM(AC251:AC258)</f>
        <v>5</v>
      </c>
      <c r="AD259" s="543" t="n">
        <f aca="false">SUM(AD251:AD258)</f>
        <v>2</v>
      </c>
      <c r="AE259" s="543" t="n">
        <f aca="false">SUM(AE251:AE258)</f>
        <v>7</v>
      </c>
      <c r="AF259" s="543" t="n">
        <f aca="false">SUM(AF251:AF258)</f>
        <v>1</v>
      </c>
      <c r="AG259" s="543" t="n">
        <f aca="false">SUM(AG251:AG258)</f>
        <v>2</v>
      </c>
      <c r="AH259" s="543" t="n">
        <f aca="false">SUM(AH251:AH258)</f>
        <v>2</v>
      </c>
      <c r="AI259" s="543" t="n">
        <f aca="false">SUM(AI251:AI258)</f>
        <v>7</v>
      </c>
      <c r="AJ259" s="543" t="n">
        <f aca="false">SUM(AJ251:AJ258)</f>
        <v>7</v>
      </c>
      <c r="AK259" s="543" t="n">
        <f aca="false">SUM(AK251:AK258)</f>
        <v>2</v>
      </c>
      <c r="AL259" s="544" t="n">
        <f aca="false">SUM(AL251:AL258)</f>
        <v>5</v>
      </c>
      <c r="AM259" s="545" t="n">
        <f aca="false">SUM(AM251:AM258)</f>
        <v>3</v>
      </c>
      <c r="AN259" s="545" t="n">
        <f aca="false">SUM(AN251:AN258)</f>
        <v>6</v>
      </c>
      <c r="AO259" s="545" t="n">
        <f aca="false">SUM(AO251:AO258)</f>
        <v>5</v>
      </c>
      <c r="AP259" s="545" t="n">
        <f aca="false">SUM(AP251:AP258)</f>
        <v>2</v>
      </c>
      <c r="AQ259" s="545" t="n">
        <f aca="false">SUM(AQ251:AQ258)</f>
        <v>7</v>
      </c>
      <c r="AR259" s="545" t="n">
        <f aca="false">SUM(AR251:AR258)</f>
        <v>1</v>
      </c>
      <c r="AS259" s="545" t="n">
        <f aca="false">SUM(AS251:AS258)</f>
        <v>2</v>
      </c>
      <c r="AT259" s="545" t="n">
        <f aca="false">SUM(AT251:AT258)</f>
        <v>2</v>
      </c>
      <c r="AU259" s="545" t="n">
        <f aca="false">SUM(AU251:AU258)</f>
        <v>7</v>
      </c>
      <c r="AV259" s="545" t="n">
        <f aca="false">SUM(AV251:AV258)</f>
        <v>7</v>
      </c>
      <c r="AW259" s="546" t="n">
        <f aca="false">SUM(AW251:AW258)</f>
        <v>2</v>
      </c>
    </row>
    <row r="260" customFormat="false" ht="15" hidden="false" customHeight="false" outlineLevel="0" collapsed="false">
      <c r="A260" s="488" t="str">
        <f aca="false">A249&amp;"-"&amp;B260</f>
        <v>Lagna-</v>
      </c>
      <c r="S260" s="489"/>
      <c r="T260" s="489"/>
      <c r="U260" s="489"/>
      <c r="V260" s="489"/>
      <c r="X260" s="474" t="s">
        <v>782</v>
      </c>
      <c r="AL260" s="474"/>
    </row>
    <row r="261" customFormat="false" ht="15" hidden="false" customHeight="false" outlineLevel="0" collapsed="false">
      <c r="A261" s="488" t="str">
        <f aca="false">A249&amp;"-"&amp;B261</f>
        <v>Lagna-</v>
      </c>
      <c r="S261" s="489"/>
      <c r="T261" s="489"/>
      <c r="U261" s="489"/>
      <c r="V261" s="489"/>
    </row>
    <row r="262" customFormat="false" ht="15" hidden="false" customHeight="false" outlineLevel="0" collapsed="false">
      <c r="A262" s="488" t="str">
        <f aca="false">A249&amp;"-"&amp;B262</f>
        <v>Lagna------</v>
      </c>
      <c r="B262" s="474" t="s">
        <v>776</v>
      </c>
    </row>
    <row r="263" s="482" customFormat="true" ht="15" hidden="false" customHeight="false" outlineLevel="0" collapsed="false">
      <c r="A263" s="481" t="str">
        <f aca="false">B263</f>
        <v>Sarva2</v>
      </c>
      <c r="B263" s="482" t="s">
        <v>784</v>
      </c>
      <c r="D263" s="482" t="n">
        <f aca="false">Lagnahouse</f>
        <v>5</v>
      </c>
      <c r="P263" s="484"/>
      <c r="Q263" s="484"/>
      <c r="S263" s="485"/>
      <c r="T263" s="485"/>
      <c r="U263" s="485"/>
      <c r="V263" s="485"/>
      <c r="AL263" s="474"/>
      <c r="AM263" s="474"/>
      <c r="AN263" s="474"/>
      <c r="AO263" s="474"/>
      <c r="AP263" s="474"/>
      <c r="AQ263" s="474"/>
      <c r="AR263" s="474"/>
      <c r="AS263" s="474"/>
      <c r="AT263" s="474"/>
      <c r="AU263" s="474"/>
      <c r="AV263" s="474"/>
      <c r="AW263" s="474"/>
      <c r="AX263" s="474" t="s">
        <v>777</v>
      </c>
    </row>
    <row r="264" customFormat="false" ht="15" hidden="false" customHeight="false" outlineLevel="0" collapsed="false">
      <c r="A264" s="488" t="str">
        <f aca="false">A263</f>
        <v>Sarva2</v>
      </c>
      <c r="B264" s="524"/>
      <c r="C264" s="525" t="s">
        <v>746</v>
      </c>
      <c r="D264" s="526" t="n">
        <v>1</v>
      </c>
      <c r="E264" s="526" t="n">
        <v>2</v>
      </c>
      <c r="F264" s="526" t="n">
        <v>3</v>
      </c>
      <c r="G264" s="526" t="n">
        <v>4</v>
      </c>
      <c r="H264" s="526" t="n">
        <v>5</v>
      </c>
      <c r="I264" s="526" t="n">
        <v>6</v>
      </c>
      <c r="J264" s="526" t="n">
        <v>7</v>
      </c>
      <c r="K264" s="526" t="n">
        <v>8</v>
      </c>
      <c r="L264" s="526" t="n">
        <v>9</v>
      </c>
      <c r="M264" s="526" t="n">
        <v>10</v>
      </c>
      <c r="N264" s="526" t="n">
        <v>11</v>
      </c>
      <c r="O264" s="526" t="n">
        <v>12</v>
      </c>
      <c r="P264" s="527"/>
      <c r="Q264" s="527"/>
      <c r="S264" s="489" t="n">
        <f aca="false">O273</f>
        <v>36</v>
      </c>
      <c r="T264" s="489" t="n">
        <f aca="false">D273</f>
        <v>33</v>
      </c>
      <c r="U264" s="489" t="n">
        <f aca="false">E273</f>
        <v>37</v>
      </c>
      <c r="V264" s="489" t="n">
        <f aca="false">F273</f>
        <v>30</v>
      </c>
      <c r="X264" s="524"/>
      <c r="Y264" s="528" t="s">
        <v>779</v>
      </c>
      <c r="Z264" s="526" t="n">
        <v>1</v>
      </c>
      <c r="AA264" s="526" t="n">
        <v>2</v>
      </c>
      <c r="AB264" s="526" t="n">
        <v>3</v>
      </c>
      <c r="AC264" s="526" t="n">
        <v>4</v>
      </c>
      <c r="AD264" s="526" t="n">
        <v>5</v>
      </c>
      <c r="AE264" s="526" t="n">
        <v>6</v>
      </c>
      <c r="AF264" s="526" t="n">
        <v>7</v>
      </c>
      <c r="AG264" s="526" t="n">
        <v>8</v>
      </c>
      <c r="AH264" s="526" t="n">
        <v>9</v>
      </c>
      <c r="AI264" s="526" t="n">
        <v>10</v>
      </c>
      <c r="AJ264" s="526" t="n">
        <v>11</v>
      </c>
      <c r="AK264" s="526" t="n">
        <v>12</v>
      </c>
      <c r="AL264" s="530" t="n">
        <v>1</v>
      </c>
      <c r="AM264" s="526" t="n">
        <v>2</v>
      </c>
      <c r="AN264" s="526" t="n">
        <v>3</v>
      </c>
      <c r="AO264" s="526" t="n">
        <v>4</v>
      </c>
      <c r="AP264" s="526" t="n">
        <v>5</v>
      </c>
      <c r="AQ264" s="526" t="n">
        <v>6</v>
      </c>
      <c r="AR264" s="526" t="n">
        <v>7</v>
      </c>
      <c r="AS264" s="526" t="n">
        <v>8</v>
      </c>
      <c r="AT264" s="526" t="n">
        <v>9</v>
      </c>
      <c r="AU264" s="526" t="n">
        <v>10</v>
      </c>
      <c r="AV264" s="526" t="n">
        <v>11</v>
      </c>
      <c r="AW264" s="531" t="n">
        <v>12</v>
      </c>
    </row>
    <row r="265" customFormat="false" ht="15" hidden="false" customHeight="false" outlineLevel="0" collapsed="false">
      <c r="A265" s="488" t="str">
        <f aca="false">A264</f>
        <v>Sarva2</v>
      </c>
      <c r="B265" s="532" t="s">
        <v>164</v>
      </c>
      <c r="C265" s="533" t="n">
        <f aca="false">SaturnHouse</f>
        <v>2</v>
      </c>
      <c r="D265" s="534" t="n">
        <f aca="false">SUM(D251,D237,D223,D209,D195,D181,D167,D153)</f>
        <v>1</v>
      </c>
      <c r="E265" s="534" t="n">
        <f aca="false">SUM(E251,E237,E223,E209,E195,E181,E167,E153)</f>
        <v>4</v>
      </c>
      <c r="F265" s="534" t="n">
        <f aca="false">SUM(F251,F237,F223,F209,F195,F181,F167,F153)</f>
        <v>2</v>
      </c>
      <c r="G265" s="534" t="n">
        <f aca="false">SUM(G251,G237,G223,G209,G195,G181,G167,G153)</f>
        <v>5</v>
      </c>
      <c r="H265" s="534" t="n">
        <f aca="false">SUM(H251,H237,H223,H209,H195,H181,H167,H153)</f>
        <v>5</v>
      </c>
      <c r="I265" s="534" t="n">
        <f aca="false">SUM(I251,I237,I223,I209,I195,I181,I167,I153)</f>
        <v>4</v>
      </c>
      <c r="J265" s="534" t="n">
        <f aca="false">SUM(J251,J237,J223,J209,J195,J181,J167,J153)</f>
        <v>4</v>
      </c>
      <c r="K265" s="534" t="n">
        <f aca="false">SUM(K251,K237,K223,K209,K195,K181,K167,K153)</f>
        <v>3</v>
      </c>
      <c r="L265" s="534" t="n">
        <f aca="false">SUM(L251,L237,L223,L209,L195,L181,L167,L153)</f>
        <v>4</v>
      </c>
      <c r="M265" s="534" t="n">
        <f aca="false">SUM(M251,M237,M223,M209,M195,M181,M167,M153)</f>
        <v>4</v>
      </c>
      <c r="N265" s="534" t="n">
        <f aca="false">SUM(N251,N237,N223,N209,N195,N181,N167,N153)</f>
        <v>5</v>
      </c>
      <c r="O265" s="534" t="n">
        <f aca="false">SUM(O251,O237,O223,O209,O195,O181,O167,O153)</f>
        <v>7</v>
      </c>
      <c r="P265" s="535" t="n">
        <f aca="false">SUM(D265:O265)</f>
        <v>48</v>
      </c>
      <c r="Q265" s="535"/>
      <c r="S265" s="489"/>
      <c r="T265" s="489"/>
      <c r="U265" s="489"/>
      <c r="V265" s="489"/>
      <c r="X265" s="532" t="s">
        <v>164</v>
      </c>
      <c r="Y265" s="536" t="n">
        <f aca="false">SUM(Z265:AK265)</f>
        <v>48</v>
      </c>
      <c r="Z265" s="206" t="n">
        <f aca="false">SUM(Z251,Z237,Z223,Z209,Z195,Z181,Z167,Z153)</f>
        <v>4</v>
      </c>
      <c r="AA265" s="206" t="n">
        <f aca="false">SUM(AA251,AA237,AA223,AA209,AA195,AA181,AA167,AA153)</f>
        <v>2</v>
      </c>
      <c r="AB265" s="206" t="n">
        <f aca="false">SUM(AB251,AB237,AB223,AB209,AB195,AB181,AB167,AB153)</f>
        <v>5</v>
      </c>
      <c r="AC265" s="206" t="n">
        <f aca="false">SUM(AC251,AC237,AC223,AC209,AC195,AC181,AC167,AC153)</f>
        <v>5</v>
      </c>
      <c r="AD265" s="206" t="n">
        <f aca="false">SUM(AD251,AD237,AD223,AD209,AD195,AD181,AD167,AD153)</f>
        <v>4</v>
      </c>
      <c r="AE265" s="206" t="n">
        <f aca="false">SUM(AE251,AE237,AE223,AE209,AE195,AE181,AE167,AE153)</f>
        <v>4</v>
      </c>
      <c r="AF265" s="206" t="n">
        <f aca="false">SUM(AF251,AF237,AF223,AF209,AF195,AF181,AF167,AF153)</f>
        <v>3</v>
      </c>
      <c r="AG265" s="206" t="n">
        <f aca="false">SUM(AG251,AG237,AG223,AG209,AG195,AG181,AG167,AG153)</f>
        <v>4</v>
      </c>
      <c r="AH265" s="206" t="n">
        <f aca="false">SUM(AH251,AH237,AH223,AH209,AH195,AH181,AH167,AH153)</f>
        <v>4</v>
      </c>
      <c r="AI265" s="206" t="n">
        <f aca="false">SUM(AI251,AI237,AI223,AI209,AI195,AI181,AI167,AI153)</f>
        <v>5</v>
      </c>
      <c r="AJ265" s="206" t="n">
        <f aca="false">SUM(AJ251,AJ237,AJ223,AJ209,AJ195,AJ181,AJ167,AJ153)</f>
        <v>7</v>
      </c>
      <c r="AK265" s="206" t="n">
        <f aca="false">SUM(AK251,AK237,AK223,AK209,AK195,AK181,AK167,AK153)</f>
        <v>1</v>
      </c>
      <c r="AL265" s="475" t="n">
        <f aca="false">Z265</f>
        <v>4</v>
      </c>
      <c r="AM265" s="474" t="n">
        <f aca="false">AA265</f>
        <v>2</v>
      </c>
      <c r="AN265" s="474" t="n">
        <f aca="false">AB265</f>
        <v>5</v>
      </c>
      <c r="AO265" s="474" t="n">
        <f aca="false">AC265</f>
        <v>5</v>
      </c>
      <c r="AP265" s="474" t="n">
        <f aca="false">AD265</f>
        <v>4</v>
      </c>
      <c r="AQ265" s="474" t="n">
        <f aca="false">AE265</f>
        <v>4</v>
      </c>
      <c r="AR265" s="474" t="n">
        <f aca="false">AF265</f>
        <v>3</v>
      </c>
      <c r="AS265" s="474" t="n">
        <f aca="false">AG265</f>
        <v>4</v>
      </c>
      <c r="AT265" s="474" t="n">
        <f aca="false">AH265</f>
        <v>4</v>
      </c>
      <c r="AU265" s="474" t="n">
        <f aca="false">AI265</f>
        <v>5</v>
      </c>
      <c r="AV265" s="474" t="n">
        <f aca="false">AJ265</f>
        <v>7</v>
      </c>
      <c r="AW265" s="476" t="n">
        <f aca="false">AK265</f>
        <v>1</v>
      </c>
      <c r="AX265" s="474" t="str">
        <f aca="false">MIN($Y$153,$Y$167,$Y$181,$Y$195,$Y$209,$Y$223,$Y$237,$Y$251)&amp;"-"&amp;MAX($Y$153,$Y$167,$Y$181,$Y$195,$Y$209,$Y$223,$Y$237,$Y$251)</f>
        <v>4-8</v>
      </c>
    </row>
    <row r="266" customFormat="false" ht="15" hidden="false" customHeight="false" outlineLevel="0" collapsed="false">
      <c r="A266" s="488" t="str">
        <f aca="false">A265</f>
        <v>Sarva2</v>
      </c>
      <c r="B266" s="532" t="s">
        <v>162</v>
      </c>
      <c r="C266" s="533" t="n">
        <f aca="false">JupiterHouse</f>
        <v>8</v>
      </c>
      <c r="D266" s="534" t="n">
        <f aca="false">SUM(D252,D238,D224,D210,D196,D182,D168,D154)</f>
        <v>5</v>
      </c>
      <c r="E266" s="534" t="n">
        <f aca="false">SUM(E252,E238,E224,E210,E196,E182,E168,E154)</f>
        <v>3</v>
      </c>
      <c r="F266" s="534" t="n">
        <f aca="false">SUM(F252,F238,F224,F210,F196,F182,F168,F154)</f>
        <v>4</v>
      </c>
      <c r="G266" s="534" t="n">
        <f aca="false">SUM(G252,G238,G224,G210,G196,G182,G168,G154)</f>
        <v>3</v>
      </c>
      <c r="H266" s="534" t="n">
        <f aca="false">SUM(H252,H238,H224,H210,H196,H182,H168,H154)</f>
        <v>5</v>
      </c>
      <c r="I266" s="534" t="n">
        <f aca="false">SUM(I252,I238,I224,I210,I196,I182,I168,I154)</f>
        <v>8</v>
      </c>
      <c r="J266" s="534" t="n">
        <f aca="false">SUM(J252,J238,J224,J210,J196,J182,J168,J154)</f>
        <v>3</v>
      </c>
      <c r="K266" s="534" t="n">
        <f aca="false">SUM(K252,K238,K224,K210,K196,K182,K168,K154)</f>
        <v>3</v>
      </c>
      <c r="L266" s="534" t="n">
        <f aca="false">SUM(L252,L238,L224,L210,L196,L182,L168,L154)</f>
        <v>3</v>
      </c>
      <c r="M266" s="534" t="n">
        <f aca="false">SUM(M252,M238,M224,M210,M196,M182,M168,M154)</f>
        <v>1</v>
      </c>
      <c r="N266" s="534" t="n">
        <f aca="false">SUM(N252,N238,N224,N210,N196,N182,N168,N154)</f>
        <v>3</v>
      </c>
      <c r="O266" s="534" t="n">
        <f aca="false">SUM(O252,O238,O224,O210,O196,O182,O168,O154)</f>
        <v>4</v>
      </c>
      <c r="P266" s="535" t="n">
        <f aca="false">SUM(D266:O266)</f>
        <v>45</v>
      </c>
      <c r="Q266" s="535"/>
      <c r="S266" s="489"/>
      <c r="T266" s="489"/>
      <c r="U266" s="489"/>
      <c r="V266" s="489"/>
      <c r="X266" s="532" t="s">
        <v>162</v>
      </c>
      <c r="Y266" s="536" t="n">
        <f aca="false">SUM(Z266:AK266)</f>
        <v>45</v>
      </c>
      <c r="Z266" s="206" t="n">
        <f aca="false">SUM(Z252,Z238,Z224,Z210,Z196,Z182,Z168,Z154)</f>
        <v>3</v>
      </c>
      <c r="AA266" s="206" t="n">
        <f aca="false">SUM(AA252,AA238,AA224,AA210,AA196,AA182,AA168,AA154)</f>
        <v>3</v>
      </c>
      <c r="AB266" s="206" t="n">
        <f aca="false">SUM(AB252,AB238,AB224,AB210,AB196,AB182,AB168,AB154)</f>
        <v>1</v>
      </c>
      <c r="AC266" s="206" t="n">
        <f aca="false">SUM(AC252,AC238,AC224,AC210,AC196,AC182,AC168,AC154)</f>
        <v>3</v>
      </c>
      <c r="AD266" s="206" t="n">
        <f aca="false">SUM(AD252,AD238,AD224,AD210,AD196,AD182,AD168,AD154)</f>
        <v>4</v>
      </c>
      <c r="AE266" s="206" t="n">
        <f aca="false">SUM(AE252,AE238,AE224,AE210,AE196,AE182,AE168,AE154)</f>
        <v>5</v>
      </c>
      <c r="AF266" s="206" t="n">
        <f aca="false">SUM(AF252,AF238,AF224,AF210,AF196,AF182,AF168,AF154)</f>
        <v>3</v>
      </c>
      <c r="AG266" s="206" t="n">
        <f aca="false">SUM(AG252,AG238,AG224,AG210,AG196,AG182,AG168,AG154)</f>
        <v>4</v>
      </c>
      <c r="AH266" s="206" t="n">
        <f aca="false">SUM(AH252,AH238,AH224,AH210,AH196,AH182,AH168,AH154)</f>
        <v>3</v>
      </c>
      <c r="AI266" s="206" t="n">
        <f aca="false">SUM(AI252,AI238,AI224,AI210,AI196,AI182,AI168,AI154)</f>
        <v>5</v>
      </c>
      <c r="AJ266" s="206" t="n">
        <f aca="false">SUM(AJ252,AJ238,AJ224,AJ210,AJ196,AJ182,AJ168,AJ154)</f>
        <v>8</v>
      </c>
      <c r="AK266" s="206" t="n">
        <f aca="false">SUM(AK252,AK238,AK224,AK210,AK196,AK182,AK168,AK154)</f>
        <v>3</v>
      </c>
      <c r="AL266" s="475" t="n">
        <f aca="false">Z266</f>
        <v>3</v>
      </c>
      <c r="AM266" s="474" t="n">
        <f aca="false">AA266</f>
        <v>3</v>
      </c>
      <c r="AN266" s="474" t="n">
        <f aca="false">AB266</f>
        <v>1</v>
      </c>
      <c r="AO266" s="474" t="n">
        <f aca="false">AC266</f>
        <v>3</v>
      </c>
      <c r="AP266" s="474" t="n">
        <f aca="false">AD266</f>
        <v>4</v>
      </c>
      <c r="AQ266" s="474" t="n">
        <f aca="false">AE266</f>
        <v>5</v>
      </c>
      <c r="AR266" s="474" t="n">
        <f aca="false">AF266</f>
        <v>3</v>
      </c>
      <c r="AS266" s="474" t="n">
        <f aca="false">AG266</f>
        <v>4</v>
      </c>
      <c r="AT266" s="474" t="n">
        <f aca="false">AH266</f>
        <v>3</v>
      </c>
      <c r="AU266" s="474" t="n">
        <f aca="false">AI266</f>
        <v>5</v>
      </c>
      <c r="AV266" s="474" t="n">
        <f aca="false">AJ266</f>
        <v>8</v>
      </c>
      <c r="AW266" s="476" t="n">
        <f aca="false">AK266</f>
        <v>3</v>
      </c>
      <c r="AX266" s="474" t="str">
        <f aca="false">MIN($Y$154,$Y$168,$Y$182,$Y$196,$Y$210,$Y$224,$Y$238,$Y$252)&amp;"-"&amp;MAX($Y$154,$Y$168,$Y$182,$Y$196,$Y$210,$Y$224,$Y$238,$Y$252)</f>
        <v>4-9</v>
      </c>
    </row>
    <row r="267" customFormat="false" ht="15" hidden="false" customHeight="false" outlineLevel="0" collapsed="false">
      <c r="A267" s="488" t="str">
        <f aca="false">A266</f>
        <v>Sarva2</v>
      </c>
      <c r="B267" s="532" t="s">
        <v>160</v>
      </c>
      <c r="C267" s="533" t="n">
        <f aca="false">MarsHouse</f>
        <v>10</v>
      </c>
      <c r="D267" s="534" t="n">
        <f aca="false">SUM(D253,D239,D225,D211,D197,D183,D169,D155)</f>
        <v>5</v>
      </c>
      <c r="E267" s="534" t="n">
        <f aca="false">SUM(E253,E239,E225,E211,E197,E183,E169,E155)</f>
        <v>2</v>
      </c>
      <c r="F267" s="534" t="n">
        <f aca="false">SUM(F253,F239,F225,F211,F197,F183,F169,F155)</f>
        <v>4</v>
      </c>
      <c r="G267" s="534" t="n">
        <f aca="false">SUM(G253,G239,G225,G211,G197,G183,G169,G155)</f>
        <v>4</v>
      </c>
      <c r="H267" s="534" t="n">
        <f aca="false">SUM(H253,H239,H225,H211,H197,H183,H169,H155)</f>
        <v>4</v>
      </c>
      <c r="I267" s="534" t="n">
        <f aca="false">SUM(I253,I239,I225,I211,I197,I183,I169,I155)</f>
        <v>3</v>
      </c>
      <c r="J267" s="534" t="n">
        <f aca="false">SUM(J253,J239,J225,J211,J197,J183,J169,J155)</f>
        <v>7</v>
      </c>
      <c r="K267" s="534" t="n">
        <f aca="false">SUM(K253,K239,K225,K211,K197,K183,K169,K155)</f>
        <v>8</v>
      </c>
      <c r="L267" s="534" t="n">
        <f aca="false">SUM(L253,L239,L225,L211,L197,L183,L169,L155)</f>
        <v>2</v>
      </c>
      <c r="M267" s="534" t="n">
        <f aca="false">SUM(M253,M239,M225,M211,M197,M183,M169,M155)</f>
        <v>5</v>
      </c>
      <c r="N267" s="534" t="n">
        <f aca="false">SUM(N253,N239,N225,N211,N197,N183,N169,N155)</f>
        <v>5</v>
      </c>
      <c r="O267" s="534" t="n">
        <f aca="false">SUM(O253,O239,O225,O211,O197,O183,O169,O155)</f>
        <v>4</v>
      </c>
      <c r="P267" s="535" t="n">
        <f aca="false">SUM(D267:O267)</f>
        <v>53</v>
      </c>
      <c r="Q267" s="535"/>
      <c r="S267" s="489" t="n">
        <f aca="false">N273</f>
        <v>31</v>
      </c>
      <c r="T267" s="490" t="str">
        <f aca="false">C263&amp;"  Ashtakavarga  "&amp;P273</f>
        <v>  Ashtakavarga  386</v>
      </c>
      <c r="U267" s="490"/>
      <c r="V267" s="489" t="n">
        <f aca="false">G273</f>
        <v>30</v>
      </c>
      <c r="X267" s="532" t="s">
        <v>160</v>
      </c>
      <c r="Y267" s="536" t="n">
        <f aca="false">SUM(Z267:AK267)</f>
        <v>53</v>
      </c>
      <c r="Z267" s="206" t="n">
        <f aca="false">SUM(Z253,Z239,Z225,Z211,Z197,Z183,Z169,Z155)</f>
        <v>5</v>
      </c>
      <c r="AA267" s="206" t="n">
        <f aca="false">SUM(AA253,AA239,AA225,AA211,AA197,AA183,AA169,AA155)</f>
        <v>5</v>
      </c>
      <c r="AB267" s="206" t="n">
        <f aca="false">SUM(AB253,AB239,AB225,AB211,AB197,AB183,AB169,AB155)</f>
        <v>4</v>
      </c>
      <c r="AC267" s="206" t="n">
        <f aca="false">SUM(AC253,AC239,AC225,AC211,AC197,AC183,AC169,AC155)</f>
        <v>5</v>
      </c>
      <c r="AD267" s="206" t="n">
        <f aca="false">SUM(AD253,AD239,AD225,AD211,AD197,AD183,AD169,AD155)</f>
        <v>2</v>
      </c>
      <c r="AE267" s="206" t="n">
        <f aca="false">SUM(AE253,AE239,AE225,AE211,AE197,AE183,AE169,AE155)</f>
        <v>4</v>
      </c>
      <c r="AF267" s="206" t="n">
        <f aca="false">SUM(AF253,AF239,AF225,AF211,AF197,AF183,AF169,AF155)</f>
        <v>4</v>
      </c>
      <c r="AG267" s="206" t="n">
        <f aca="false">SUM(AG253,AG239,AG225,AG211,AG197,AG183,AG169,AG155)</f>
        <v>4</v>
      </c>
      <c r="AH267" s="206" t="n">
        <f aca="false">SUM(AH253,AH239,AH225,AH211,AH197,AH183,AH169,AH155)</f>
        <v>3</v>
      </c>
      <c r="AI267" s="206" t="n">
        <f aca="false">SUM(AI253,AI239,AI225,AI211,AI197,AI183,AI169,AI155)</f>
        <v>7</v>
      </c>
      <c r="AJ267" s="206" t="n">
        <f aca="false">SUM(AJ253,AJ239,AJ225,AJ211,AJ197,AJ183,AJ169,AJ155)</f>
        <v>8</v>
      </c>
      <c r="AK267" s="206" t="n">
        <f aca="false">SUM(AK253,AK239,AK225,AK211,AK197,AK183,AK169,AK155)</f>
        <v>2</v>
      </c>
      <c r="AL267" s="475" t="n">
        <f aca="false">Z267</f>
        <v>5</v>
      </c>
      <c r="AM267" s="474" t="n">
        <f aca="false">AA267</f>
        <v>5</v>
      </c>
      <c r="AN267" s="474" t="n">
        <f aca="false">AB267</f>
        <v>4</v>
      </c>
      <c r="AO267" s="474" t="n">
        <f aca="false">AC267</f>
        <v>5</v>
      </c>
      <c r="AP267" s="474" t="n">
        <f aca="false">AD267</f>
        <v>2</v>
      </c>
      <c r="AQ267" s="474" t="n">
        <f aca="false">AE267</f>
        <v>4</v>
      </c>
      <c r="AR267" s="474" t="n">
        <f aca="false">AF267</f>
        <v>4</v>
      </c>
      <c r="AS267" s="474" t="n">
        <f aca="false">AG267</f>
        <v>4</v>
      </c>
      <c r="AT267" s="474" t="n">
        <f aca="false">AH267</f>
        <v>3</v>
      </c>
      <c r="AU267" s="474" t="n">
        <f aca="false">AI267</f>
        <v>7</v>
      </c>
      <c r="AV267" s="474" t="n">
        <f aca="false">AJ267</f>
        <v>8</v>
      </c>
      <c r="AW267" s="476" t="n">
        <f aca="false">AK267</f>
        <v>2</v>
      </c>
      <c r="AX267" s="474" t="str">
        <f aca="false">MIN($Y$155,$Y$169,$Y$183,$Y$197,$Y$211,$Y$225,$Y$239,$Y$253)&amp;"-"&amp;MAX($Y$155,$Y$169,$Y$183,$Y$197,$Y$211,$Y$225,$Y$239,$Y$253)</f>
        <v>5-8</v>
      </c>
    </row>
    <row r="268" customFormat="false" ht="15" hidden="false" customHeight="false" outlineLevel="0" collapsed="false">
      <c r="A268" s="488" t="str">
        <f aca="false">A267</f>
        <v>Sarva2</v>
      </c>
      <c r="B268" s="532" t="s">
        <v>158</v>
      </c>
      <c r="C268" s="533" t="n">
        <f aca="false">SunHouse</f>
        <v>4</v>
      </c>
      <c r="D268" s="534" t="n">
        <f aca="false">SUM(D254,D240,D226,D212,D198,D184,D170,D156)</f>
        <v>6</v>
      </c>
      <c r="E268" s="534" t="n">
        <f aca="false">SUM(E254,E240,E226,E212,E198,E184,E170,E156)</f>
        <v>8</v>
      </c>
      <c r="F268" s="534" t="n">
        <f aca="false">SUM(F254,F240,F226,F212,F198,F184,F170,F156)</f>
        <v>3</v>
      </c>
      <c r="G268" s="534" t="n">
        <f aca="false">SUM(G254,G240,G226,G212,G198,G184,G170,G156)</f>
        <v>3</v>
      </c>
      <c r="H268" s="534" t="n">
        <f aca="false">SUM(H254,H240,H226,H212,H198,H184,H170,H156)</f>
        <v>3</v>
      </c>
      <c r="I268" s="534" t="n">
        <f aca="false">SUM(I254,I240,I226,I212,I198,I184,I170,I156)</f>
        <v>4</v>
      </c>
      <c r="J268" s="534" t="n">
        <f aca="false">SUM(J254,J240,J226,J212,J198,J184,J170,J156)</f>
        <v>4</v>
      </c>
      <c r="K268" s="534" t="n">
        <f aca="false">SUM(K254,K240,K226,K212,K198,K184,K170,K156)</f>
        <v>2</v>
      </c>
      <c r="L268" s="534" t="n">
        <f aca="false">SUM(L254,L240,L226,L212,L198,L184,L170,L156)</f>
        <v>4</v>
      </c>
      <c r="M268" s="534" t="n">
        <f aca="false">SUM(M254,M240,M226,M212,M198,M184,M170,M156)</f>
        <v>4</v>
      </c>
      <c r="N268" s="534" t="n">
        <f aca="false">SUM(N254,N240,N226,N212,N198,N184,N170,N156)</f>
        <v>5</v>
      </c>
      <c r="O268" s="534" t="n">
        <f aca="false">SUM(O254,O240,O226,O212,O198,O184,O170,O156)</f>
        <v>3</v>
      </c>
      <c r="P268" s="535" t="n">
        <f aca="false">SUM(D268:O268)</f>
        <v>49</v>
      </c>
      <c r="Q268" s="535"/>
      <c r="S268" s="489"/>
      <c r="T268" s="489"/>
      <c r="U268" s="490"/>
      <c r="V268" s="489"/>
      <c r="X268" s="532" t="s">
        <v>158</v>
      </c>
      <c r="Y268" s="536" t="n">
        <f aca="false">SUM(Z268:AK268)</f>
        <v>49</v>
      </c>
      <c r="Z268" s="206" t="n">
        <f aca="false">SUM(Z254,Z240,Z226,Z212,Z198,Z184,Z170,Z156)</f>
        <v>3</v>
      </c>
      <c r="AA268" s="206" t="n">
        <f aca="false">SUM(AA254,AA240,AA226,AA212,AA198,AA184,AA170,AA156)</f>
        <v>3</v>
      </c>
      <c r="AB268" s="206" t="n">
        <f aca="false">SUM(AB254,AB240,AB226,AB212,AB198,AB184,AB170,AB156)</f>
        <v>4</v>
      </c>
      <c r="AC268" s="206" t="n">
        <f aca="false">SUM(AC254,AC240,AC226,AC212,AC198,AC184,AC170,AC156)</f>
        <v>4</v>
      </c>
      <c r="AD268" s="206" t="n">
        <f aca="false">SUM(AD254,AD240,AD226,AD212,AD198,AD184,AD170,AD156)</f>
        <v>2</v>
      </c>
      <c r="AE268" s="206" t="n">
        <f aca="false">SUM(AE254,AE240,AE226,AE212,AE198,AE184,AE170,AE156)</f>
        <v>4</v>
      </c>
      <c r="AF268" s="206" t="n">
        <f aca="false">SUM(AF254,AF240,AF226,AF212,AF198,AF184,AF170,AF156)</f>
        <v>4</v>
      </c>
      <c r="AG268" s="206" t="n">
        <f aca="false">SUM(AG254,AG240,AG226,AG212,AG198,AG184,AG170,AG156)</f>
        <v>5</v>
      </c>
      <c r="AH268" s="206" t="n">
        <f aca="false">SUM(AH254,AH240,AH226,AH212,AH198,AH184,AH170,AH156)</f>
        <v>3</v>
      </c>
      <c r="AI268" s="206" t="n">
        <f aca="false">SUM(AI254,AI240,AI226,AI212,AI198,AI184,AI170,AI156)</f>
        <v>6</v>
      </c>
      <c r="AJ268" s="206" t="n">
        <f aca="false">SUM(AJ254,AJ240,AJ226,AJ212,AJ198,AJ184,AJ170,AJ156)</f>
        <v>8</v>
      </c>
      <c r="AK268" s="206" t="n">
        <f aca="false">SUM(AK254,AK240,AK226,AK212,AK198,AK184,AK170,AK156)</f>
        <v>3</v>
      </c>
      <c r="AL268" s="475" t="n">
        <f aca="false">Z268</f>
        <v>3</v>
      </c>
      <c r="AM268" s="474" t="n">
        <f aca="false">AA268</f>
        <v>3</v>
      </c>
      <c r="AN268" s="474" t="n">
        <f aca="false">AB268</f>
        <v>4</v>
      </c>
      <c r="AO268" s="474" t="n">
        <f aca="false">AC268</f>
        <v>4</v>
      </c>
      <c r="AP268" s="474" t="n">
        <f aca="false">AD268</f>
        <v>2</v>
      </c>
      <c r="AQ268" s="474" t="n">
        <f aca="false">AE268</f>
        <v>4</v>
      </c>
      <c r="AR268" s="474" t="n">
        <f aca="false">AF268</f>
        <v>4</v>
      </c>
      <c r="AS268" s="474" t="n">
        <f aca="false">AG268</f>
        <v>5</v>
      </c>
      <c r="AT268" s="474" t="n">
        <f aca="false">AH268</f>
        <v>3</v>
      </c>
      <c r="AU268" s="474" t="n">
        <f aca="false">AI268</f>
        <v>6</v>
      </c>
      <c r="AV268" s="474" t="n">
        <f aca="false">AJ268</f>
        <v>8</v>
      </c>
      <c r="AW268" s="476" t="n">
        <f aca="false">AK268</f>
        <v>3</v>
      </c>
      <c r="AX268" s="474" t="str">
        <f aca="false">MIN($Y$156,$Y$170,$Y$184,$Y$198,$Y$212,$Y$226,$Y$240,$Y$254)&amp;"-"&amp;MAX($Y$156,$Y$170,$Y$184,$Y$198,$Y$212,$Y$226,$Y$240,$Y$254)</f>
        <v>3-9</v>
      </c>
    </row>
    <row r="269" customFormat="false" ht="15" hidden="false" customHeight="false" outlineLevel="0" collapsed="false">
      <c r="A269" s="488" t="str">
        <f aca="false">A268</f>
        <v>Sarva2</v>
      </c>
      <c r="B269" s="532" t="s">
        <v>163</v>
      </c>
      <c r="C269" s="533" t="n">
        <f aca="false">VenusHouse</f>
        <v>3</v>
      </c>
      <c r="D269" s="534" t="n">
        <f aca="false">SUM(D255,D241,D227,D213,D199,D185,D171,D157)</f>
        <v>6</v>
      </c>
      <c r="E269" s="534" t="n">
        <f aca="false">SUM(E255,E241,E227,E213,E199,E185,E171,E157)</f>
        <v>3</v>
      </c>
      <c r="F269" s="534" t="n">
        <f aca="false">SUM(F255,F241,F227,F213,F199,F185,F171,F157)</f>
        <v>3</v>
      </c>
      <c r="G269" s="534" t="n">
        <f aca="false">SUM(G255,G241,G227,G213,G199,G185,G171,G157)</f>
        <v>4</v>
      </c>
      <c r="H269" s="534" t="n">
        <f aca="false">SUM(H255,H241,H227,H213,H199,H185,H171,H157)</f>
        <v>4</v>
      </c>
      <c r="I269" s="534" t="n">
        <f aca="false">SUM(I255,I241,I227,I213,I199,I185,I171,I157)</f>
        <v>4</v>
      </c>
      <c r="J269" s="534" t="n">
        <f aca="false">SUM(J255,J241,J227,J213,J199,J185,J171,J157)</f>
        <v>5</v>
      </c>
      <c r="K269" s="534" t="n">
        <f aca="false">SUM(K255,K241,K227,K213,K199,K185,K171,K157)</f>
        <v>4</v>
      </c>
      <c r="L269" s="534" t="n">
        <f aca="false">SUM(L255,L241,L227,L213,L199,L185,L171,L157)</f>
        <v>2</v>
      </c>
      <c r="M269" s="534" t="n">
        <f aca="false">SUM(M255,M241,M227,M213,M199,M185,M171,M157)</f>
        <v>4</v>
      </c>
      <c r="N269" s="534" t="n">
        <f aca="false">SUM(N255,N241,N227,N213,N199,N185,N171,N157)</f>
        <v>5</v>
      </c>
      <c r="O269" s="534" t="n">
        <f aca="false">SUM(O255,O241,O227,O213,O199,O185,O171,O157)</f>
        <v>3</v>
      </c>
      <c r="P269" s="535" t="n">
        <f aca="false">SUM(D269:O269)</f>
        <v>47</v>
      </c>
      <c r="Q269" s="535"/>
      <c r="S269" s="489"/>
      <c r="T269" s="489"/>
      <c r="U269" s="490"/>
      <c r="V269" s="489"/>
      <c r="X269" s="532" t="s">
        <v>163</v>
      </c>
      <c r="Y269" s="536" t="n">
        <f aca="false">SUM(Z269:AK269)</f>
        <v>47</v>
      </c>
      <c r="Z269" s="206" t="n">
        <f aca="false">SUM(Z255,Z241,Z227,Z213,Z199,Z185,Z171,Z157)</f>
        <v>3</v>
      </c>
      <c r="AA269" s="206" t="n">
        <f aca="false">SUM(AA255,AA241,AA227,AA213,AA199,AA185,AA171,AA157)</f>
        <v>4</v>
      </c>
      <c r="AB269" s="206" t="n">
        <f aca="false">SUM(AB255,AB241,AB227,AB213,AB199,AB185,AB171,AB157)</f>
        <v>4</v>
      </c>
      <c r="AC269" s="206" t="n">
        <f aca="false">SUM(AC255,AC241,AC227,AC213,AC199,AC185,AC171,AC157)</f>
        <v>4</v>
      </c>
      <c r="AD269" s="206" t="n">
        <f aca="false">SUM(AD255,AD241,AD227,AD213,AD199,AD185,AD171,AD157)</f>
        <v>5</v>
      </c>
      <c r="AE269" s="206" t="n">
        <f aca="false">SUM(AE255,AE241,AE227,AE213,AE199,AE185,AE171,AE157)</f>
        <v>4</v>
      </c>
      <c r="AF269" s="206" t="n">
        <f aca="false">SUM(AF255,AF241,AF227,AF213,AF199,AF185,AF171,AF157)</f>
        <v>2</v>
      </c>
      <c r="AG269" s="206" t="n">
        <f aca="false">SUM(AG255,AG241,AG227,AG213,AG199,AG185,AG171,AG157)</f>
        <v>4</v>
      </c>
      <c r="AH269" s="206" t="n">
        <f aca="false">SUM(AH255,AH241,AH227,AH213,AH199,AH185,AH171,AH157)</f>
        <v>5</v>
      </c>
      <c r="AI269" s="206" t="n">
        <f aca="false">SUM(AI255,AI241,AI227,AI213,AI199,AI185,AI171,AI157)</f>
        <v>3</v>
      </c>
      <c r="AJ269" s="206" t="n">
        <f aca="false">SUM(AJ255,AJ241,AJ227,AJ213,AJ199,AJ185,AJ171,AJ157)</f>
        <v>6</v>
      </c>
      <c r="AK269" s="206" t="n">
        <f aca="false">SUM(AK255,AK241,AK227,AK213,AK199,AK185,AK171,AK157)</f>
        <v>3</v>
      </c>
      <c r="AL269" s="475" t="n">
        <f aca="false">Z269</f>
        <v>3</v>
      </c>
      <c r="AM269" s="474" t="n">
        <f aca="false">AA269</f>
        <v>4</v>
      </c>
      <c r="AN269" s="474" t="n">
        <f aca="false">AB269</f>
        <v>4</v>
      </c>
      <c r="AO269" s="474" t="n">
        <f aca="false">AC269</f>
        <v>4</v>
      </c>
      <c r="AP269" s="474" t="n">
        <f aca="false">AD269</f>
        <v>5</v>
      </c>
      <c r="AQ269" s="474" t="n">
        <f aca="false">AE269</f>
        <v>4</v>
      </c>
      <c r="AR269" s="474" t="n">
        <f aca="false">AF269</f>
        <v>2</v>
      </c>
      <c r="AS269" s="474" t="n">
        <f aca="false">AG269</f>
        <v>4</v>
      </c>
      <c r="AT269" s="474" t="n">
        <f aca="false">AH269</f>
        <v>5</v>
      </c>
      <c r="AU269" s="474" t="n">
        <f aca="false">AI269</f>
        <v>3</v>
      </c>
      <c r="AV269" s="474" t="n">
        <f aca="false">AJ269</f>
        <v>6</v>
      </c>
      <c r="AW269" s="476" t="n">
        <f aca="false">AK269</f>
        <v>3</v>
      </c>
      <c r="AX269" s="474" t="str">
        <f aca="false">MIN($Y$157,$Y$171,$Y$185,$Y$199,$Y$213,$Y$227,$Y$241,$Y$255)&amp;"-"&amp;MAX($Y$157,$Y$171,$Y$185,$Y$199,$Y$213,$Y$227,$Y$241,$Y$255)</f>
        <v>3-9</v>
      </c>
    </row>
    <row r="270" customFormat="false" ht="15" hidden="false" customHeight="false" outlineLevel="0" collapsed="false">
      <c r="A270" s="488" t="str">
        <f aca="false">A269</f>
        <v>Sarva2</v>
      </c>
      <c r="B270" s="532" t="s">
        <v>161</v>
      </c>
      <c r="C270" s="533" t="n">
        <f aca="false">MercuryHouse</f>
        <v>4</v>
      </c>
      <c r="D270" s="534" t="n">
        <f aca="false">SUM(D256,D242,D228,D214,D200,D186,D172,D158)</f>
        <v>6</v>
      </c>
      <c r="E270" s="534" t="n">
        <f aca="false">SUM(E256,E242,E228,E214,E200,E186,E172,E158)</f>
        <v>8</v>
      </c>
      <c r="F270" s="534" t="n">
        <f aca="false">SUM(F256,F242,F228,F214,F200,F186,F172,F158)</f>
        <v>3</v>
      </c>
      <c r="G270" s="534" t="n">
        <f aca="false">SUM(G256,G242,G228,G214,G200,G186,G172,G158)</f>
        <v>4</v>
      </c>
      <c r="H270" s="534" t="n">
        <f aca="false">SUM(H256,H242,H228,H214,H200,H186,H172,H158)</f>
        <v>2</v>
      </c>
      <c r="I270" s="534" t="n">
        <f aca="false">SUM(I256,I242,I228,I214,I200,I186,I172,I158)</f>
        <v>5</v>
      </c>
      <c r="J270" s="534" t="n">
        <f aca="false">SUM(J256,J242,J228,J214,J200,J186,J172,J158)</f>
        <v>3</v>
      </c>
      <c r="K270" s="534" t="n">
        <f aca="false">SUM(K256,K242,K228,K214,K200,K186,K172,K158)</f>
        <v>6</v>
      </c>
      <c r="L270" s="534" t="n">
        <f aca="false">SUM(L256,L242,L228,L214,L200,L186,L172,L158)</f>
        <v>7</v>
      </c>
      <c r="M270" s="534" t="n">
        <f aca="false">SUM(M256,M242,M228,M214,M200,M186,M172,M158)</f>
        <v>1</v>
      </c>
      <c r="N270" s="534" t="n">
        <f aca="false">SUM(N256,N242,N228,N214,N200,N186,N172,N158)</f>
        <v>3</v>
      </c>
      <c r="O270" s="534" t="n">
        <f aca="false">SUM(O256,O242,O228,O214,O200,O186,O172,O158)</f>
        <v>5</v>
      </c>
      <c r="P270" s="535" t="n">
        <f aca="false">SUM(D270:O270)</f>
        <v>53</v>
      </c>
      <c r="Q270" s="535"/>
      <c r="S270" s="489" t="n">
        <f aca="false">M273</f>
        <v>29</v>
      </c>
      <c r="T270" s="490"/>
      <c r="U270" s="490"/>
      <c r="V270" s="489" t="n">
        <f aca="false">H273</f>
        <v>30</v>
      </c>
      <c r="X270" s="532" t="s">
        <v>161</v>
      </c>
      <c r="Y270" s="536" t="n">
        <f aca="false">SUM(Z270:AK270)</f>
        <v>53</v>
      </c>
      <c r="Z270" s="206" t="n">
        <f aca="false">SUM(Z256,Z242,Z228,Z214,Z200,Z186,Z172,Z158)</f>
        <v>4</v>
      </c>
      <c r="AA270" s="206" t="n">
        <f aca="false">SUM(AA256,AA242,AA228,AA214,AA200,AA186,AA172,AA158)</f>
        <v>2</v>
      </c>
      <c r="AB270" s="206" t="n">
        <f aca="false">SUM(AB256,AB242,AB228,AB214,AB200,AB186,AB172,AB158)</f>
        <v>5</v>
      </c>
      <c r="AC270" s="206" t="n">
        <f aca="false">SUM(AC256,AC242,AC228,AC214,AC200,AC186,AC172,AC158)</f>
        <v>3</v>
      </c>
      <c r="AD270" s="206" t="n">
        <f aca="false">SUM(AD256,AD242,AD228,AD214,AD200,AD186,AD172,AD158)</f>
        <v>6</v>
      </c>
      <c r="AE270" s="206" t="n">
        <f aca="false">SUM(AE256,AE242,AE228,AE214,AE200,AE186,AE172,AE158)</f>
        <v>7</v>
      </c>
      <c r="AF270" s="206" t="n">
        <f aca="false">SUM(AF256,AF242,AF228,AF214,AF200,AF186,AF172,AF158)</f>
        <v>1</v>
      </c>
      <c r="AG270" s="206" t="n">
        <f aca="false">SUM(AG256,AG242,AG228,AG214,AG200,AG186,AG172,AG158)</f>
        <v>3</v>
      </c>
      <c r="AH270" s="206" t="n">
        <f aca="false">SUM(AH256,AH242,AH228,AH214,AH200,AH186,AH172,AH158)</f>
        <v>5</v>
      </c>
      <c r="AI270" s="206" t="n">
        <f aca="false">SUM(AI256,AI242,AI228,AI214,AI200,AI186,AI172,AI158)</f>
        <v>6</v>
      </c>
      <c r="AJ270" s="206" t="n">
        <f aca="false">SUM(AJ256,AJ242,AJ228,AJ214,AJ200,AJ186,AJ172,AJ158)</f>
        <v>8</v>
      </c>
      <c r="AK270" s="206" t="n">
        <f aca="false">SUM(AK256,AK242,AK228,AK214,AK200,AK186,AK172,AK158)</f>
        <v>3</v>
      </c>
      <c r="AL270" s="475" t="n">
        <f aca="false">Z270</f>
        <v>4</v>
      </c>
      <c r="AM270" s="474" t="n">
        <f aca="false">AA270</f>
        <v>2</v>
      </c>
      <c r="AN270" s="474" t="n">
        <f aca="false">AB270</f>
        <v>5</v>
      </c>
      <c r="AO270" s="474" t="n">
        <f aca="false">AC270</f>
        <v>3</v>
      </c>
      <c r="AP270" s="474" t="n">
        <f aca="false">AD270</f>
        <v>6</v>
      </c>
      <c r="AQ270" s="474" t="n">
        <f aca="false">AE270</f>
        <v>7</v>
      </c>
      <c r="AR270" s="474" t="n">
        <f aca="false">AF270</f>
        <v>1</v>
      </c>
      <c r="AS270" s="474" t="n">
        <f aca="false">AG270</f>
        <v>3</v>
      </c>
      <c r="AT270" s="474" t="n">
        <f aca="false">AH270</f>
        <v>5</v>
      </c>
      <c r="AU270" s="474" t="n">
        <f aca="false">AI270</f>
        <v>6</v>
      </c>
      <c r="AV270" s="474" t="n">
        <f aca="false">AJ270</f>
        <v>8</v>
      </c>
      <c r="AW270" s="476" t="n">
        <f aca="false">AK270</f>
        <v>3</v>
      </c>
      <c r="AX270" s="474" t="str">
        <f aca="false">MIN($Y$158,$Y$172,$Y$186,$Y$200,$Y$214,$Y$228,$Y$242,$Y$256)&amp;"-"&amp;MAX($Y$158,$Y$172,$Y$186,$Y$200,$Y$214,$Y$228,$Y$242,$Y$256)</f>
        <v>4-8</v>
      </c>
    </row>
    <row r="271" customFormat="false" ht="15" hidden="false" customHeight="false" outlineLevel="0" collapsed="false">
      <c r="A271" s="488" t="str">
        <f aca="false">A270</f>
        <v>Sarva2</v>
      </c>
      <c r="B271" s="532" t="s">
        <v>159</v>
      </c>
      <c r="C271" s="533" t="n">
        <f aca="false">MoonHouse</f>
        <v>2</v>
      </c>
      <c r="D271" s="534" t="n">
        <f aca="false">SUM(D257,D243,D229,D215,D201,D187,D173,D159)</f>
        <v>2</v>
      </c>
      <c r="E271" s="534" t="n">
        <f aca="false">SUM(E257,E243,E229,E215,E201,E187,E173,E159)</f>
        <v>2</v>
      </c>
      <c r="F271" s="534" t="n">
        <f aca="false">SUM(F257,F243,F229,F215,F201,F187,F173,F159)</f>
        <v>3</v>
      </c>
      <c r="G271" s="534" t="n">
        <f aca="false">SUM(G257,G243,G229,G215,G201,G187,G173,G159)</f>
        <v>6</v>
      </c>
      <c r="H271" s="534" t="n">
        <f aca="false">SUM(H257,H243,H229,H215,H201,H187,H173,H159)</f>
        <v>2</v>
      </c>
      <c r="I271" s="534" t="n">
        <f aca="false">SUM(I257,I243,I229,I215,I201,I187,I173,I159)</f>
        <v>2</v>
      </c>
      <c r="J271" s="534" t="n">
        <f aca="false">SUM(J257,J243,J229,J215,J201,J187,J173,J159)</f>
        <v>6</v>
      </c>
      <c r="K271" s="534" t="n">
        <f aca="false">SUM(K257,K243,K229,K215,K201,K187,K173,K159)</f>
        <v>2</v>
      </c>
      <c r="L271" s="534" t="n">
        <f aca="false">SUM(L257,L243,L229,L215,L201,L187,L173,L159)</f>
        <v>2</v>
      </c>
      <c r="M271" s="534" t="n">
        <f aca="false">SUM(M257,M243,M229,M215,M201,M187,M173,M159)</f>
        <v>3</v>
      </c>
      <c r="N271" s="534" t="n">
        <f aca="false">SUM(N257,N243,N229,N215,N201,N187,N173,N159)</f>
        <v>4</v>
      </c>
      <c r="O271" s="534" t="n">
        <f aca="false">SUM(O257,O243,O229,O215,O201,O187,O173,O159)</f>
        <v>8</v>
      </c>
      <c r="P271" s="535" t="n">
        <f aca="false">SUM(D271:O271)</f>
        <v>42</v>
      </c>
      <c r="Q271" s="535"/>
      <c r="S271" s="489"/>
      <c r="T271" s="489"/>
      <c r="U271" s="490"/>
      <c r="V271" s="489"/>
      <c r="X271" s="532" t="s">
        <v>159</v>
      </c>
      <c r="Y271" s="536" t="n">
        <f aca="false">SUM(Z271:AK271)</f>
        <v>42</v>
      </c>
      <c r="Z271" s="206" t="n">
        <f aca="false">SUM(Z257,Z243,Z229,Z215,Z201,Z187,Z173,Z159)</f>
        <v>2</v>
      </c>
      <c r="AA271" s="206" t="n">
        <f aca="false">SUM(AA257,AA243,AA229,AA215,AA201,AA187,AA173,AA159)</f>
        <v>3</v>
      </c>
      <c r="AB271" s="206" t="n">
        <f aca="false">SUM(AB257,AB243,AB229,AB215,AB201,AB187,AB173,AB159)</f>
        <v>6</v>
      </c>
      <c r="AC271" s="206" t="n">
        <f aca="false">SUM(AC257,AC243,AC229,AC215,AC201,AC187,AC173,AC159)</f>
        <v>2</v>
      </c>
      <c r="AD271" s="206" t="n">
        <f aca="false">SUM(AD257,AD243,AD229,AD215,AD201,AD187,AD173,AD159)</f>
        <v>2</v>
      </c>
      <c r="AE271" s="206" t="n">
        <f aca="false">SUM(AE257,AE243,AE229,AE215,AE201,AE187,AE173,AE159)</f>
        <v>6</v>
      </c>
      <c r="AF271" s="206" t="n">
        <f aca="false">SUM(AF257,AF243,AF229,AF215,AF201,AF187,AF173,AF159)</f>
        <v>2</v>
      </c>
      <c r="AG271" s="206" t="n">
        <f aca="false">SUM(AG257,AG243,AG229,AG215,AG201,AG187,AG173,AG159)</f>
        <v>2</v>
      </c>
      <c r="AH271" s="206" t="n">
        <f aca="false">SUM(AH257,AH243,AH229,AH215,AH201,AH187,AH173,AH159)</f>
        <v>3</v>
      </c>
      <c r="AI271" s="206" t="n">
        <f aca="false">SUM(AI257,AI243,AI229,AI215,AI201,AI187,AI173,AI159)</f>
        <v>4</v>
      </c>
      <c r="AJ271" s="206" t="n">
        <f aca="false">SUM(AJ257,AJ243,AJ229,AJ215,AJ201,AJ187,AJ173,AJ159)</f>
        <v>8</v>
      </c>
      <c r="AK271" s="206" t="n">
        <f aca="false">SUM(AK257,AK243,AK229,AK215,AK201,AK187,AK173,AK159)</f>
        <v>2</v>
      </c>
      <c r="AL271" s="475" t="n">
        <f aca="false">Z271</f>
        <v>2</v>
      </c>
      <c r="AM271" s="474" t="n">
        <f aca="false">AA271</f>
        <v>3</v>
      </c>
      <c r="AN271" s="474" t="n">
        <f aca="false">AB271</f>
        <v>6</v>
      </c>
      <c r="AO271" s="474" t="n">
        <f aca="false">AC271</f>
        <v>2</v>
      </c>
      <c r="AP271" s="474" t="n">
        <f aca="false">AD271</f>
        <v>2</v>
      </c>
      <c r="AQ271" s="474" t="n">
        <f aca="false">AE271</f>
        <v>6</v>
      </c>
      <c r="AR271" s="474" t="n">
        <f aca="false">AF271</f>
        <v>2</v>
      </c>
      <c r="AS271" s="474" t="n">
        <f aca="false">AG271</f>
        <v>2</v>
      </c>
      <c r="AT271" s="474" t="n">
        <f aca="false">AH271</f>
        <v>3</v>
      </c>
      <c r="AU271" s="474" t="n">
        <f aca="false">AI271</f>
        <v>4</v>
      </c>
      <c r="AV271" s="474" t="n">
        <f aca="false">AJ271</f>
        <v>8</v>
      </c>
      <c r="AW271" s="476" t="n">
        <f aca="false">AK271</f>
        <v>2</v>
      </c>
      <c r="AX271" s="474" t="str">
        <f aca="false">MIN($Y$159,$Y$173,$Y$187,$Y$201,$Y$215,$Y$229,$Y$243,$Y$257)&amp;"-"&amp;MAX($Y$159,$Y$173,$Y$187,$Y$201,$Y$215,$Y$229,$Y$243,$Y$257)</f>
        <v>3-9</v>
      </c>
    </row>
    <row r="272" customFormat="false" ht="15" hidden="false" customHeight="false" outlineLevel="0" collapsed="false">
      <c r="A272" s="488" t="str">
        <f aca="false">A271</f>
        <v>Sarva2</v>
      </c>
      <c r="B272" s="532" t="s">
        <v>319</v>
      </c>
      <c r="C272" s="533" t="n">
        <f aca="false">Lagnahouse</f>
        <v>5</v>
      </c>
      <c r="D272" s="534" t="n">
        <f aca="false">SUM(D258,D244,D230,D216,D202,D188,D174,D160)</f>
        <v>2</v>
      </c>
      <c r="E272" s="534" t="n">
        <f aca="false">SUM(E258,E244,E230,E216,E202,E188,E174,E160)</f>
        <v>7</v>
      </c>
      <c r="F272" s="534" t="n">
        <f aca="false">SUM(F258,F244,F230,F216,F202,F188,F174,F160)</f>
        <v>8</v>
      </c>
      <c r="G272" s="534" t="n">
        <f aca="false">SUM(G258,G244,G230,G216,G202,G188,G174,G160)</f>
        <v>1</v>
      </c>
      <c r="H272" s="534" t="n">
        <f aca="false">SUM(H258,H244,H230,H216,H202,H188,H174,H160)</f>
        <v>5</v>
      </c>
      <c r="I272" s="534" t="n">
        <f aca="false">SUM(I258,I244,I230,I216,I202,I188,I174,I160)</f>
        <v>3</v>
      </c>
      <c r="J272" s="534" t="n">
        <f aca="false">SUM(J258,J244,J230,J216,J202,J188,J174,J160)</f>
        <v>6</v>
      </c>
      <c r="K272" s="534" t="n">
        <f aca="false">SUM(K258,K244,K230,K216,K202,K188,K174,K160)</f>
        <v>5</v>
      </c>
      <c r="L272" s="534" t="n">
        <f aca="false">SUM(L258,L244,L230,L216,L202,L188,L174,L160)</f>
        <v>2</v>
      </c>
      <c r="M272" s="534" t="n">
        <f aca="false">SUM(M258,M244,M230,M216,M202,M188,M174,M160)</f>
        <v>7</v>
      </c>
      <c r="N272" s="534" t="n">
        <f aca="false">SUM(N258,N244,N230,N216,N202,N188,N174,N160)</f>
        <v>1</v>
      </c>
      <c r="O272" s="534" t="n">
        <f aca="false">SUM(O258,O244,O230,O216,O202,O188,O174,O160)</f>
        <v>2</v>
      </c>
      <c r="P272" s="535" t="n">
        <f aca="false">SUM(D272:O272)</f>
        <v>49</v>
      </c>
      <c r="Q272" s="535"/>
      <c r="S272" s="489"/>
      <c r="T272" s="489"/>
      <c r="U272" s="490"/>
      <c r="V272" s="489"/>
      <c r="X272" s="532" t="s">
        <v>319</v>
      </c>
      <c r="Y272" s="536" t="n">
        <f aca="false">SUM(Z272:AK272)</f>
        <v>49</v>
      </c>
      <c r="Z272" s="206" t="n">
        <f aca="false">SUM(Z258,Z244,Z230,Z216,Z202,Z188,Z174,Z160)</f>
        <v>5</v>
      </c>
      <c r="AA272" s="206" t="n">
        <f aca="false">SUM(AA258,AA244,AA230,AA216,AA202,AA188,AA174,AA160)</f>
        <v>3</v>
      </c>
      <c r="AB272" s="206" t="n">
        <f aca="false">SUM(AB258,AB244,AB230,AB216,AB202,AB188,AB174,AB160)</f>
        <v>6</v>
      </c>
      <c r="AC272" s="206" t="n">
        <f aca="false">SUM(AC258,AC244,AC230,AC216,AC202,AC188,AC174,AC160)</f>
        <v>5</v>
      </c>
      <c r="AD272" s="206" t="n">
        <f aca="false">SUM(AD258,AD244,AD230,AD216,AD202,AD188,AD174,AD160)</f>
        <v>2</v>
      </c>
      <c r="AE272" s="206" t="n">
        <f aca="false">SUM(AE258,AE244,AE230,AE216,AE202,AE188,AE174,AE160)</f>
        <v>7</v>
      </c>
      <c r="AF272" s="206" t="n">
        <f aca="false">SUM(AF258,AF244,AF230,AF216,AF202,AF188,AF174,AF160)</f>
        <v>1</v>
      </c>
      <c r="AG272" s="206" t="n">
        <f aca="false">SUM(AG258,AG244,AG230,AG216,AG202,AG188,AG174,AG160)</f>
        <v>2</v>
      </c>
      <c r="AH272" s="206" t="n">
        <f aca="false">SUM(AH258,AH244,AH230,AH216,AH202,AH188,AH174,AH160)</f>
        <v>2</v>
      </c>
      <c r="AI272" s="206" t="n">
        <f aca="false">SUM(AI258,AI244,AI230,AI216,AI202,AI188,AI174,AI160)</f>
        <v>7</v>
      </c>
      <c r="AJ272" s="206" t="n">
        <f aca="false">SUM(AJ258,AJ244,AJ230,AJ216,AJ202,AJ188,AJ174,AJ160)</f>
        <v>8</v>
      </c>
      <c r="AK272" s="206" t="n">
        <f aca="false">SUM(AK258,AK244,AK230,AK216,AK202,AK188,AK174,AK160)</f>
        <v>1</v>
      </c>
      <c r="AL272" s="475" t="n">
        <f aca="false">Z272</f>
        <v>5</v>
      </c>
      <c r="AM272" s="474" t="n">
        <f aca="false">AA272</f>
        <v>3</v>
      </c>
      <c r="AN272" s="474" t="n">
        <f aca="false">AB272</f>
        <v>6</v>
      </c>
      <c r="AO272" s="474" t="n">
        <f aca="false">AC272</f>
        <v>5</v>
      </c>
      <c r="AP272" s="474" t="n">
        <f aca="false">AD272</f>
        <v>2</v>
      </c>
      <c r="AQ272" s="474" t="n">
        <f aca="false">AE272</f>
        <v>7</v>
      </c>
      <c r="AR272" s="474" t="n">
        <f aca="false">AF272</f>
        <v>1</v>
      </c>
      <c r="AS272" s="474" t="n">
        <f aca="false">AG272</f>
        <v>2</v>
      </c>
      <c r="AT272" s="474" t="n">
        <f aca="false">AH272</f>
        <v>2</v>
      </c>
      <c r="AU272" s="474" t="n">
        <f aca="false">AI272</f>
        <v>7</v>
      </c>
      <c r="AV272" s="474" t="n">
        <f aca="false">AJ272</f>
        <v>8</v>
      </c>
      <c r="AW272" s="476" t="n">
        <f aca="false">AK272</f>
        <v>1</v>
      </c>
      <c r="AX272" s="474" t="str">
        <f aca="false">MIN($Y$160,$Y$174,$Y$188,$Y$202,$Y$216,$Y$230,$Y$244,$Y$258)&amp;"-"&amp;MAX($Y$160,$Y$174,$Y$188,$Y$202,$Y$216,$Y$230,$Y$244,$Y$258)</f>
        <v>4-9</v>
      </c>
    </row>
    <row r="273" customFormat="false" ht="15" hidden="false" customHeight="false" outlineLevel="0" collapsed="false">
      <c r="A273" s="488" t="str">
        <f aca="false">A272</f>
        <v>Sarva2</v>
      </c>
      <c r="B273" s="539" t="s">
        <v>751</v>
      </c>
      <c r="C273" s="540"/>
      <c r="D273" s="534" t="n">
        <f aca="false">SUM(D259,D245,D231,D217,D203,D189,D175,D161)</f>
        <v>33</v>
      </c>
      <c r="E273" s="534" t="n">
        <f aca="false">SUM(E259,E245,E231,E217,E203,E189,E175,E161)</f>
        <v>37</v>
      </c>
      <c r="F273" s="534" t="n">
        <f aca="false">SUM(F259,F245,F231,F217,F203,F189,F175,F161)</f>
        <v>30</v>
      </c>
      <c r="G273" s="534" t="n">
        <f aca="false">SUM(G259,G245,G231,G217,G203,G189,G175,G161)</f>
        <v>30</v>
      </c>
      <c r="H273" s="534" t="n">
        <f aca="false">SUM(H259,H245,H231,H217,H203,H189,H175,H161)</f>
        <v>30</v>
      </c>
      <c r="I273" s="534" t="n">
        <f aca="false">SUM(I259,I245,I231,I217,I203,I189,I175,I161)</f>
        <v>33</v>
      </c>
      <c r="J273" s="534" t="n">
        <f aca="false">SUM(J259,J245,J231,J217,J203,J189,J175,J161)</f>
        <v>38</v>
      </c>
      <c r="K273" s="534" t="n">
        <f aca="false">SUM(K259,K245,K231,K217,K203,K189,K175,K161)</f>
        <v>33</v>
      </c>
      <c r="L273" s="534" t="n">
        <f aca="false">SUM(L259,L245,L231,L217,L203,L189,L175,L161)</f>
        <v>26</v>
      </c>
      <c r="M273" s="534" t="n">
        <f aca="false">SUM(M259,M245,M231,M217,M203,M189,M175,M161)</f>
        <v>29</v>
      </c>
      <c r="N273" s="534" t="n">
        <f aca="false">SUM(N259,N245,N231,N217,N203,N189,N175,N161)</f>
        <v>31</v>
      </c>
      <c r="O273" s="534" t="n">
        <f aca="false">SUM(O259,O245,O231,O217,O203,O189,O175,O161)</f>
        <v>36</v>
      </c>
      <c r="P273" s="541" t="n">
        <f aca="false">SUM(D273:O273)</f>
        <v>386</v>
      </c>
      <c r="Q273" s="541"/>
      <c r="S273" s="489" t="n">
        <f aca="false">L273</f>
        <v>26</v>
      </c>
      <c r="T273" s="489" t="n">
        <f aca="false">K273</f>
        <v>33</v>
      </c>
      <c r="U273" s="489" t="n">
        <f aca="false">J273</f>
        <v>38</v>
      </c>
      <c r="V273" s="489" t="n">
        <f aca="false">I273</f>
        <v>33</v>
      </c>
      <c r="AW273" s="476" t="n">
        <f aca="false">SUM(AW265:AW272)</f>
        <v>18</v>
      </c>
    </row>
    <row r="274" customFormat="false" ht="15" hidden="false" customHeight="false" outlineLevel="0" collapsed="false">
      <c r="A274" s="488" t="str">
        <f aca="false">A273</f>
        <v>Sarva2</v>
      </c>
      <c r="B274" s="474" t="s">
        <v>785</v>
      </c>
      <c r="D274" s="510" t="n">
        <f aca="false">D273-MIN(D273,H273,L273)</f>
        <v>7</v>
      </c>
      <c r="E274" s="503" t="n">
        <f aca="false">E273-MIN(E273,I273,M273)</f>
        <v>8</v>
      </c>
      <c r="F274" s="504" t="n">
        <f aca="false">F273-MIN(F273,J273,N273)</f>
        <v>0</v>
      </c>
      <c r="G274" s="511" t="n">
        <f aca="false">G273-MIN(G273,K273,O273)</f>
        <v>0</v>
      </c>
      <c r="H274" s="510" t="n">
        <f aca="false">H273-MIN(D273,H273,L273)</f>
        <v>4</v>
      </c>
      <c r="I274" s="503" t="n">
        <f aca="false">I273-MIN(E273,I273,M273)</f>
        <v>4</v>
      </c>
      <c r="J274" s="504" t="n">
        <f aca="false">J273-MIN(F273,J273,N273)</f>
        <v>8</v>
      </c>
      <c r="K274" s="511" t="n">
        <f aca="false">K273-MIN(G273,K273,O273)</f>
        <v>3</v>
      </c>
      <c r="L274" s="510" t="n">
        <f aca="false">L273-MIN(D273,H273,L273)</f>
        <v>0</v>
      </c>
      <c r="M274" s="503" t="n">
        <f aca="false">M273-MIN(E273,I273,M273)</f>
        <v>0</v>
      </c>
      <c r="N274" s="504" t="n">
        <f aca="false">N273-MIN(F273,J273,N273)</f>
        <v>1</v>
      </c>
      <c r="O274" s="511" t="n">
        <f aca="false">O273-MIN(G273,K273,O273)</f>
        <v>6</v>
      </c>
      <c r="S274" s="489"/>
      <c r="T274" s="489"/>
      <c r="U274" s="489"/>
      <c r="V274" s="489"/>
    </row>
    <row r="275" customFormat="false" ht="15" hidden="false" customHeight="false" outlineLevel="0" collapsed="false">
      <c r="A275" s="488" t="str">
        <f aca="false">A274</f>
        <v>Sarva2</v>
      </c>
      <c r="B275" s="474" t="s">
        <v>786</v>
      </c>
      <c r="C275" s="206"/>
      <c r="D275" s="474" t="n">
        <f aca="false">IF(OR(D$27,$D274=0,$K274=0),D274,MIN($D274,$K274))</f>
        <v>3</v>
      </c>
      <c r="E275" s="474" t="n">
        <f aca="false">IF(OR(E$27,$E274=0,$J274=0),E274,MIN($E274,$J274))</f>
        <v>8</v>
      </c>
      <c r="F275" s="474" t="n">
        <f aca="false">IF(OR(F$27,F274=0,K274=0),F274,MIN(F274,K274))</f>
        <v>0</v>
      </c>
      <c r="G275" s="474" t="n">
        <f aca="false">G274</f>
        <v>0</v>
      </c>
      <c r="H275" s="474" t="n">
        <f aca="false">H274</f>
        <v>4</v>
      </c>
      <c r="I275" s="474" t="n">
        <f aca="false">IF(OR(I$27,I274=0,N274=0),I274,MIN(I274,N274))</f>
        <v>1</v>
      </c>
      <c r="J275" s="474" t="n">
        <f aca="false">IF(OR(J$27,$E274=0,$J274=0),J274,MIN($E274,$J274))</f>
        <v>8</v>
      </c>
      <c r="K275" s="474" t="n">
        <f aca="false">IF(OR(K$27,$D274=0,$K274=0),K274,MIN($D274,$K274))</f>
        <v>3</v>
      </c>
      <c r="L275" s="474" t="n">
        <f aca="false">IF(OR(L$27,L274=0,Q274=0),L274,MIN(L274,Q274))</f>
        <v>0</v>
      </c>
      <c r="M275" s="474" t="n">
        <f aca="false">IF(OR(M$27,M274=0,R274=0),M274,MIN(M274,R274))</f>
        <v>0</v>
      </c>
      <c r="N275" s="474" t="n">
        <f aca="false">IF(OR(N$27,N274=0,S274=0),N274,MIN(N274,S274))</f>
        <v>1</v>
      </c>
      <c r="O275" s="474" t="n">
        <f aca="false">IF(OR(O$27,O274=0,T274=0),O274,MIN(O274,T274))</f>
        <v>6</v>
      </c>
      <c r="S275" s="489"/>
      <c r="T275" s="489"/>
      <c r="U275" s="489"/>
      <c r="V275" s="489"/>
    </row>
    <row r="276" customFormat="false" ht="15" hidden="false" customHeight="false" outlineLevel="0" collapsed="false">
      <c r="A276" s="488" t="str">
        <f aca="false">A275</f>
        <v>Sarva2</v>
      </c>
      <c r="B276" s="474" t="s">
        <v>752</v>
      </c>
      <c r="C276" s="491"/>
      <c r="D276" s="474" t="n">
        <f aca="false">SUM(D265:D271)</f>
        <v>31</v>
      </c>
      <c r="E276" s="474" t="n">
        <f aca="false">SUM(E265:E271)</f>
        <v>30</v>
      </c>
      <c r="F276" s="474" t="n">
        <f aca="false">SUM(F265:F271)</f>
        <v>22</v>
      </c>
      <c r="G276" s="474" t="n">
        <f aca="false">SUM(G265:G271)</f>
        <v>29</v>
      </c>
      <c r="H276" s="474" t="n">
        <f aca="false">SUM(H265:H271)</f>
        <v>25</v>
      </c>
      <c r="I276" s="474" t="n">
        <f aca="false">SUM(I265:I271)</f>
        <v>30</v>
      </c>
      <c r="J276" s="474" t="n">
        <f aca="false">SUM(J265:J271)</f>
        <v>32</v>
      </c>
      <c r="K276" s="474" t="n">
        <f aca="false">SUM(K265:K271)</f>
        <v>28</v>
      </c>
      <c r="L276" s="474" t="n">
        <f aca="false">SUM(L265:L271)</f>
        <v>24</v>
      </c>
      <c r="M276" s="474" t="n">
        <f aca="false">SUM(M265:M271)</f>
        <v>22</v>
      </c>
      <c r="N276" s="474" t="n">
        <f aca="false">SUM(N265:N271)</f>
        <v>30</v>
      </c>
      <c r="O276" s="474" t="n">
        <f aca="false">SUM(O265:O271)</f>
        <v>34</v>
      </c>
      <c r="P276" s="474" t="n">
        <f aca="false">SUM(P265:P271)</f>
        <v>337</v>
      </c>
      <c r="Q276" s="474"/>
      <c r="S276" s="495"/>
      <c r="T276" s="495"/>
      <c r="U276" s="495"/>
      <c r="V276" s="495"/>
    </row>
    <row r="277" customFormat="false" ht="15" hidden="false" customHeight="false" outlineLevel="0" collapsed="false">
      <c r="A277" s="488" t="str">
        <f aca="false">A276</f>
        <v>Sarva2</v>
      </c>
      <c r="B277" s="474" t="s">
        <v>785</v>
      </c>
      <c r="D277" s="510" t="n">
        <f aca="false">D276-MIN(D276,H276,L276)</f>
        <v>7</v>
      </c>
      <c r="E277" s="503" t="n">
        <f aca="false">E276-MIN(E276,I276,M276)</f>
        <v>8</v>
      </c>
      <c r="F277" s="504" t="n">
        <f aca="false">F276-MIN(F276,J276,N276)</f>
        <v>0</v>
      </c>
      <c r="G277" s="511" t="n">
        <f aca="false">G276-MIN(G276,K276,O276)</f>
        <v>1</v>
      </c>
      <c r="H277" s="510" t="n">
        <f aca="false">H276-MIN(D276,H276,L276)</f>
        <v>1</v>
      </c>
      <c r="I277" s="503" t="n">
        <f aca="false">I276-MIN(E276,I276,M276)</f>
        <v>8</v>
      </c>
      <c r="J277" s="504" t="n">
        <f aca="false">J276-MIN(F276,J276,N276)</f>
        <v>10</v>
      </c>
      <c r="K277" s="511" t="n">
        <f aca="false">K276-MIN(G276,K276,O276)</f>
        <v>0</v>
      </c>
      <c r="L277" s="510" t="n">
        <f aca="false">L276-MIN(D276,H276,L276)</f>
        <v>0</v>
      </c>
      <c r="M277" s="503" t="n">
        <f aca="false">M276-MIN(E276,I276,M276)</f>
        <v>0</v>
      </c>
      <c r="N277" s="504" t="n">
        <f aca="false">N276-MIN(F276,J276,N276)</f>
        <v>8</v>
      </c>
      <c r="O277" s="511" t="n">
        <f aca="false">O276-MIN(G276,K276,O276)</f>
        <v>6</v>
      </c>
      <c r="S277" s="495"/>
      <c r="T277" s="495"/>
      <c r="U277" s="495"/>
      <c r="V277" s="495"/>
    </row>
    <row r="278" customFormat="false" ht="15" hidden="false" customHeight="false" outlineLevel="0" collapsed="false">
      <c r="A278" s="488" t="str">
        <f aca="false">A277</f>
        <v>Sarva2</v>
      </c>
      <c r="B278" s="474" t="s">
        <v>786</v>
      </c>
      <c r="D278" s="474" t="n">
        <f aca="false">IF(OR(D$27,$D277=0,$K277=0),D277,MIN($D277,$K277))</f>
        <v>7</v>
      </c>
      <c r="E278" s="474" t="n">
        <f aca="false">IF(OR(E$27,$E277=0,$J277=0),E277,MIN($E277,$J277))</f>
        <v>8</v>
      </c>
      <c r="F278" s="474" t="n">
        <f aca="false">IF(OR(F$27,F277=0,K277=0),F277,MIN(F277,K277))</f>
        <v>0</v>
      </c>
      <c r="G278" s="474" t="n">
        <f aca="false">G277</f>
        <v>1</v>
      </c>
      <c r="H278" s="474" t="n">
        <f aca="false">H277</f>
        <v>1</v>
      </c>
      <c r="I278" s="474" t="n">
        <f aca="false">IF(OR(I$27,I277=0,N277=0),I277,MIN(I277,N277))</f>
        <v>8</v>
      </c>
      <c r="J278" s="474" t="n">
        <f aca="false">IF(OR(J$27,$E277=0,$J277=0),J277,MIN($E277,$J277))</f>
        <v>8</v>
      </c>
      <c r="K278" s="474" t="n">
        <f aca="false">IF(OR(K$27,$D277=0,$K277=0),K277,MIN($D277,$K277))</f>
        <v>0</v>
      </c>
      <c r="L278" s="474" t="n">
        <f aca="false">IF(OR(L$27,L277=0,Q277=0),L277,MIN(L277,Q277))</f>
        <v>0</v>
      </c>
      <c r="M278" s="474" t="n">
        <f aca="false">IF(OR(M$27,M277=0,R277=0),M277,MIN(M277,R277))</f>
        <v>0</v>
      </c>
      <c r="N278" s="474" t="n">
        <f aca="false">IF(OR(N$27,N277=0,S277=0),N277,MIN(N277,S277))</f>
        <v>8</v>
      </c>
      <c r="O278" s="474" t="n">
        <f aca="false">IF(OR(O$27,O277=0,T277=0),O277,MIN(O277,T277))</f>
        <v>6</v>
      </c>
      <c r="S278" s="495"/>
      <c r="T278" s="495"/>
      <c r="U278" s="495"/>
      <c r="V278" s="495"/>
    </row>
    <row r="279" customFormat="false" ht="15" hidden="false" customHeight="false" outlineLevel="0" collapsed="false">
      <c r="A279" s="488" t="str">
        <f aca="false">A278</f>
        <v>Sarva2</v>
      </c>
      <c r="B279" s="474" t="s">
        <v>753</v>
      </c>
      <c r="C279" s="491"/>
      <c r="D279" s="474" t="n">
        <f aca="false">IF(ISNA(MATCH(D264,$C265:$C271,0)),0,1)</f>
        <v>0</v>
      </c>
      <c r="E279" s="474" t="n">
        <f aca="false">IF(ISNA(MATCH(E264,$C265:$C271,0)),0,1)</f>
        <v>1</v>
      </c>
      <c r="F279" s="474" t="n">
        <f aca="false">IF(ISNA(MATCH(F264,$C265:$C271,0)),0,1)</f>
        <v>1</v>
      </c>
      <c r="G279" s="474" t="n">
        <f aca="false">IF(ISNA(MATCH(G264,$C265:$C271,0)),0,1)</f>
        <v>1</v>
      </c>
      <c r="H279" s="474" t="n">
        <f aca="false">IF(ISNA(MATCH(H264,$C265:$C271,0)),0,1)</f>
        <v>0</v>
      </c>
      <c r="I279" s="474" t="n">
        <f aca="false">IF(ISNA(MATCH(I264,$C265:$C271,0)),0,1)</f>
        <v>0</v>
      </c>
      <c r="J279" s="474" t="n">
        <f aca="false">IF(ISNA(MATCH(J264,$C265:$C271,0)),0,1)</f>
        <v>0</v>
      </c>
      <c r="K279" s="474" t="n">
        <f aca="false">IF(ISNA(MATCH(K264,$C265:$C271,0)),0,1)</f>
        <v>1</v>
      </c>
      <c r="L279" s="474" t="n">
        <f aca="false">IF(ISNA(MATCH(L264,$C265:$C271,0)),0,1)</f>
        <v>0</v>
      </c>
      <c r="M279" s="474" t="n">
        <f aca="false">IF(ISNA(MATCH(M264,$C265:$C271,0)),0,1)</f>
        <v>1</v>
      </c>
      <c r="N279" s="474" t="n">
        <f aca="false">IF(ISNA(MATCH(N264,$C265:$C271,0)),0,1)</f>
        <v>0</v>
      </c>
      <c r="O279" s="474" t="n">
        <f aca="false">IF(ISNA(MATCH(O264,$C265:$C271,0)),0,1)</f>
        <v>0</v>
      </c>
      <c r="S279" s="495"/>
      <c r="T279" s="495"/>
      <c r="U279" s="495"/>
      <c r="V279" s="495"/>
    </row>
    <row r="280" customFormat="false" ht="15" hidden="false" customHeight="false" outlineLevel="0" collapsed="false">
      <c r="A280" s="488" t="str">
        <f aca="false">A275</f>
        <v>Sarva2</v>
      </c>
      <c r="B280" s="474" t="s">
        <v>776</v>
      </c>
    </row>
    <row r="281" customFormat="false" ht="15" hidden="false" customHeight="false" outlineLevel="0" collapsed="false">
      <c r="A281" s="477"/>
    </row>
    <row r="285" customFormat="false" ht="15" hidden="false" customHeight="false" outlineLevel="0" collapsed="false">
      <c r="A285" s="488" t="str">
        <f aca="false">B285</f>
        <v>Rahu</v>
      </c>
      <c r="B285" s="523" t="str">
        <f aca="false">X285</f>
        <v>Rahu</v>
      </c>
      <c r="C285" s="523"/>
      <c r="D285" s="474" t="n">
        <f aca="true">INDIRECT(B285&amp;"house")</f>
        <v>10</v>
      </c>
      <c r="S285" s="495"/>
      <c r="T285" s="495"/>
      <c r="U285" s="495"/>
      <c r="V285" s="495"/>
      <c r="X285" s="193" t="s">
        <v>165</v>
      </c>
      <c r="Z285" s="523" t="str">
        <f aca="false">$Z$83 &amp;  X285</f>
        <v>From Graha Good and Bad Transit of Rahu</v>
      </c>
      <c r="AA285" s="523"/>
      <c r="AB285" s="523"/>
      <c r="AC285" s="523"/>
      <c r="AD285" s="523"/>
      <c r="AE285" s="523"/>
      <c r="AF285" s="523"/>
      <c r="AG285" s="523"/>
      <c r="AH285" s="523"/>
      <c r="AI285" s="523"/>
      <c r="AJ285" s="523"/>
      <c r="AK285" s="523"/>
      <c r="AL285" s="523"/>
      <c r="AM285" s="523"/>
      <c r="AN285" s="523"/>
      <c r="AO285" s="523"/>
      <c r="AP285" s="523"/>
      <c r="AQ285" s="523"/>
      <c r="AR285" s="523"/>
      <c r="AS285" s="523"/>
      <c r="AT285" s="523"/>
      <c r="AU285" s="523"/>
      <c r="AV285" s="523"/>
      <c r="AW285" s="523"/>
    </row>
    <row r="286" customFormat="false" ht="15" hidden="false" customHeight="false" outlineLevel="0" collapsed="false">
      <c r="A286" s="488" t="str">
        <f aca="false">A285&amp;"-"&amp;B286</f>
        <v>Rahu-</v>
      </c>
      <c r="B286" s="524"/>
      <c r="C286" s="525" t="s">
        <v>746</v>
      </c>
      <c r="D286" s="526" t="n">
        <v>1</v>
      </c>
      <c r="E286" s="526" t="n">
        <v>2</v>
      </c>
      <c r="F286" s="526" t="n">
        <v>3</v>
      </c>
      <c r="G286" s="526" t="n">
        <v>4</v>
      </c>
      <c r="H286" s="526" t="n">
        <v>5</v>
      </c>
      <c r="I286" s="526" t="n">
        <v>6</v>
      </c>
      <c r="J286" s="526" t="n">
        <v>7</v>
      </c>
      <c r="K286" s="526" t="n">
        <v>8</v>
      </c>
      <c r="L286" s="526" t="n">
        <v>9</v>
      </c>
      <c r="M286" s="526" t="n">
        <v>10</v>
      </c>
      <c r="N286" s="526" t="n">
        <v>11</v>
      </c>
      <c r="O286" s="526" t="n">
        <v>12</v>
      </c>
      <c r="P286" s="527"/>
      <c r="Q286" s="527"/>
      <c r="S286" s="489" t="n">
        <f aca="false">O295</f>
        <v>2</v>
      </c>
      <c r="T286" s="489" t="n">
        <f aca="false">D295</f>
        <v>5</v>
      </c>
      <c r="U286" s="489" t="n">
        <f aca="false">E295</f>
        <v>3</v>
      </c>
      <c r="V286" s="489" t="n">
        <f aca="false">F295</f>
        <v>2</v>
      </c>
      <c r="X286" s="525" t="s">
        <v>778</v>
      </c>
      <c r="Y286" s="528" t="s">
        <v>779</v>
      </c>
      <c r="Z286" s="554" t="n">
        <v>1</v>
      </c>
      <c r="AA286" s="555" t="n">
        <v>2</v>
      </c>
      <c r="AB286" s="555" t="n">
        <v>3</v>
      </c>
      <c r="AC286" s="555" t="n">
        <v>4</v>
      </c>
      <c r="AD286" s="555" t="n">
        <v>5</v>
      </c>
      <c r="AE286" s="555" t="n">
        <v>6</v>
      </c>
      <c r="AF286" s="555" t="n">
        <v>7</v>
      </c>
      <c r="AG286" s="555" t="n">
        <v>8</v>
      </c>
      <c r="AH286" s="555" t="n">
        <v>9</v>
      </c>
      <c r="AI286" s="555" t="n">
        <v>10</v>
      </c>
      <c r="AJ286" s="555" t="n">
        <v>11</v>
      </c>
      <c r="AK286" s="555" t="n">
        <v>12</v>
      </c>
      <c r="AL286" s="530" t="n">
        <v>1</v>
      </c>
      <c r="AM286" s="526" t="n">
        <v>2</v>
      </c>
      <c r="AN286" s="526" t="n">
        <v>3</v>
      </c>
      <c r="AO286" s="526" t="n">
        <v>4</v>
      </c>
      <c r="AP286" s="526" t="n">
        <v>5</v>
      </c>
      <c r="AQ286" s="526" t="n">
        <v>6</v>
      </c>
      <c r="AR286" s="526" t="n">
        <v>7</v>
      </c>
      <c r="AS286" s="526" t="n">
        <v>8</v>
      </c>
      <c r="AT286" s="526" t="n">
        <v>9</v>
      </c>
      <c r="AU286" s="526" t="n">
        <v>10</v>
      </c>
      <c r="AV286" s="526" t="n">
        <v>11</v>
      </c>
      <c r="AW286" s="531" t="n">
        <v>12</v>
      </c>
    </row>
    <row r="287" customFormat="false" ht="15" hidden="false" customHeight="false" outlineLevel="0" collapsed="false">
      <c r="A287" s="488" t="str">
        <f aca="false">A285&amp;"-"&amp;B287</f>
        <v>Rahu-Saturn</v>
      </c>
      <c r="B287" s="532" t="s">
        <v>164</v>
      </c>
      <c r="C287" s="533" t="n">
        <f aca="false">SaturnHouse</f>
        <v>2</v>
      </c>
      <c r="D287" s="556" t="n">
        <f aca="false">INDEX($Z287:$AW287,,12+D$152-$Q287+1)</f>
        <v>1</v>
      </c>
      <c r="E287" s="534" t="str">
        <f aca="false">INDEX($Z287:$AW287,,12+E$152-$Q287+1)</f>
        <v>*</v>
      </c>
      <c r="F287" s="534" t="str">
        <f aca="false">INDEX($Z287:$AW287,,12+F$152-$Q287+1)</f>
        <v>*</v>
      </c>
      <c r="G287" s="534" t="n">
        <f aca="false">INDEX($Z287:$AW287,,12+G$152-$Q287+1)</f>
        <v>1</v>
      </c>
      <c r="H287" s="534" t="str">
        <f aca="false">INDEX($Z287:$AW287,,12+H$152-$Q287+1)</f>
        <v>*</v>
      </c>
      <c r="I287" s="534" t="n">
        <f aca="false">INDEX($Z287:$AW287,,12+I$152-$Q287+1)</f>
        <v>1</v>
      </c>
      <c r="J287" s="534" t="str">
        <f aca="false">INDEX($Z287:$AW287,,12+J$152-$Q287+1)</f>
        <v>*</v>
      </c>
      <c r="K287" s="534" t="n">
        <f aca="false">INDEX($Z287:$AW287,,12+K$152-$Q287+1)</f>
        <v>1</v>
      </c>
      <c r="L287" s="534" t="str">
        <f aca="false">INDEX($Z287:$AW287,,12+L$152-$Q287+1)</f>
        <v>*</v>
      </c>
      <c r="M287" s="534" t="str">
        <f aca="false">INDEX($Z287:$AW287,,12+M$152-$Q287+1)</f>
        <v>*</v>
      </c>
      <c r="N287" s="534" t="n">
        <f aca="false">INDEX($Z287:$AW287,,12+N$152-$Q287+1)</f>
        <v>1</v>
      </c>
      <c r="O287" s="534" t="n">
        <f aca="false">INDEX($Z287:$AW287,,12+O$152-$Q287+1)</f>
        <v>1</v>
      </c>
      <c r="P287" s="535" t="n">
        <f aca="false">SUM(D287:O287)</f>
        <v>6</v>
      </c>
      <c r="Q287" s="533" t="n">
        <f aca="false">IF($Y$82,D285,C287)</f>
        <v>2</v>
      </c>
      <c r="S287" s="489"/>
      <c r="T287" s="489"/>
      <c r="U287" s="489"/>
      <c r="V287" s="489"/>
      <c r="X287" s="532" t="s">
        <v>164</v>
      </c>
      <c r="Y287" s="557" t="n">
        <f aca="false">SUM(Z287:AK287)</f>
        <v>6</v>
      </c>
      <c r="Z287" s="558" t="s">
        <v>181</v>
      </c>
      <c r="AA287" s="556" t="s">
        <v>181</v>
      </c>
      <c r="AB287" s="556" t="n">
        <v>1</v>
      </c>
      <c r="AC287" s="556" t="s">
        <v>181</v>
      </c>
      <c r="AD287" s="556" t="n">
        <v>1</v>
      </c>
      <c r="AE287" s="556" t="s">
        <v>181</v>
      </c>
      <c r="AF287" s="556" t="n">
        <v>1</v>
      </c>
      <c r="AG287" s="556" t="s">
        <v>181</v>
      </c>
      <c r="AH287" s="556" t="s">
        <v>181</v>
      </c>
      <c r="AI287" s="556" t="n">
        <v>1</v>
      </c>
      <c r="AJ287" s="556" t="n">
        <v>1</v>
      </c>
      <c r="AK287" s="556" t="n">
        <v>1</v>
      </c>
      <c r="AL287" s="552" t="str">
        <f aca="false">Z287</f>
        <v>*</v>
      </c>
      <c r="AM287" s="551" t="str">
        <f aca="false">AA287</f>
        <v>*</v>
      </c>
      <c r="AN287" s="551" t="n">
        <f aca="false">AB287</f>
        <v>1</v>
      </c>
      <c r="AO287" s="551" t="str">
        <f aca="false">AC287</f>
        <v>*</v>
      </c>
      <c r="AP287" s="551" t="n">
        <f aca="false">AD287</f>
        <v>1</v>
      </c>
      <c r="AQ287" s="551" t="str">
        <f aca="false">AE287</f>
        <v>*</v>
      </c>
      <c r="AR287" s="551" t="n">
        <f aca="false">AF287</f>
        <v>1</v>
      </c>
      <c r="AS287" s="551" t="str">
        <f aca="false">AG287</f>
        <v>*</v>
      </c>
      <c r="AT287" s="551" t="str">
        <f aca="false">AH287</f>
        <v>*</v>
      </c>
      <c r="AU287" s="551" t="n">
        <f aca="false">AI287</f>
        <v>1</v>
      </c>
      <c r="AV287" s="551" t="n">
        <f aca="false">AJ287</f>
        <v>1</v>
      </c>
      <c r="AW287" s="553" t="n">
        <f aca="false">AK287</f>
        <v>1</v>
      </c>
    </row>
    <row r="288" customFormat="false" ht="15" hidden="false" customHeight="false" outlineLevel="0" collapsed="false">
      <c r="A288" s="488" t="str">
        <f aca="false">A285&amp;"-"&amp;B288</f>
        <v>Rahu-Jupiter</v>
      </c>
      <c r="B288" s="532" t="s">
        <v>162</v>
      </c>
      <c r="C288" s="533" t="n">
        <f aca="false">JupiterHouse</f>
        <v>8</v>
      </c>
      <c r="D288" s="556" t="n">
        <f aca="false">INDEX($Z288:$AW288,,12+D$152-$Q288+1)</f>
        <v>1</v>
      </c>
      <c r="E288" s="534" t="str">
        <f aca="false">INDEX($Z288:$AW288,,12+E$152-$Q288+1)</f>
        <v>*</v>
      </c>
      <c r="F288" s="556" t="n">
        <f aca="false">INDEX($Z288:$AW288,,12+F$152-$Q288+1)</f>
        <v>1</v>
      </c>
      <c r="G288" s="534" t="str">
        <f aca="false">INDEX($Z288:$AW288,,12+G$152-$Q288+1)</f>
        <v>*</v>
      </c>
      <c r="H288" s="534" t="str">
        <f aca="false">INDEX($Z288:$AW288,,12+H$152-$Q288+1)</f>
        <v>*</v>
      </c>
      <c r="I288" s="534" t="str">
        <f aca="false">INDEX($Z288:$AW288,,12+I$152-$Q288+1)</f>
        <v>*</v>
      </c>
      <c r="J288" s="534" t="str">
        <f aca="false">INDEX($Z288:$AW288,,12+J$152-$Q288+1)</f>
        <v>*</v>
      </c>
      <c r="K288" s="534" t="n">
        <f aca="false">INDEX($Z288:$AW288,,12+K$152-$Q288+1)</f>
        <v>1</v>
      </c>
      <c r="L288" s="534" t="str">
        <f aca="false">INDEX($Z288:$AW288,,12+L$152-$Q288+1)</f>
        <v>*</v>
      </c>
      <c r="M288" s="534" t="n">
        <f aca="false">INDEX($Z288:$AW288,,12+M$152-$Q288+1)</f>
        <v>1</v>
      </c>
      <c r="N288" s="534" t="n">
        <f aca="false">INDEX($Z288:$AW288,,12+N$152-$Q288+1)</f>
        <v>1</v>
      </c>
      <c r="O288" s="534" t="str">
        <f aca="false">INDEX($Z288:$AW288,,12+O$152-$Q288+1)</f>
        <v>*</v>
      </c>
      <c r="P288" s="535" t="n">
        <f aca="false">SUM(D288:O288)</f>
        <v>5</v>
      </c>
      <c r="Q288" s="533" t="n">
        <f aca="false">IF($Y$82,D285,C288)</f>
        <v>8</v>
      </c>
      <c r="S288" s="489"/>
      <c r="T288" s="489"/>
      <c r="U288" s="489"/>
      <c r="V288" s="489"/>
      <c r="X288" s="532" t="s">
        <v>162</v>
      </c>
      <c r="Y288" s="559" t="n">
        <f aca="false">SUM(Z288:AK288)</f>
        <v>5</v>
      </c>
      <c r="Z288" s="558" t="n">
        <v>1</v>
      </c>
      <c r="AA288" s="556" t="s">
        <v>181</v>
      </c>
      <c r="AB288" s="556" t="n">
        <v>1</v>
      </c>
      <c r="AC288" s="556" t="n">
        <v>1</v>
      </c>
      <c r="AD288" s="556" t="s">
        <v>181</v>
      </c>
      <c r="AE288" s="556" t="n">
        <v>1</v>
      </c>
      <c r="AF288" s="556" t="s">
        <v>181</v>
      </c>
      <c r="AG288" s="556" t="n">
        <v>1</v>
      </c>
      <c r="AH288" s="556" t="s">
        <v>181</v>
      </c>
      <c r="AI288" s="556" t="s">
        <v>181</v>
      </c>
      <c r="AJ288" s="556" t="s">
        <v>181</v>
      </c>
      <c r="AK288" s="556" t="s">
        <v>181</v>
      </c>
      <c r="AL288" s="552" t="n">
        <f aca="false">Z288</f>
        <v>1</v>
      </c>
      <c r="AM288" s="551" t="str">
        <f aca="false">AA288</f>
        <v>*</v>
      </c>
      <c r="AN288" s="551" t="n">
        <f aca="false">AB288</f>
        <v>1</v>
      </c>
      <c r="AO288" s="551" t="n">
        <f aca="false">AC288</f>
        <v>1</v>
      </c>
      <c r="AP288" s="551" t="str">
        <f aca="false">AD288</f>
        <v>*</v>
      </c>
      <c r="AQ288" s="551" t="n">
        <f aca="false">AE288</f>
        <v>1</v>
      </c>
      <c r="AR288" s="551" t="str">
        <f aca="false">AF288</f>
        <v>*</v>
      </c>
      <c r="AS288" s="551" t="n">
        <f aca="false">AG288</f>
        <v>1</v>
      </c>
      <c r="AT288" s="551" t="str">
        <f aca="false">AH288</f>
        <v>*</v>
      </c>
      <c r="AU288" s="551" t="str">
        <f aca="false">AI288</f>
        <v>*</v>
      </c>
      <c r="AV288" s="551" t="str">
        <f aca="false">AJ288</f>
        <v>*</v>
      </c>
      <c r="AW288" s="553" t="str">
        <f aca="false">AK288</f>
        <v>*</v>
      </c>
    </row>
    <row r="289" customFormat="false" ht="15" hidden="false" customHeight="false" outlineLevel="0" collapsed="false">
      <c r="A289" s="488" t="str">
        <f aca="false">A285&amp;"-"&amp;B289</f>
        <v>Rahu-Mars</v>
      </c>
      <c r="B289" s="532" t="s">
        <v>160</v>
      </c>
      <c r="C289" s="533" t="n">
        <f aca="false">MarsHouse</f>
        <v>10</v>
      </c>
      <c r="D289" s="534" t="str">
        <f aca="false">INDEX($Z289:$AW289,,12+D$152-$Q289+1)</f>
        <v>*</v>
      </c>
      <c r="E289" s="556" t="n">
        <f aca="false">INDEX($Z289:$AW289,,12+E$152-$Q289+1)</f>
        <v>1</v>
      </c>
      <c r="F289" s="534" t="str">
        <f aca="false">INDEX($Z289:$AW289,,12+F$152-$Q289+1)</f>
        <v>*</v>
      </c>
      <c r="G289" s="534" t="str">
        <f aca="false">INDEX($Z289:$AW289,,12+G$152-$Q289+1)</f>
        <v>*</v>
      </c>
      <c r="H289" s="534" t="str">
        <f aca="false">INDEX($Z289:$AW289,,12+H$152-$Q289+1)</f>
        <v>*</v>
      </c>
      <c r="I289" s="534" t="str">
        <f aca="false">INDEX($Z289:$AW289,,12+I$152-$Q289+1)</f>
        <v>*</v>
      </c>
      <c r="J289" s="534" t="str">
        <f aca="false">INDEX($Z289:$AW289,,12+J$152-$Q289+1)</f>
        <v>*</v>
      </c>
      <c r="K289" s="534" t="str">
        <f aca="false">INDEX($Z289:$AW289,,12+K$152-$Q289+1)</f>
        <v>*</v>
      </c>
      <c r="L289" s="556" t="n">
        <f aca="false">INDEX($Z289:$AW289,,12+L$152-$Q289+1)</f>
        <v>1</v>
      </c>
      <c r="M289" s="534" t="str">
        <f aca="false">INDEX($Z289:$AW289,,12+M$152-$Q289+1)</f>
        <v>*</v>
      </c>
      <c r="N289" s="534" t="n">
        <f aca="false">INDEX($Z289:$AW289,,12+N$152-$Q289+1)</f>
        <v>1</v>
      </c>
      <c r="O289" s="534" t="n">
        <f aca="false">INDEX($Z289:$AW289,,12+O$152-$Q289+1)</f>
        <v>1</v>
      </c>
      <c r="P289" s="535" t="n">
        <f aca="false">SUM(D289:O289)</f>
        <v>4</v>
      </c>
      <c r="Q289" s="533" t="n">
        <f aca="false">IF($Y$82,D285,C289)</f>
        <v>10</v>
      </c>
      <c r="S289" s="489" t="n">
        <f aca="false">N295</f>
        <v>6</v>
      </c>
      <c r="T289" s="490" t="str">
        <f aca="false">C285&amp;"  Ashtakavarga  "&amp;P295</f>
        <v>  Ashtakavarga  43</v>
      </c>
      <c r="U289" s="490"/>
      <c r="V289" s="489" t="n">
        <f aca="false">G295</f>
        <v>4</v>
      </c>
      <c r="X289" s="532" t="s">
        <v>160</v>
      </c>
      <c r="Y289" s="559" t="n">
        <f aca="false">SUM(Z289:AK289)</f>
        <v>4</v>
      </c>
      <c r="Z289" s="558" t="s">
        <v>181</v>
      </c>
      <c r="AA289" s="556" t="n">
        <v>1</v>
      </c>
      <c r="AB289" s="556" t="n">
        <v>1</v>
      </c>
      <c r="AC289" s="556" t="s">
        <v>181</v>
      </c>
      <c r="AD289" s="556" t="n">
        <v>1</v>
      </c>
      <c r="AE289" s="556" t="s">
        <v>181</v>
      </c>
      <c r="AF289" s="556" t="s">
        <v>181</v>
      </c>
      <c r="AG289" s="556" t="s">
        <v>181</v>
      </c>
      <c r="AH289" s="556" t="s">
        <v>181</v>
      </c>
      <c r="AI289" s="556" t="s">
        <v>181</v>
      </c>
      <c r="AJ289" s="556" t="s">
        <v>181</v>
      </c>
      <c r="AK289" s="556" t="n">
        <v>1</v>
      </c>
      <c r="AL289" s="552" t="str">
        <f aca="false">Z289</f>
        <v>*</v>
      </c>
      <c r="AM289" s="551" t="n">
        <f aca="false">AA289</f>
        <v>1</v>
      </c>
      <c r="AN289" s="551" t="n">
        <f aca="false">AB289</f>
        <v>1</v>
      </c>
      <c r="AO289" s="551" t="str">
        <f aca="false">AC289</f>
        <v>*</v>
      </c>
      <c r="AP289" s="551" t="n">
        <f aca="false">AD289</f>
        <v>1</v>
      </c>
      <c r="AQ289" s="551" t="str">
        <f aca="false">AE289</f>
        <v>*</v>
      </c>
      <c r="AR289" s="551" t="str">
        <f aca="false">AF289</f>
        <v>*</v>
      </c>
      <c r="AS289" s="551" t="str">
        <f aca="false">AG289</f>
        <v>*</v>
      </c>
      <c r="AT289" s="551" t="str">
        <f aca="false">AH289</f>
        <v>*</v>
      </c>
      <c r="AU289" s="551" t="str">
        <f aca="false">AI289</f>
        <v>*</v>
      </c>
      <c r="AV289" s="551" t="str">
        <f aca="false">AJ289</f>
        <v>*</v>
      </c>
      <c r="AW289" s="553" t="n">
        <f aca="false">AK289</f>
        <v>1</v>
      </c>
    </row>
    <row r="290" customFormat="false" ht="15" hidden="false" customHeight="false" outlineLevel="0" collapsed="false">
      <c r="A290" s="488" t="str">
        <f aca="false">A285&amp;"-"&amp;B290</f>
        <v>Rahu-Sun</v>
      </c>
      <c r="B290" s="532" t="s">
        <v>158</v>
      </c>
      <c r="C290" s="533" t="n">
        <f aca="false">SunHouse</f>
        <v>4</v>
      </c>
      <c r="D290" s="556" t="n">
        <f aca="false">INDEX($Z290:$AW290,,12+D$152-$Q290+1)</f>
        <v>1</v>
      </c>
      <c r="E290" s="534" t="str">
        <f aca="false">INDEX($Z290:$AW290,,12+E$152-$Q290+1)</f>
        <v>*</v>
      </c>
      <c r="F290" s="534" t="str">
        <f aca="false">INDEX($Z290:$AW290,,12+F$152-$Q290+1)</f>
        <v>*</v>
      </c>
      <c r="G290" s="534" t="n">
        <f aca="false">INDEX($Z290:$AW290,,12+G$152-$Q290+1)</f>
        <v>1</v>
      </c>
      <c r="H290" s="534" t="n">
        <f aca="false">INDEX($Z290:$AW290,,12+H$152-$Q290+1)</f>
        <v>1</v>
      </c>
      <c r="I290" s="534" t="n">
        <f aca="false">INDEX($Z290:$AW290,,12+I$152-$Q290+1)</f>
        <v>1</v>
      </c>
      <c r="J290" s="534" t="n">
        <f aca="false">INDEX($Z290:$AW290,,12+J$152-$Q290+1)</f>
        <v>1</v>
      </c>
      <c r="K290" s="534" t="str">
        <f aca="false">INDEX($Z290:$AW290,,12+K$152-$Q290+1)</f>
        <v>*</v>
      </c>
      <c r="L290" s="534" t="str">
        <f aca="false">INDEX($Z290:$AW290,,12+L$152-$Q290+1)</f>
        <v>*</v>
      </c>
      <c r="M290" s="534" t="n">
        <f aca="false">INDEX($Z290:$AW290,,12+M$152-$Q290+1)</f>
        <v>1</v>
      </c>
      <c r="N290" s="534" t="n">
        <f aca="false">INDEX($Z290:$AW290,,12+N$152-$Q290+1)</f>
        <v>1</v>
      </c>
      <c r="O290" s="534" t="str">
        <f aca="false">INDEX($Z290:$AW290,,12+O$152-$Q290+1)</f>
        <v>*</v>
      </c>
      <c r="P290" s="535" t="n">
        <f aca="false">SUM(D290:O290)</f>
        <v>7</v>
      </c>
      <c r="Q290" s="533" t="n">
        <f aca="false">IF($Y$82,D285,C290)</f>
        <v>4</v>
      </c>
      <c r="S290" s="489"/>
      <c r="T290" s="489"/>
      <c r="U290" s="490"/>
      <c r="V290" s="489"/>
      <c r="X290" s="532" t="s">
        <v>158</v>
      </c>
      <c r="Y290" s="559" t="n">
        <f aca="false">SUM(Z290:AK290)</f>
        <v>7</v>
      </c>
      <c r="Z290" s="558" t="n">
        <v>1</v>
      </c>
      <c r="AA290" s="556" t="n">
        <v>1</v>
      </c>
      <c r="AB290" s="556" t="n">
        <v>1</v>
      </c>
      <c r="AC290" s="556" t="n">
        <v>1</v>
      </c>
      <c r="AD290" s="556" t="s">
        <v>181</v>
      </c>
      <c r="AE290" s="556" t="s">
        <v>181</v>
      </c>
      <c r="AF290" s="556" t="n">
        <v>1</v>
      </c>
      <c r="AG290" s="556" t="n">
        <v>1</v>
      </c>
      <c r="AH290" s="556" t="s">
        <v>181</v>
      </c>
      <c r="AI290" s="556" t="n">
        <v>1</v>
      </c>
      <c r="AJ290" s="556" t="s">
        <v>181</v>
      </c>
      <c r="AK290" s="556" t="s">
        <v>181</v>
      </c>
      <c r="AL290" s="552" t="n">
        <f aca="false">Z290</f>
        <v>1</v>
      </c>
      <c r="AM290" s="551" t="n">
        <f aca="false">AA290</f>
        <v>1</v>
      </c>
      <c r="AN290" s="551" t="n">
        <f aca="false">AB290</f>
        <v>1</v>
      </c>
      <c r="AO290" s="551" t="n">
        <f aca="false">AC290</f>
        <v>1</v>
      </c>
      <c r="AP290" s="551" t="str">
        <f aca="false">AD290</f>
        <v>*</v>
      </c>
      <c r="AQ290" s="551" t="str">
        <f aca="false">AE290</f>
        <v>*</v>
      </c>
      <c r="AR290" s="551" t="n">
        <f aca="false">AF290</f>
        <v>1</v>
      </c>
      <c r="AS290" s="551" t="n">
        <f aca="false">AG290</f>
        <v>1</v>
      </c>
      <c r="AT290" s="551" t="str">
        <f aca="false">AH290</f>
        <v>*</v>
      </c>
      <c r="AU290" s="551" t="n">
        <f aca="false">AI290</f>
        <v>1</v>
      </c>
      <c r="AV290" s="551" t="str">
        <f aca="false">AJ290</f>
        <v>*</v>
      </c>
      <c r="AW290" s="553" t="str">
        <f aca="false">AK290</f>
        <v>*</v>
      </c>
    </row>
    <row r="291" customFormat="false" ht="15" hidden="false" customHeight="false" outlineLevel="0" collapsed="false">
      <c r="A291" s="488" t="str">
        <f aca="false">A285&amp;"-"&amp;B291</f>
        <v>Rahu-Venus</v>
      </c>
      <c r="B291" s="532" t="s">
        <v>163</v>
      </c>
      <c r="C291" s="533" t="n">
        <f aca="false">VenusHouse</f>
        <v>3</v>
      </c>
      <c r="D291" s="556" t="n">
        <f aca="false">INDEX($Z291:$AW291,,12+D$152-$Q291+1)</f>
        <v>1</v>
      </c>
      <c r="E291" s="556" t="n">
        <f aca="false">INDEX($Z291:$AW291,,12+E$152-$Q291+1)</f>
        <v>1</v>
      </c>
      <c r="F291" s="534" t="str">
        <f aca="false">INDEX($Z291:$AW291,,12+F$152-$Q291+1)</f>
        <v>*</v>
      </c>
      <c r="G291" s="534" t="str">
        <f aca="false">INDEX($Z291:$AW291,,12+G$152-$Q291+1)</f>
        <v>*</v>
      </c>
      <c r="H291" s="534" t="str">
        <f aca="false">INDEX($Z291:$AW291,,12+H$152-$Q291+1)</f>
        <v>*</v>
      </c>
      <c r="I291" s="534" t="str">
        <f aca="false">INDEX($Z291:$AW291,,12+I$152-$Q291+1)</f>
        <v>*</v>
      </c>
      <c r="J291" s="534" t="str">
        <f aca="false">INDEX($Z291:$AW291,,12+J$152-$Q291+1)</f>
        <v>*</v>
      </c>
      <c r="K291" s="534" t="n">
        <f aca="false">INDEX($Z291:$AW291,,12+K$152-$Q291+1)</f>
        <v>1</v>
      </c>
      <c r="L291" s="534" t="n">
        <f aca="false">INDEX($Z291:$AW291,,12+L$152-$Q291+1)</f>
        <v>1</v>
      </c>
      <c r="M291" s="534" t="str">
        <f aca="false">INDEX($Z291:$AW291,,12+M$152-$Q291+1)</f>
        <v>*</v>
      </c>
      <c r="N291" s="534" t="str">
        <f aca="false">INDEX($Z291:$AW291,,12+N$152-$Q291+1)</f>
        <v>*</v>
      </c>
      <c r="O291" s="534" t="str">
        <f aca="false">INDEX($Z291:$AW291,,12+O$152-$Q291+1)</f>
        <v>*</v>
      </c>
      <c r="P291" s="535" t="n">
        <f aca="false">SUM(D291:O291)</f>
        <v>4</v>
      </c>
      <c r="Q291" s="533" t="n">
        <f aca="false">IF($Y$82,D285,C291)</f>
        <v>3</v>
      </c>
      <c r="S291" s="489"/>
      <c r="T291" s="489"/>
      <c r="U291" s="490"/>
      <c r="V291" s="489"/>
      <c r="X291" s="532" t="s">
        <v>163</v>
      </c>
      <c r="Y291" s="559" t="n">
        <f aca="false">SUM(Z291:AK291)</f>
        <v>4</v>
      </c>
      <c r="Z291" s="558" t="s">
        <v>181</v>
      </c>
      <c r="AA291" s="556" t="s">
        <v>181</v>
      </c>
      <c r="AB291" s="556" t="s">
        <v>181</v>
      </c>
      <c r="AC291" s="556" t="s">
        <v>181</v>
      </c>
      <c r="AD291" s="556" t="s">
        <v>181</v>
      </c>
      <c r="AE291" s="556" t="n">
        <v>1</v>
      </c>
      <c r="AF291" s="556" t="n">
        <v>1</v>
      </c>
      <c r="AG291" s="556" t="s">
        <v>181</v>
      </c>
      <c r="AH291" s="556" t="s">
        <v>181</v>
      </c>
      <c r="AI291" s="556" t="s">
        <v>181</v>
      </c>
      <c r="AJ291" s="556" t="n">
        <v>1</v>
      </c>
      <c r="AK291" s="556" t="n">
        <v>1</v>
      </c>
      <c r="AL291" s="552" t="str">
        <f aca="false">Z291</f>
        <v>*</v>
      </c>
      <c r="AM291" s="551" t="str">
        <f aca="false">AA291</f>
        <v>*</v>
      </c>
      <c r="AN291" s="551" t="str">
        <f aca="false">AB291</f>
        <v>*</v>
      </c>
      <c r="AO291" s="551" t="str">
        <f aca="false">AC291</f>
        <v>*</v>
      </c>
      <c r="AP291" s="551" t="str">
        <f aca="false">AD291</f>
        <v>*</v>
      </c>
      <c r="AQ291" s="551" t="n">
        <f aca="false">AE291</f>
        <v>1</v>
      </c>
      <c r="AR291" s="551" t="n">
        <f aca="false">AF291</f>
        <v>1</v>
      </c>
      <c r="AS291" s="551" t="str">
        <f aca="false">AG291</f>
        <v>*</v>
      </c>
      <c r="AT291" s="551" t="str">
        <f aca="false">AH291</f>
        <v>*</v>
      </c>
      <c r="AU291" s="551" t="str">
        <f aca="false">AI291</f>
        <v>*</v>
      </c>
      <c r="AV291" s="551" t="n">
        <f aca="false">AJ291</f>
        <v>1</v>
      </c>
      <c r="AW291" s="553" t="n">
        <f aca="false">AK291</f>
        <v>1</v>
      </c>
    </row>
    <row r="292" customFormat="false" ht="15" hidden="false" customHeight="false" outlineLevel="0" collapsed="false">
      <c r="A292" s="488" t="str">
        <f aca="false">A285&amp;"-"&amp;B292</f>
        <v>Rahu-Mercury</v>
      </c>
      <c r="B292" s="532" t="s">
        <v>161</v>
      </c>
      <c r="C292" s="533" t="n">
        <f aca="false">MercuryHouse</f>
        <v>4</v>
      </c>
      <c r="D292" s="534" t="str">
        <f aca="false">INDEX($Z292:$AW292,,12+D$152-$Q292+1)</f>
        <v>*</v>
      </c>
      <c r="E292" s="534" t="str">
        <f aca="false">INDEX($Z292:$AW292,,12+E$152-$Q292+1)</f>
        <v>*</v>
      </c>
      <c r="F292" s="556" t="n">
        <f aca="false">INDEX($Z292:$AW292,,12+F$152-$Q292+1)</f>
        <v>1</v>
      </c>
      <c r="G292" s="534" t="str">
        <f aca="false">INDEX($Z292:$AW292,,12+G$152-$Q292+1)</f>
        <v>*</v>
      </c>
      <c r="H292" s="534" t="n">
        <f aca="false">INDEX($Z292:$AW292,,12+H$152-$Q292+1)</f>
        <v>1</v>
      </c>
      <c r="I292" s="534" t="str">
        <f aca="false">INDEX($Z292:$AW292,,12+I$152-$Q292+1)</f>
        <v>*</v>
      </c>
      <c r="J292" s="534" t="n">
        <f aca="false">INDEX($Z292:$AW292,,12+J$152-$Q292+1)</f>
        <v>1</v>
      </c>
      <c r="K292" s="534" t="str">
        <f aca="false">INDEX($Z292:$AW292,,12+K$152-$Q292+1)</f>
        <v>*</v>
      </c>
      <c r="L292" s="534" t="str">
        <f aca="false">INDEX($Z292:$AW292,,12+L$152-$Q292+1)</f>
        <v>*</v>
      </c>
      <c r="M292" s="534" t="n">
        <f aca="false">INDEX($Z292:$AW292,,12+M$152-$Q292+1)</f>
        <v>1</v>
      </c>
      <c r="N292" s="534" t="n">
        <f aca="false">INDEX($Z292:$AW292,,12+N$152-$Q292+1)</f>
        <v>1</v>
      </c>
      <c r="O292" s="534" t="str">
        <f aca="false">INDEX($Z292:$AW292,,12+O$152-$Q292+1)</f>
        <v>*</v>
      </c>
      <c r="P292" s="535" t="n">
        <f aca="false">SUM(D292:O292)</f>
        <v>5</v>
      </c>
      <c r="Q292" s="533" t="n">
        <f aca="false">IF($Y$82,D285,C292)</f>
        <v>4</v>
      </c>
      <c r="S292" s="489" t="n">
        <f aca="false">M295</f>
        <v>4</v>
      </c>
      <c r="T292" s="490"/>
      <c r="U292" s="490"/>
      <c r="V292" s="489" t="n">
        <f aca="false">H295</f>
        <v>2</v>
      </c>
      <c r="X292" s="532" t="s">
        <v>161</v>
      </c>
      <c r="Y292" s="559" t="n">
        <f aca="false">SUM(Z292:AK292)</f>
        <v>5</v>
      </c>
      <c r="Z292" s="558" t="s">
        <v>181</v>
      </c>
      <c r="AA292" s="556" t="n">
        <v>1</v>
      </c>
      <c r="AB292" s="556" t="s">
        <v>181</v>
      </c>
      <c r="AC292" s="556" t="n">
        <v>1</v>
      </c>
      <c r="AD292" s="556" t="s">
        <v>181</v>
      </c>
      <c r="AE292" s="556" t="s">
        <v>181</v>
      </c>
      <c r="AF292" s="556" t="n">
        <v>1</v>
      </c>
      <c r="AG292" s="556" t="n">
        <v>1</v>
      </c>
      <c r="AH292" s="556" t="s">
        <v>181</v>
      </c>
      <c r="AI292" s="556" t="s">
        <v>181</v>
      </c>
      <c r="AJ292" s="556" t="s">
        <v>181</v>
      </c>
      <c r="AK292" s="556" t="n">
        <v>1</v>
      </c>
      <c r="AL292" s="552" t="str">
        <f aca="false">Z292</f>
        <v>*</v>
      </c>
      <c r="AM292" s="551" t="n">
        <f aca="false">AA292</f>
        <v>1</v>
      </c>
      <c r="AN292" s="551" t="str">
        <f aca="false">AB292</f>
        <v>*</v>
      </c>
      <c r="AO292" s="551" t="n">
        <f aca="false">AC292</f>
        <v>1</v>
      </c>
      <c r="AP292" s="551" t="str">
        <f aca="false">AD292</f>
        <v>*</v>
      </c>
      <c r="AQ292" s="551" t="str">
        <f aca="false">AE292</f>
        <v>*</v>
      </c>
      <c r="AR292" s="551" t="n">
        <f aca="false">AF292</f>
        <v>1</v>
      </c>
      <c r="AS292" s="551" t="n">
        <f aca="false">AG292</f>
        <v>1</v>
      </c>
      <c r="AT292" s="551" t="str">
        <f aca="false">AH292</f>
        <v>*</v>
      </c>
      <c r="AU292" s="551" t="str">
        <f aca="false">AI292</f>
        <v>*</v>
      </c>
      <c r="AV292" s="551" t="str">
        <f aca="false">AJ292</f>
        <v>*</v>
      </c>
      <c r="AW292" s="553" t="n">
        <f aca="false">AK292</f>
        <v>1</v>
      </c>
    </row>
    <row r="293" customFormat="false" ht="15" hidden="false" customHeight="false" outlineLevel="0" collapsed="false">
      <c r="A293" s="488" t="str">
        <f aca="false">A285&amp;"-"&amp;B293</f>
        <v>Rahu-Moon</v>
      </c>
      <c r="B293" s="532" t="s">
        <v>159</v>
      </c>
      <c r="C293" s="533" t="n">
        <f aca="false">MoonHouse</f>
        <v>2</v>
      </c>
      <c r="D293" s="534" t="str">
        <f aca="false">INDEX($Z293:$AW293,,12+D$152-$Q293+1)</f>
        <v>*</v>
      </c>
      <c r="E293" s="534" t="n">
        <f aca="false">INDEX($Z293:$AW293,,12+E$152-$Q293+1)</f>
        <v>1</v>
      </c>
      <c r="F293" s="534" t="str">
        <f aca="false">INDEX($Z293:$AW293,,12+F$152-$Q293+1)</f>
        <v>*</v>
      </c>
      <c r="G293" s="534" t="n">
        <f aca="false">INDEX($Z293:$AW293,,12+G$152-$Q293+1)</f>
        <v>1</v>
      </c>
      <c r="H293" s="534" t="str">
        <f aca="false">INDEX($Z293:$AW293,,12+H$152-$Q293+1)</f>
        <v>*</v>
      </c>
      <c r="I293" s="534" t="n">
        <f aca="false">INDEX($Z293:$AW293,,12+I$152-$Q293+1)</f>
        <v>1</v>
      </c>
      <c r="J293" s="534" t="str">
        <f aca="false">INDEX($Z293:$AW293,,12+J$152-$Q293+1)</f>
        <v>*</v>
      </c>
      <c r="K293" s="534" t="n">
        <f aca="false">INDEX($Z293:$AW293,,12+K$152-$Q293+1)</f>
        <v>1</v>
      </c>
      <c r="L293" s="534" t="n">
        <f aca="false">INDEX($Z293:$AW293,,12+L$152-$Q293+1)</f>
        <v>1</v>
      </c>
      <c r="M293" s="534" t="n">
        <f aca="false">INDEX($Z293:$AW293,,12+M$152-$Q293+1)</f>
        <v>1</v>
      </c>
      <c r="N293" s="534" t="n">
        <f aca="false">INDEX($Z293:$AW293,,12+N$152-$Q293+1)</f>
        <v>1</v>
      </c>
      <c r="O293" s="534" t="str">
        <f aca="false">INDEX($Z293:$AW293,,12+O$152-$Q293+1)</f>
        <v>*</v>
      </c>
      <c r="P293" s="535" t="n">
        <f aca="false">SUM(D293:O293)</f>
        <v>7</v>
      </c>
      <c r="Q293" s="533" t="n">
        <f aca="false">IF($Y$82,D285,C293)</f>
        <v>2</v>
      </c>
      <c r="S293" s="489"/>
      <c r="T293" s="489"/>
      <c r="U293" s="490"/>
      <c r="V293" s="489"/>
      <c r="X293" s="532" t="s">
        <v>159</v>
      </c>
      <c r="Y293" s="559" t="n">
        <f aca="false">SUM(Z293:AK293)</f>
        <v>7</v>
      </c>
      <c r="Z293" s="558" t="n">
        <v>1</v>
      </c>
      <c r="AA293" s="556" t="s">
        <v>181</v>
      </c>
      <c r="AB293" s="556" t="n">
        <v>1</v>
      </c>
      <c r="AC293" s="556" t="s">
        <v>181</v>
      </c>
      <c r="AD293" s="556" t="n">
        <v>1</v>
      </c>
      <c r="AE293" s="556" t="s">
        <v>181</v>
      </c>
      <c r="AF293" s="556" t="n">
        <v>1</v>
      </c>
      <c r="AG293" s="556" t="n">
        <v>1</v>
      </c>
      <c r="AH293" s="556" t="n">
        <v>1</v>
      </c>
      <c r="AI293" s="556" t="n">
        <v>1</v>
      </c>
      <c r="AJ293" s="556" t="s">
        <v>181</v>
      </c>
      <c r="AK293" s="556" t="s">
        <v>181</v>
      </c>
      <c r="AL293" s="552" t="n">
        <f aca="false">Z293</f>
        <v>1</v>
      </c>
      <c r="AM293" s="551" t="str">
        <f aca="false">AA293</f>
        <v>*</v>
      </c>
      <c r="AN293" s="551" t="n">
        <f aca="false">AB293</f>
        <v>1</v>
      </c>
      <c r="AO293" s="551" t="str">
        <f aca="false">AC293</f>
        <v>*</v>
      </c>
      <c r="AP293" s="551" t="n">
        <f aca="false">AD293</f>
        <v>1</v>
      </c>
      <c r="AQ293" s="551" t="str">
        <f aca="false">AE293</f>
        <v>*</v>
      </c>
      <c r="AR293" s="551" t="n">
        <f aca="false">AF293</f>
        <v>1</v>
      </c>
      <c r="AS293" s="551" t="n">
        <f aca="false">AG293</f>
        <v>1</v>
      </c>
      <c r="AT293" s="551" t="n">
        <f aca="false">AH293</f>
        <v>1</v>
      </c>
      <c r="AU293" s="551" t="n">
        <f aca="false">AI293</f>
        <v>1</v>
      </c>
      <c r="AV293" s="551" t="str">
        <f aca="false">AJ293</f>
        <v>*</v>
      </c>
      <c r="AW293" s="553" t="str">
        <f aca="false">AK293</f>
        <v>*</v>
      </c>
    </row>
    <row r="294" customFormat="false" ht="15" hidden="false" customHeight="false" outlineLevel="0" collapsed="false">
      <c r="A294" s="488" t="str">
        <f aca="false">A285&amp;"-"&amp;B294</f>
        <v>Rahu-Lagna</v>
      </c>
      <c r="B294" s="532" t="s">
        <v>319</v>
      </c>
      <c r="C294" s="533" t="n">
        <f aca="false">Lagnahouse</f>
        <v>5</v>
      </c>
      <c r="D294" s="556" t="n">
        <f aca="false">INDEX($Z294:$AW294,,12+D$152-$Q294+1)</f>
        <v>1</v>
      </c>
      <c r="E294" s="534" t="str">
        <f aca="false">INDEX($Z294:$AW294,,12+E$152-$Q294+1)</f>
        <v>*</v>
      </c>
      <c r="F294" s="534" t="str">
        <f aca="false">INDEX($Z294:$AW294,,12+F$152-$Q294+1)</f>
        <v>*</v>
      </c>
      <c r="G294" s="556" t="n">
        <f aca="false">INDEX($Z294:$AW294,,12+G$152-$Q294+1)</f>
        <v>1</v>
      </c>
      <c r="H294" s="534" t="str">
        <f aca="false">INDEX($Z294:$AW294,,12+H$152-$Q294+1)</f>
        <v>*</v>
      </c>
      <c r="I294" s="534" t="str">
        <f aca="false">INDEX($Z294:$AW294,,12+I$152-$Q294+1)</f>
        <v>*</v>
      </c>
      <c r="J294" s="534" t="n">
        <f aca="false">INDEX($Z294:$AW294,,12+J$152-$Q294+1)</f>
        <v>1</v>
      </c>
      <c r="K294" s="534" t="n">
        <f aca="false">INDEX($Z294:$AW294,,12+K$152-$Q294+1)</f>
        <v>1</v>
      </c>
      <c r="L294" s="534" t="n">
        <f aca="false">INDEX($Z294:$AW294,,12+L$152-$Q294+1)</f>
        <v>1</v>
      </c>
      <c r="M294" s="534" t="str">
        <f aca="false">INDEX($Z294:$AW294,,12+M$152-$Q294+1)</f>
        <v>*</v>
      </c>
      <c r="N294" s="534" t="str">
        <f aca="false">INDEX($Z294:$AW294,,12+N$152-$Q294+1)</f>
        <v>*</v>
      </c>
      <c r="O294" s="534" t="str">
        <f aca="false">INDEX($Z294:$AW294,,12+O$152-$Q294+1)</f>
        <v>*</v>
      </c>
      <c r="P294" s="535" t="n">
        <f aca="false">SUM(D294:O294)</f>
        <v>5</v>
      </c>
      <c r="Q294" s="533" t="n">
        <f aca="false">IF($Y$82,D285,C294)</f>
        <v>5</v>
      </c>
      <c r="S294" s="489"/>
      <c r="T294" s="489"/>
      <c r="U294" s="490"/>
      <c r="V294" s="489"/>
      <c r="X294" s="532" t="s">
        <v>319</v>
      </c>
      <c r="Y294" s="559" t="n">
        <f aca="false">SUM(Z294:AK294)</f>
        <v>5</v>
      </c>
      <c r="Z294" s="560" t="s">
        <v>181</v>
      </c>
      <c r="AA294" s="561" t="s">
        <v>181</v>
      </c>
      <c r="AB294" s="561" t="n">
        <v>1</v>
      </c>
      <c r="AC294" s="561" t="n">
        <v>1</v>
      </c>
      <c r="AD294" s="561" t="n">
        <v>1</v>
      </c>
      <c r="AE294" s="561" t="s">
        <v>181</v>
      </c>
      <c r="AF294" s="561" t="s">
        <v>181</v>
      </c>
      <c r="AG294" s="561" t="s">
        <v>181</v>
      </c>
      <c r="AH294" s="561" t="n">
        <v>1</v>
      </c>
      <c r="AI294" s="561" t="s">
        <v>181</v>
      </c>
      <c r="AJ294" s="561" t="s">
        <v>181</v>
      </c>
      <c r="AK294" s="561" t="n">
        <v>1</v>
      </c>
      <c r="AL294" s="552" t="str">
        <f aca="false">Z294</f>
        <v>*</v>
      </c>
      <c r="AM294" s="551" t="str">
        <f aca="false">AA294</f>
        <v>*</v>
      </c>
      <c r="AN294" s="551" t="n">
        <f aca="false">AB294</f>
        <v>1</v>
      </c>
      <c r="AO294" s="551" t="n">
        <f aca="false">AC294</f>
        <v>1</v>
      </c>
      <c r="AP294" s="551" t="n">
        <f aca="false">AD294</f>
        <v>1</v>
      </c>
      <c r="AQ294" s="551" t="str">
        <f aca="false">AE294</f>
        <v>*</v>
      </c>
      <c r="AR294" s="551" t="str">
        <f aca="false">AF294</f>
        <v>*</v>
      </c>
      <c r="AS294" s="551" t="str">
        <f aca="false">AG294</f>
        <v>*</v>
      </c>
      <c r="AT294" s="551" t="n">
        <f aca="false">AH294</f>
        <v>1</v>
      </c>
      <c r="AU294" s="551" t="str">
        <f aca="false">AI294</f>
        <v>*</v>
      </c>
      <c r="AV294" s="551" t="str">
        <f aca="false">AJ294</f>
        <v>*</v>
      </c>
      <c r="AW294" s="553" t="n">
        <f aca="false">AK294</f>
        <v>1</v>
      </c>
    </row>
    <row r="295" customFormat="false" ht="15" hidden="false" customHeight="false" outlineLevel="0" collapsed="false">
      <c r="A295" s="488" t="str">
        <f aca="false">A285&amp;"-"&amp;B295</f>
        <v>Rahu-Rahu</v>
      </c>
      <c r="B295" s="539" t="str">
        <f aca="false">B285</f>
        <v>Rahu</v>
      </c>
      <c r="C295" s="540"/>
      <c r="D295" s="540" t="n">
        <f aca="false">SUM(D287:D294)</f>
        <v>5</v>
      </c>
      <c r="E295" s="540" t="n">
        <f aca="false">SUM(E287:E294)</f>
        <v>3</v>
      </c>
      <c r="F295" s="540" t="n">
        <f aca="false">SUM(F287:F294)</f>
        <v>2</v>
      </c>
      <c r="G295" s="540" t="n">
        <f aca="false">SUM(G287:G294)</f>
        <v>4</v>
      </c>
      <c r="H295" s="540" t="n">
        <f aca="false">SUM(H287:H294)</f>
        <v>2</v>
      </c>
      <c r="I295" s="540" t="n">
        <f aca="false">SUM(I287:I294)</f>
        <v>3</v>
      </c>
      <c r="J295" s="540" t="n">
        <f aca="false">SUM(J287:J294)</f>
        <v>3</v>
      </c>
      <c r="K295" s="540" t="n">
        <f aca="false">SUM(K287:K294)</f>
        <v>5</v>
      </c>
      <c r="L295" s="540" t="n">
        <f aca="false">SUM(L287:L294)</f>
        <v>4</v>
      </c>
      <c r="M295" s="540" t="n">
        <f aca="false">SUM(M287:M294)</f>
        <v>4</v>
      </c>
      <c r="N295" s="540" t="n">
        <f aca="false">SUM(N287:N294)</f>
        <v>6</v>
      </c>
      <c r="O295" s="540" t="n">
        <f aca="false">SUM(O287:O294)</f>
        <v>2</v>
      </c>
      <c r="P295" s="541" t="n">
        <f aca="false">SUM(D295:O295)</f>
        <v>43</v>
      </c>
      <c r="Q295" s="541"/>
      <c r="S295" s="489" t="n">
        <f aca="false">L295</f>
        <v>4</v>
      </c>
      <c r="T295" s="489" t="n">
        <f aca="false">K295</f>
        <v>5</v>
      </c>
      <c r="U295" s="489" t="n">
        <f aca="false">J295</f>
        <v>3</v>
      </c>
      <c r="V295" s="489" t="n">
        <f aca="false">I295</f>
        <v>3</v>
      </c>
      <c r="X295" s="539"/>
      <c r="Y295" s="542" t="n">
        <f aca="false">SUM(Z295:AK295)</f>
        <v>43</v>
      </c>
      <c r="Z295" s="562" t="n">
        <f aca="false">SUM(Z287:Z294)</f>
        <v>3</v>
      </c>
      <c r="AA295" s="562" t="n">
        <f aca="false">SUM(AA287:AA294)</f>
        <v>3</v>
      </c>
      <c r="AB295" s="562" t="n">
        <f aca="false">SUM(AB287:AB294)</f>
        <v>6</v>
      </c>
      <c r="AC295" s="562" t="n">
        <f aca="false">SUM(AC287:AC294)</f>
        <v>4</v>
      </c>
      <c r="AD295" s="562" t="n">
        <f aca="false">SUM(AD287:AD294)</f>
        <v>4</v>
      </c>
      <c r="AE295" s="562" t="n">
        <f aca="false">SUM(AE287:AE294)</f>
        <v>2</v>
      </c>
      <c r="AF295" s="562" t="n">
        <f aca="false">SUM(AF287:AF294)</f>
        <v>5</v>
      </c>
      <c r="AG295" s="562" t="n">
        <f aca="false">SUM(AG287:AG294)</f>
        <v>4</v>
      </c>
      <c r="AH295" s="562" t="n">
        <f aca="false">SUM(AH287:AH294)</f>
        <v>2</v>
      </c>
      <c r="AI295" s="562" t="n">
        <f aca="false">SUM(AI287:AI294)</f>
        <v>3</v>
      </c>
      <c r="AJ295" s="562" t="n">
        <f aca="false">SUM(AJ287:AJ294)</f>
        <v>2</v>
      </c>
      <c r="AK295" s="562" t="n">
        <f aca="false">SUM(AK287:AK294)</f>
        <v>5</v>
      </c>
      <c r="AL295" s="544" t="n">
        <f aca="false">SUM(AL287:AL294)</f>
        <v>3</v>
      </c>
      <c r="AM295" s="545" t="n">
        <f aca="false">SUM(AM287:AM294)</f>
        <v>3</v>
      </c>
      <c r="AN295" s="545" t="n">
        <f aca="false">SUM(AN287:AN294)</f>
        <v>6</v>
      </c>
      <c r="AO295" s="545" t="n">
        <f aca="false">SUM(AO287:AO294)</f>
        <v>4</v>
      </c>
      <c r="AP295" s="545" t="n">
        <f aca="false">SUM(AP287:AP294)</f>
        <v>4</v>
      </c>
      <c r="AQ295" s="545" t="n">
        <f aca="false">SUM(AQ287:AQ294)</f>
        <v>2</v>
      </c>
      <c r="AR295" s="545" t="n">
        <f aca="false">SUM(AR287:AR294)</f>
        <v>5</v>
      </c>
      <c r="AS295" s="545" t="n">
        <f aca="false">SUM(AS287:AS294)</f>
        <v>4</v>
      </c>
      <c r="AT295" s="545" t="n">
        <f aca="false">SUM(AT287:AT294)</f>
        <v>2</v>
      </c>
      <c r="AU295" s="545" t="n">
        <f aca="false">SUM(AU287:AU294)</f>
        <v>3</v>
      </c>
      <c r="AV295" s="545" t="n">
        <f aca="false">SUM(AV287:AV294)</f>
        <v>2</v>
      </c>
      <c r="AW295" s="546" t="n">
        <f aca="false">SUM(AW287:AW294)</f>
        <v>5</v>
      </c>
    </row>
    <row r="296" customFormat="false" ht="15" hidden="false" customHeight="false" outlineLevel="0" collapsed="false">
      <c r="A296" s="488" t="str">
        <f aca="false">A285&amp;"-"&amp;B296</f>
        <v>Rahu-</v>
      </c>
      <c r="S296" s="489"/>
      <c r="T296" s="489"/>
      <c r="U296" s="489"/>
      <c r="V296" s="489"/>
      <c r="X296" s="523" t="s">
        <v>782</v>
      </c>
      <c r="Y296" s="523"/>
      <c r="Z296" s="523"/>
      <c r="AA296" s="523"/>
      <c r="AB296" s="523"/>
      <c r="AC296" s="523"/>
      <c r="AD296" s="523"/>
      <c r="AE296" s="523"/>
      <c r="AF296" s="523"/>
      <c r="AG296" s="523"/>
      <c r="AH296" s="523"/>
      <c r="AI296" s="523"/>
      <c r="AJ296" s="523"/>
      <c r="AK296" s="523"/>
      <c r="AL296" s="523"/>
    </row>
    <row r="297" customFormat="false" ht="15" hidden="false" customHeight="false" outlineLevel="0" collapsed="false">
      <c r="A297" s="488" t="str">
        <f aca="false">A285&amp;"-"&amp;B297</f>
        <v>Rahu-</v>
      </c>
      <c r="S297" s="489"/>
      <c r="T297" s="489"/>
      <c r="U297" s="489"/>
      <c r="V297" s="489"/>
    </row>
    <row r="298" customFormat="false" ht="15" hidden="false" customHeight="false" outlineLevel="0" collapsed="false">
      <c r="A298" s="488" t="str">
        <f aca="false">A285&amp;"-"&amp;B298</f>
        <v>Rahu------</v>
      </c>
      <c r="B298" s="474" t="s">
        <v>776</v>
      </c>
    </row>
    <row r="301" customFormat="false" ht="15" hidden="false" customHeight="false" outlineLevel="0" collapsed="false">
      <c r="A301" s="563" t="s">
        <v>787</v>
      </c>
      <c r="B301" s="563" t="s">
        <v>788</v>
      </c>
      <c r="C301" s="563" t="s">
        <v>789</v>
      </c>
      <c r="D301" s="563" t="s">
        <v>790</v>
      </c>
      <c r="E301" s="563" t="s">
        <v>791</v>
      </c>
      <c r="F301" s="563" t="s">
        <v>792</v>
      </c>
      <c r="G301" s="563" t="s">
        <v>793</v>
      </c>
      <c r="H301" s="563" t="s">
        <v>794</v>
      </c>
      <c r="I301" s="563" t="s">
        <v>795</v>
      </c>
      <c r="J301" s="563" t="s">
        <v>796</v>
      </c>
      <c r="K301" s="563" t="s">
        <v>797</v>
      </c>
      <c r="L301" s="563" t="s">
        <v>798</v>
      </c>
      <c r="M301" s="563" t="s">
        <v>799</v>
      </c>
    </row>
    <row r="302" customFormat="false" ht="15" hidden="false" customHeight="false" outlineLevel="0" collapsed="false">
      <c r="A302" s="563" t="s">
        <v>158</v>
      </c>
      <c r="B302" s="563" t="n">
        <v>1</v>
      </c>
      <c r="C302" s="563" t="n">
        <v>2</v>
      </c>
      <c r="D302" s="563" t="n">
        <v>9</v>
      </c>
      <c r="E302" s="563" t="n">
        <v>3</v>
      </c>
      <c r="F302" s="563" t="n">
        <v>6</v>
      </c>
      <c r="G302" s="563" t="n">
        <v>12</v>
      </c>
      <c r="H302" s="563" t="n">
        <v>7</v>
      </c>
      <c r="I302" s="563" t="n">
        <v>8</v>
      </c>
      <c r="J302" s="563" t="n">
        <v>10</v>
      </c>
      <c r="K302" s="563" t="n">
        <v>4</v>
      </c>
      <c r="L302" s="563" t="n">
        <v>5</v>
      </c>
      <c r="M302" s="563" t="n">
        <v>11</v>
      </c>
    </row>
    <row r="303" customFormat="false" ht="15" hidden="false" customHeight="false" outlineLevel="0" collapsed="false">
      <c r="A303" s="563" t="s">
        <v>159</v>
      </c>
      <c r="B303" s="563" t="n">
        <v>5</v>
      </c>
      <c r="C303" s="563" t="n">
        <v>1</v>
      </c>
      <c r="D303" s="563" t="n">
        <v>9</v>
      </c>
      <c r="E303" s="563" t="n">
        <v>3</v>
      </c>
      <c r="F303" s="563" t="n">
        <v>6</v>
      </c>
      <c r="G303" s="563" t="n">
        <v>12</v>
      </c>
      <c r="H303" s="563" t="n">
        <v>2</v>
      </c>
      <c r="I303" s="563" t="n">
        <v>7</v>
      </c>
      <c r="J303" s="563" t="n">
        <v>10</v>
      </c>
      <c r="K303" s="563" t="n">
        <v>4</v>
      </c>
      <c r="L303" s="563" t="n">
        <v>8</v>
      </c>
      <c r="M303" s="563" t="n">
        <v>11</v>
      </c>
    </row>
    <row r="304" customFormat="false" ht="15" hidden="false" customHeight="false" outlineLevel="0" collapsed="false">
      <c r="A304" s="563" t="s">
        <v>160</v>
      </c>
      <c r="B304" s="563" t="n">
        <v>1</v>
      </c>
      <c r="C304" s="563" t="n">
        <v>3</v>
      </c>
      <c r="D304" s="563" t="n">
        <v>12</v>
      </c>
      <c r="E304" s="563" t="n">
        <v>3</v>
      </c>
      <c r="F304" s="563" t="n">
        <v>4</v>
      </c>
      <c r="G304" s="563" t="n">
        <v>9</v>
      </c>
      <c r="H304" s="563" t="n">
        <v>6</v>
      </c>
      <c r="I304" s="563" t="n">
        <v>7</v>
      </c>
      <c r="J304" s="563" t="n">
        <v>8</v>
      </c>
      <c r="K304" s="563" t="n">
        <v>10</v>
      </c>
      <c r="L304" s="563" t="n">
        <v>5</v>
      </c>
      <c r="M304" s="563" t="n">
        <v>11</v>
      </c>
    </row>
    <row r="305" customFormat="false" ht="15" hidden="false" customHeight="false" outlineLevel="0" collapsed="false">
      <c r="A305" s="563" t="s">
        <v>800</v>
      </c>
      <c r="B305" s="563" t="n">
        <v>2</v>
      </c>
      <c r="C305" s="563" t="n">
        <v>5</v>
      </c>
      <c r="D305" s="563" t="n">
        <v>4</v>
      </c>
      <c r="E305" s="563" t="n">
        <v>2</v>
      </c>
      <c r="F305" s="563" t="n">
        <v>7</v>
      </c>
      <c r="G305" s="563" t="n">
        <v>9</v>
      </c>
      <c r="H305" s="563" t="n">
        <v>6</v>
      </c>
      <c r="I305" s="563" t="n">
        <v>1</v>
      </c>
      <c r="J305" s="563" t="n">
        <v>8</v>
      </c>
      <c r="K305" s="563" t="n">
        <v>10</v>
      </c>
      <c r="L305" s="563" t="n">
        <v>12</v>
      </c>
      <c r="M305" s="563" t="n">
        <v>11</v>
      </c>
    </row>
    <row r="306" customFormat="false" ht="15" hidden="false" customHeight="false" outlineLevel="0" collapsed="false">
      <c r="A306" s="563" t="s">
        <v>801</v>
      </c>
      <c r="B306" s="563" t="n">
        <v>1</v>
      </c>
      <c r="C306" s="563" t="n">
        <v>12</v>
      </c>
      <c r="D306" s="563" t="n">
        <v>2</v>
      </c>
      <c r="E306" s="563" t="n">
        <v>5</v>
      </c>
      <c r="F306" s="563" t="n">
        <v>4</v>
      </c>
      <c r="G306" s="563" t="n">
        <v>6</v>
      </c>
      <c r="H306" s="563" t="n">
        <v>3</v>
      </c>
      <c r="I306" s="563" t="n">
        <v>7</v>
      </c>
      <c r="J306" s="563" t="n">
        <v>10</v>
      </c>
      <c r="K306" s="563" t="n">
        <v>9</v>
      </c>
      <c r="L306" s="563" t="n">
        <v>8</v>
      </c>
      <c r="M306" s="563" t="n">
        <v>11</v>
      </c>
    </row>
    <row r="307" customFormat="false" ht="15" hidden="false" customHeight="false" outlineLevel="0" collapsed="false">
      <c r="A307" s="563" t="s">
        <v>802</v>
      </c>
      <c r="B307" s="563" t="n">
        <v>8</v>
      </c>
      <c r="C307" s="563" t="n">
        <v>7</v>
      </c>
      <c r="D307" s="563" t="n">
        <v>1</v>
      </c>
      <c r="E307" s="563" t="n">
        <v>10</v>
      </c>
      <c r="F307" s="563" t="n">
        <v>9</v>
      </c>
      <c r="G307" s="563" t="n">
        <v>12</v>
      </c>
      <c r="H307" s="563" t="n">
        <v>2</v>
      </c>
      <c r="I307" s="563" t="n">
        <v>5</v>
      </c>
      <c r="J307" s="563" t="n">
        <v>11</v>
      </c>
      <c r="K307" s="563" t="n">
        <v>4</v>
      </c>
      <c r="L307" s="563" t="n">
        <v>3</v>
      </c>
      <c r="M307" s="563" t="n">
        <v>6</v>
      </c>
    </row>
    <row r="308" customFormat="false" ht="15" hidden="false" customHeight="false" outlineLevel="0" collapsed="false">
      <c r="A308" s="563" t="s">
        <v>462</v>
      </c>
      <c r="B308" s="563" t="n">
        <f aca="false">B304</f>
        <v>1</v>
      </c>
      <c r="C308" s="563" t="n">
        <f aca="false">C304</f>
        <v>3</v>
      </c>
      <c r="D308" s="563" t="n">
        <f aca="false">D304</f>
        <v>12</v>
      </c>
      <c r="E308" s="563" t="n">
        <f aca="false">E304</f>
        <v>3</v>
      </c>
      <c r="F308" s="563" t="n">
        <f aca="false">F304</f>
        <v>4</v>
      </c>
      <c r="G308" s="563" t="n">
        <f aca="false">G304</f>
        <v>9</v>
      </c>
      <c r="H308" s="563" t="n">
        <f aca="false">H304</f>
        <v>6</v>
      </c>
      <c r="I308" s="563" t="n">
        <f aca="false">I304</f>
        <v>7</v>
      </c>
      <c r="J308" s="563" t="n">
        <f aca="false">J304</f>
        <v>8</v>
      </c>
      <c r="K308" s="563" t="n">
        <f aca="false">K304</f>
        <v>10</v>
      </c>
      <c r="L308" s="563" t="n">
        <f aca="false">L304</f>
        <v>5</v>
      </c>
      <c r="M308" s="563" t="n">
        <f aca="false">M304</f>
        <v>11</v>
      </c>
    </row>
    <row r="309" customFormat="false" ht="15" hidden="false" customHeight="false" outlineLevel="0" collapsed="false">
      <c r="A309" s="563" t="s">
        <v>166</v>
      </c>
      <c r="B309" s="564" t="n">
        <f aca="false">B304</f>
        <v>1</v>
      </c>
      <c r="C309" s="564" t="n">
        <f aca="false">C304</f>
        <v>3</v>
      </c>
      <c r="D309" s="564" t="n">
        <f aca="false">D304</f>
        <v>12</v>
      </c>
      <c r="E309" s="564" t="n">
        <f aca="false">E304</f>
        <v>3</v>
      </c>
      <c r="F309" s="564" t="n">
        <f aca="false">F304</f>
        <v>4</v>
      </c>
      <c r="G309" s="564" t="n">
        <f aca="false">G304</f>
        <v>9</v>
      </c>
      <c r="H309" s="564" t="n">
        <f aca="false">H304</f>
        <v>6</v>
      </c>
      <c r="I309" s="564" t="n">
        <f aca="false">I304</f>
        <v>7</v>
      </c>
      <c r="J309" s="564" t="n">
        <f aca="false">J304</f>
        <v>8</v>
      </c>
      <c r="K309" s="564" t="n">
        <f aca="false">K304</f>
        <v>10</v>
      </c>
      <c r="L309" s="564" t="n">
        <f aca="false">L304</f>
        <v>5</v>
      </c>
      <c r="M309" s="564" t="n">
        <f aca="false">M304</f>
        <v>11</v>
      </c>
    </row>
    <row r="314" customFormat="false" ht="15" hidden="false" customHeight="false" outlineLevel="0" collapsed="false">
      <c r="A314" s="121" t="s">
        <v>803</v>
      </c>
      <c r="B314" s="474" t="s">
        <v>804</v>
      </c>
      <c r="C314" s="193" t="s">
        <v>805</v>
      </c>
    </row>
    <row r="315" customFormat="false" ht="15" hidden="false" customHeight="false" outlineLevel="0" collapsed="false">
      <c r="A315" s="6" t="s">
        <v>164</v>
      </c>
      <c r="B315" s="474" t="n">
        <v>0</v>
      </c>
      <c r="C315" s="193" t="n">
        <f aca="false">B315+30/8</f>
        <v>3.75</v>
      </c>
    </row>
    <row r="316" customFormat="false" ht="15" hidden="false" customHeight="false" outlineLevel="0" collapsed="false">
      <c r="A316" s="6" t="s">
        <v>162</v>
      </c>
      <c r="B316" s="474" t="n">
        <f aca="false">C315</f>
        <v>3.75</v>
      </c>
      <c r="C316" s="193" t="n">
        <f aca="false">B316+30/8</f>
        <v>7.5</v>
      </c>
    </row>
    <row r="317" customFormat="false" ht="15" hidden="false" customHeight="false" outlineLevel="0" collapsed="false">
      <c r="A317" s="6" t="s">
        <v>160</v>
      </c>
      <c r="B317" s="474" t="n">
        <f aca="false">C316</f>
        <v>7.5</v>
      </c>
      <c r="C317" s="193" t="n">
        <f aca="false">B317+30/8</f>
        <v>11.25</v>
      </c>
    </row>
    <row r="318" customFormat="false" ht="15" hidden="false" customHeight="false" outlineLevel="0" collapsed="false">
      <c r="A318" s="6" t="s">
        <v>158</v>
      </c>
      <c r="B318" s="474" t="n">
        <f aca="false">C317</f>
        <v>11.25</v>
      </c>
      <c r="C318" s="193" t="n">
        <f aca="false">B318+30/8</f>
        <v>15</v>
      </c>
    </row>
    <row r="319" customFormat="false" ht="15" hidden="false" customHeight="false" outlineLevel="0" collapsed="false">
      <c r="A319" s="6" t="s">
        <v>163</v>
      </c>
      <c r="B319" s="474" t="n">
        <f aca="false">C318</f>
        <v>15</v>
      </c>
      <c r="C319" s="193" t="n">
        <f aca="false">B319+30/8</f>
        <v>18.75</v>
      </c>
    </row>
    <row r="320" customFormat="false" ht="15" hidden="false" customHeight="false" outlineLevel="0" collapsed="false">
      <c r="A320" s="6" t="s">
        <v>161</v>
      </c>
      <c r="B320" s="474" t="n">
        <f aca="false">C319</f>
        <v>18.75</v>
      </c>
      <c r="C320" s="193" t="n">
        <f aca="false">B320+30/8</f>
        <v>22.5</v>
      </c>
    </row>
    <row r="321" customFormat="false" ht="15" hidden="false" customHeight="false" outlineLevel="0" collapsed="false">
      <c r="A321" s="6" t="s">
        <v>159</v>
      </c>
      <c r="B321" s="474" t="n">
        <f aca="false">C320</f>
        <v>22.5</v>
      </c>
      <c r="C321" s="193" t="n">
        <f aca="false">B321+30/8</f>
        <v>26.25</v>
      </c>
    </row>
    <row r="322" customFormat="false" ht="15" hidden="false" customHeight="false" outlineLevel="0" collapsed="false">
      <c r="A322" s="6" t="s">
        <v>319</v>
      </c>
      <c r="B322" s="474" t="n">
        <f aca="false">C321</f>
        <v>26.25</v>
      </c>
      <c r="C322" s="193" t="n">
        <f aca="false">B322+30/8</f>
        <v>30</v>
      </c>
    </row>
  </sheetData>
  <mergeCells count="166">
    <mergeCell ref="B15:C15"/>
    <mergeCell ref="S16:S18"/>
    <mergeCell ref="T16:T18"/>
    <mergeCell ref="U16:U18"/>
    <mergeCell ref="V16:V18"/>
    <mergeCell ref="S19:S21"/>
    <mergeCell ref="T19:U24"/>
    <mergeCell ref="V19:V21"/>
    <mergeCell ref="S22:S24"/>
    <mergeCell ref="V22:V24"/>
    <mergeCell ref="S25:S27"/>
    <mergeCell ref="T25:T27"/>
    <mergeCell ref="U25:U27"/>
    <mergeCell ref="V25:V27"/>
    <mergeCell ref="B29:O29"/>
    <mergeCell ref="B40:O40"/>
    <mergeCell ref="B51:O51"/>
    <mergeCell ref="B62:O62"/>
    <mergeCell ref="B73:O73"/>
    <mergeCell ref="B85:O85"/>
    <mergeCell ref="B96:O96"/>
    <mergeCell ref="B110:O110"/>
    <mergeCell ref="B120:O120"/>
    <mergeCell ref="B130:O130"/>
    <mergeCell ref="B151:C151"/>
    <mergeCell ref="S152:S154"/>
    <mergeCell ref="T152:T154"/>
    <mergeCell ref="U152:U154"/>
    <mergeCell ref="V152:V154"/>
    <mergeCell ref="S155:S157"/>
    <mergeCell ref="T155:U160"/>
    <mergeCell ref="V155:V157"/>
    <mergeCell ref="S158:S160"/>
    <mergeCell ref="V158:V160"/>
    <mergeCell ref="S161:S163"/>
    <mergeCell ref="T161:T163"/>
    <mergeCell ref="U161:U163"/>
    <mergeCell ref="V161:V163"/>
    <mergeCell ref="B165:C165"/>
    <mergeCell ref="S166:S168"/>
    <mergeCell ref="T166:T168"/>
    <mergeCell ref="U166:U168"/>
    <mergeCell ref="V166:V168"/>
    <mergeCell ref="S169:S171"/>
    <mergeCell ref="T169:U174"/>
    <mergeCell ref="V169:V171"/>
    <mergeCell ref="S172:S174"/>
    <mergeCell ref="V172:V174"/>
    <mergeCell ref="S175:S177"/>
    <mergeCell ref="T175:T177"/>
    <mergeCell ref="U175:U177"/>
    <mergeCell ref="V175:V177"/>
    <mergeCell ref="B179:C179"/>
    <mergeCell ref="S180:S182"/>
    <mergeCell ref="T180:T182"/>
    <mergeCell ref="U180:U182"/>
    <mergeCell ref="V180:V182"/>
    <mergeCell ref="S183:S185"/>
    <mergeCell ref="T183:U188"/>
    <mergeCell ref="V183:V185"/>
    <mergeCell ref="S186:S188"/>
    <mergeCell ref="V186:V188"/>
    <mergeCell ref="S189:S191"/>
    <mergeCell ref="T189:T191"/>
    <mergeCell ref="U189:U191"/>
    <mergeCell ref="V189:V191"/>
    <mergeCell ref="B193:C193"/>
    <mergeCell ref="S194:S196"/>
    <mergeCell ref="T194:T196"/>
    <mergeCell ref="U194:U196"/>
    <mergeCell ref="V194:V196"/>
    <mergeCell ref="S197:S199"/>
    <mergeCell ref="T197:U202"/>
    <mergeCell ref="V197:V199"/>
    <mergeCell ref="S200:S202"/>
    <mergeCell ref="V200:V202"/>
    <mergeCell ref="S203:S205"/>
    <mergeCell ref="T203:T205"/>
    <mergeCell ref="U203:U205"/>
    <mergeCell ref="V203:V205"/>
    <mergeCell ref="B207:C207"/>
    <mergeCell ref="S208:S210"/>
    <mergeCell ref="T208:T210"/>
    <mergeCell ref="U208:U210"/>
    <mergeCell ref="V208:V210"/>
    <mergeCell ref="S211:S213"/>
    <mergeCell ref="T211:U216"/>
    <mergeCell ref="V211:V213"/>
    <mergeCell ref="S214:S216"/>
    <mergeCell ref="V214:V216"/>
    <mergeCell ref="S217:S219"/>
    <mergeCell ref="T217:T219"/>
    <mergeCell ref="U217:U219"/>
    <mergeCell ref="V217:V219"/>
    <mergeCell ref="B221:C221"/>
    <mergeCell ref="S222:S224"/>
    <mergeCell ref="T222:T224"/>
    <mergeCell ref="U222:U224"/>
    <mergeCell ref="V222:V224"/>
    <mergeCell ref="S225:S227"/>
    <mergeCell ref="T225:U230"/>
    <mergeCell ref="V225:V227"/>
    <mergeCell ref="S228:S230"/>
    <mergeCell ref="V228:V230"/>
    <mergeCell ref="S231:S233"/>
    <mergeCell ref="T231:T233"/>
    <mergeCell ref="U231:U233"/>
    <mergeCell ref="V231:V233"/>
    <mergeCell ref="B235:C235"/>
    <mergeCell ref="S236:S238"/>
    <mergeCell ref="T236:T238"/>
    <mergeCell ref="U236:U238"/>
    <mergeCell ref="V236:V238"/>
    <mergeCell ref="S239:S241"/>
    <mergeCell ref="T239:U244"/>
    <mergeCell ref="V239:V241"/>
    <mergeCell ref="S242:S244"/>
    <mergeCell ref="V242:V244"/>
    <mergeCell ref="S245:S247"/>
    <mergeCell ref="T245:T247"/>
    <mergeCell ref="U245:U247"/>
    <mergeCell ref="V245:V247"/>
    <mergeCell ref="B249:C249"/>
    <mergeCell ref="S250:S252"/>
    <mergeCell ref="T250:T252"/>
    <mergeCell ref="U250:U252"/>
    <mergeCell ref="V250:V252"/>
    <mergeCell ref="S253:S255"/>
    <mergeCell ref="T253:U258"/>
    <mergeCell ref="V253:V255"/>
    <mergeCell ref="S256:S258"/>
    <mergeCell ref="V256:V258"/>
    <mergeCell ref="S259:S261"/>
    <mergeCell ref="T259:T261"/>
    <mergeCell ref="U259:U261"/>
    <mergeCell ref="V259:V261"/>
    <mergeCell ref="B263:C263"/>
    <mergeCell ref="S264:S266"/>
    <mergeCell ref="T264:T266"/>
    <mergeCell ref="U264:U266"/>
    <mergeCell ref="V264:V266"/>
    <mergeCell ref="S267:S269"/>
    <mergeCell ref="T267:U272"/>
    <mergeCell ref="V267:V269"/>
    <mergeCell ref="S270:S272"/>
    <mergeCell ref="V270:V272"/>
    <mergeCell ref="S273:S275"/>
    <mergeCell ref="T273:T275"/>
    <mergeCell ref="U273:U275"/>
    <mergeCell ref="V273:V275"/>
    <mergeCell ref="B285:C285"/>
    <mergeCell ref="Z285:AW285"/>
    <mergeCell ref="S286:S288"/>
    <mergeCell ref="T286:T288"/>
    <mergeCell ref="U286:U288"/>
    <mergeCell ref="V286:V288"/>
    <mergeCell ref="S289:S291"/>
    <mergeCell ref="T289:U294"/>
    <mergeCell ref="V289:V291"/>
    <mergeCell ref="S292:S294"/>
    <mergeCell ref="V292:V294"/>
    <mergeCell ref="S295:S297"/>
    <mergeCell ref="T295:T297"/>
    <mergeCell ref="U295:U297"/>
    <mergeCell ref="V295:V297"/>
    <mergeCell ref="X296:AL296"/>
  </mergeCells>
  <conditionalFormatting sqref="D265:O273">
    <cfRule type="cellIs" priority="2" operator="between" aboveAverage="0" equalAverage="0" bottom="0" percent="0" rank="0" text="" dxfId="22">
      <formula>6</formula>
      <formula>8</formula>
    </cfRule>
    <cfRule type="cellIs" priority="3" operator="between" aboveAverage="0" equalAverage="0" bottom="0" percent="0" rank="0" text="" dxfId="23">
      <formula>0</formula>
      <formula>3</formula>
    </cfRule>
  </conditionalFormatting>
  <conditionalFormatting sqref="D264:O264 D194:O194 D208:O208 D222:O222 Z264:AK264">
    <cfRule type="cellIs" priority="4" operator="equal" aboveAverage="0" equalAverage="0" bottom="0" percent="0" rank="0" text="" dxfId="24">
      <formula>$D53</formula>
    </cfRule>
  </conditionalFormatting>
  <conditionalFormatting sqref="D153:O160 D167:O174 D181:O188 D195:O202 D209:O216 D223:O230 D237:O244 D251:O258 Z153:AW160 Z167:AW174 Z181:AW188 Z195:AW202 Z209:AW216 Z223:AW230 Z237:AW244 Z251:AW258 D287:O294 Z287:AW294">
    <cfRule type="cellIs" priority="5" operator="equal" aboveAverage="0" equalAverage="0" bottom="0" percent="0" rank="0" text="" dxfId="25">
      <formula>1</formula>
    </cfRule>
    <cfRule type="cellIs" priority="6" operator="equal" aboveAverage="0" equalAverage="0" bottom="0" percent="0" rank="0" text="" dxfId="26">
      <formula>"*"</formula>
    </cfRule>
  </conditionalFormatting>
  <conditionalFormatting sqref="D236:O236">
    <cfRule type="cellIs" priority="7" operator="equal" aboveAverage="0" equalAverage="0" bottom="0" percent="0" rank="0" text="" dxfId="27">
      <formula>$D$212</formula>
    </cfRule>
  </conditionalFormatting>
  <conditionalFormatting sqref="D250:O250 D286:O286">
    <cfRule type="cellIs" priority="8" operator="equal" aboveAverage="0" equalAverage="0" bottom="0" percent="0" rank="0" text="" dxfId="28">
      <formula>$D$226</formula>
    </cfRule>
  </conditionalFormatting>
  <conditionalFormatting sqref="D152:O152">
    <cfRule type="cellIs" priority="9" operator="equal" aboveAverage="0" equalAverage="0" bottom="0" percent="0" rank="0" text="" dxfId="29">
      <formula>#ref!</formula>
    </cfRule>
  </conditionalFormatting>
  <conditionalFormatting sqref="D180:O180 D166:O166">
    <cfRule type="cellIs" priority="10" operator="equal" aboveAverage="0" equalAverage="0" bottom="0" percent="0" rank="0" text="" dxfId="30">
      <formula>$D14</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58"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23" man="true" max="65535" min="0"/>
  </colBreaks>
  <legacyDrawing r:id="rId2"/>
  <tableParts>
    <tablePart r:id="rId3"/>
    <tablePart r:id="rId4"/>
    <tablePart r:id="rId5"/>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V880"/>
  <sheetViews>
    <sheetView showFormulas="false" showGridLines="true" showRowColHeaders="true" showZeros="true" rightToLeft="false" tabSelected="true" showOutlineSymbols="true" defaultGridColor="true" view="normal" topLeftCell="A713" colorId="64" zoomScale="181" zoomScaleNormal="181" zoomScalePageLayoutView="100" workbookViewId="0">
      <selection pane="topLeft" activeCell="C721" activeCellId="0" sqref="C721"/>
    </sheetView>
  </sheetViews>
  <sheetFormatPr defaultColWidth="7.1484375" defaultRowHeight="15" customHeight="true" zeroHeight="false" outlineLevelRow="0" outlineLevelCol="0"/>
  <cols>
    <col collapsed="false" customWidth="true" hidden="false" outlineLevel="0" max="1" min="1" style="565" width="13.29"/>
    <col collapsed="false" customWidth="true" hidden="false" outlineLevel="0" max="2" min="2" style="565" width="15"/>
    <col collapsed="false" customWidth="true" hidden="false" outlineLevel="0" max="3" min="3" style="565" width="14.71"/>
    <col collapsed="false" customWidth="true" hidden="false" outlineLevel="0" max="4" min="4" style="565" width="10.42"/>
    <col collapsed="false" customWidth="true" hidden="false" outlineLevel="0" max="5" min="5" style="566" width="10.42"/>
    <col collapsed="false" customWidth="true" hidden="false" outlineLevel="0" max="7" min="6" style="565" width="10.42"/>
    <col collapsed="false" customWidth="true" hidden="false" outlineLevel="0" max="8" min="8" style="565" width="18.57"/>
    <col collapsed="false" customWidth="true" hidden="false" outlineLevel="0" max="9" min="9" style="565" width="15.16"/>
    <col collapsed="false" customWidth="true" hidden="false" outlineLevel="0" max="10" min="10" style="565" width="14.74"/>
    <col collapsed="false" customWidth="true" hidden="false" outlineLevel="0" max="11" min="11" style="565" width="11.43"/>
    <col collapsed="false" customWidth="true" hidden="false" outlineLevel="0" max="12" min="12" style="565" width="23.57"/>
    <col collapsed="false" customWidth="true" hidden="false" outlineLevel="0" max="13" min="13" style="565" width="25"/>
    <col collapsed="false" customWidth="true" hidden="false" outlineLevel="0" max="14" min="14" style="565" width="18"/>
    <col collapsed="false" customWidth="true" hidden="false" outlineLevel="0" max="15" min="15" style="565" width="21.84"/>
    <col collapsed="false" customWidth="true" hidden="false" outlineLevel="0" max="16" min="16" style="565" width="29"/>
    <col collapsed="false" customWidth="true" hidden="false" outlineLevel="0" max="17" min="17" style="565" width="23.57"/>
    <col collapsed="false" customWidth="true" hidden="false" outlineLevel="0" max="18" min="18" style="565" width="34.14"/>
    <col collapsed="false" customWidth="true" hidden="false" outlineLevel="0" max="19" min="19" style="565" width="24.57"/>
    <col collapsed="false" customWidth="true" hidden="false" outlineLevel="0" max="20" min="20" style="565" width="23.29"/>
    <col collapsed="false" customWidth="true" hidden="false" outlineLevel="0" max="21" min="21" style="565" width="22.42"/>
    <col collapsed="false" customWidth="true" hidden="false" outlineLevel="0" max="22" min="22" style="565" width="24"/>
    <col collapsed="false" customWidth="true" hidden="false" outlineLevel="0" max="24" min="23" style="565" width="19.29"/>
    <col collapsed="false" customWidth="true" hidden="false" outlineLevel="0" max="25" min="25" style="565" width="13.71"/>
    <col collapsed="false" customWidth="true" hidden="false" outlineLevel="0" max="26" min="26" style="567" width="27.57"/>
    <col collapsed="false" customWidth="true" hidden="false" outlineLevel="0" max="27" min="27" style="567" width="14.29"/>
    <col collapsed="false" customWidth="true" hidden="false" outlineLevel="0" max="28" min="28" style="565" width="13.86"/>
    <col collapsed="false" customWidth="true" hidden="false" outlineLevel="0" max="29" min="29" style="565" width="22.29"/>
    <col collapsed="false" customWidth="true" hidden="false" outlineLevel="0" max="30" min="30" style="565" width="22.57"/>
    <col collapsed="false" customWidth="true" hidden="false" outlineLevel="0" max="31" min="31" style="565" width="29"/>
    <col collapsed="false" customWidth="true" hidden="false" outlineLevel="0" max="32" min="32" style="565" width="21.43"/>
    <col collapsed="false" customWidth="true" hidden="false" outlineLevel="0" max="33" min="33" style="565" width="21.57"/>
    <col collapsed="false" customWidth="true" hidden="false" outlineLevel="0" max="34" min="34" style="565" width="10.57"/>
    <col collapsed="false" customWidth="true" hidden="false" outlineLevel="0" max="35" min="35" style="565" width="12.86"/>
    <col collapsed="false" customWidth="true" hidden="false" outlineLevel="0" max="36" min="36" style="565" width="11.43"/>
    <col collapsed="false" customWidth="true" hidden="false" outlineLevel="0" max="37" min="37" style="565" width="20.42"/>
    <col collapsed="false" customWidth="true" hidden="false" outlineLevel="0" max="38" min="38" style="565" width="16.29"/>
    <col collapsed="false" customWidth="true" hidden="false" outlineLevel="0" max="39" min="39" style="565" width="11.57"/>
    <col collapsed="false" customWidth="true" hidden="false" outlineLevel="0" max="40" min="40" style="565" width="24.29"/>
    <col collapsed="false" customWidth="true" hidden="false" outlineLevel="0" max="41" min="41" style="565" width="25"/>
    <col collapsed="false" customWidth="true" hidden="false" outlineLevel="0" max="42" min="42" style="565" width="16.43"/>
    <col collapsed="false" customWidth="true" hidden="false" outlineLevel="0" max="43" min="43" style="565" width="8.42"/>
    <col collapsed="false" customWidth="true" hidden="false" outlineLevel="0" max="44" min="44" style="565" width="8.15"/>
    <col collapsed="false" customWidth="true" hidden="false" outlineLevel="0" max="45" min="45" style="565" width="8.86"/>
    <col collapsed="false" customWidth="true" hidden="false" outlineLevel="0" max="46" min="46" style="565" width="19.86"/>
    <col collapsed="false" customWidth="true" hidden="false" outlineLevel="0" max="47" min="47" style="565" width="13.57"/>
    <col collapsed="false" customWidth="true" hidden="false" outlineLevel="0" max="48" min="48" style="565" width="14.29"/>
    <col collapsed="false" customWidth="true" hidden="false" outlineLevel="0" max="49" min="49" style="565" width="11.43"/>
    <col collapsed="false" customWidth="true" hidden="false" outlineLevel="0" max="50" min="50" style="565" width="14.42"/>
    <col collapsed="false" customWidth="true" hidden="false" outlineLevel="0" max="51" min="51" style="565" width="16.84"/>
    <col collapsed="false" customWidth="true" hidden="false" outlineLevel="0" max="52" min="52" style="565" width="13.57"/>
    <col collapsed="false" customWidth="true" hidden="false" outlineLevel="0" max="53" min="53" style="565" width="15.29"/>
    <col collapsed="false" customWidth="true" hidden="false" outlineLevel="0" max="54" min="54" style="565" width="14"/>
    <col collapsed="false" customWidth="true" hidden="false" outlineLevel="0" max="55" min="55" style="565" width="53.57"/>
    <col collapsed="false" customWidth="true" hidden="false" outlineLevel="0" max="56" min="56" style="565" width="16.84"/>
    <col collapsed="false" customWidth="true" hidden="false" outlineLevel="0" max="57" min="57" style="565" width="13.57"/>
    <col collapsed="false" customWidth="true" hidden="false" outlineLevel="0" max="58" min="58" style="568" width="33.57"/>
    <col collapsed="false" customWidth="true" hidden="false" outlineLevel="0" max="59" min="59" style="568" width="35"/>
    <col collapsed="false" customWidth="false" hidden="false" outlineLevel="0" max="1024" min="60" style="565" width="7.16"/>
  </cols>
  <sheetData>
    <row r="2" customFormat="false" ht="15" hidden="false" customHeight="true" outlineLevel="0" collapsed="false">
      <c r="A2" s="569" t="s">
        <v>806</v>
      </c>
      <c r="B2" s="569" t="s">
        <v>361</v>
      </c>
      <c r="C2" s="569" t="s">
        <v>362</v>
      </c>
      <c r="D2" s="569" t="s">
        <v>807</v>
      </c>
      <c r="E2" s="569" t="s">
        <v>808</v>
      </c>
      <c r="F2" s="569" t="s">
        <v>595</v>
      </c>
      <c r="G2" s="569" t="s">
        <v>809</v>
      </c>
      <c r="H2" s="565" t="s">
        <v>810</v>
      </c>
      <c r="I2" s="565" t="s">
        <v>811</v>
      </c>
      <c r="J2" s="565" t="s">
        <v>812</v>
      </c>
      <c r="K2" s="566" t="s">
        <v>813</v>
      </c>
      <c r="L2" s="566" t="s">
        <v>814</v>
      </c>
      <c r="M2" s="566" t="s">
        <v>815</v>
      </c>
      <c r="N2" s="565" t="s">
        <v>816</v>
      </c>
      <c r="O2" s="565" t="s">
        <v>474</v>
      </c>
      <c r="P2" s="565" t="s">
        <v>817</v>
      </c>
      <c r="Q2" s="565" t="s">
        <v>818</v>
      </c>
      <c r="R2" s="565" t="s">
        <v>819</v>
      </c>
      <c r="S2" s="566" t="s">
        <v>820</v>
      </c>
      <c r="T2" s="565" t="s">
        <v>821</v>
      </c>
      <c r="U2" s="565" t="s">
        <v>822</v>
      </c>
      <c r="V2" s="565" t="s">
        <v>823</v>
      </c>
      <c r="W2" s="565" t="s">
        <v>824</v>
      </c>
      <c r="X2" s="565" t="s">
        <v>825</v>
      </c>
      <c r="Z2" s="565"/>
      <c r="AA2" s="565"/>
    </row>
    <row r="3" customFormat="false" ht="15" hidden="false" customHeight="true" outlineLevel="0" collapsed="false">
      <c r="A3" s="570" t="s">
        <v>158</v>
      </c>
      <c r="B3" s="570" t="n">
        <f aca="false">VimFactor*6</f>
        <v>6</v>
      </c>
      <c r="C3" s="181" t="n">
        <v>2</v>
      </c>
      <c r="D3" s="571" t="s">
        <v>826</v>
      </c>
      <c r="E3" s="566" t="s">
        <v>827</v>
      </c>
      <c r="F3" s="565" t="n">
        <v>1</v>
      </c>
      <c r="G3" s="565" t="s">
        <v>689</v>
      </c>
      <c r="H3" s="572" t="n">
        <v>10</v>
      </c>
      <c r="I3" s="565" t="str">
        <f aca="false">INDEX(RasiTbl_11,INT(H3/30)+1)</f>
        <v>Aries</v>
      </c>
      <c r="J3" s="565" t="n">
        <f aca="false">MOD(H3+180,360)</f>
        <v>190</v>
      </c>
      <c r="K3" s="565" t="s">
        <v>828</v>
      </c>
      <c r="L3" s="565" t="n">
        <v>365.256363004</v>
      </c>
      <c r="M3" s="573" t="n">
        <v>4320000</v>
      </c>
      <c r="N3" s="565" t="n">
        <v>5</v>
      </c>
      <c r="O3" s="574"/>
      <c r="P3" s="565" t="s">
        <v>689</v>
      </c>
      <c r="Q3" s="565" t="n">
        <v>1</v>
      </c>
      <c r="R3" s="575" t="n">
        <v>5</v>
      </c>
      <c r="T3" s="565" t="n">
        <v>0.9856026545</v>
      </c>
      <c r="V3" s="565" t="s">
        <v>829</v>
      </c>
      <c r="W3" s="565" t="s">
        <v>830</v>
      </c>
      <c r="X3" s="565" t="s">
        <v>639</v>
      </c>
      <c r="Z3" s="565"/>
      <c r="AA3" s="565"/>
    </row>
    <row r="4" customFormat="false" ht="15" hidden="false" customHeight="true" outlineLevel="0" collapsed="false">
      <c r="A4" s="570" t="s">
        <v>159</v>
      </c>
      <c r="B4" s="570" t="n">
        <f aca="false">VimFactor*10</f>
        <v>10</v>
      </c>
      <c r="C4" s="181" t="n">
        <v>3</v>
      </c>
      <c r="D4" s="571" t="s">
        <v>831</v>
      </c>
      <c r="E4" s="566" t="s">
        <v>832</v>
      </c>
      <c r="F4" s="565" t="n">
        <v>2</v>
      </c>
      <c r="G4" s="565" t="s">
        <v>693</v>
      </c>
      <c r="H4" s="565" t="n">
        <v>33</v>
      </c>
      <c r="I4" s="565" t="str">
        <f aca="false">INDEX(RasiTbl_11,INT(H4/30)+1)</f>
        <v>Taurus</v>
      </c>
      <c r="J4" s="565" t="n">
        <f aca="false">MOD(H4+180,360)</f>
        <v>213</v>
      </c>
      <c r="K4" s="565" t="s">
        <v>833</v>
      </c>
      <c r="L4" s="565" t="n">
        <v>27.321582</v>
      </c>
      <c r="M4" s="573" t="n">
        <v>57753336</v>
      </c>
      <c r="N4" s="565" t="n">
        <v>5</v>
      </c>
      <c r="O4" s="574"/>
      <c r="P4" s="565" t="s">
        <v>711</v>
      </c>
      <c r="Q4" s="565" t="n">
        <v>2</v>
      </c>
      <c r="R4" s="575" t="n">
        <v>2</v>
      </c>
      <c r="S4" s="565" t="n">
        <v>12</v>
      </c>
      <c r="V4" s="565" t="s">
        <v>834</v>
      </c>
      <c r="W4" s="565" t="s">
        <v>835</v>
      </c>
      <c r="X4" s="565" t="s">
        <v>649</v>
      </c>
      <c r="Z4" s="565"/>
      <c r="AA4" s="565"/>
    </row>
    <row r="5" customFormat="false" ht="15" hidden="false" customHeight="true" outlineLevel="0" collapsed="false">
      <c r="A5" s="570" t="s">
        <v>160</v>
      </c>
      <c r="B5" s="570" t="n">
        <f aca="false">VimFactor*7</f>
        <v>7</v>
      </c>
      <c r="C5" s="181" t="n">
        <v>4</v>
      </c>
      <c r="D5" s="571" t="s">
        <v>836</v>
      </c>
      <c r="E5" s="566" t="s">
        <v>837</v>
      </c>
      <c r="F5" s="565" t="n">
        <v>3</v>
      </c>
      <c r="G5" s="565" t="s">
        <v>706</v>
      </c>
      <c r="H5" s="565" t="n">
        <v>298</v>
      </c>
      <c r="I5" s="565" t="str">
        <f aca="false">INDEX(RasiTbl_11,INT(H5/30)+1)</f>
        <v>Capricorn</v>
      </c>
      <c r="J5" s="565" t="n">
        <f aca="false">MOD(H5+180,360)</f>
        <v>118</v>
      </c>
      <c r="K5" s="565" t="s">
        <v>838</v>
      </c>
      <c r="L5" s="565" t="n">
        <v>686.971</v>
      </c>
      <c r="M5" s="573" t="n">
        <v>2296824</v>
      </c>
      <c r="N5" s="565" t="n">
        <v>8</v>
      </c>
      <c r="O5" s="574"/>
      <c r="P5" s="565" t="s">
        <v>708</v>
      </c>
      <c r="Q5" s="565" t="n">
        <v>3</v>
      </c>
      <c r="R5" s="575" t="n">
        <v>2</v>
      </c>
      <c r="S5" s="565" t="n">
        <v>17</v>
      </c>
      <c r="T5" s="565" t="n">
        <v>0.524019333</v>
      </c>
      <c r="U5" s="565" t="n">
        <f aca="false">360/686.971</f>
        <v>0.524039588279563</v>
      </c>
      <c r="V5" s="565" t="s">
        <v>839</v>
      </c>
      <c r="W5" s="565" t="s">
        <v>840</v>
      </c>
      <c r="X5" s="565" t="s">
        <v>841</v>
      </c>
      <c r="Z5" s="565"/>
      <c r="AA5" s="565"/>
    </row>
    <row r="6" customFormat="false" ht="15" hidden="false" customHeight="true" outlineLevel="0" collapsed="false">
      <c r="A6" s="570" t="s">
        <v>161</v>
      </c>
      <c r="B6" s="570" t="n">
        <f aca="false">VimFactor*17</f>
        <v>17</v>
      </c>
      <c r="C6" s="181" t="n">
        <v>8</v>
      </c>
      <c r="D6" s="571" t="s">
        <v>842</v>
      </c>
      <c r="E6" s="566" t="s">
        <v>843</v>
      </c>
      <c r="F6" s="565" t="n">
        <v>4</v>
      </c>
      <c r="G6" s="565" t="s">
        <v>711</v>
      </c>
      <c r="H6" s="565" t="n">
        <v>165</v>
      </c>
      <c r="I6" s="565" t="str">
        <f aca="false">INDEX(RasiTbl_11,INT(H6/30)+1)</f>
        <v>Virgo</v>
      </c>
      <c r="J6" s="565" t="n">
        <f aca="false">MOD(H6+180,360)</f>
        <v>345</v>
      </c>
      <c r="K6" s="565" t="s">
        <v>844</v>
      </c>
      <c r="L6" s="565" t="n">
        <v>87.9691</v>
      </c>
      <c r="M6" s="573" t="n">
        <v>17937000</v>
      </c>
      <c r="N6" s="565" t="n">
        <v>5</v>
      </c>
      <c r="O6" s="574"/>
      <c r="P6" s="565" t="s">
        <v>699</v>
      </c>
      <c r="Q6" s="565" t="n">
        <v>4</v>
      </c>
      <c r="R6" s="575" t="n">
        <v>3</v>
      </c>
      <c r="S6" s="565" t="s">
        <v>845</v>
      </c>
      <c r="V6" s="565" t="s">
        <v>846</v>
      </c>
      <c r="W6" s="565" t="s">
        <v>847</v>
      </c>
      <c r="X6" s="565" t="s">
        <v>657</v>
      </c>
      <c r="Z6" s="565"/>
      <c r="AA6" s="565"/>
    </row>
    <row r="7" customFormat="false" ht="15" hidden="false" customHeight="true" outlineLevel="0" collapsed="false">
      <c r="A7" s="570" t="s">
        <v>162</v>
      </c>
      <c r="B7" s="570" t="n">
        <f aca="false">VimFactor*16</f>
        <v>16</v>
      </c>
      <c r="C7" s="181" t="n">
        <v>6</v>
      </c>
      <c r="D7" s="571" t="s">
        <v>848</v>
      </c>
      <c r="E7" s="566" t="s">
        <v>849</v>
      </c>
      <c r="F7" s="565" t="n">
        <v>5</v>
      </c>
      <c r="G7" s="565" t="s">
        <v>703</v>
      </c>
      <c r="H7" s="565" t="n">
        <v>95</v>
      </c>
      <c r="I7" s="565" t="str">
        <f aca="false">INDEX(RasiTbl_11,INT(H7/30)+1)</f>
        <v>Cancer</v>
      </c>
      <c r="J7" s="565" t="n">
        <f aca="false">MOD(H7+180,360)</f>
        <v>275</v>
      </c>
      <c r="K7" s="565" t="s">
        <v>850</v>
      </c>
      <c r="L7" s="565" t="n">
        <v>4332.59</v>
      </c>
      <c r="M7" s="573" t="n">
        <v>364220</v>
      </c>
      <c r="N7" s="565" t="n">
        <v>10</v>
      </c>
      <c r="O7" s="574"/>
      <c r="P7" s="565" t="s">
        <v>711</v>
      </c>
      <c r="Q7" s="565" t="n">
        <v>5</v>
      </c>
      <c r="R7" s="575" t="n">
        <v>5</v>
      </c>
      <c r="S7" s="565" t="n">
        <v>11</v>
      </c>
      <c r="T7" s="565" t="n">
        <v>0.083096333</v>
      </c>
      <c r="U7" s="576" t="n">
        <f aca="false">360/4332.59</f>
        <v>0.0830911764094918</v>
      </c>
      <c r="V7" s="565" t="s">
        <v>851</v>
      </c>
      <c r="W7" s="565" t="s">
        <v>852</v>
      </c>
      <c r="X7" s="565" t="s">
        <v>853</v>
      </c>
      <c r="Z7" s="565"/>
      <c r="AA7" s="565"/>
    </row>
    <row r="8" customFormat="false" ht="15" hidden="false" customHeight="true" outlineLevel="0" collapsed="false">
      <c r="A8" s="570" t="s">
        <v>163</v>
      </c>
      <c r="B8" s="570" t="n">
        <f aca="false">VimFactor*20</f>
        <v>20</v>
      </c>
      <c r="C8" s="181" t="n">
        <v>1</v>
      </c>
      <c r="D8" s="571" t="s">
        <v>854</v>
      </c>
      <c r="E8" s="566" t="s">
        <v>855</v>
      </c>
      <c r="F8" s="565" t="n">
        <v>6</v>
      </c>
      <c r="G8" s="565" t="s">
        <v>694</v>
      </c>
      <c r="H8" s="565" t="n">
        <v>357</v>
      </c>
      <c r="I8" s="565" t="str">
        <f aca="false">INDEX(RasiTbl_11,INT(H8/30)+1)</f>
        <v>Pisces</v>
      </c>
      <c r="J8" s="565" t="n">
        <f aca="false">MOD(H8+180,360)</f>
        <v>177</v>
      </c>
      <c r="K8" s="565" t="s">
        <v>856</v>
      </c>
      <c r="L8" s="565" t="n">
        <v>224.701</v>
      </c>
      <c r="M8" s="573" t="n">
        <v>7022388</v>
      </c>
      <c r="N8" s="565" t="n">
        <v>7</v>
      </c>
      <c r="O8" s="574"/>
      <c r="P8" s="565" t="s">
        <v>693</v>
      </c>
      <c r="Q8" s="565" t="n">
        <v>6</v>
      </c>
      <c r="R8" s="575" t="n">
        <v>3</v>
      </c>
      <c r="S8" s="565" t="s">
        <v>857</v>
      </c>
      <c r="T8" s="565" t="n">
        <f aca="false">T9</f>
        <v>0.0334393333</v>
      </c>
      <c r="V8" s="565" t="s">
        <v>858</v>
      </c>
      <c r="W8" s="565" t="s">
        <v>859</v>
      </c>
      <c r="X8" s="565" t="s">
        <v>860</v>
      </c>
      <c r="Z8" s="565"/>
      <c r="AA8" s="565"/>
    </row>
    <row r="9" customFormat="false" ht="15" hidden="false" customHeight="true" outlineLevel="0" collapsed="false">
      <c r="A9" s="570" t="s">
        <v>164</v>
      </c>
      <c r="B9" s="570" t="n">
        <f aca="false">VimFactor*19</f>
        <v>19</v>
      </c>
      <c r="C9" s="181" t="n">
        <v>7</v>
      </c>
      <c r="D9" s="571" t="s">
        <v>861</v>
      </c>
      <c r="E9" s="566" t="s">
        <v>862</v>
      </c>
      <c r="F9" s="565" t="n">
        <v>7</v>
      </c>
      <c r="G9" s="565" t="s">
        <v>710</v>
      </c>
      <c r="H9" s="565" t="n">
        <v>200</v>
      </c>
      <c r="I9" s="565" t="str">
        <f aca="false">INDEX(RasiTbl_11,INT(H9/30)+1)</f>
        <v>Libra</v>
      </c>
      <c r="J9" s="565" t="n">
        <f aca="false">MOD(H9+180,360)</f>
        <v>20</v>
      </c>
      <c r="K9" s="565" t="s">
        <v>863</v>
      </c>
      <c r="L9" s="565" t="n">
        <v>10759.22</v>
      </c>
      <c r="M9" s="573" t="n">
        <v>146564</v>
      </c>
      <c r="N9" s="565" t="n">
        <v>5</v>
      </c>
      <c r="O9" s="574"/>
      <c r="P9" s="565" t="s">
        <v>694</v>
      </c>
      <c r="Q9" s="565" t="n">
        <v>7</v>
      </c>
      <c r="R9" s="575" t="n">
        <v>3</v>
      </c>
      <c r="S9" s="565" t="n">
        <v>15</v>
      </c>
      <c r="T9" s="565" t="n">
        <v>0.0334393333</v>
      </c>
      <c r="U9" s="565" t="n">
        <f aca="false">360/10759.22</f>
        <v>0.0334596745860759</v>
      </c>
      <c r="V9" s="565" t="s">
        <v>864</v>
      </c>
      <c r="W9" s="565" t="s">
        <v>865</v>
      </c>
      <c r="X9" s="565" t="s">
        <v>574</v>
      </c>
      <c r="Z9" s="565"/>
      <c r="AA9" s="565"/>
    </row>
    <row r="10" customFormat="false" ht="15" hidden="false" customHeight="true" outlineLevel="0" collapsed="false">
      <c r="A10" s="570" t="s">
        <v>165</v>
      </c>
      <c r="B10" s="570" t="n">
        <f aca="false">VimFactor*18</f>
        <v>18</v>
      </c>
      <c r="C10" s="181" t="n">
        <v>5</v>
      </c>
      <c r="D10" s="571" t="s">
        <v>866</v>
      </c>
      <c r="E10" s="566" t="s">
        <v>867</v>
      </c>
      <c r="F10" s="565" t="n">
        <v>8</v>
      </c>
      <c r="G10" s="565" t="s">
        <v>695</v>
      </c>
      <c r="H10" s="565" t="n">
        <v>75</v>
      </c>
      <c r="I10" s="565" t="str">
        <f aca="false">INDEX(RasiTbl_11,INT(H10/30)+1)</f>
        <v>Gemini</v>
      </c>
      <c r="J10" s="565" t="n">
        <f aca="false">MOD(H10+180,360)</f>
        <v>255</v>
      </c>
      <c r="K10" s="565" t="s">
        <v>868</v>
      </c>
      <c r="L10" s="577" t="n">
        <v>6793.47709</v>
      </c>
      <c r="M10" s="573" t="n">
        <v>232238</v>
      </c>
      <c r="O10" s="574"/>
      <c r="P10" s="565" t="s">
        <v>693</v>
      </c>
      <c r="Q10" s="565" t="n">
        <v>8</v>
      </c>
      <c r="R10" s="575" t="n">
        <v>4</v>
      </c>
      <c r="W10" s="565" t="s">
        <v>869</v>
      </c>
      <c r="X10" s="565" t="s">
        <v>639</v>
      </c>
      <c r="Z10" s="565"/>
      <c r="AA10" s="565"/>
    </row>
    <row r="11" customFormat="false" ht="15" hidden="false" customHeight="true" outlineLevel="0" collapsed="false">
      <c r="A11" s="570" t="s">
        <v>166</v>
      </c>
      <c r="B11" s="570" t="n">
        <f aca="false">VimFactor*7</f>
        <v>7</v>
      </c>
      <c r="C11" s="181" t="n">
        <v>0</v>
      </c>
      <c r="D11" s="571" t="s">
        <v>870</v>
      </c>
      <c r="E11" s="566" t="s">
        <v>871</v>
      </c>
      <c r="F11" s="565" t="n">
        <v>9</v>
      </c>
      <c r="G11" s="565" t="s">
        <v>708</v>
      </c>
      <c r="H11" s="565" t="n">
        <f aca="false">H10+180</f>
        <v>255</v>
      </c>
      <c r="I11" s="565" t="str">
        <f aca="false">INDEX(RasiTbl_11,INT(H11/30)+1)</f>
        <v>Sagitarius</v>
      </c>
      <c r="J11" s="565" t="n">
        <f aca="false">MOD(H11+180,360)</f>
        <v>75</v>
      </c>
      <c r="K11" s="565" t="s">
        <v>868</v>
      </c>
      <c r="M11" s="573" t="n">
        <f aca="false">M10</f>
        <v>232238</v>
      </c>
      <c r="O11" s="574"/>
      <c r="P11" s="565" t="s">
        <v>701</v>
      </c>
      <c r="Q11" s="565" t="n">
        <v>9</v>
      </c>
      <c r="R11" s="565" t="n">
        <v>4</v>
      </c>
      <c r="W11" s="565" t="s">
        <v>872</v>
      </c>
      <c r="X11" s="565" t="s">
        <v>644</v>
      </c>
      <c r="Z11" s="565"/>
      <c r="AA11" s="565"/>
    </row>
    <row r="12" customFormat="false" ht="15" hidden="false" customHeight="false" outlineLevel="0" collapsed="false">
      <c r="M12" s="573"/>
      <c r="Z12" s="565"/>
      <c r="AA12" s="565"/>
    </row>
    <row r="13" customFormat="false" ht="15" hidden="false" customHeight="false" outlineLevel="0" collapsed="false">
      <c r="A13" s="565" t="s">
        <v>873</v>
      </c>
      <c r="B13" s="565" t="n">
        <f aca="false">SUM(Vimshottari!B2:B10)</f>
        <v>120</v>
      </c>
      <c r="E13" s="578" t="s">
        <v>564</v>
      </c>
      <c r="M13" s="573"/>
      <c r="Z13" s="565"/>
      <c r="AA13" s="565"/>
    </row>
    <row r="14" customFormat="false" ht="15" hidden="false" customHeight="false" outlineLevel="0" collapsed="false">
      <c r="A14" s="579"/>
      <c r="B14" s="580"/>
      <c r="C14" s="579"/>
      <c r="D14" s="579"/>
      <c r="E14" s="580"/>
      <c r="F14" s="579"/>
      <c r="G14" s="579"/>
      <c r="H14" s="579"/>
      <c r="I14" s="579"/>
      <c r="J14" s="579"/>
      <c r="K14" s="579"/>
      <c r="L14" s="581"/>
      <c r="M14" s="582"/>
    </row>
    <row r="15" s="583" customFormat="true" ht="12.75" hidden="false" customHeight="true" outlineLevel="0" collapsed="false">
      <c r="A15" s="583" t="s">
        <v>874</v>
      </c>
      <c r="B15" s="584" t="s">
        <v>875</v>
      </c>
      <c r="C15" s="584" t="s">
        <v>876</v>
      </c>
      <c r="D15" s="583" t="s">
        <v>877</v>
      </c>
      <c r="E15" s="569" t="s">
        <v>807</v>
      </c>
      <c r="F15" s="583" t="s">
        <v>878</v>
      </c>
      <c r="G15" s="583" t="s">
        <v>879</v>
      </c>
      <c r="H15" s="583" t="s">
        <v>880</v>
      </c>
      <c r="I15" s="583" t="s">
        <v>881</v>
      </c>
      <c r="J15" s="583" t="s">
        <v>882</v>
      </c>
      <c r="K15" s="583" t="s">
        <v>883</v>
      </c>
      <c r="L15" s="583" t="s">
        <v>884</v>
      </c>
      <c r="M15" s="583" t="s">
        <v>885</v>
      </c>
      <c r="N15" s="583" t="s">
        <v>886</v>
      </c>
      <c r="O15" s="583" t="s">
        <v>887</v>
      </c>
      <c r="P15" s="583" t="s">
        <v>888</v>
      </c>
      <c r="Q15" s="583" t="s">
        <v>889</v>
      </c>
      <c r="R15" s="583" t="s">
        <v>890</v>
      </c>
      <c r="S15" s="583" t="s">
        <v>891</v>
      </c>
      <c r="T15" s="583" t="s">
        <v>892</v>
      </c>
      <c r="U15" s="583" t="s">
        <v>893</v>
      </c>
      <c r="V15" s="583" t="s">
        <v>894</v>
      </c>
      <c r="W15" s="583" t="s">
        <v>895</v>
      </c>
      <c r="Z15" s="585"/>
      <c r="AA15" s="585"/>
      <c r="BF15" s="586"/>
      <c r="BG15" s="586"/>
    </row>
    <row r="16" customFormat="false" ht="12.75" hidden="false" customHeight="true" outlineLevel="0" collapsed="false">
      <c r="A16" s="565" t="s">
        <v>896</v>
      </c>
      <c r="B16" s="570" t="s">
        <v>689</v>
      </c>
      <c r="C16" s="570" t="n">
        <v>0</v>
      </c>
      <c r="D16" s="565" t="s">
        <v>897</v>
      </c>
      <c r="E16" s="566" t="s">
        <v>842</v>
      </c>
      <c r="F16" s="565" t="s">
        <v>898</v>
      </c>
      <c r="G16" s="565" t="s">
        <v>899</v>
      </c>
      <c r="H16" s="565" t="s">
        <v>849</v>
      </c>
      <c r="I16" s="583" t="n">
        <v>1</v>
      </c>
      <c r="J16" s="565" t="s">
        <v>160</v>
      </c>
      <c r="K16" s="587" t="s">
        <v>900</v>
      </c>
      <c r="L16" s="565" t="s">
        <v>901</v>
      </c>
      <c r="M16" s="565" t="s">
        <v>902</v>
      </c>
      <c r="N16" s="565" t="s">
        <v>903</v>
      </c>
      <c r="O16" s="565" t="s">
        <v>904</v>
      </c>
      <c r="P16" s="565" t="n">
        <v>7</v>
      </c>
      <c r="Q16" s="565" t="s">
        <v>905</v>
      </c>
      <c r="R16" s="565" t="s">
        <v>98</v>
      </c>
      <c r="S16" s="565" t="s">
        <v>906</v>
      </c>
      <c r="T16" s="565" t="s">
        <v>907</v>
      </c>
    </row>
    <row r="17" customFormat="false" ht="12.75" hidden="false" customHeight="true" outlineLevel="0" collapsed="false">
      <c r="A17" s="565" t="s">
        <v>908</v>
      </c>
      <c r="B17" s="570" t="s">
        <v>693</v>
      </c>
      <c r="C17" s="570" t="n">
        <f aca="false">C16+30</f>
        <v>30</v>
      </c>
      <c r="D17" s="565" t="s">
        <v>909</v>
      </c>
      <c r="E17" s="566" t="s">
        <v>826</v>
      </c>
      <c r="F17" s="565" t="s">
        <v>910</v>
      </c>
      <c r="G17" s="565" t="s">
        <v>911</v>
      </c>
      <c r="H17" s="565" t="s">
        <v>912</v>
      </c>
      <c r="I17" s="583" t="n">
        <v>2</v>
      </c>
      <c r="J17" s="565" t="s">
        <v>163</v>
      </c>
      <c r="K17" s="587" t="s">
        <v>913</v>
      </c>
      <c r="L17" s="565" t="s">
        <v>914</v>
      </c>
      <c r="M17" s="565" t="s">
        <v>915</v>
      </c>
      <c r="N17" s="565" t="s">
        <v>916</v>
      </c>
      <c r="O17" s="565" t="s">
        <v>917</v>
      </c>
      <c r="P17" s="565" t="n">
        <v>10</v>
      </c>
      <c r="Q17" s="565" t="s">
        <v>905</v>
      </c>
      <c r="R17" s="565" t="s">
        <v>98</v>
      </c>
      <c r="S17" s="565" t="s">
        <v>918</v>
      </c>
      <c r="T17" s="565" t="s">
        <v>919</v>
      </c>
    </row>
    <row r="18" customFormat="false" ht="12.75" hidden="false" customHeight="true" outlineLevel="0" collapsed="false">
      <c r="A18" s="565" t="s">
        <v>920</v>
      </c>
      <c r="B18" s="570" t="s">
        <v>695</v>
      </c>
      <c r="C18" s="570" t="n">
        <f aca="false">C17+30</f>
        <v>60</v>
      </c>
      <c r="D18" s="565" t="s">
        <v>921</v>
      </c>
      <c r="E18" s="566" t="s">
        <v>836</v>
      </c>
      <c r="F18" s="565" t="s">
        <v>922</v>
      </c>
      <c r="G18" s="565" t="s">
        <v>923</v>
      </c>
      <c r="H18" s="565" t="s">
        <v>924</v>
      </c>
      <c r="I18" s="583" t="n">
        <v>3</v>
      </c>
      <c r="J18" s="565" t="s">
        <v>161</v>
      </c>
      <c r="K18" s="587" t="s">
        <v>925</v>
      </c>
      <c r="L18" s="565" t="s">
        <v>926</v>
      </c>
      <c r="M18" s="565" t="s">
        <v>927</v>
      </c>
      <c r="N18" s="565" t="s">
        <v>928</v>
      </c>
      <c r="O18" s="565" t="s">
        <v>929</v>
      </c>
      <c r="P18" s="565" t="n">
        <v>8</v>
      </c>
      <c r="R18" s="565" t="s">
        <v>163</v>
      </c>
      <c r="S18" s="565" t="s">
        <v>930</v>
      </c>
      <c r="T18" s="565" t="s">
        <v>919</v>
      </c>
    </row>
    <row r="19" customFormat="false" ht="12.75" hidden="false" customHeight="true" outlineLevel="0" collapsed="false">
      <c r="A19" s="565" t="s">
        <v>931</v>
      </c>
      <c r="B19" s="570" t="s">
        <v>703</v>
      </c>
      <c r="C19" s="570" t="n">
        <f aca="false">C18+30</f>
        <v>90</v>
      </c>
      <c r="D19" s="565" t="s">
        <v>932</v>
      </c>
      <c r="E19" s="566" t="s">
        <v>861</v>
      </c>
      <c r="F19" s="565" t="s">
        <v>933</v>
      </c>
      <c r="G19" s="565" t="s">
        <v>899</v>
      </c>
      <c r="H19" s="565" t="s">
        <v>934</v>
      </c>
      <c r="I19" s="583" t="n">
        <v>1</v>
      </c>
      <c r="J19" s="565" t="s">
        <v>159</v>
      </c>
      <c r="K19" s="587" t="s">
        <v>935</v>
      </c>
      <c r="L19" s="565" t="s">
        <v>936</v>
      </c>
      <c r="M19" s="565" t="s">
        <v>937</v>
      </c>
      <c r="N19" s="565" t="s">
        <v>938</v>
      </c>
      <c r="O19" s="565" t="s">
        <v>939</v>
      </c>
      <c r="P19" s="565" t="n">
        <v>4</v>
      </c>
      <c r="Q19" s="565" t="s">
        <v>940</v>
      </c>
      <c r="R19" s="565" t="s">
        <v>98</v>
      </c>
      <c r="S19" s="565" t="s">
        <v>941</v>
      </c>
      <c r="T19" s="565" t="s">
        <v>942</v>
      </c>
    </row>
    <row r="20" customFormat="false" ht="12.75" hidden="false" customHeight="true" outlineLevel="0" collapsed="false">
      <c r="A20" s="565" t="s">
        <v>943</v>
      </c>
      <c r="B20" s="570" t="s">
        <v>701</v>
      </c>
      <c r="C20" s="570" t="n">
        <f aca="false">C19+30</f>
        <v>120</v>
      </c>
      <c r="D20" s="565" t="s">
        <v>897</v>
      </c>
      <c r="E20" s="566" t="s">
        <v>842</v>
      </c>
      <c r="F20" s="565" t="s">
        <v>898</v>
      </c>
      <c r="G20" s="565" t="s">
        <v>911</v>
      </c>
      <c r="H20" s="566" t="s">
        <v>944</v>
      </c>
      <c r="I20" s="583" t="n">
        <v>2</v>
      </c>
      <c r="J20" s="565" t="s">
        <v>158</v>
      </c>
      <c r="K20" s="587" t="s">
        <v>945</v>
      </c>
      <c r="L20" s="565" t="s">
        <v>946</v>
      </c>
      <c r="M20" s="565" t="s">
        <v>947</v>
      </c>
      <c r="N20" s="565" t="s">
        <v>948</v>
      </c>
      <c r="O20" s="565" t="s">
        <v>949</v>
      </c>
      <c r="P20" s="565" t="n">
        <v>10</v>
      </c>
      <c r="Q20" s="565" t="s">
        <v>905</v>
      </c>
      <c r="R20" s="565" t="s">
        <v>98</v>
      </c>
      <c r="S20" s="565" t="s">
        <v>950</v>
      </c>
      <c r="T20" s="565" t="s">
        <v>942</v>
      </c>
    </row>
    <row r="21" customFormat="false" ht="12.75" hidden="false" customHeight="true" outlineLevel="0" collapsed="false">
      <c r="A21" s="565" t="s">
        <v>951</v>
      </c>
      <c r="B21" s="570" t="s">
        <v>711</v>
      </c>
      <c r="C21" s="570" t="n">
        <f aca="false">C20+30</f>
        <v>150</v>
      </c>
      <c r="D21" s="565" t="s">
        <v>909</v>
      </c>
      <c r="E21" s="566" t="s">
        <v>826</v>
      </c>
      <c r="F21" s="565" t="s">
        <v>910</v>
      </c>
      <c r="G21" s="565" t="s">
        <v>923</v>
      </c>
      <c r="H21" s="566" t="s">
        <v>952</v>
      </c>
      <c r="I21" s="583" t="n">
        <v>3</v>
      </c>
      <c r="J21" s="565" t="s">
        <v>161</v>
      </c>
      <c r="K21" s="587" t="s">
        <v>953</v>
      </c>
      <c r="L21" s="565" t="s">
        <v>954</v>
      </c>
      <c r="M21" s="565" t="s">
        <v>955</v>
      </c>
      <c r="N21" s="565" t="s">
        <v>956</v>
      </c>
      <c r="O21" s="565" t="s">
        <v>957</v>
      </c>
      <c r="P21" s="565" t="n">
        <v>5</v>
      </c>
      <c r="Q21" s="565" t="s">
        <v>958</v>
      </c>
      <c r="R21" s="565" t="s">
        <v>164</v>
      </c>
      <c r="S21" s="565" t="s">
        <v>959</v>
      </c>
      <c r="T21" s="565" t="s">
        <v>960</v>
      </c>
    </row>
    <row r="22" customFormat="false" ht="12.75" hidden="false" customHeight="true" outlineLevel="0" collapsed="false">
      <c r="A22" s="565" t="s">
        <v>961</v>
      </c>
      <c r="B22" s="570" t="s">
        <v>710</v>
      </c>
      <c r="C22" s="570" t="n">
        <f aca="false">C21+30</f>
        <v>180</v>
      </c>
      <c r="D22" s="565" t="s">
        <v>921</v>
      </c>
      <c r="E22" s="566" t="s">
        <v>836</v>
      </c>
      <c r="F22" s="565" t="s">
        <v>922</v>
      </c>
      <c r="G22" s="565" t="s">
        <v>899</v>
      </c>
      <c r="H22" s="565" t="s">
        <v>962</v>
      </c>
      <c r="I22" s="583" t="n">
        <v>1</v>
      </c>
      <c r="J22" s="565" t="s">
        <v>163</v>
      </c>
      <c r="K22" s="587" t="s">
        <v>963</v>
      </c>
      <c r="L22" s="565" t="s">
        <v>964</v>
      </c>
      <c r="M22" s="565" t="s">
        <v>965</v>
      </c>
      <c r="N22" s="565" t="s">
        <v>966</v>
      </c>
      <c r="O22" s="565" t="s">
        <v>967</v>
      </c>
      <c r="P22" s="565" t="n">
        <v>7</v>
      </c>
      <c r="Q22" s="565" t="s">
        <v>958</v>
      </c>
      <c r="R22" s="565" t="s">
        <v>160</v>
      </c>
      <c r="S22" s="565" t="s">
        <v>968</v>
      </c>
      <c r="T22" s="565" t="s">
        <v>960</v>
      </c>
    </row>
    <row r="23" customFormat="false" ht="12.75" hidden="false" customHeight="true" outlineLevel="0" collapsed="false">
      <c r="A23" s="565" t="s">
        <v>969</v>
      </c>
      <c r="B23" s="570" t="s">
        <v>709</v>
      </c>
      <c r="C23" s="570" t="n">
        <f aca="false">C22+30</f>
        <v>210</v>
      </c>
      <c r="D23" s="565" t="s">
        <v>932</v>
      </c>
      <c r="E23" s="566" t="s">
        <v>861</v>
      </c>
      <c r="F23" s="565" t="s">
        <v>933</v>
      </c>
      <c r="G23" s="565" t="s">
        <v>911</v>
      </c>
      <c r="H23" s="566" t="s">
        <v>970</v>
      </c>
      <c r="I23" s="583" t="n">
        <v>2</v>
      </c>
      <c r="J23" s="565" t="s">
        <v>971</v>
      </c>
      <c r="K23" s="587" t="s">
        <v>972</v>
      </c>
      <c r="L23" s="565" t="s">
        <v>973</v>
      </c>
      <c r="M23" s="565" t="s">
        <v>974</v>
      </c>
      <c r="N23" s="565" t="s">
        <v>975</v>
      </c>
      <c r="O23" s="565" t="s">
        <v>976</v>
      </c>
      <c r="P23" s="565" t="n">
        <v>8</v>
      </c>
      <c r="Q23" s="565" t="s">
        <v>940</v>
      </c>
      <c r="R23" s="565" t="s">
        <v>98</v>
      </c>
      <c r="S23" s="565" t="s">
        <v>977</v>
      </c>
      <c r="T23" s="565" t="s">
        <v>978</v>
      </c>
    </row>
    <row r="24" customFormat="false" ht="12.75" hidden="false" customHeight="true" outlineLevel="0" collapsed="false">
      <c r="A24" s="565" t="s">
        <v>979</v>
      </c>
      <c r="B24" s="570" t="s">
        <v>708</v>
      </c>
      <c r="C24" s="570" t="n">
        <f aca="false">C23+30</f>
        <v>240</v>
      </c>
      <c r="D24" s="565" t="s">
        <v>897</v>
      </c>
      <c r="E24" s="566" t="s">
        <v>842</v>
      </c>
      <c r="F24" s="565" t="s">
        <v>898</v>
      </c>
      <c r="G24" s="565" t="s">
        <v>923</v>
      </c>
      <c r="H24" s="566" t="s">
        <v>980</v>
      </c>
      <c r="I24" s="583" t="n">
        <v>3</v>
      </c>
      <c r="J24" s="565" t="s">
        <v>162</v>
      </c>
      <c r="K24" s="587" t="s">
        <v>981</v>
      </c>
      <c r="L24" s="565" t="s">
        <v>982</v>
      </c>
      <c r="M24" s="565" t="s">
        <v>983</v>
      </c>
      <c r="N24" s="565" t="s">
        <v>984</v>
      </c>
      <c r="O24" s="565" t="s">
        <v>985</v>
      </c>
      <c r="P24" s="565" t="n">
        <v>9</v>
      </c>
      <c r="Q24" s="565" t="s">
        <v>958</v>
      </c>
      <c r="R24" s="565" t="s">
        <v>161</v>
      </c>
      <c r="S24" s="565" t="s">
        <v>986</v>
      </c>
      <c r="T24" s="565" t="s">
        <v>978</v>
      </c>
    </row>
    <row r="25" customFormat="false" ht="12.75" hidden="false" customHeight="true" outlineLevel="0" collapsed="false">
      <c r="A25" s="565" t="s">
        <v>987</v>
      </c>
      <c r="B25" s="570" t="s">
        <v>706</v>
      </c>
      <c r="C25" s="570" t="n">
        <f aca="false">C24+30</f>
        <v>270</v>
      </c>
      <c r="D25" s="565" t="s">
        <v>909</v>
      </c>
      <c r="E25" s="566" t="s">
        <v>826</v>
      </c>
      <c r="F25" s="565" t="s">
        <v>910</v>
      </c>
      <c r="G25" s="565" t="s">
        <v>899</v>
      </c>
      <c r="H25" s="565" t="s">
        <v>988</v>
      </c>
      <c r="I25" s="583" t="n">
        <v>1</v>
      </c>
      <c r="J25" s="565" t="s">
        <v>164</v>
      </c>
      <c r="K25" s="587" t="s">
        <v>989</v>
      </c>
      <c r="L25" s="565" t="s">
        <v>990</v>
      </c>
      <c r="M25" s="565" t="s">
        <v>991</v>
      </c>
      <c r="N25" s="565" t="s">
        <v>992</v>
      </c>
      <c r="O25" s="565" t="s">
        <v>993</v>
      </c>
      <c r="P25" s="565" t="n">
        <v>5</v>
      </c>
      <c r="Q25" s="565" t="s">
        <v>994</v>
      </c>
      <c r="R25" s="565" t="s">
        <v>162</v>
      </c>
      <c r="S25" s="565" t="s">
        <v>995</v>
      </c>
      <c r="T25" s="565" t="s">
        <v>996</v>
      </c>
    </row>
    <row r="26" customFormat="false" ht="12.75" hidden="false" customHeight="true" outlineLevel="0" collapsed="false">
      <c r="A26" s="565" t="s">
        <v>997</v>
      </c>
      <c r="B26" s="570" t="s">
        <v>699</v>
      </c>
      <c r="C26" s="570" t="n">
        <f aca="false">C25+30</f>
        <v>300</v>
      </c>
      <c r="D26" s="565" t="s">
        <v>921</v>
      </c>
      <c r="E26" s="566" t="s">
        <v>836</v>
      </c>
      <c r="F26" s="565" t="s">
        <v>922</v>
      </c>
      <c r="G26" s="565" t="s">
        <v>911</v>
      </c>
      <c r="H26" s="566" t="s">
        <v>998</v>
      </c>
      <c r="I26" s="583" t="n">
        <v>2</v>
      </c>
      <c r="J26" s="565" t="s">
        <v>999</v>
      </c>
      <c r="K26" s="587" t="s">
        <v>1000</v>
      </c>
      <c r="L26" s="565" t="s">
        <v>1001</v>
      </c>
      <c r="M26" s="565" t="s">
        <v>1002</v>
      </c>
      <c r="N26" s="565" t="s">
        <v>1003</v>
      </c>
      <c r="O26" s="565" t="s">
        <v>1004</v>
      </c>
      <c r="P26" s="565" t="n">
        <v>11</v>
      </c>
      <c r="Q26" s="565" t="s">
        <v>958</v>
      </c>
      <c r="R26" s="565" t="s">
        <v>159</v>
      </c>
      <c r="S26" s="565" t="s">
        <v>1005</v>
      </c>
      <c r="T26" s="565" t="s">
        <v>996</v>
      </c>
    </row>
    <row r="27" customFormat="false" ht="12.75" hidden="false" customHeight="true" outlineLevel="0" collapsed="false">
      <c r="A27" s="565" t="s">
        <v>1006</v>
      </c>
      <c r="B27" s="570" t="s">
        <v>694</v>
      </c>
      <c r="C27" s="570" t="n">
        <f aca="false">C26+30</f>
        <v>330</v>
      </c>
      <c r="D27" s="565" t="s">
        <v>932</v>
      </c>
      <c r="E27" s="566" t="s">
        <v>861</v>
      </c>
      <c r="F27" s="565" t="s">
        <v>933</v>
      </c>
      <c r="G27" s="565" t="s">
        <v>923</v>
      </c>
      <c r="H27" s="565" t="s">
        <v>1007</v>
      </c>
      <c r="I27" s="583" t="n">
        <v>3</v>
      </c>
      <c r="J27" s="565" t="s">
        <v>162</v>
      </c>
      <c r="K27" s="587" t="s">
        <v>1008</v>
      </c>
      <c r="L27" s="565" t="s">
        <v>1009</v>
      </c>
      <c r="M27" s="565" t="s">
        <v>1010</v>
      </c>
      <c r="N27" s="565" t="s">
        <v>1011</v>
      </c>
      <c r="O27" s="565" t="s">
        <v>1012</v>
      </c>
      <c r="P27" s="565" t="n">
        <v>12</v>
      </c>
      <c r="Q27" s="565" t="s">
        <v>1013</v>
      </c>
      <c r="R27" s="565" t="s">
        <v>158</v>
      </c>
      <c r="S27" s="565" t="s">
        <v>1014</v>
      </c>
      <c r="T27" s="565" t="s">
        <v>907</v>
      </c>
    </row>
    <row r="28" customFormat="false" ht="15" hidden="false" customHeight="false" outlineLevel="0" collapsed="false">
      <c r="D28" s="573"/>
    </row>
    <row r="29" customFormat="false" ht="15" hidden="false" customHeight="false" outlineLevel="0" collapsed="false">
      <c r="A29" s="565" t="s">
        <v>132</v>
      </c>
      <c r="B29" s="588" t="n">
        <v>26540</v>
      </c>
      <c r="C29" s="573" t="n">
        <v>714404096641</v>
      </c>
      <c r="D29" s="573" t="n">
        <f aca="false">113.75*365.2435</f>
        <v>41546.448125</v>
      </c>
      <c r="E29" s="589" t="n">
        <f aca="false">Ahargana-D29</f>
        <v>714404055094.552</v>
      </c>
    </row>
    <row r="30" customFormat="false" ht="26.85" hidden="false" customHeight="false" outlineLevel="0" collapsed="false">
      <c r="B30" s="590"/>
      <c r="C30" s="573"/>
      <c r="E30" s="591" t="s">
        <v>1015</v>
      </c>
    </row>
    <row r="31" customFormat="false" ht="13.5" hidden="false" customHeight="true" outlineLevel="0" collapsed="false">
      <c r="A31" s="592" t="s">
        <v>1016</v>
      </c>
      <c r="B31" s="593" t="s">
        <v>386</v>
      </c>
      <c r="C31" s="573" t="s">
        <v>1017</v>
      </c>
      <c r="D31" s="592" t="s">
        <v>1018</v>
      </c>
      <c r="E31" s="592" t="s">
        <v>1019</v>
      </c>
      <c r="F31" s="474" t="s">
        <v>1020</v>
      </c>
      <c r="G31" s="474" t="s">
        <v>1021</v>
      </c>
      <c r="H31" s="474" t="s">
        <v>1022</v>
      </c>
      <c r="I31" s="474" t="s">
        <v>1023</v>
      </c>
      <c r="J31" s="474" t="s">
        <v>1024</v>
      </c>
      <c r="K31" s="474" t="s">
        <v>1025</v>
      </c>
      <c r="L31" s="474" t="s">
        <v>1026</v>
      </c>
      <c r="M31" s="474" t="s">
        <v>1027</v>
      </c>
      <c r="N31" s="474" t="s">
        <v>1028</v>
      </c>
      <c r="O31" s="474" t="s">
        <v>1029</v>
      </c>
      <c r="P31" s="474" t="s">
        <v>1030</v>
      </c>
      <c r="Q31" s="592" t="s">
        <v>1031</v>
      </c>
      <c r="R31" s="592" t="s">
        <v>1032</v>
      </c>
      <c r="S31" s="565" t="s">
        <v>1033</v>
      </c>
      <c r="T31" s="565" t="s">
        <v>1034</v>
      </c>
      <c r="U31" s="565" t="s">
        <v>1035</v>
      </c>
      <c r="V31" s="565" t="s">
        <v>1036</v>
      </c>
      <c r="W31" s="565" t="s">
        <v>1037</v>
      </c>
      <c r="X31" s="565" t="s">
        <v>1038</v>
      </c>
      <c r="Y31" s="565" t="s">
        <v>1039</v>
      </c>
      <c r="Z31" s="567" t="s">
        <v>1040</v>
      </c>
      <c r="AA31" s="567" t="s">
        <v>1041</v>
      </c>
      <c r="AB31" s="565" t="s">
        <v>1042</v>
      </c>
    </row>
    <row r="32" customFormat="false" ht="13.5" hidden="false" customHeight="true" outlineLevel="0" collapsed="false">
      <c r="A32" s="592" t="n">
        <v>1</v>
      </c>
      <c r="B32" s="593" t="s">
        <v>1043</v>
      </c>
      <c r="C32" s="573" t="s">
        <v>1044</v>
      </c>
      <c r="D32" s="592" t="n">
        <v>9</v>
      </c>
      <c r="E32" s="594" t="s">
        <v>1045</v>
      </c>
      <c r="F32" s="474" t="s">
        <v>1046</v>
      </c>
      <c r="G32" s="474" t="s">
        <v>1047</v>
      </c>
      <c r="H32" s="474" t="s">
        <v>1048</v>
      </c>
      <c r="I32" s="474" t="s">
        <v>1049</v>
      </c>
      <c r="J32" s="474" t="s">
        <v>1050</v>
      </c>
      <c r="K32" s="474" t="s">
        <v>1051</v>
      </c>
      <c r="L32" s="474" t="s">
        <v>1052</v>
      </c>
      <c r="M32" s="595" t="s">
        <v>1053</v>
      </c>
      <c r="N32" s="595" t="s">
        <v>1054</v>
      </c>
      <c r="O32" s="595" t="s">
        <v>1054</v>
      </c>
      <c r="P32" s="596" t="s">
        <v>1055</v>
      </c>
      <c r="Q32" s="597" t="s">
        <v>1056</v>
      </c>
      <c r="R32" s="592"/>
      <c r="S32" s="565" t="s">
        <v>1057</v>
      </c>
      <c r="T32" s="565" t="s">
        <v>1058</v>
      </c>
      <c r="U32" s="565" t="s">
        <v>1059</v>
      </c>
      <c r="V32" s="598" t="s">
        <v>1060</v>
      </c>
      <c r="W32" s="598" t="s">
        <v>1061</v>
      </c>
      <c r="X32" s="565" t="s">
        <v>1062</v>
      </c>
      <c r="Y32" s="565" t="s">
        <v>1063</v>
      </c>
      <c r="Z32" s="598" t="s">
        <v>1064</v>
      </c>
      <c r="AA32" s="598"/>
      <c r="AB32" s="565" t="s">
        <v>1065</v>
      </c>
    </row>
    <row r="33" customFormat="false" ht="13.5" hidden="false" customHeight="true" outlineLevel="0" collapsed="false">
      <c r="A33" s="592" t="n">
        <v>2</v>
      </c>
      <c r="B33" s="593" t="s">
        <v>1066</v>
      </c>
      <c r="C33" s="573" t="s">
        <v>1067</v>
      </c>
      <c r="D33" s="592" t="n">
        <v>1</v>
      </c>
      <c r="E33" s="594" t="s">
        <v>1068</v>
      </c>
      <c r="F33" s="474" t="s">
        <v>1069</v>
      </c>
      <c r="G33" s="474" t="s">
        <v>1070</v>
      </c>
      <c r="H33" s="474" t="s">
        <v>1071</v>
      </c>
      <c r="I33" s="474" t="s">
        <v>1072</v>
      </c>
      <c r="J33" s="474" t="s">
        <v>1073</v>
      </c>
      <c r="K33" s="474" t="s">
        <v>1074</v>
      </c>
      <c r="L33" s="474" t="s">
        <v>1075</v>
      </c>
      <c r="M33" s="595" t="s">
        <v>1076</v>
      </c>
      <c r="N33" s="595" t="s">
        <v>1077</v>
      </c>
      <c r="O33" s="595" t="s">
        <v>1078</v>
      </c>
      <c r="P33" s="596" t="s">
        <v>1079</v>
      </c>
      <c r="Q33" s="597" t="s">
        <v>1080</v>
      </c>
      <c r="R33" s="592"/>
      <c r="S33" s="565" t="s">
        <v>1081</v>
      </c>
      <c r="T33" s="565" t="s">
        <v>1082</v>
      </c>
      <c r="U33" s="565" t="s">
        <v>1083</v>
      </c>
      <c r="V33" s="598" t="s">
        <v>1084</v>
      </c>
      <c r="W33" s="598" t="s">
        <v>1085</v>
      </c>
      <c r="X33" s="565" t="s">
        <v>1086</v>
      </c>
      <c r="Y33" s="565" t="s">
        <v>1087</v>
      </c>
      <c r="Z33" s="598" t="s">
        <v>1088</v>
      </c>
      <c r="AA33" s="598"/>
      <c r="AB33" s="565" t="n">
        <v>2</v>
      </c>
    </row>
    <row r="34" customFormat="false" ht="13.5" hidden="false" customHeight="true" outlineLevel="0" collapsed="false">
      <c r="A34" s="592" t="n">
        <v>3</v>
      </c>
      <c r="B34" s="593" t="s">
        <v>1089</v>
      </c>
      <c r="C34" s="573" t="s">
        <v>1090</v>
      </c>
      <c r="D34" s="592" t="n">
        <v>5</v>
      </c>
      <c r="E34" s="594" t="s">
        <v>1091</v>
      </c>
      <c r="F34" s="474" t="s">
        <v>1092</v>
      </c>
      <c r="G34" s="474" t="s">
        <v>1093</v>
      </c>
      <c r="H34" s="474" t="s">
        <v>1094</v>
      </c>
      <c r="I34" s="474" t="s">
        <v>1095</v>
      </c>
      <c r="J34" s="474" t="s">
        <v>1096</v>
      </c>
      <c r="K34" s="474" t="s">
        <v>1097</v>
      </c>
      <c r="L34" s="474" t="s">
        <v>1098</v>
      </c>
      <c r="M34" s="595" t="s">
        <v>1099</v>
      </c>
      <c r="N34" s="595" t="s">
        <v>1100</v>
      </c>
      <c r="O34" s="595" t="s">
        <v>1077</v>
      </c>
      <c r="P34" s="596" t="s">
        <v>1101</v>
      </c>
      <c r="Q34" s="597" t="s">
        <v>1102</v>
      </c>
      <c r="R34" s="592"/>
      <c r="S34" s="565" t="s">
        <v>1103</v>
      </c>
      <c r="T34" s="565" t="s">
        <v>1104</v>
      </c>
      <c r="U34" s="565" t="s">
        <v>1105</v>
      </c>
      <c r="V34" s="598" t="s">
        <v>1106</v>
      </c>
      <c r="W34" s="598" t="s">
        <v>1107</v>
      </c>
      <c r="X34" s="565" t="s">
        <v>1108</v>
      </c>
      <c r="Y34" s="565" t="s">
        <v>1109</v>
      </c>
      <c r="Z34" s="598" t="s">
        <v>1110</v>
      </c>
      <c r="AA34" s="598"/>
      <c r="AB34" s="565" t="n">
        <v>3</v>
      </c>
    </row>
    <row r="35" customFormat="false" ht="13.5" hidden="false" customHeight="true" outlineLevel="0" collapsed="false">
      <c r="A35" s="592" t="n">
        <v>4</v>
      </c>
      <c r="B35" s="593" t="s">
        <v>1111</v>
      </c>
      <c r="C35" s="573" t="s">
        <v>1112</v>
      </c>
      <c r="D35" s="592" t="n">
        <v>10</v>
      </c>
      <c r="E35" s="594" t="s">
        <v>1113</v>
      </c>
      <c r="F35" s="474" t="s">
        <v>1114</v>
      </c>
      <c r="G35" s="474" t="s">
        <v>1115</v>
      </c>
      <c r="H35" s="474" t="s">
        <v>1116</v>
      </c>
      <c r="I35" s="474" t="s">
        <v>1117</v>
      </c>
      <c r="J35" s="474" t="s">
        <v>1118</v>
      </c>
      <c r="K35" s="474" t="s">
        <v>1116</v>
      </c>
      <c r="L35" s="474" t="s">
        <v>1118</v>
      </c>
      <c r="M35" s="595" t="s">
        <v>1119</v>
      </c>
      <c r="N35" s="595" t="s">
        <v>1120</v>
      </c>
      <c r="O35" s="595" t="s">
        <v>1121</v>
      </c>
      <c r="P35" s="596" t="s">
        <v>1120</v>
      </c>
      <c r="Q35" s="596" t="s">
        <v>1122</v>
      </c>
      <c r="R35" s="592"/>
      <c r="S35" s="565" t="s">
        <v>1123</v>
      </c>
      <c r="T35" s="565" t="s">
        <v>1124</v>
      </c>
      <c r="U35" s="565" t="s">
        <v>1125</v>
      </c>
      <c r="V35" s="599" t="s">
        <v>1126</v>
      </c>
      <c r="W35" s="598" t="s">
        <v>1127</v>
      </c>
      <c r="X35" s="565" t="s">
        <v>1128</v>
      </c>
      <c r="Y35" s="565" t="s">
        <v>1129</v>
      </c>
      <c r="Z35" s="598" t="s">
        <v>1130</v>
      </c>
      <c r="AA35" s="598"/>
      <c r="AB35" s="565" t="n">
        <v>4</v>
      </c>
    </row>
    <row r="36" customFormat="false" ht="13.5" hidden="false" customHeight="true" outlineLevel="0" collapsed="false">
      <c r="A36" s="592" t="n">
        <v>5</v>
      </c>
      <c r="B36" s="593" t="s">
        <v>1131</v>
      </c>
      <c r="C36" s="573" t="s">
        <v>1132</v>
      </c>
      <c r="D36" s="592" t="n">
        <v>3</v>
      </c>
      <c r="E36" s="594" t="s">
        <v>1133</v>
      </c>
      <c r="F36" s="474" t="s">
        <v>1134</v>
      </c>
      <c r="G36" s="474" t="s">
        <v>1135</v>
      </c>
      <c r="H36" s="474" t="s">
        <v>1136</v>
      </c>
      <c r="I36" s="474" t="s">
        <v>1137</v>
      </c>
      <c r="J36" s="474" t="s">
        <v>1138</v>
      </c>
      <c r="K36" s="474" t="s">
        <v>1139</v>
      </c>
      <c r="L36" s="474" t="s">
        <v>1140</v>
      </c>
      <c r="M36" s="595" t="s">
        <v>1141</v>
      </c>
      <c r="N36" s="595" t="s">
        <v>1142</v>
      </c>
      <c r="O36" s="595" t="s">
        <v>1143</v>
      </c>
      <c r="P36" s="596" t="s">
        <v>1144</v>
      </c>
      <c r="Q36" s="597" t="s">
        <v>1145</v>
      </c>
      <c r="R36" s="592"/>
      <c r="S36" s="565" t="s">
        <v>1057</v>
      </c>
      <c r="T36" s="565" t="s">
        <v>1146</v>
      </c>
      <c r="U36" s="565" t="s">
        <v>1147</v>
      </c>
      <c r="V36" s="599" t="s">
        <v>1148</v>
      </c>
      <c r="W36" s="565" t="s">
        <v>1149</v>
      </c>
      <c r="X36" s="599" t="s">
        <v>1150</v>
      </c>
      <c r="Y36" s="565" t="s">
        <v>1151</v>
      </c>
      <c r="Z36" s="598" t="s">
        <v>1152</v>
      </c>
      <c r="AA36" s="598"/>
      <c r="AB36" s="565" t="n">
        <v>5</v>
      </c>
    </row>
    <row r="37" customFormat="false" ht="13.5" hidden="false" customHeight="true" outlineLevel="0" collapsed="false">
      <c r="A37" s="592" t="n">
        <v>6</v>
      </c>
      <c r="B37" s="593" t="s">
        <v>1153</v>
      </c>
      <c r="C37" s="573" t="s">
        <v>1154</v>
      </c>
      <c r="D37" s="592" t="n">
        <v>6</v>
      </c>
      <c r="E37" s="594" t="s">
        <v>1155</v>
      </c>
      <c r="F37" s="474" t="s">
        <v>1156</v>
      </c>
      <c r="G37" s="474" t="s">
        <v>1157</v>
      </c>
      <c r="H37" s="474" t="s">
        <v>1158</v>
      </c>
      <c r="I37" s="474" t="s">
        <v>1159</v>
      </c>
      <c r="J37" s="474" t="s">
        <v>1160</v>
      </c>
      <c r="K37" s="474" t="s">
        <v>1159</v>
      </c>
      <c r="L37" s="474" t="s">
        <v>1161</v>
      </c>
      <c r="M37" s="595" t="s">
        <v>1162</v>
      </c>
      <c r="N37" s="595" t="s">
        <v>1163</v>
      </c>
      <c r="O37" s="595" t="s">
        <v>1164</v>
      </c>
      <c r="P37" s="596" t="s">
        <v>1165</v>
      </c>
      <c r="Q37" s="596" t="s">
        <v>1166</v>
      </c>
      <c r="R37" s="592" t="s">
        <v>1167</v>
      </c>
      <c r="S37" s="565" t="s">
        <v>1168</v>
      </c>
      <c r="T37" s="565" t="s">
        <v>1169</v>
      </c>
      <c r="U37" s="565" t="s">
        <v>1170</v>
      </c>
      <c r="V37" s="598" t="s">
        <v>1171</v>
      </c>
      <c r="W37" s="565" t="s">
        <v>1172</v>
      </c>
      <c r="X37" s="599" t="s">
        <v>1173</v>
      </c>
      <c r="Y37" s="565" t="s">
        <v>1174</v>
      </c>
      <c r="Z37" s="598" t="s">
        <v>1175</v>
      </c>
      <c r="AA37" s="598"/>
      <c r="AB37" s="565" t="s">
        <v>1176</v>
      </c>
    </row>
    <row r="38" customFormat="false" ht="13.5" hidden="false" customHeight="true" outlineLevel="0" collapsed="false">
      <c r="A38" s="592" t="n">
        <v>7</v>
      </c>
      <c r="B38" s="593" t="s">
        <v>1177</v>
      </c>
      <c r="C38" s="573" t="s">
        <v>1178</v>
      </c>
      <c r="D38" s="592" t="n">
        <v>11</v>
      </c>
      <c r="E38" s="594" t="s">
        <v>1179</v>
      </c>
      <c r="F38" s="474" t="s">
        <v>1180</v>
      </c>
      <c r="G38" s="474" t="s">
        <v>1181</v>
      </c>
      <c r="H38" s="474" t="s">
        <v>1182</v>
      </c>
      <c r="I38" s="474" t="s">
        <v>1183</v>
      </c>
      <c r="J38" s="474" t="s">
        <v>1184</v>
      </c>
      <c r="K38" s="474" t="s">
        <v>1185</v>
      </c>
      <c r="L38" s="474" t="s">
        <v>1186</v>
      </c>
      <c r="M38" s="595" t="s">
        <v>1187</v>
      </c>
      <c r="N38" s="595" t="s">
        <v>1188</v>
      </c>
      <c r="O38" s="595" t="s">
        <v>1189</v>
      </c>
      <c r="P38" s="596" t="s">
        <v>1190</v>
      </c>
      <c r="Q38" s="597" t="s">
        <v>1080</v>
      </c>
      <c r="R38" s="592"/>
      <c r="S38" s="565" t="s">
        <v>1191</v>
      </c>
      <c r="T38" s="565" t="s">
        <v>1192</v>
      </c>
      <c r="U38" s="565" t="s">
        <v>1193</v>
      </c>
      <c r="V38" s="598" t="s">
        <v>1194</v>
      </c>
      <c r="W38" s="565" t="s">
        <v>1195</v>
      </c>
      <c r="X38" s="565" t="s">
        <v>1196</v>
      </c>
      <c r="Y38" s="565" t="s">
        <v>1197</v>
      </c>
      <c r="Z38" s="598" t="s">
        <v>1198</v>
      </c>
      <c r="AA38" s="598"/>
      <c r="AB38" s="565" t="s">
        <v>1199</v>
      </c>
    </row>
    <row r="39" customFormat="false" ht="13.5" hidden="false" customHeight="true" outlineLevel="0" collapsed="false">
      <c r="A39" s="592" t="n">
        <v>8</v>
      </c>
      <c r="B39" s="593" t="s">
        <v>1200</v>
      </c>
      <c r="C39" s="573" t="s">
        <v>1201</v>
      </c>
      <c r="D39" s="592" t="n">
        <v>8</v>
      </c>
      <c r="E39" s="594" t="s">
        <v>1155</v>
      </c>
      <c r="F39" s="474" t="s">
        <v>1202</v>
      </c>
      <c r="G39" s="474" t="s">
        <v>1203</v>
      </c>
      <c r="H39" s="474" t="s">
        <v>1204</v>
      </c>
      <c r="I39" s="474" t="s">
        <v>1205</v>
      </c>
      <c r="J39" s="474" t="s">
        <v>1206</v>
      </c>
      <c r="K39" s="474" t="s">
        <v>1207</v>
      </c>
      <c r="L39" s="474" t="s">
        <v>1208</v>
      </c>
      <c r="M39" s="595" t="s">
        <v>1209</v>
      </c>
      <c r="N39" s="595" t="s">
        <v>1210</v>
      </c>
      <c r="O39" s="595" t="s">
        <v>1211</v>
      </c>
      <c r="P39" s="596" t="s">
        <v>1212</v>
      </c>
      <c r="Q39" s="596" t="s">
        <v>1056</v>
      </c>
      <c r="R39" s="592"/>
      <c r="S39" s="565" t="s">
        <v>1123</v>
      </c>
      <c r="T39" s="565" t="s">
        <v>1213</v>
      </c>
      <c r="U39" s="565" t="s">
        <v>1214</v>
      </c>
      <c r="V39" s="598" t="s">
        <v>1215</v>
      </c>
      <c r="W39" s="598"/>
      <c r="Z39" s="598" t="s">
        <v>1216</v>
      </c>
      <c r="AA39" s="598"/>
      <c r="AB39" s="565" t="s">
        <v>1217</v>
      </c>
    </row>
    <row r="40" customFormat="false" ht="13.5" hidden="false" customHeight="true" outlineLevel="0" collapsed="false">
      <c r="A40" s="592" t="n">
        <v>9</v>
      </c>
      <c r="B40" s="593" t="s">
        <v>1218</v>
      </c>
      <c r="C40" s="573" t="s">
        <v>1219</v>
      </c>
      <c r="D40" s="592" t="n">
        <v>4</v>
      </c>
      <c r="E40" s="594" t="s">
        <v>1133</v>
      </c>
      <c r="F40" s="474" t="s">
        <v>1220</v>
      </c>
      <c r="G40" s="474" t="s">
        <v>1221</v>
      </c>
      <c r="H40" s="474" t="s">
        <v>1222</v>
      </c>
      <c r="I40" s="600" t="s">
        <v>1223</v>
      </c>
      <c r="J40" s="474" t="s">
        <v>1224</v>
      </c>
      <c r="K40" s="474" t="s">
        <v>1225</v>
      </c>
      <c r="L40" s="474" t="s">
        <v>1226</v>
      </c>
      <c r="M40" s="595" t="s">
        <v>1227</v>
      </c>
      <c r="N40" s="595" t="s">
        <v>1228</v>
      </c>
      <c r="O40" s="595"/>
      <c r="P40" s="596" t="s">
        <v>1228</v>
      </c>
      <c r="Q40" s="596" t="s">
        <v>1229</v>
      </c>
      <c r="R40" s="592"/>
      <c r="S40" s="565" t="s">
        <v>1057</v>
      </c>
      <c r="T40" s="565" t="s">
        <v>1230</v>
      </c>
      <c r="U40" s="565" t="s">
        <v>1231</v>
      </c>
      <c r="V40" s="598" t="s">
        <v>1232</v>
      </c>
      <c r="W40" s="598"/>
      <c r="Z40" s="598" t="s">
        <v>1233</v>
      </c>
      <c r="AA40" s="598"/>
      <c r="AB40" s="565" t="n">
        <v>9</v>
      </c>
    </row>
    <row r="41" customFormat="false" ht="13.5" hidden="false" customHeight="true" outlineLevel="0" collapsed="false">
      <c r="A41" s="592" t="n">
        <v>10</v>
      </c>
      <c r="B41" s="593" t="s">
        <v>1234</v>
      </c>
      <c r="C41" s="573" t="s">
        <v>1235</v>
      </c>
      <c r="D41" s="592" t="n">
        <v>12</v>
      </c>
      <c r="E41" s="594" t="s">
        <v>1113</v>
      </c>
      <c r="F41" s="474" t="s">
        <v>1236</v>
      </c>
      <c r="G41" s="474" t="s">
        <v>1237</v>
      </c>
      <c r="H41" s="474" t="s">
        <v>1238</v>
      </c>
      <c r="I41" s="474" t="s">
        <v>1239</v>
      </c>
      <c r="J41" s="474" t="s">
        <v>1240</v>
      </c>
      <c r="K41" s="474" t="s">
        <v>1241</v>
      </c>
      <c r="L41" s="474" t="s">
        <v>1240</v>
      </c>
      <c r="M41" s="595" t="s">
        <v>1242</v>
      </c>
      <c r="N41" s="595" t="s">
        <v>1243</v>
      </c>
      <c r="O41" s="595"/>
      <c r="P41" s="596" t="s">
        <v>1244</v>
      </c>
      <c r="Q41" s="596" t="s">
        <v>1245</v>
      </c>
      <c r="R41" s="592"/>
      <c r="S41" s="565" t="s">
        <v>1246</v>
      </c>
      <c r="T41" s="565" t="s">
        <v>1247</v>
      </c>
      <c r="U41" s="565" t="s">
        <v>1248</v>
      </c>
      <c r="V41" s="598" t="s">
        <v>1249</v>
      </c>
      <c r="W41" s="598"/>
      <c r="Z41" s="598" t="s">
        <v>1250</v>
      </c>
      <c r="AA41" s="598"/>
      <c r="AB41" s="565" t="s">
        <v>1251</v>
      </c>
    </row>
    <row r="42" customFormat="false" ht="13.5" hidden="false" customHeight="true" outlineLevel="0" collapsed="false">
      <c r="A42" s="592" t="n">
        <v>11</v>
      </c>
      <c r="B42" s="593" t="s">
        <v>1252</v>
      </c>
      <c r="C42" s="573" t="s">
        <v>1253</v>
      </c>
      <c r="D42" s="592" t="n">
        <v>7</v>
      </c>
      <c r="E42" s="594" t="s">
        <v>1091</v>
      </c>
      <c r="F42" s="474" t="s">
        <v>1254</v>
      </c>
      <c r="G42" s="474" t="s">
        <v>1255</v>
      </c>
      <c r="H42" s="474" t="s">
        <v>1256</v>
      </c>
      <c r="I42" s="474" t="s">
        <v>1257</v>
      </c>
      <c r="J42" s="474" t="s">
        <v>1258</v>
      </c>
      <c r="K42" s="474" t="s">
        <v>1259</v>
      </c>
      <c r="L42" s="474" t="s">
        <v>1260</v>
      </c>
      <c r="M42" s="595" t="s">
        <v>1261</v>
      </c>
      <c r="N42" s="595" t="s">
        <v>1262</v>
      </c>
      <c r="O42" s="595"/>
      <c r="P42" s="596" t="s">
        <v>1262</v>
      </c>
      <c r="Q42" s="597" t="s">
        <v>1102</v>
      </c>
      <c r="R42" s="592"/>
      <c r="S42" s="565" t="s">
        <v>1263</v>
      </c>
      <c r="T42" s="565" t="s">
        <v>1264</v>
      </c>
      <c r="U42" s="565" t="s">
        <v>1265</v>
      </c>
      <c r="V42" s="598" t="s">
        <v>1266</v>
      </c>
      <c r="W42" s="598"/>
      <c r="Z42" s="598" t="s">
        <v>1267</v>
      </c>
      <c r="AA42" s="598"/>
      <c r="AB42" s="565" t="n">
        <v>11</v>
      </c>
    </row>
    <row r="43" customFormat="false" ht="13.5" hidden="false" customHeight="true" outlineLevel="0" collapsed="false">
      <c r="A43" s="592" t="n">
        <v>12</v>
      </c>
      <c r="B43" s="593" t="s">
        <v>1268</v>
      </c>
      <c r="C43" s="573" t="s">
        <v>1269</v>
      </c>
      <c r="D43" s="592" t="n">
        <v>2</v>
      </c>
      <c r="E43" s="594" t="s">
        <v>1068</v>
      </c>
      <c r="F43" s="474" t="s">
        <v>1270</v>
      </c>
      <c r="G43" s="474" t="s">
        <v>1271</v>
      </c>
      <c r="H43" s="474" t="s">
        <v>1272</v>
      </c>
      <c r="I43" s="474" t="s">
        <v>1273</v>
      </c>
      <c r="J43" s="474" t="s">
        <v>1274</v>
      </c>
      <c r="K43" s="474" t="s">
        <v>1275</v>
      </c>
      <c r="L43" s="474" t="s">
        <v>1276</v>
      </c>
      <c r="M43" s="601" t="s">
        <v>1277</v>
      </c>
      <c r="N43" s="601" t="s">
        <v>1278</v>
      </c>
      <c r="O43" s="601"/>
      <c r="P43" s="602" t="s">
        <v>1278</v>
      </c>
      <c r="Q43" s="602" t="s">
        <v>1279</v>
      </c>
      <c r="R43" s="592"/>
      <c r="S43" s="565" t="s">
        <v>1123</v>
      </c>
      <c r="T43" s="565" t="s">
        <v>1280</v>
      </c>
      <c r="U43" s="565" t="s">
        <v>1281</v>
      </c>
      <c r="V43" s="598" t="s">
        <v>1282</v>
      </c>
      <c r="W43" s="598"/>
      <c r="Z43" s="598" t="s">
        <v>1283</v>
      </c>
      <c r="AA43" s="598"/>
      <c r="AB43" s="565" t="s">
        <v>1284</v>
      </c>
    </row>
    <row r="44" customFormat="false" ht="13.5" hidden="false" customHeight="true" outlineLevel="0" collapsed="false">
      <c r="B44" s="590"/>
      <c r="C44" s="573"/>
      <c r="E44" s="565"/>
      <c r="V44" s="598"/>
      <c r="W44" s="598"/>
      <c r="Z44" s="598"/>
      <c r="AA44" s="598"/>
    </row>
    <row r="45" customFormat="false" ht="15" hidden="false" customHeight="false" outlineLevel="0" collapsed="false">
      <c r="B45" s="590"/>
      <c r="C45" s="573"/>
      <c r="E45" s="591"/>
    </row>
    <row r="46" s="583" customFormat="true" ht="26.85" hidden="false" customHeight="false" outlineLevel="0" collapsed="false">
      <c r="A46" s="583" t="s">
        <v>1285</v>
      </c>
      <c r="E46" s="569" t="s">
        <v>1286</v>
      </c>
      <c r="F46" s="603" t="n">
        <f aca="false">360/27</f>
        <v>13.3333333333333</v>
      </c>
      <c r="G46" s="583" t="s">
        <v>1287</v>
      </c>
      <c r="Z46" s="585"/>
      <c r="AA46" s="585"/>
      <c r="AH46" s="604" t="s">
        <v>1288</v>
      </c>
      <c r="AI46" s="604"/>
      <c r="AQ46" s="605"/>
      <c r="AR46" s="605"/>
      <c r="BF46" s="586" t="s">
        <v>1289</v>
      </c>
      <c r="BG46" s="586"/>
    </row>
    <row r="47" s="611" customFormat="true" ht="16.5" hidden="false" customHeight="true" outlineLevel="0" collapsed="false">
      <c r="A47" s="606" t="s">
        <v>1290</v>
      </c>
      <c r="B47" s="607" t="s">
        <v>386</v>
      </c>
      <c r="C47" s="607" t="s">
        <v>1291</v>
      </c>
      <c r="D47" s="607" t="s">
        <v>882</v>
      </c>
      <c r="E47" s="607" t="s">
        <v>1292</v>
      </c>
      <c r="F47" s="607" t="s">
        <v>1293</v>
      </c>
      <c r="G47" s="607" t="s">
        <v>1294</v>
      </c>
      <c r="H47" s="607" t="s">
        <v>1295</v>
      </c>
      <c r="I47" s="607" t="s">
        <v>1296</v>
      </c>
      <c r="J47" s="607" t="s">
        <v>1297</v>
      </c>
      <c r="K47" s="607" t="s">
        <v>1298</v>
      </c>
      <c r="L47" s="607" t="s">
        <v>879</v>
      </c>
      <c r="M47" s="607" t="s">
        <v>1299</v>
      </c>
      <c r="N47" s="607" t="s">
        <v>1300</v>
      </c>
      <c r="O47" s="607" t="s">
        <v>1301</v>
      </c>
      <c r="P47" s="607" t="s">
        <v>1302</v>
      </c>
      <c r="Q47" s="607" t="s">
        <v>1303</v>
      </c>
      <c r="R47" s="607" t="s">
        <v>1304</v>
      </c>
      <c r="S47" s="607" t="s">
        <v>1305</v>
      </c>
      <c r="T47" s="607" t="s">
        <v>1306</v>
      </c>
      <c r="U47" s="607" t="s">
        <v>730</v>
      </c>
      <c r="V47" s="607" t="s">
        <v>805</v>
      </c>
      <c r="W47" s="607" t="s">
        <v>1307</v>
      </c>
      <c r="X47" s="607" t="s">
        <v>1308</v>
      </c>
      <c r="Y47" s="608" t="s">
        <v>1309</v>
      </c>
      <c r="Z47" s="607" t="s">
        <v>1310</v>
      </c>
      <c r="AA47" s="607" t="s">
        <v>1311</v>
      </c>
      <c r="AB47" s="607" t="s">
        <v>1312</v>
      </c>
      <c r="AC47" s="607" t="s">
        <v>1313</v>
      </c>
      <c r="AD47" s="607" t="s">
        <v>1314</v>
      </c>
      <c r="AE47" s="607" t="s">
        <v>1315</v>
      </c>
      <c r="AF47" s="607" t="s">
        <v>807</v>
      </c>
      <c r="AG47" s="607" t="s">
        <v>1316</v>
      </c>
      <c r="AH47" s="607" t="s">
        <v>1317</v>
      </c>
      <c r="AI47" s="607" t="s">
        <v>1287</v>
      </c>
      <c r="AJ47" s="609" t="s">
        <v>1318</v>
      </c>
      <c r="AK47" s="607" t="s">
        <v>1319</v>
      </c>
      <c r="AL47" s="607" t="s">
        <v>1320</v>
      </c>
      <c r="AM47" s="607" t="s">
        <v>1321</v>
      </c>
      <c r="AN47" s="607" t="s">
        <v>1322</v>
      </c>
      <c r="AO47" s="607" t="s">
        <v>1323</v>
      </c>
      <c r="AP47" s="607" t="s">
        <v>1324</v>
      </c>
      <c r="AQ47" s="607" t="s">
        <v>1325</v>
      </c>
      <c r="AR47" s="607" t="s">
        <v>1326</v>
      </c>
      <c r="AS47" s="607" t="s">
        <v>1327</v>
      </c>
      <c r="AT47" s="607" t="s">
        <v>1328</v>
      </c>
      <c r="AU47" s="607" t="s">
        <v>1329</v>
      </c>
      <c r="AV47" s="607" t="s">
        <v>718</v>
      </c>
      <c r="AW47" s="607" t="s">
        <v>224</v>
      </c>
      <c r="AX47" s="607" t="s">
        <v>1330</v>
      </c>
      <c r="AY47" s="607" t="s">
        <v>1331</v>
      </c>
      <c r="AZ47" s="607" t="s">
        <v>1332</v>
      </c>
      <c r="BA47" s="607" t="s">
        <v>1333</v>
      </c>
      <c r="BB47" s="607" t="s">
        <v>1334</v>
      </c>
      <c r="BC47" s="607" t="s">
        <v>1335</v>
      </c>
      <c r="BD47" s="610" t="s">
        <v>1336</v>
      </c>
      <c r="BE47" s="611" t="s">
        <v>1337</v>
      </c>
      <c r="BF47" s="612" t="s">
        <v>1338</v>
      </c>
      <c r="BG47" s="613" t="s">
        <v>1339</v>
      </c>
    </row>
    <row r="48" customFormat="false" ht="16.5" hidden="false" customHeight="true" outlineLevel="0" collapsed="false">
      <c r="A48" s="614" t="n">
        <v>1</v>
      </c>
      <c r="B48" s="565" t="s">
        <v>602</v>
      </c>
      <c r="C48" s="565" t="s">
        <v>1340</v>
      </c>
      <c r="D48" s="565" t="s">
        <v>166</v>
      </c>
      <c r="E48" s="565" t="s">
        <v>1341</v>
      </c>
      <c r="F48" s="615" t="s">
        <v>1342</v>
      </c>
      <c r="G48" s="616" t="s">
        <v>897</v>
      </c>
      <c r="H48" s="617" t="s">
        <v>1343</v>
      </c>
      <c r="I48" s="617" t="s">
        <v>1344</v>
      </c>
      <c r="J48" s="565" t="s">
        <v>1345</v>
      </c>
      <c r="K48" s="565" t="s">
        <v>1346</v>
      </c>
      <c r="L48" s="565" t="s">
        <v>1347</v>
      </c>
      <c r="M48" s="565" t="s">
        <v>1348</v>
      </c>
      <c r="N48" s="565" t="s">
        <v>1348</v>
      </c>
      <c r="O48" s="618" t="s">
        <v>1349</v>
      </c>
      <c r="P48" s="618" t="s">
        <v>1350</v>
      </c>
      <c r="Q48" s="618" t="s">
        <v>1351</v>
      </c>
      <c r="R48" s="618" t="s">
        <v>1352</v>
      </c>
      <c r="S48" s="565" t="s">
        <v>1353</v>
      </c>
      <c r="T48" s="565" t="s">
        <v>1354</v>
      </c>
      <c r="U48" s="574" t="n">
        <f aca="false">0</f>
        <v>0</v>
      </c>
      <c r="V48" s="574" t="n">
        <f aca="false">U48+StarDeg</f>
        <v>13.3333333333333</v>
      </c>
      <c r="W48" s="618" t="s">
        <v>1355</v>
      </c>
      <c r="X48" s="619" t="s">
        <v>1356</v>
      </c>
      <c r="Y48" s="620" t="s">
        <v>1357</v>
      </c>
      <c r="Z48" s="565" t="s">
        <v>1358</v>
      </c>
      <c r="AA48" s="567" t="s">
        <v>1358</v>
      </c>
      <c r="AB48" s="565" t="s">
        <v>1359</v>
      </c>
      <c r="AC48" s="565" t="s">
        <v>1360</v>
      </c>
      <c r="AD48" s="565" t="s">
        <v>1360</v>
      </c>
      <c r="AE48" s="565" t="str">
        <f aca="false">INDEX(PanchangaYoga,MOD(26+A48-7,27)+1,2)</f>
        <v>Siddha</v>
      </c>
      <c r="AF48" s="565" t="s">
        <v>826</v>
      </c>
      <c r="AG48" s="565" t="s">
        <v>1361</v>
      </c>
      <c r="AH48" s="621" t="n">
        <v>0.000810185185185185</v>
      </c>
      <c r="AI48" s="621" t="n">
        <f aca="false">AH48*360</f>
        <v>0.291666666666667</v>
      </c>
      <c r="AJ48" s="622" t="s">
        <v>1362</v>
      </c>
      <c r="AK48" s="599" t="s">
        <v>1363</v>
      </c>
      <c r="AL48" s="565" t="s">
        <v>1364</v>
      </c>
      <c r="AM48" s="565" t="s">
        <v>1365</v>
      </c>
      <c r="AN48" s="565" t="s">
        <v>1327</v>
      </c>
      <c r="AO48" s="565" t="s">
        <v>1366</v>
      </c>
      <c r="AP48" s="565" t="s">
        <v>1367</v>
      </c>
      <c r="AQ48" s="565" t="n">
        <v>50</v>
      </c>
      <c r="AR48" s="565" t="n">
        <v>42</v>
      </c>
      <c r="AS48" s="565" t="n">
        <v>8</v>
      </c>
      <c r="AT48" s="565" t="n">
        <v>74</v>
      </c>
      <c r="AU48" s="565" t="n">
        <v>15</v>
      </c>
      <c r="AV48" s="565" t="s">
        <v>718</v>
      </c>
      <c r="AW48" s="565" t="s">
        <v>1368</v>
      </c>
      <c r="AX48" s="565" t="s">
        <v>1167</v>
      </c>
      <c r="AY48" s="565" t="s">
        <v>1369</v>
      </c>
      <c r="AZ48" s="565" t="s">
        <v>1370</v>
      </c>
      <c r="BA48" s="565" t="s">
        <v>1371</v>
      </c>
      <c r="BB48" s="565" t="s">
        <v>1372</v>
      </c>
      <c r="BC48" s="565" t="s">
        <v>1373</v>
      </c>
      <c r="BD48" s="598" t="str">
        <f aca="false">B64</f>
        <v>Anuradha</v>
      </c>
      <c r="BE48" s="566" t="s">
        <v>1374</v>
      </c>
      <c r="BF48" s="623" t="s">
        <v>1375</v>
      </c>
      <c r="BG48" s="623" t="s">
        <v>1376</v>
      </c>
    </row>
    <row r="49" customFormat="false" ht="16.5" hidden="false" customHeight="true" outlineLevel="0" collapsed="false">
      <c r="A49" s="614" t="n">
        <v>2</v>
      </c>
      <c r="B49" s="565" t="s">
        <v>639</v>
      </c>
      <c r="C49" s="618" t="s">
        <v>1377</v>
      </c>
      <c r="D49" s="565" t="s">
        <v>163</v>
      </c>
      <c r="E49" s="565" t="s">
        <v>1341</v>
      </c>
      <c r="F49" s="624" t="s">
        <v>1342</v>
      </c>
      <c r="G49" s="625" t="s">
        <v>1378</v>
      </c>
      <c r="H49" s="625" t="s">
        <v>1379</v>
      </c>
      <c r="I49" s="625" t="s">
        <v>1380</v>
      </c>
      <c r="J49" s="565" t="s">
        <v>1381</v>
      </c>
      <c r="K49" s="565" t="s">
        <v>1382</v>
      </c>
      <c r="L49" s="565" t="s">
        <v>1383</v>
      </c>
      <c r="M49" s="565" t="s">
        <v>889</v>
      </c>
      <c r="N49" s="565" t="s">
        <v>1384</v>
      </c>
      <c r="O49" s="565" t="s">
        <v>1385</v>
      </c>
      <c r="P49" s="565" t="s">
        <v>1384</v>
      </c>
      <c r="Q49" s="565" t="s">
        <v>1386</v>
      </c>
      <c r="R49" s="565" t="s">
        <v>1387</v>
      </c>
      <c r="S49" s="565" t="s">
        <v>1388</v>
      </c>
      <c r="T49" s="565" t="s">
        <v>1389</v>
      </c>
      <c r="U49" s="574" t="n">
        <f aca="false">U48+StarDeg</f>
        <v>13.3333333333333</v>
      </c>
      <c r="V49" s="574" t="n">
        <f aca="false">V48+StarDeg</f>
        <v>26.6666666666666</v>
      </c>
      <c r="W49" s="618" t="s">
        <v>1390</v>
      </c>
      <c r="X49" s="619" t="s">
        <v>1391</v>
      </c>
      <c r="Y49" s="620" t="s">
        <v>1392</v>
      </c>
      <c r="Z49" s="565" t="s">
        <v>1359</v>
      </c>
      <c r="AA49" s="567" t="s">
        <v>1359</v>
      </c>
      <c r="AB49" s="565" t="s">
        <v>1358</v>
      </c>
      <c r="AC49" s="565" t="s">
        <v>1358</v>
      </c>
      <c r="AD49" s="565" t="s">
        <v>1359</v>
      </c>
      <c r="AE49" s="565" t="str">
        <f aca="false">INDEX(PanchangaYoga,MOD(26+A49-7,27)+1,2)</f>
        <v>Sādhya</v>
      </c>
      <c r="AF49" s="565" t="s">
        <v>826</v>
      </c>
      <c r="AG49" s="565" t="s">
        <v>1393</v>
      </c>
      <c r="AH49" s="621" t="n">
        <v>0.00231481481481481</v>
      </c>
      <c r="AI49" s="621" t="n">
        <f aca="false">AH49*360</f>
        <v>0.833333333333332</v>
      </c>
      <c r="AJ49" s="622" t="s">
        <v>1394</v>
      </c>
      <c r="AK49" s="599" t="s">
        <v>1363</v>
      </c>
      <c r="AL49" s="565" t="s">
        <v>1364</v>
      </c>
      <c r="AM49" s="565" t="s">
        <v>1395</v>
      </c>
      <c r="AN49" s="565" t="s">
        <v>1396</v>
      </c>
      <c r="AO49" s="565" t="s">
        <v>1366</v>
      </c>
      <c r="AP49" s="565" t="s">
        <v>1397</v>
      </c>
      <c r="AQ49" s="565" t="n">
        <v>24</v>
      </c>
      <c r="AR49" s="565" t="n">
        <v>48</v>
      </c>
      <c r="AS49" s="565" t="n">
        <v>4</v>
      </c>
      <c r="AT49" s="565" t="n">
        <v>55</v>
      </c>
      <c r="AU49" s="565" t="n">
        <v>60</v>
      </c>
      <c r="AV49" s="565" t="s">
        <v>718</v>
      </c>
      <c r="AW49" s="565" t="s">
        <v>1398</v>
      </c>
      <c r="AX49" s="565" t="s">
        <v>1399</v>
      </c>
      <c r="AY49" s="565" t="s">
        <v>1400</v>
      </c>
      <c r="AZ49" s="565" t="s">
        <v>1401</v>
      </c>
      <c r="BA49" s="565" t="s">
        <v>1402</v>
      </c>
      <c r="BB49" s="565" t="s">
        <v>1403</v>
      </c>
      <c r="BC49" s="565" t="s">
        <v>1404</v>
      </c>
      <c r="BD49" s="598" t="str">
        <f aca="false">B65</f>
        <v>Jyeshtha</v>
      </c>
      <c r="BF49" s="623" t="s">
        <v>1405</v>
      </c>
      <c r="BG49" s="623" t="s">
        <v>1406</v>
      </c>
    </row>
    <row r="50" customFormat="false" ht="16.5" hidden="false" customHeight="true" outlineLevel="0" collapsed="false">
      <c r="A50" s="614" t="n">
        <v>3</v>
      </c>
      <c r="B50" s="565" t="s">
        <v>553</v>
      </c>
      <c r="C50" s="618" t="s">
        <v>1407</v>
      </c>
      <c r="D50" s="565" t="s">
        <v>158</v>
      </c>
      <c r="E50" s="565" t="s">
        <v>1408</v>
      </c>
      <c r="F50" s="624" t="s">
        <v>1342</v>
      </c>
      <c r="G50" s="625" t="s">
        <v>1409</v>
      </c>
      <c r="H50" s="625" t="s">
        <v>1410</v>
      </c>
      <c r="I50" s="625" t="s">
        <v>1380</v>
      </c>
      <c r="J50" s="565" t="s">
        <v>1381</v>
      </c>
      <c r="K50" s="565" t="s">
        <v>1411</v>
      </c>
      <c r="L50" s="565" t="s">
        <v>1412</v>
      </c>
      <c r="M50" s="565" t="s">
        <v>1413</v>
      </c>
      <c r="N50" s="565" t="s">
        <v>1414</v>
      </c>
      <c r="O50" s="565" t="s">
        <v>1385</v>
      </c>
      <c r="P50" s="565" t="s">
        <v>1415</v>
      </c>
      <c r="Q50" s="565" t="s">
        <v>1416</v>
      </c>
      <c r="R50" s="565" t="s">
        <v>1417</v>
      </c>
      <c r="S50" s="565" t="s">
        <v>1418</v>
      </c>
      <c r="T50" s="565" t="s">
        <v>1419</v>
      </c>
      <c r="U50" s="574" t="n">
        <f aca="false">U49+StarDeg</f>
        <v>26.6666666666666</v>
      </c>
      <c r="V50" s="574" t="n">
        <f aca="false">V49+StarDeg</f>
        <v>39.9999999999999</v>
      </c>
      <c r="W50" s="618" t="s">
        <v>1420</v>
      </c>
      <c r="X50" s="619" t="s">
        <v>1421</v>
      </c>
      <c r="Y50" s="620" t="s">
        <v>1422</v>
      </c>
      <c r="Z50" s="565" t="s">
        <v>1423</v>
      </c>
      <c r="AA50" s="567" t="s">
        <v>1360</v>
      </c>
      <c r="AB50" s="565" t="s">
        <v>1360</v>
      </c>
      <c r="AC50" s="565" t="s">
        <v>1359</v>
      </c>
      <c r="AD50" s="565" t="s">
        <v>1358</v>
      </c>
      <c r="AE50" s="565" t="str">
        <f aca="false">INDEX(PanchangaYoga,MOD(26+A50-7,27)+1,2)</f>
        <v>Shubha</v>
      </c>
      <c r="AF50" s="565" t="s">
        <v>826</v>
      </c>
      <c r="AG50" s="565" t="s">
        <v>1424</v>
      </c>
      <c r="AH50" s="621" t="n">
        <v>0.000694444444444444</v>
      </c>
      <c r="AI50" s="621" t="n">
        <f aca="false">AH50*360</f>
        <v>0.25</v>
      </c>
      <c r="AJ50" s="622" t="s">
        <v>1425</v>
      </c>
      <c r="AK50" s="599" t="s">
        <v>1363</v>
      </c>
      <c r="AL50" s="565" t="s">
        <v>1364</v>
      </c>
      <c r="AM50" s="565" t="s">
        <v>1426</v>
      </c>
      <c r="AN50" s="565" t="s">
        <v>1427</v>
      </c>
      <c r="AO50" s="565" t="s">
        <v>1366</v>
      </c>
      <c r="AP50" s="599" t="s">
        <v>1428</v>
      </c>
      <c r="AQ50" s="565" t="n">
        <v>30</v>
      </c>
      <c r="AR50" s="565" t="n">
        <v>54</v>
      </c>
      <c r="AS50" s="565" t="n">
        <v>12</v>
      </c>
      <c r="AT50" s="565" t="n">
        <v>21</v>
      </c>
      <c r="AU50" s="565" t="n">
        <v>30</v>
      </c>
      <c r="AV50" s="565" t="s">
        <v>718</v>
      </c>
      <c r="AW50" s="565" t="s">
        <v>1429</v>
      </c>
      <c r="AX50" s="565" t="s">
        <v>1430</v>
      </c>
      <c r="AY50" s="565" t="s">
        <v>1431</v>
      </c>
      <c r="AZ50" s="565" t="s">
        <v>1432</v>
      </c>
      <c r="BA50" s="565" t="s">
        <v>1433</v>
      </c>
      <c r="BB50" s="565" t="s">
        <v>1434</v>
      </c>
      <c r="BC50" s="565" t="s">
        <v>1435</v>
      </c>
      <c r="BD50" s="598" t="str">
        <f aca="false">B66</f>
        <v>Mula</v>
      </c>
      <c r="BF50" s="626" t="s">
        <v>1436</v>
      </c>
      <c r="BG50" s="626" t="s">
        <v>1436</v>
      </c>
    </row>
    <row r="51" customFormat="false" ht="16.5" hidden="false" customHeight="true" outlineLevel="0" collapsed="false">
      <c r="A51" s="614" t="n">
        <v>4</v>
      </c>
      <c r="B51" s="565" t="s">
        <v>641</v>
      </c>
      <c r="C51" s="618"/>
      <c r="D51" s="565" t="s">
        <v>159</v>
      </c>
      <c r="E51" s="565" t="s">
        <v>1437</v>
      </c>
      <c r="F51" s="624" t="s">
        <v>1342</v>
      </c>
      <c r="G51" s="625" t="s">
        <v>1342</v>
      </c>
      <c r="H51" s="625" t="s">
        <v>1438</v>
      </c>
      <c r="I51" s="625" t="s">
        <v>1439</v>
      </c>
      <c r="J51" s="565" t="s">
        <v>1381</v>
      </c>
      <c r="K51" s="565" t="s">
        <v>1382</v>
      </c>
      <c r="L51" s="565" t="s">
        <v>1440</v>
      </c>
      <c r="M51" s="565" t="s">
        <v>1441</v>
      </c>
      <c r="O51" s="565" t="s">
        <v>1349</v>
      </c>
      <c r="P51" s="565" t="s">
        <v>1442</v>
      </c>
      <c r="Q51" s="565" t="s">
        <v>1443</v>
      </c>
      <c r="R51" s="565" t="s">
        <v>1444</v>
      </c>
      <c r="S51" s="565" t="s">
        <v>1353</v>
      </c>
      <c r="T51" s="565" t="s">
        <v>1445</v>
      </c>
      <c r="U51" s="574" t="n">
        <f aca="false">U50+StarDeg</f>
        <v>39.9999999999999</v>
      </c>
      <c r="V51" s="574" t="n">
        <f aca="false">V50+StarDeg</f>
        <v>53.3333333333332</v>
      </c>
      <c r="W51" s="618" t="s">
        <v>1446</v>
      </c>
      <c r="X51" s="619" t="s">
        <v>1447</v>
      </c>
      <c r="Y51" s="620" t="s">
        <v>1448</v>
      </c>
      <c r="Z51" s="565" t="s">
        <v>1423</v>
      </c>
      <c r="AA51" s="567" t="s">
        <v>1358</v>
      </c>
      <c r="AB51" s="565" t="s">
        <v>1359</v>
      </c>
      <c r="AC51" s="565" t="s">
        <v>1360</v>
      </c>
      <c r="AD51" s="565" t="s">
        <v>1360</v>
      </c>
      <c r="AE51" s="565" t="str">
        <f aca="false">INDEX(PanchangaYoga,MOD(26+A51-7,27)+1,2)</f>
        <v>Shukla</v>
      </c>
      <c r="AF51" s="565" t="s">
        <v>826</v>
      </c>
      <c r="AG51" s="565" t="s">
        <v>1449</v>
      </c>
      <c r="AH51" s="621" t="n">
        <v>0.00115740740740741</v>
      </c>
      <c r="AI51" s="621" t="n">
        <f aca="false">AH51*360</f>
        <v>0.416666666666668</v>
      </c>
      <c r="AJ51" s="622" t="s">
        <v>1450</v>
      </c>
      <c r="AK51" s="599" t="s">
        <v>1363</v>
      </c>
      <c r="AL51" s="565" t="s">
        <v>1364</v>
      </c>
      <c r="AM51" s="565" t="s">
        <v>1451</v>
      </c>
      <c r="AN51" s="565" t="s">
        <v>1452</v>
      </c>
      <c r="AO51" s="565" t="s">
        <v>1453</v>
      </c>
      <c r="AP51" s="565" t="s">
        <v>1454</v>
      </c>
      <c r="AQ51" s="565" t="n">
        <v>40</v>
      </c>
      <c r="AR51" s="565" t="n">
        <v>52</v>
      </c>
      <c r="AS51" s="565" t="n">
        <v>2</v>
      </c>
      <c r="AT51" s="565" t="n">
        <v>7.5</v>
      </c>
      <c r="AU51" s="565" t="n">
        <v>15</v>
      </c>
      <c r="AV51" s="565" t="s">
        <v>700</v>
      </c>
      <c r="AW51" s="565" t="s">
        <v>1455</v>
      </c>
      <c r="AX51" s="565" t="s">
        <v>1456</v>
      </c>
      <c r="AY51" s="565" t="s">
        <v>1457</v>
      </c>
      <c r="AZ51" s="565" t="s">
        <v>1458</v>
      </c>
      <c r="BA51" s="565" t="s">
        <v>1459</v>
      </c>
      <c r="BB51" s="565" t="s">
        <v>1460</v>
      </c>
      <c r="BC51" s="565" t="s">
        <v>1461</v>
      </c>
      <c r="BD51" s="598" t="str">
        <f aca="false">B67</f>
        <v>Purva Ashadha</v>
      </c>
      <c r="BF51" s="623" t="s">
        <v>1462</v>
      </c>
      <c r="BG51" s="623" t="s">
        <v>1463</v>
      </c>
    </row>
    <row r="52" customFormat="false" ht="16.5" hidden="false" customHeight="true" outlineLevel="0" collapsed="false">
      <c r="A52" s="614" t="n">
        <v>5</v>
      </c>
      <c r="B52" s="565" t="s">
        <v>1464</v>
      </c>
      <c r="C52" s="565" t="s">
        <v>1465</v>
      </c>
      <c r="D52" s="565" t="s">
        <v>160</v>
      </c>
      <c r="E52" s="565" t="s">
        <v>1466</v>
      </c>
      <c r="F52" s="627" t="s">
        <v>1342</v>
      </c>
      <c r="G52" s="628" t="s">
        <v>1467</v>
      </c>
      <c r="H52" s="628" t="s">
        <v>1343</v>
      </c>
      <c r="I52" s="628" t="s">
        <v>1344</v>
      </c>
      <c r="J52" s="565" t="s">
        <v>1345</v>
      </c>
      <c r="K52" s="565" t="s">
        <v>1346</v>
      </c>
      <c r="L52" s="565" t="s">
        <v>1440</v>
      </c>
      <c r="M52" s="565" t="s">
        <v>1468</v>
      </c>
      <c r="N52" s="565" t="s">
        <v>1469</v>
      </c>
      <c r="O52" s="565" t="s">
        <v>1470</v>
      </c>
      <c r="P52" s="565" t="s">
        <v>1442</v>
      </c>
      <c r="Q52" s="565" t="s">
        <v>1471</v>
      </c>
      <c r="R52" s="599" t="s">
        <v>1472</v>
      </c>
      <c r="S52" s="565" t="s">
        <v>1388</v>
      </c>
      <c r="T52" s="565" t="s">
        <v>1473</v>
      </c>
      <c r="U52" s="574" t="n">
        <f aca="false">U51+StarDeg</f>
        <v>53.3333333333332</v>
      </c>
      <c r="V52" s="574" t="n">
        <f aca="false">V51+StarDeg</f>
        <v>66.6666666666665</v>
      </c>
      <c r="W52" s="618" t="s">
        <v>1474</v>
      </c>
      <c r="X52" s="619" t="s">
        <v>1475</v>
      </c>
      <c r="Y52" s="620" t="s">
        <v>1476</v>
      </c>
      <c r="Z52" s="565" t="s">
        <v>1359</v>
      </c>
      <c r="AA52" s="567" t="s">
        <v>1359</v>
      </c>
      <c r="AB52" s="565" t="s">
        <v>1358</v>
      </c>
      <c r="AC52" s="565" t="s">
        <v>1358</v>
      </c>
      <c r="AD52" s="565" t="s">
        <v>1359</v>
      </c>
      <c r="AE52" s="565" t="str">
        <f aca="false">INDEX(PanchangaYoga,MOD(26+A52-7,27)+1,2)</f>
        <v>Brāhma</v>
      </c>
      <c r="AF52" s="565" t="s">
        <v>826</v>
      </c>
      <c r="AG52" s="565" t="s">
        <v>1477</v>
      </c>
      <c r="AH52" s="621" t="n">
        <v>0.000810185185185185</v>
      </c>
      <c r="AI52" s="621" t="n">
        <f aca="false">AH52*360</f>
        <v>0.291666666666667</v>
      </c>
      <c r="AJ52" s="622" t="s">
        <v>1478</v>
      </c>
      <c r="AK52" s="599" t="s">
        <v>1363</v>
      </c>
      <c r="AL52" s="565" t="s">
        <v>1364</v>
      </c>
      <c r="AM52" s="565" t="s">
        <v>1479</v>
      </c>
      <c r="AN52" s="565" t="s">
        <v>1327</v>
      </c>
      <c r="AO52" s="565" t="s">
        <v>1453</v>
      </c>
      <c r="AP52" s="565" t="s">
        <v>1480</v>
      </c>
      <c r="AQ52" s="565" t="n">
        <v>14</v>
      </c>
      <c r="AR52" s="565" t="n">
        <v>38</v>
      </c>
      <c r="AS52" s="565" t="n">
        <v>6</v>
      </c>
      <c r="AT52" s="565" t="n">
        <v>55</v>
      </c>
      <c r="AU52" s="565" t="n">
        <v>60</v>
      </c>
      <c r="AV52" s="565" t="s">
        <v>700</v>
      </c>
      <c r="AW52" s="565" t="s">
        <v>1481</v>
      </c>
      <c r="AX52" s="565" t="s">
        <v>1482</v>
      </c>
      <c r="AY52" s="565" t="s">
        <v>1167</v>
      </c>
      <c r="AZ52" s="565" t="s">
        <v>1483</v>
      </c>
      <c r="BA52" s="565" t="s">
        <v>1484</v>
      </c>
      <c r="BB52" s="565" t="s">
        <v>1485</v>
      </c>
      <c r="BC52" s="565" t="s">
        <v>1486</v>
      </c>
      <c r="BD52" s="598" t="str">
        <f aca="false">B68</f>
        <v>Uttara Ashadha</v>
      </c>
      <c r="BF52" s="626" t="s">
        <v>1487</v>
      </c>
      <c r="BG52" s="626" t="s">
        <v>1487</v>
      </c>
    </row>
    <row r="53" customFormat="false" ht="16.5" hidden="false" customHeight="true" outlineLevel="0" collapsed="false">
      <c r="A53" s="614" t="n">
        <v>6</v>
      </c>
      <c r="B53" s="565" t="s">
        <v>557</v>
      </c>
      <c r="C53" s="565" t="s">
        <v>1488</v>
      </c>
      <c r="D53" s="565" t="s">
        <v>165</v>
      </c>
      <c r="E53" s="565" t="s">
        <v>1489</v>
      </c>
      <c r="F53" s="615" t="s">
        <v>1467</v>
      </c>
      <c r="G53" s="617" t="s">
        <v>248</v>
      </c>
      <c r="H53" s="617" t="s">
        <v>1379</v>
      </c>
      <c r="I53" s="617" t="s">
        <v>1439</v>
      </c>
      <c r="J53" s="565" t="s">
        <v>1345</v>
      </c>
      <c r="K53" s="565" t="s">
        <v>1382</v>
      </c>
      <c r="L53" s="565" t="s">
        <v>1412</v>
      </c>
      <c r="M53" s="565" t="s">
        <v>1490</v>
      </c>
      <c r="N53" s="565" t="s">
        <v>1491</v>
      </c>
      <c r="O53" s="565" t="s">
        <v>1492</v>
      </c>
      <c r="P53" s="565" t="s">
        <v>1493</v>
      </c>
      <c r="Q53" s="565" t="s">
        <v>1494</v>
      </c>
      <c r="R53" s="565" t="s">
        <v>1495</v>
      </c>
      <c r="S53" s="565" t="s">
        <v>1418</v>
      </c>
      <c r="T53" s="565" t="s">
        <v>1496</v>
      </c>
      <c r="U53" s="574" t="n">
        <f aca="false">U52+StarDeg</f>
        <v>66.6666666666665</v>
      </c>
      <c r="V53" s="574" t="n">
        <f aca="false">V52+StarDeg</f>
        <v>79.9999999999998</v>
      </c>
      <c r="W53" s="618" t="s">
        <v>1497</v>
      </c>
      <c r="X53" s="619" t="s">
        <v>1498</v>
      </c>
      <c r="Y53" s="620" t="s">
        <v>1499</v>
      </c>
      <c r="Z53" s="565" t="s">
        <v>1358</v>
      </c>
      <c r="AA53" s="567" t="s">
        <v>1360</v>
      </c>
      <c r="AB53" s="565" t="s">
        <v>1360</v>
      </c>
      <c r="AC53" s="565" t="s">
        <v>1359</v>
      </c>
      <c r="AD53" s="565" t="s">
        <v>1358</v>
      </c>
      <c r="AE53" s="565" t="str">
        <f aca="false">INDEX(PanchangaYoga,MOD(26+A53-7,27)+1,2)</f>
        <v>Māhendra</v>
      </c>
      <c r="AF53" s="565" t="s">
        <v>1500</v>
      </c>
      <c r="AG53" s="565" t="s">
        <v>1501</v>
      </c>
      <c r="AH53" s="621" t="n">
        <v>0.00208333333333333</v>
      </c>
      <c r="AI53" s="621" t="n">
        <f aca="false">AH53*360</f>
        <v>0.749999999999999</v>
      </c>
      <c r="AJ53" s="622" t="s">
        <v>1502</v>
      </c>
      <c r="AK53" s="599" t="s">
        <v>1503</v>
      </c>
      <c r="AL53" s="565" t="s">
        <v>1504</v>
      </c>
      <c r="AM53" s="565" t="s">
        <v>1505</v>
      </c>
      <c r="AN53" s="565" t="s">
        <v>1396</v>
      </c>
      <c r="AO53" s="565" t="s">
        <v>1453</v>
      </c>
      <c r="AP53" s="565" t="s">
        <v>1506</v>
      </c>
      <c r="AQ53" s="565" t="n">
        <v>21</v>
      </c>
      <c r="AR53" s="565" t="n">
        <v>35</v>
      </c>
      <c r="AS53" s="565" t="n">
        <v>14</v>
      </c>
      <c r="AT53" s="565" t="n">
        <v>21</v>
      </c>
      <c r="AU53" s="565" t="n">
        <v>30</v>
      </c>
      <c r="AV53" s="565" t="s">
        <v>700</v>
      </c>
      <c r="AW53" s="565" t="s">
        <v>1507</v>
      </c>
      <c r="AX53" s="565" t="s">
        <v>1508</v>
      </c>
      <c r="AY53" s="565" t="s">
        <v>1402</v>
      </c>
      <c r="AZ53" s="565" t="s">
        <v>1509</v>
      </c>
      <c r="BA53" s="565" t="s">
        <v>1167</v>
      </c>
      <c r="BB53" s="565" t="s">
        <v>1510</v>
      </c>
      <c r="BC53" s="565" t="s">
        <v>1511</v>
      </c>
      <c r="BD53" s="598" t="str">
        <f aca="false">B70</f>
        <v>Shravan</v>
      </c>
      <c r="BF53" s="623" t="s">
        <v>1512</v>
      </c>
      <c r="BG53" s="623" t="s">
        <v>1513</v>
      </c>
    </row>
    <row r="54" customFormat="false" ht="16.5" hidden="false" customHeight="true" outlineLevel="0" collapsed="false">
      <c r="A54" s="614" t="n">
        <v>7</v>
      </c>
      <c r="B54" s="565" t="s">
        <v>643</v>
      </c>
      <c r="C54" s="565" t="s">
        <v>1514</v>
      </c>
      <c r="D54" s="565" t="s">
        <v>162</v>
      </c>
      <c r="E54" s="565" t="s">
        <v>1515</v>
      </c>
      <c r="F54" s="624" t="s">
        <v>1467</v>
      </c>
      <c r="G54" s="625" t="s">
        <v>1409</v>
      </c>
      <c r="H54" s="625" t="s">
        <v>1410</v>
      </c>
      <c r="I54" s="625" t="s">
        <v>1344</v>
      </c>
      <c r="J54" s="565" t="s">
        <v>1516</v>
      </c>
      <c r="K54" s="565" t="s">
        <v>1346</v>
      </c>
      <c r="L54" s="565" t="s">
        <v>1383</v>
      </c>
      <c r="M54" s="565" t="s">
        <v>1517</v>
      </c>
      <c r="N54" s="565" t="s">
        <v>1517</v>
      </c>
      <c r="O54" s="565" t="s">
        <v>1385</v>
      </c>
      <c r="P54" s="565" t="s">
        <v>1518</v>
      </c>
      <c r="Q54" s="565" t="s">
        <v>1519</v>
      </c>
      <c r="R54" s="565" t="s">
        <v>1520</v>
      </c>
      <c r="S54" s="565" t="s">
        <v>1353</v>
      </c>
      <c r="T54" s="565" t="s">
        <v>1354</v>
      </c>
      <c r="U54" s="574" t="n">
        <f aca="false">U53+StarDeg</f>
        <v>79.9999999999998</v>
      </c>
      <c r="V54" s="574" t="n">
        <f aca="false">V53+StarDeg</f>
        <v>93.3333333333331</v>
      </c>
      <c r="W54" s="618" t="s">
        <v>1521</v>
      </c>
      <c r="X54" s="619" t="s">
        <v>1522</v>
      </c>
      <c r="Y54" s="620" t="s">
        <v>1523</v>
      </c>
      <c r="Z54" s="565" t="s">
        <v>1358</v>
      </c>
      <c r="AA54" s="567" t="s">
        <v>1358</v>
      </c>
      <c r="AB54" s="565" t="s">
        <v>1359</v>
      </c>
      <c r="AC54" s="565" t="s">
        <v>1360</v>
      </c>
      <c r="AD54" s="565" t="s">
        <v>1360</v>
      </c>
      <c r="AE54" s="565" t="str">
        <f aca="false">INDEX(PanchangaYoga,MOD(26+A54-7,27)+1,2)</f>
        <v>Vaidhriti</v>
      </c>
      <c r="AF54" s="565" t="s">
        <v>1500</v>
      </c>
      <c r="AG54" s="565" t="s">
        <v>1524</v>
      </c>
      <c r="AH54" s="621" t="n">
        <v>0.00185185185185185</v>
      </c>
      <c r="AI54" s="621" t="n">
        <f aca="false">AH54*360</f>
        <v>0.666666666666666</v>
      </c>
      <c r="AJ54" s="622" t="s">
        <v>1525</v>
      </c>
      <c r="AK54" s="599" t="s">
        <v>1503</v>
      </c>
      <c r="AL54" s="565" t="s">
        <v>1504</v>
      </c>
      <c r="AM54" s="565" t="s">
        <v>1526</v>
      </c>
      <c r="AN54" s="565" t="s">
        <v>1427</v>
      </c>
      <c r="AO54" s="565" t="s">
        <v>1453</v>
      </c>
      <c r="AP54" s="565" t="s">
        <v>1527</v>
      </c>
      <c r="AQ54" s="565" t="n">
        <v>30</v>
      </c>
      <c r="AR54" s="565" t="n">
        <v>54</v>
      </c>
      <c r="AS54" s="565" t="n">
        <v>10</v>
      </c>
      <c r="AT54" s="565" t="n">
        <v>7.5</v>
      </c>
      <c r="AU54" s="565" t="n">
        <v>15</v>
      </c>
      <c r="AV54" s="565" t="s">
        <v>718</v>
      </c>
      <c r="AW54" s="565" t="s">
        <v>1528</v>
      </c>
      <c r="AX54" s="565" t="s">
        <v>1529</v>
      </c>
      <c r="AY54" s="565" t="s">
        <v>1530</v>
      </c>
      <c r="AZ54" s="565" t="s">
        <v>1531</v>
      </c>
      <c r="BA54" s="565" t="s">
        <v>1532</v>
      </c>
      <c r="BB54" s="565" t="s">
        <v>1533</v>
      </c>
      <c r="BC54" s="565" t="s">
        <v>1534</v>
      </c>
      <c r="BD54" s="598" t="str">
        <f aca="false">B71</f>
        <v>Dhanistha</v>
      </c>
      <c r="BF54" s="626" t="s">
        <v>1535</v>
      </c>
      <c r="BG54" s="626" t="s">
        <v>1535</v>
      </c>
    </row>
    <row r="55" customFormat="false" ht="16.5" hidden="false" customHeight="true" outlineLevel="0" collapsed="false">
      <c r="A55" s="614" t="n">
        <v>8</v>
      </c>
      <c r="B55" s="565" t="s">
        <v>566</v>
      </c>
      <c r="C55" s="565" t="s">
        <v>1536</v>
      </c>
      <c r="D55" s="565" t="s">
        <v>462</v>
      </c>
      <c r="E55" s="565" t="s">
        <v>1537</v>
      </c>
      <c r="F55" s="624" t="s">
        <v>1467</v>
      </c>
      <c r="G55" s="625" t="s">
        <v>1378</v>
      </c>
      <c r="H55" s="625" t="s">
        <v>1438</v>
      </c>
      <c r="I55" s="625" t="s">
        <v>1439</v>
      </c>
      <c r="J55" s="565" t="s">
        <v>1345</v>
      </c>
      <c r="K55" s="565" t="s">
        <v>1346</v>
      </c>
      <c r="L55" s="565" t="s">
        <v>1347</v>
      </c>
      <c r="M55" s="565" t="s">
        <v>1538</v>
      </c>
      <c r="N55" s="565" t="s">
        <v>1539</v>
      </c>
      <c r="O55" s="565" t="s">
        <v>1349</v>
      </c>
      <c r="P55" s="565" t="s">
        <v>1415</v>
      </c>
      <c r="Q55" s="565" t="s">
        <v>1540</v>
      </c>
      <c r="R55" s="565" t="s">
        <v>1171</v>
      </c>
      <c r="S55" s="565" t="s">
        <v>1388</v>
      </c>
      <c r="T55" s="565" t="s">
        <v>1389</v>
      </c>
      <c r="U55" s="574" t="n">
        <f aca="false">U54+StarDeg</f>
        <v>93.3333333333331</v>
      </c>
      <c r="V55" s="574" t="n">
        <f aca="false">V54+StarDeg</f>
        <v>106.666666666666</v>
      </c>
      <c r="W55" s="618" t="s">
        <v>1541</v>
      </c>
      <c r="X55" s="619" t="s">
        <v>1542</v>
      </c>
      <c r="Y55" s="567" t="s">
        <v>1357</v>
      </c>
      <c r="Z55" s="565" t="s">
        <v>1359</v>
      </c>
      <c r="AA55" s="567" t="s">
        <v>1359</v>
      </c>
      <c r="AB55" s="565" t="s">
        <v>1358</v>
      </c>
      <c r="AC55" s="565" t="s">
        <v>1358</v>
      </c>
      <c r="AD55" s="565" t="s">
        <v>1359</v>
      </c>
      <c r="AE55" s="565" t="str">
        <f aca="false">INDEX(PanchangaYoga,MOD(26+A55-7,27)+1,2)</f>
        <v>Vishkambha</v>
      </c>
      <c r="AF55" s="565" t="s">
        <v>1500</v>
      </c>
      <c r="AG55" s="565" t="s">
        <v>1543</v>
      </c>
      <c r="AH55" s="621" t="n">
        <v>0.00219907407407407</v>
      </c>
      <c r="AI55" s="621" t="n">
        <f aca="false">AH55*360</f>
        <v>0.791666666666665</v>
      </c>
      <c r="AJ55" s="622" t="s">
        <v>1544</v>
      </c>
      <c r="AK55" s="599" t="s">
        <v>1503</v>
      </c>
      <c r="AL55" s="565" t="s">
        <v>1504</v>
      </c>
      <c r="AM55" s="565" t="s">
        <v>1365</v>
      </c>
      <c r="AN55" s="565" t="s">
        <v>1452</v>
      </c>
      <c r="AO55" s="565" t="s">
        <v>1545</v>
      </c>
      <c r="AP55" s="565" t="s">
        <v>1546</v>
      </c>
      <c r="AQ55" s="565" t="n">
        <v>20</v>
      </c>
      <c r="AR55" s="565" t="n">
        <v>44</v>
      </c>
      <c r="AS55" s="565" t="n">
        <v>16</v>
      </c>
      <c r="AT55" s="565" t="n">
        <v>55</v>
      </c>
      <c r="AU55" s="565" t="n">
        <v>60</v>
      </c>
      <c r="AV55" s="565" t="s">
        <v>718</v>
      </c>
      <c r="AW55" s="565" t="s">
        <v>1547</v>
      </c>
      <c r="AX55" s="565" t="s">
        <v>1548</v>
      </c>
      <c r="AY55" s="565" t="s">
        <v>1167</v>
      </c>
      <c r="AZ55" s="565" t="s">
        <v>1483</v>
      </c>
      <c r="BA55" s="565" t="s">
        <v>1549</v>
      </c>
      <c r="BB55" s="565" t="s">
        <v>1550</v>
      </c>
      <c r="BC55" s="565" t="s">
        <v>1551</v>
      </c>
      <c r="BD55" s="598" t="str">
        <f aca="false">B72</f>
        <v>Satabishak</v>
      </c>
      <c r="BF55" s="623" t="s">
        <v>1552</v>
      </c>
      <c r="BG55" s="623" t="s">
        <v>1553</v>
      </c>
    </row>
    <row r="56" customFormat="false" ht="16.5" hidden="false" customHeight="true" outlineLevel="0" collapsed="false">
      <c r="A56" s="614" t="n">
        <v>9</v>
      </c>
      <c r="B56" s="565" t="s">
        <v>644</v>
      </c>
      <c r="C56" s="565" t="s">
        <v>1554</v>
      </c>
      <c r="D56" s="565" t="s">
        <v>800</v>
      </c>
      <c r="E56" s="565" t="s">
        <v>1537</v>
      </c>
      <c r="F56" s="624" t="s">
        <v>1467</v>
      </c>
      <c r="G56" s="629" t="s">
        <v>897</v>
      </c>
      <c r="H56" s="628" t="s">
        <v>1343</v>
      </c>
      <c r="I56" s="625" t="s">
        <v>1380</v>
      </c>
      <c r="J56" s="565" t="s">
        <v>1516</v>
      </c>
      <c r="K56" s="565" t="s">
        <v>1411</v>
      </c>
      <c r="L56" s="565" t="s">
        <v>1347</v>
      </c>
      <c r="M56" s="565" t="s">
        <v>1442</v>
      </c>
      <c r="N56" s="565" t="s">
        <v>1442</v>
      </c>
      <c r="O56" s="565" t="s">
        <v>1555</v>
      </c>
      <c r="P56" s="565" t="s">
        <v>1518</v>
      </c>
      <c r="Q56" s="565" t="s">
        <v>1556</v>
      </c>
      <c r="R56" s="565" t="s">
        <v>184</v>
      </c>
      <c r="S56" s="565" t="s">
        <v>1418</v>
      </c>
      <c r="T56" s="565" t="s">
        <v>1419</v>
      </c>
      <c r="U56" s="574" t="n">
        <f aca="false">U55+StarDeg</f>
        <v>106.666666666666</v>
      </c>
      <c r="V56" s="574" t="n">
        <f aca="false">V55+StarDeg</f>
        <v>120</v>
      </c>
      <c r="W56" s="618" t="s">
        <v>1557</v>
      </c>
      <c r="X56" s="619" t="s">
        <v>1558</v>
      </c>
      <c r="Y56" s="567" t="s">
        <v>1392</v>
      </c>
      <c r="Z56" s="565" t="s">
        <v>1423</v>
      </c>
      <c r="AA56" s="567" t="s">
        <v>1360</v>
      </c>
      <c r="AB56" s="565" t="s">
        <v>1360</v>
      </c>
      <c r="AC56" s="565" t="s">
        <v>1359</v>
      </c>
      <c r="AD56" s="565" t="s">
        <v>1358</v>
      </c>
      <c r="AE56" s="565" t="str">
        <f aca="false">INDEX(PanchangaYoga,MOD(26+A56-7,27)+1,2)</f>
        <v>Prīti</v>
      </c>
      <c r="AF56" s="565" t="s">
        <v>836</v>
      </c>
      <c r="AG56" s="565" t="s">
        <v>1559</v>
      </c>
      <c r="AH56" s="621" t="n">
        <v>0.00196759259259259</v>
      </c>
      <c r="AI56" s="621" t="n">
        <f aca="false">AH56*360</f>
        <v>0.708333333333332</v>
      </c>
      <c r="AJ56" s="622" t="s">
        <v>1560</v>
      </c>
      <c r="AK56" s="599" t="s">
        <v>1503</v>
      </c>
      <c r="AL56" s="565" t="s">
        <v>1504</v>
      </c>
      <c r="AM56" s="565" t="s">
        <v>1505</v>
      </c>
      <c r="AN56" s="565" t="s">
        <v>1327</v>
      </c>
      <c r="AO56" s="565" t="s">
        <v>1545</v>
      </c>
      <c r="AP56" s="565" t="s">
        <v>1561</v>
      </c>
      <c r="AQ56" s="565" t="n">
        <v>32</v>
      </c>
      <c r="AR56" s="565" t="n">
        <v>56</v>
      </c>
      <c r="AS56" s="565" t="n">
        <v>24</v>
      </c>
      <c r="AT56" s="565" t="n">
        <v>21</v>
      </c>
      <c r="AU56" s="565" t="n">
        <v>30</v>
      </c>
      <c r="AV56" s="565" t="s">
        <v>718</v>
      </c>
      <c r="AW56" s="565" t="s">
        <v>1562</v>
      </c>
      <c r="AX56" s="565" t="s">
        <v>1563</v>
      </c>
      <c r="AY56" s="565" t="s">
        <v>1564</v>
      </c>
      <c r="AZ56" s="565" t="s">
        <v>1531</v>
      </c>
      <c r="BA56" s="565" t="s">
        <v>1456</v>
      </c>
      <c r="BB56" s="565" t="s">
        <v>1565</v>
      </c>
      <c r="BC56" s="565" t="s">
        <v>1566</v>
      </c>
      <c r="BD56" s="598" t="str">
        <f aca="false">B73</f>
        <v>Purva Bhadrapad</v>
      </c>
      <c r="BF56" s="623" t="s">
        <v>1567</v>
      </c>
      <c r="BG56" s="623" t="s">
        <v>1568</v>
      </c>
    </row>
    <row r="57" customFormat="false" ht="16.5" hidden="false" customHeight="true" outlineLevel="0" collapsed="false">
      <c r="A57" s="614" t="n">
        <v>10</v>
      </c>
      <c r="B57" s="565" t="s">
        <v>645</v>
      </c>
      <c r="C57" s="565" t="s">
        <v>1569</v>
      </c>
      <c r="D57" s="565" t="s">
        <v>166</v>
      </c>
      <c r="E57" s="565" t="s">
        <v>943</v>
      </c>
      <c r="F57" s="624" t="s">
        <v>1467</v>
      </c>
      <c r="G57" s="629" t="s">
        <v>1467</v>
      </c>
      <c r="H57" s="617" t="s">
        <v>1379</v>
      </c>
      <c r="I57" s="625" t="s">
        <v>1380</v>
      </c>
      <c r="J57" s="565" t="s">
        <v>1345</v>
      </c>
      <c r="K57" s="565" t="s">
        <v>1411</v>
      </c>
      <c r="L57" s="565" t="s">
        <v>1383</v>
      </c>
      <c r="M57" s="565" t="s">
        <v>1570</v>
      </c>
      <c r="N57" s="565" t="s">
        <v>1571</v>
      </c>
      <c r="O57" s="565" t="s">
        <v>1555</v>
      </c>
      <c r="P57" s="565" t="s">
        <v>1572</v>
      </c>
      <c r="Q57" s="565" t="s">
        <v>1573</v>
      </c>
      <c r="R57" s="565" t="s">
        <v>184</v>
      </c>
      <c r="S57" s="565" t="s">
        <v>1353</v>
      </c>
      <c r="T57" s="565" t="s">
        <v>1445</v>
      </c>
      <c r="U57" s="574" t="n">
        <f aca="false">U56+StarDeg</f>
        <v>120</v>
      </c>
      <c r="V57" s="574" t="n">
        <f aca="false">V56+StarDeg</f>
        <v>133.333333333333</v>
      </c>
      <c r="W57" s="618" t="s">
        <v>1574</v>
      </c>
      <c r="X57" s="619" t="s">
        <v>1575</v>
      </c>
      <c r="Y57" s="567" t="s">
        <v>1422</v>
      </c>
      <c r="Z57" s="565" t="s">
        <v>1423</v>
      </c>
      <c r="AA57" s="567" t="s">
        <v>1358</v>
      </c>
      <c r="AB57" s="565" t="s">
        <v>1359</v>
      </c>
      <c r="AC57" s="565" t="s">
        <v>1360</v>
      </c>
      <c r="AD57" s="565" t="s">
        <v>1360</v>
      </c>
      <c r="AE57" s="565" t="str">
        <f aca="false">INDEX(PanchangaYoga,MOD(26+A57-7,27)+1,2)</f>
        <v>Āyushmān</v>
      </c>
      <c r="AF57" s="565" t="s">
        <v>836</v>
      </c>
      <c r="AG57" s="565" t="s">
        <v>1576</v>
      </c>
      <c r="AH57" s="621" t="n">
        <v>0.000810185185185185</v>
      </c>
      <c r="AI57" s="621" t="n">
        <f aca="false">AH57*360</f>
        <v>0.291666666666667</v>
      </c>
      <c r="AJ57" s="622" t="s">
        <v>1577</v>
      </c>
      <c r="AK57" s="599" t="s">
        <v>1503</v>
      </c>
      <c r="AL57" s="565" t="s">
        <v>1504</v>
      </c>
      <c r="AM57" s="565" t="s">
        <v>1395</v>
      </c>
      <c r="AN57" s="565" t="s">
        <v>1396</v>
      </c>
      <c r="AO57" s="565" t="s">
        <v>1545</v>
      </c>
      <c r="AP57" s="565" t="s">
        <v>1578</v>
      </c>
      <c r="AQ57" s="565" t="n">
        <v>30</v>
      </c>
      <c r="AR57" s="565" t="n">
        <v>54</v>
      </c>
      <c r="AS57" s="565" t="n">
        <v>20</v>
      </c>
      <c r="AT57" s="565" t="n">
        <v>7.5</v>
      </c>
      <c r="AU57" s="565" t="n">
        <v>15</v>
      </c>
      <c r="AV57" s="565" t="s">
        <v>700</v>
      </c>
      <c r="AW57" s="565" t="s">
        <v>1579</v>
      </c>
      <c r="AX57" s="565" t="s">
        <v>1580</v>
      </c>
      <c r="AY57" s="565" t="s">
        <v>1581</v>
      </c>
      <c r="AZ57" s="565" t="s">
        <v>1582</v>
      </c>
      <c r="BA57" s="565" t="s">
        <v>1583</v>
      </c>
      <c r="BB57" s="565" t="s">
        <v>1584</v>
      </c>
      <c r="BC57" s="565" t="s">
        <v>1585</v>
      </c>
      <c r="BD57" s="598" t="str">
        <f aca="false">B74</f>
        <v>Uttara Bhadrapad</v>
      </c>
      <c r="BF57" s="623" t="s">
        <v>1586</v>
      </c>
      <c r="BG57" s="623" t="s">
        <v>1587</v>
      </c>
    </row>
    <row r="58" customFormat="false" ht="16.5" hidden="false" customHeight="true" outlineLevel="0" collapsed="false">
      <c r="A58" s="614" t="n">
        <v>11</v>
      </c>
      <c r="B58" s="565" t="s">
        <v>1588</v>
      </c>
      <c r="C58" s="565" t="s">
        <v>1589</v>
      </c>
      <c r="D58" s="565" t="s">
        <v>163</v>
      </c>
      <c r="E58" s="565" t="s">
        <v>943</v>
      </c>
      <c r="F58" s="627" t="s">
        <v>1467</v>
      </c>
      <c r="G58" s="630" t="s">
        <v>1342</v>
      </c>
      <c r="H58" s="625" t="s">
        <v>1410</v>
      </c>
      <c r="I58" s="625" t="s">
        <v>1380</v>
      </c>
      <c r="J58" s="565" t="s">
        <v>1381</v>
      </c>
      <c r="K58" s="565" t="s">
        <v>1382</v>
      </c>
      <c r="L58" s="565" t="s">
        <v>1412</v>
      </c>
      <c r="M58" s="565" t="s">
        <v>1590</v>
      </c>
      <c r="N58" s="565" t="s">
        <v>1591</v>
      </c>
      <c r="O58" s="565" t="s">
        <v>1492</v>
      </c>
      <c r="P58" s="565" t="s">
        <v>1572</v>
      </c>
      <c r="Q58" s="565" t="s">
        <v>1592</v>
      </c>
      <c r="R58" s="565" t="s">
        <v>1171</v>
      </c>
      <c r="S58" s="565" t="s">
        <v>1388</v>
      </c>
      <c r="T58" s="565" t="s">
        <v>1473</v>
      </c>
      <c r="U58" s="574" t="n">
        <f aca="false">U57+StarDeg</f>
        <v>133.333333333333</v>
      </c>
      <c r="V58" s="574" t="n">
        <f aca="false">V57+StarDeg</f>
        <v>146.666666666666</v>
      </c>
      <c r="W58" s="618" t="s">
        <v>1593</v>
      </c>
      <c r="X58" s="619" t="s">
        <v>1594</v>
      </c>
      <c r="Y58" s="567" t="s">
        <v>1448</v>
      </c>
      <c r="Z58" s="565" t="s">
        <v>1359</v>
      </c>
      <c r="AA58" s="567" t="s">
        <v>1359</v>
      </c>
      <c r="AB58" s="565" t="s">
        <v>1358</v>
      </c>
      <c r="AC58" s="565" t="s">
        <v>1358</v>
      </c>
      <c r="AD58" s="565" t="s">
        <v>1359</v>
      </c>
      <c r="AE58" s="565" t="str">
        <f aca="false">INDEX(PanchangaYoga,MOD(26+A58-7,27)+1,2)</f>
        <v>Saubhāgya</v>
      </c>
      <c r="AF58" s="565" t="s">
        <v>836</v>
      </c>
      <c r="AG58" s="565" t="s">
        <v>1595</v>
      </c>
      <c r="AH58" s="621" t="n">
        <v>0.00231481481481481</v>
      </c>
      <c r="AI58" s="621" t="n">
        <f aca="false">AH58*360</f>
        <v>0.833333333333332</v>
      </c>
      <c r="AJ58" s="622" t="s">
        <v>1596</v>
      </c>
      <c r="AK58" s="599" t="s">
        <v>1503</v>
      </c>
      <c r="AL58" s="565" t="s">
        <v>1504</v>
      </c>
      <c r="AM58" s="565" t="s">
        <v>1395</v>
      </c>
      <c r="AN58" s="565" t="s">
        <v>1427</v>
      </c>
      <c r="AO58" s="565" t="s">
        <v>1545</v>
      </c>
      <c r="AP58" s="565" t="s">
        <v>1597</v>
      </c>
      <c r="AQ58" s="565" t="n">
        <v>20</v>
      </c>
      <c r="AR58" s="565" t="n">
        <v>44</v>
      </c>
      <c r="AS58" s="565" t="n">
        <v>22</v>
      </c>
      <c r="AT58" s="565" t="n">
        <v>55</v>
      </c>
      <c r="AU58" s="565" t="n">
        <v>60</v>
      </c>
      <c r="AV58" s="565" t="s">
        <v>700</v>
      </c>
      <c r="AW58" s="565" t="s">
        <v>1598</v>
      </c>
      <c r="AX58" s="565" t="s">
        <v>1599</v>
      </c>
      <c r="AY58" s="565" t="s">
        <v>1600</v>
      </c>
      <c r="AZ58" s="565" t="s">
        <v>1601</v>
      </c>
      <c r="BA58" s="565" t="s">
        <v>1602</v>
      </c>
      <c r="BB58" s="565" t="s">
        <v>1603</v>
      </c>
      <c r="BC58" s="565" t="s">
        <v>1604</v>
      </c>
      <c r="BD58" s="598" t="str">
        <f aca="false">B75</f>
        <v>Revati</v>
      </c>
      <c r="BF58" s="623" t="s">
        <v>1605</v>
      </c>
      <c r="BG58" s="623" t="s">
        <v>1606</v>
      </c>
    </row>
    <row r="59" customFormat="false" ht="16.5" hidden="false" customHeight="true" outlineLevel="0" collapsed="false">
      <c r="A59" s="614" t="n">
        <v>12</v>
      </c>
      <c r="B59" s="565" t="s">
        <v>1607</v>
      </c>
      <c r="C59" s="565" t="s">
        <v>1608</v>
      </c>
      <c r="D59" s="565" t="s">
        <v>158</v>
      </c>
      <c r="E59" s="565" t="s">
        <v>1609</v>
      </c>
      <c r="F59" s="624" t="s">
        <v>897</v>
      </c>
      <c r="G59" s="629" t="s">
        <v>1378</v>
      </c>
      <c r="H59" s="625" t="s">
        <v>1438</v>
      </c>
      <c r="I59" s="625" t="s">
        <v>1439</v>
      </c>
      <c r="J59" s="565" t="s">
        <v>1381</v>
      </c>
      <c r="K59" s="565" t="s">
        <v>1382</v>
      </c>
      <c r="L59" s="565" t="s">
        <v>1440</v>
      </c>
      <c r="M59" s="565" t="s">
        <v>1610</v>
      </c>
      <c r="N59" s="565" t="s">
        <v>1611</v>
      </c>
      <c r="O59" s="565" t="s">
        <v>1555</v>
      </c>
      <c r="P59" s="565" t="s">
        <v>1612</v>
      </c>
      <c r="Q59" s="565" t="s">
        <v>1613</v>
      </c>
      <c r="R59" s="565" t="s">
        <v>1520</v>
      </c>
      <c r="S59" s="565" t="s">
        <v>1418</v>
      </c>
      <c r="T59" s="565" t="s">
        <v>1496</v>
      </c>
      <c r="U59" s="574" t="n">
        <f aca="false">U58+StarDeg</f>
        <v>146.666666666666</v>
      </c>
      <c r="V59" s="574" t="n">
        <f aca="false">V58+StarDeg</f>
        <v>160</v>
      </c>
      <c r="W59" s="618" t="s">
        <v>1614</v>
      </c>
      <c r="X59" s="619" t="s">
        <v>1615</v>
      </c>
      <c r="Y59" s="567" t="s">
        <v>1476</v>
      </c>
      <c r="Z59" s="565" t="s">
        <v>1358</v>
      </c>
      <c r="AA59" s="567" t="s">
        <v>1360</v>
      </c>
      <c r="AB59" s="565" t="s">
        <v>1360</v>
      </c>
      <c r="AC59" s="565" t="s">
        <v>1359</v>
      </c>
      <c r="AD59" s="565" t="s">
        <v>1358</v>
      </c>
      <c r="AE59" s="565" t="str">
        <f aca="false">INDEX(PanchangaYoga,MOD(26+A59-7,27)+1,2)</f>
        <v>Shobhana</v>
      </c>
      <c r="AF59" s="565" t="s">
        <v>836</v>
      </c>
      <c r="AG59" s="565" t="s">
        <v>1616</v>
      </c>
      <c r="AH59" s="621" t="n">
        <v>0.000694444444444444</v>
      </c>
      <c r="AI59" s="621" t="n">
        <f aca="false">AH59*360</f>
        <v>0.25</v>
      </c>
      <c r="AJ59" s="622" t="s">
        <v>1617</v>
      </c>
      <c r="AK59" s="599" t="s">
        <v>1618</v>
      </c>
      <c r="AL59" s="565" t="s">
        <v>1619</v>
      </c>
      <c r="AM59" s="565" t="s">
        <v>1451</v>
      </c>
      <c r="AN59" s="565" t="s">
        <v>1452</v>
      </c>
      <c r="AO59" s="565" t="s">
        <v>1620</v>
      </c>
      <c r="AP59" s="565" t="s">
        <v>1621</v>
      </c>
      <c r="AQ59" s="565" t="n">
        <v>18</v>
      </c>
      <c r="AR59" s="565" t="n">
        <v>42</v>
      </c>
      <c r="AS59" s="565" t="n">
        <v>2</v>
      </c>
      <c r="AT59" s="565" t="n">
        <v>21</v>
      </c>
      <c r="AU59" s="565" t="n">
        <v>30</v>
      </c>
      <c r="AV59" s="565" t="s">
        <v>700</v>
      </c>
      <c r="AX59" s="565" t="s">
        <v>1583</v>
      </c>
      <c r="AY59" s="565" t="s">
        <v>1622</v>
      </c>
      <c r="AZ59" s="565" t="s">
        <v>1623</v>
      </c>
      <c r="BA59" s="565" t="s">
        <v>1624</v>
      </c>
      <c r="BB59" s="565" t="s">
        <v>1625</v>
      </c>
      <c r="BC59" s="565" t="s">
        <v>1626</v>
      </c>
      <c r="BD59" s="598" t="str">
        <f aca="false">B48</f>
        <v>Ashvini</v>
      </c>
      <c r="BF59" s="623" t="s">
        <v>1627</v>
      </c>
      <c r="BG59" s="623" t="s">
        <v>1628</v>
      </c>
    </row>
    <row r="60" customFormat="false" ht="16.5" hidden="false" customHeight="true" outlineLevel="0" collapsed="false">
      <c r="A60" s="614" t="n">
        <v>13</v>
      </c>
      <c r="B60" s="565" t="s">
        <v>648</v>
      </c>
      <c r="C60" s="565" t="s">
        <v>1629</v>
      </c>
      <c r="D60" s="565" t="s">
        <v>159</v>
      </c>
      <c r="E60" s="565" t="s">
        <v>1630</v>
      </c>
      <c r="F60" s="624" t="s">
        <v>897</v>
      </c>
      <c r="G60" s="625" t="s">
        <v>1409</v>
      </c>
      <c r="H60" s="628" t="s">
        <v>1343</v>
      </c>
      <c r="I60" s="625" t="s">
        <v>1344</v>
      </c>
      <c r="J60" s="565" t="s">
        <v>1381</v>
      </c>
      <c r="K60" s="565" t="s">
        <v>1346</v>
      </c>
      <c r="L60" s="565" t="s">
        <v>1440</v>
      </c>
      <c r="M60" s="565" t="s">
        <v>1631</v>
      </c>
      <c r="N60" s="565" t="s">
        <v>1632</v>
      </c>
      <c r="O60" s="565" t="s">
        <v>1492</v>
      </c>
      <c r="P60" s="565" t="s">
        <v>1633</v>
      </c>
      <c r="Q60" s="565" t="s">
        <v>1634</v>
      </c>
      <c r="R60" s="565" t="s">
        <v>1495</v>
      </c>
      <c r="S60" s="565" t="s">
        <v>1353</v>
      </c>
      <c r="T60" s="565" t="s">
        <v>1354</v>
      </c>
      <c r="U60" s="574" t="n">
        <f aca="false">U59+StarDeg</f>
        <v>160</v>
      </c>
      <c r="V60" s="574" t="n">
        <f aca="false">V59+StarDeg</f>
        <v>173.333333333333</v>
      </c>
      <c r="W60" s="618" t="s">
        <v>1635</v>
      </c>
      <c r="X60" s="619" t="s">
        <v>1636</v>
      </c>
      <c r="Y60" s="567" t="s">
        <v>1499</v>
      </c>
      <c r="Z60" s="565" t="s">
        <v>1358</v>
      </c>
      <c r="AA60" s="567" t="s">
        <v>1358</v>
      </c>
      <c r="AB60" s="565" t="s">
        <v>1359</v>
      </c>
      <c r="AC60" s="565" t="s">
        <v>1360</v>
      </c>
      <c r="AD60" s="565" t="s">
        <v>1360</v>
      </c>
      <c r="AE60" s="565" t="str">
        <f aca="false">INDEX(PanchangaYoga,MOD(26+A60-7,27)+1,2)</f>
        <v>Atigaṇḍa</v>
      </c>
      <c r="AF60" s="565" t="s">
        <v>1637</v>
      </c>
      <c r="AG60" s="565" t="s">
        <v>1638</v>
      </c>
      <c r="AH60" s="621" t="n">
        <v>0.00115740740740741</v>
      </c>
      <c r="AI60" s="621" t="n">
        <f aca="false">AH60*360</f>
        <v>0.416666666666668</v>
      </c>
      <c r="AJ60" s="622" t="s">
        <v>1639</v>
      </c>
      <c r="AK60" s="599" t="s">
        <v>1618</v>
      </c>
      <c r="AL60" s="565" t="s">
        <v>1619</v>
      </c>
      <c r="AM60" s="565" t="s">
        <v>1365</v>
      </c>
      <c r="AN60" s="565" t="s">
        <v>1327</v>
      </c>
      <c r="AO60" s="565" t="s">
        <v>1620</v>
      </c>
      <c r="AP60" s="565" t="s">
        <v>1640</v>
      </c>
      <c r="AQ60" s="565" t="n">
        <v>21</v>
      </c>
      <c r="AR60" s="565" t="n">
        <v>45</v>
      </c>
      <c r="AS60" s="565" t="n">
        <v>26</v>
      </c>
      <c r="AT60" s="565" t="n">
        <v>7.5</v>
      </c>
      <c r="AU60" s="565" t="n">
        <v>15</v>
      </c>
      <c r="AV60" s="565" t="s">
        <v>718</v>
      </c>
      <c r="AW60" s="565" t="s">
        <v>1641</v>
      </c>
      <c r="AX60" s="565" t="s">
        <v>1642</v>
      </c>
      <c r="AY60" s="565" t="s">
        <v>1530</v>
      </c>
      <c r="AZ60" s="565" t="s">
        <v>1531</v>
      </c>
      <c r="BA60" s="565" t="s">
        <v>1643</v>
      </c>
      <c r="BB60" s="565" t="s">
        <v>1644</v>
      </c>
      <c r="BC60" s="565" t="s">
        <v>1645</v>
      </c>
      <c r="BD60" s="598" t="str">
        <f aca="false">B49</f>
        <v>Bharani</v>
      </c>
      <c r="BF60" s="623" t="s">
        <v>1646</v>
      </c>
      <c r="BG60" s="626" t="s">
        <v>1647</v>
      </c>
    </row>
    <row r="61" customFormat="false" ht="16.5" hidden="false" customHeight="true" outlineLevel="0" collapsed="false">
      <c r="A61" s="614" t="n">
        <v>14</v>
      </c>
      <c r="B61" s="565" t="s">
        <v>649</v>
      </c>
      <c r="C61" s="565" t="s">
        <v>1648</v>
      </c>
      <c r="D61" s="565" t="s">
        <v>160</v>
      </c>
      <c r="E61" s="565" t="s">
        <v>1649</v>
      </c>
      <c r="F61" s="624" t="s">
        <v>897</v>
      </c>
      <c r="G61" s="625" t="s">
        <v>1342</v>
      </c>
      <c r="H61" s="617" t="s">
        <v>1379</v>
      </c>
      <c r="I61" s="625" t="s">
        <v>1344</v>
      </c>
      <c r="J61" s="565" t="s">
        <v>1345</v>
      </c>
      <c r="K61" s="565" t="s">
        <v>1411</v>
      </c>
      <c r="L61" s="565" t="s">
        <v>1412</v>
      </c>
      <c r="M61" s="565" t="s">
        <v>1650</v>
      </c>
      <c r="N61" s="565" t="s">
        <v>1650</v>
      </c>
      <c r="O61" s="565" t="s">
        <v>1492</v>
      </c>
      <c r="P61" s="565" t="s">
        <v>1651</v>
      </c>
      <c r="Q61" s="565" t="s">
        <v>1652</v>
      </c>
      <c r="R61" s="599" t="s">
        <v>1061</v>
      </c>
      <c r="S61" s="565" t="s">
        <v>1388</v>
      </c>
      <c r="T61" s="565" t="s">
        <v>1389</v>
      </c>
      <c r="U61" s="574" t="n">
        <f aca="false">U60+StarDeg</f>
        <v>173.333333333333</v>
      </c>
      <c r="V61" s="574" t="n">
        <f aca="false">V60+StarDeg</f>
        <v>186.666666666666</v>
      </c>
      <c r="W61" s="618" t="s">
        <v>1653</v>
      </c>
      <c r="X61" s="619" t="s">
        <v>1654</v>
      </c>
      <c r="Y61" s="567" t="s">
        <v>1523</v>
      </c>
      <c r="Z61" s="565" t="s">
        <v>1359</v>
      </c>
      <c r="AA61" s="567" t="s">
        <v>1359</v>
      </c>
      <c r="AB61" s="565" t="s">
        <v>1358</v>
      </c>
      <c r="AC61" s="565" t="s">
        <v>1358</v>
      </c>
      <c r="AD61" s="565" t="s">
        <v>1359</v>
      </c>
      <c r="AE61" s="565" t="str">
        <f aca="false">INDEX(PanchangaYoga,MOD(26+A61-7,27)+1,2)</f>
        <v>Sukarman</v>
      </c>
      <c r="AF61" s="565" t="s">
        <v>1637</v>
      </c>
      <c r="AG61" s="565" t="s">
        <v>1655</v>
      </c>
      <c r="AH61" s="621" t="n">
        <v>0.000810185185185185</v>
      </c>
      <c r="AI61" s="621" t="n">
        <f aca="false">AH61*360</f>
        <v>0.291666666666667</v>
      </c>
      <c r="AJ61" s="622" t="s">
        <v>1656</v>
      </c>
      <c r="AK61" s="599" t="s">
        <v>1618</v>
      </c>
      <c r="AL61" s="565" t="s">
        <v>1619</v>
      </c>
      <c r="AM61" s="565" t="s">
        <v>1479</v>
      </c>
      <c r="AN61" s="565" t="s">
        <v>1396</v>
      </c>
      <c r="AO61" s="565" t="s">
        <v>1620</v>
      </c>
      <c r="AP61" s="565" t="s">
        <v>1657</v>
      </c>
      <c r="AQ61" s="565" t="n">
        <v>20</v>
      </c>
      <c r="AR61" s="565" t="n">
        <v>44</v>
      </c>
      <c r="AS61" s="565" t="n">
        <v>30</v>
      </c>
      <c r="AT61" s="565" t="n">
        <v>55</v>
      </c>
      <c r="AU61" s="565" t="n">
        <v>60</v>
      </c>
      <c r="AV61" s="565" t="s">
        <v>718</v>
      </c>
      <c r="AW61" s="565" t="s">
        <v>1658</v>
      </c>
      <c r="AX61" s="565" t="s">
        <v>1167</v>
      </c>
      <c r="AY61" s="565" t="s">
        <v>1659</v>
      </c>
      <c r="AZ61" s="565" t="s">
        <v>1459</v>
      </c>
      <c r="BA61" s="565" t="s">
        <v>1530</v>
      </c>
      <c r="BB61" s="565" t="s">
        <v>1660</v>
      </c>
      <c r="BC61" s="565" t="s">
        <v>1661</v>
      </c>
      <c r="BD61" s="598" t="str">
        <f aca="false">B50</f>
        <v>Kritika</v>
      </c>
      <c r="BF61" s="623" t="s">
        <v>1662</v>
      </c>
      <c r="BG61" s="626" t="s">
        <v>1663</v>
      </c>
    </row>
    <row r="62" customFormat="false" ht="16.5" hidden="false" customHeight="true" outlineLevel="0" collapsed="false">
      <c r="A62" s="614" t="n">
        <v>15</v>
      </c>
      <c r="B62" s="565" t="s">
        <v>592</v>
      </c>
      <c r="C62" s="565" t="s">
        <v>1664</v>
      </c>
      <c r="D62" s="565" t="s">
        <v>165</v>
      </c>
      <c r="E62" s="565" t="s">
        <v>1665</v>
      </c>
      <c r="F62" s="624" t="s">
        <v>897</v>
      </c>
      <c r="G62" s="629" t="s">
        <v>1467</v>
      </c>
      <c r="H62" s="625" t="s">
        <v>1410</v>
      </c>
      <c r="I62" s="625" t="s">
        <v>1344</v>
      </c>
      <c r="J62" s="565" t="s">
        <v>1345</v>
      </c>
      <c r="K62" s="565" t="s">
        <v>1346</v>
      </c>
      <c r="L62" s="565" t="s">
        <v>1383</v>
      </c>
      <c r="M62" s="565" t="s">
        <v>1666</v>
      </c>
      <c r="N62" s="565" t="s">
        <v>1667</v>
      </c>
      <c r="O62" s="565" t="s">
        <v>1555</v>
      </c>
      <c r="P62" s="565" t="s">
        <v>1633</v>
      </c>
      <c r="Q62" s="565" t="s">
        <v>1668</v>
      </c>
      <c r="R62" s="565" t="s">
        <v>1495</v>
      </c>
      <c r="S62" s="565" t="s">
        <v>1418</v>
      </c>
      <c r="T62" s="565" t="s">
        <v>1419</v>
      </c>
      <c r="U62" s="574" t="n">
        <f aca="false">U61+StarDeg</f>
        <v>186.666666666666</v>
      </c>
      <c r="V62" s="574" t="n">
        <f aca="false">V61+StarDeg</f>
        <v>200</v>
      </c>
      <c r="W62" s="618" t="s">
        <v>1669</v>
      </c>
      <c r="X62" s="619" t="s">
        <v>1670</v>
      </c>
      <c r="Y62" s="567" t="s">
        <v>1357</v>
      </c>
      <c r="Z62" s="565" t="s">
        <v>1423</v>
      </c>
      <c r="AA62" s="567" t="s">
        <v>1360</v>
      </c>
      <c r="AB62" s="565" t="s">
        <v>1360</v>
      </c>
      <c r="AC62" s="565" t="s">
        <v>1359</v>
      </c>
      <c r="AD62" s="565" t="s">
        <v>1358</v>
      </c>
      <c r="AE62" s="565" t="str">
        <f aca="false">INDEX(PanchangaYoga,MOD(26+A62-7,27)+1,2)</f>
        <v>Dhriti</v>
      </c>
      <c r="AF62" s="565" t="s">
        <v>861</v>
      </c>
      <c r="AG62" s="565" t="s">
        <v>1671</v>
      </c>
      <c r="AH62" s="621" t="n">
        <v>0.00208333333333333</v>
      </c>
      <c r="AI62" s="621" t="n">
        <f aca="false">AH62*360</f>
        <v>0.749999999999999</v>
      </c>
      <c r="AJ62" s="622" t="s">
        <v>1672</v>
      </c>
      <c r="AK62" s="599" t="s">
        <v>1618</v>
      </c>
      <c r="AL62" s="565" t="s">
        <v>1619</v>
      </c>
      <c r="AM62" s="565" t="s">
        <v>1526</v>
      </c>
      <c r="AN62" s="565" t="s">
        <v>1427</v>
      </c>
      <c r="AO62" s="565" t="s">
        <v>1620</v>
      </c>
      <c r="AP62" s="565" t="s">
        <v>1673</v>
      </c>
      <c r="AQ62" s="565" t="n">
        <v>14</v>
      </c>
      <c r="AR62" s="565" t="n">
        <v>38</v>
      </c>
      <c r="AS62" s="565" t="n">
        <v>38</v>
      </c>
      <c r="AT62" s="565" t="n">
        <v>21</v>
      </c>
      <c r="AU62" s="565" t="n">
        <v>30</v>
      </c>
      <c r="AV62" s="565" t="s">
        <v>718</v>
      </c>
      <c r="AW62" s="565" t="s">
        <v>1674</v>
      </c>
      <c r="AX62" s="565" t="s">
        <v>1167</v>
      </c>
      <c r="AY62" s="565" t="s">
        <v>1602</v>
      </c>
      <c r="AZ62" s="565" t="s">
        <v>1675</v>
      </c>
      <c r="BA62" s="565" t="s">
        <v>1482</v>
      </c>
      <c r="BB62" s="565" t="s">
        <v>1676</v>
      </c>
      <c r="BC62" s="565" t="s">
        <v>1677</v>
      </c>
      <c r="BD62" s="598" t="str">
        <f aca="false">B51</f>
        <v>Rohini</v>
      </c>
      <c r="BF62" s="626" t="s">
        <v>1678</v>
      </c>
      <c r="BG62" s="626" t="s">
        <v>1678</v>
      </c>
    </row>
    <row r="63" customFormat="false" ht="16.5" hidden="false" customHeight="true" outlineLevel="0" collapsed="false">
      <c r="A63" s="614" t="n">
        <v>16</v>
      </c>
      <c r="B63" s="565" t="s">
        <v>1679</v>
      </c>
      <c r="C63" s="565" t="s">
        <v>1680</v>
      </c>
      <c r="D63" s="565" t="s">
        <v>162</v>
      </c>
      <c r="E63" s="565" t="s">
        <v>1681</v>
      </c>
      <c r="F63" s="627" t="s">
        <v>897</v>
      </c>
      <c r="G63" s="630" t="s">
        <v>897</v>
      </c>
      <c r="H63" s="625" t="s">
        <v>1438</v>
      </c>
      <c r="I63" s="625" t="s">
        <v>1380</v>
      </c>
      <c r="J63" s="565" t="s">
        <v>1516</v>
      </c>
      <c r="K63" s="565" t="s">
        <v>1411</v>
      </c>
      <c r="L63" s="565" t="s">
        <v>1347</v>
      </c>
      <c r="M63" s="565" t="s">
        <v>1682</v>
      </c>
      <c r="N63" s="565" t="s">
        <v>1683</v>
      </c>
      <c r="O63" s="565" t="s">
        <v>1555</v>
      </c>
      <c r="P63" s="565" t="s">
        <v>1651</v>
      </c>
      <c r="Q63" s="565" t="s">
        <v>1684</v>
      </c>
      <c r="R63" s="565" t="s">
        <v>1520</v>
      </c>
      <c r="S63" s="565" t="s">
        <v>1353</v>
      </c>
      <c r="T63" s="565" t="s">
        <v>1445</v>
      </c>
      <c r="U63" s="574" t="n">
        <f aca="false">U62+StarDeg</f>
        <v>200</v>
      </c>
      <c r="V63" s="574" t="n">
        <f aca="false">V62+StarDeg</f>
        <v>213.333333333333</v>
      </c>
      <c r="W63" s="618" t="s">
        <v>1685</v>
      </c>
      <c r="X63" s="619" t="s">
        <v>1686</v>
      </c>
      <c r="Y63" s="567" t="s">
        <v>1392</v>
      </c>
      <c r="Z63" s="565" t="s">
        <v>1423</v>
      </c>
      <c r="AA63" s="567" t="s">
        <v>1358</v>
      </c>
      <c r="AB63" s="565" t="s">
        <v>1359</v>
      </c>
      <c r="AC63" s="565" t="s">
        <v>1360</v>
      </c>
      <c r="AD63" s="565" t="s">
        <v>1360</v>
      </c>
      <c r="AE63" s="565" t="str">
        <f aca="false">INDEX(PanchangaYoga,MOD(26+A63-7,27)+1,2)</f>
        <v>Shūla</v>
      </c>
      <c r="AF63" s="565" t="s">
        <v>861</v>
      </c>
      <c r="AG63" s="565" t="s">
        <v>1687</v>
      </c>
      <c r="AH63" s="621" t="n">
        <v>0.00185185185185185</v>
      </c>
      <c r="AI63" s="621" t="n">
        <f aca="false">AH63*360</f>
        <v>0.666666666666666</v>
      </c>
      <c r="AJ63" s="622" t="s">
        <v>1688</v>
      </c>
      <c r="AK63" s="599" t="s">
        <v>1618</v>
      </c>
      <c r="AL63" s="565" t="s">
        <v>1619</v>
      </c>
      <c r="AM63" s="565" t="s">
        <v>1426</v>
      </c>
      <c r="AN63" s="565" t="s">
        <v>1452</v>
      </c>
      <c r="AO63" s="565" t="s">
        <v>1689</v>
      </c>
      <c r="AP63" s="565" t="s">
        <v>1690</v>
      </c>
      <c r="AQ63" s="565" t="n">
        <v>14</v>
      </c>
      <c r="AR63" s="565" t="n">
        <v>38</v>
      </c>
      <c r="AS63" s="565" t="n">
        <v>38</v>
      </c>
      <c r="AT63" s="565" t="n">
        <v>1</v>
      </c>
      <c r="AU63" s="565" t="n">
        <v>8</v>
      </c>
      <c r="AV63" s="565" t="s">
        <v>700</v>
      </c>
      <c r="AW63" s="565" t="s">
        <v>1691</v>
      </c>
      <c r="AX63" s="565" t="s">
        <v>1692</v>
      </c>
      <c r="AY63" s="565" t="s">
        <v>1693</v>
      </c>
      <c r="AZ63" s="565" t="s">
        <v>1530</v>
      </c>
      <c r="BA63" s="565" t="s">
        <v>1548</v>
      </c>
      <c r="BB63" s="565" t="s">
        <v>1694</v>
      </c>
      <c r="BC63" s="565" t="s">
        <v>1695</v>
      </c>
      <c r="BD63" s="598" t="str">
        <f aca="false">B52</f>
        <v>Mrigashira</v>
      </c>
      <c r="BF63" s="631" t="s">
        <v>1696</v>
      </c>
      <c r="BG63" s="631" t="s">
        <v>1697</v>
      </c>
    </row>
    <row r="64" customFormat="false" ht="16.5" hidden="false" customHeight="true" outlineLevel="0" collapsed="false">
      <c r="A64" s="614" t="n">
        <v>17</v>
      </c>
      <c r="B64" s="565" t="s">
        <v>581</v>
      </c>
      <c r="C64" s="565" t="s">
        <v>1698</v>
      </c>
      <c r="D64" s="565" t="s">
        <v>462</v>
      </c>
      <c r="E64" s="565" t="s">
        <v>1699</v>
      </c>
      <c r="F64" s="615" t="s">
        <v>1378</v>
      </c>
      <c r="G64" s="617" t="s">
        <v>1342</v>
      </c>
      <c r="H64" s="628" t="s">
        <v>1343</v>
      </c>
      <c r="I64" s="617" t="s">
        <v>1344</v>
      </c>
      <c r="J64" s="565" t="s">
        <v>1345</v>
      </c>
      <c r="K64" s="565" t="s">
        <v>1346</v>
      </c>
      <c r="L64" s="565" t="s">
        <v>1347</v>
      </c>
      <c r="M64" s="565" t="s">
        <v>1700</v>
      </c>
      <c r="N64" s="565" t="s">
        <v>1701</v>
      </c>
      <c r="O64" s="565" t="s">
        <v>1492</v>
      </c>
      <c r="P64" s="565" t="s">
        <v>1702</v>
      </c>
      <c r="Q64" s="565" t="s">
        <v>1703</v>
      </c>
      <c r="R64" s="565" t="s">
        <v>1171</v>
      </c>
      <c r="S64" s="565" t="s">
        <v>1388</v>
      </c>
      <c r="T64" s="565" t="s">
        <v>1473</v>
      </c>
      <c r="U64" s="574" t="n">
        <f aca="false">U63+StarDeg</f>
        <v>213.333333333333</v>
      </c>
      <c r="V64" s="574" t="n">
        <f aca="false">V63+StarDeg</f>
        <v>226.666666666666</v>
      </c>
      <c r="W64" s="618" t="s">
        <v>1704</v>
      </c>
      <c r="X64" s="619" t="s">
        <v>1705</v>
      </c>
      <c r="Y64" s="567" t="s">
        <v>1422</v>
      </c>
      <c r="Z64" s="565" t="s">
        <v>1359</v>
      </c>
      <c r="AA64" s="567" t="s">
        <v>1359</v>
      </c>
      <c r="AB64" s="565" t="s">
        <v>1358</v>
      </c>
      <c r="AC64" s="565" t="s">
        <v>1358</v>
      </c>
      <c r="AD64" s="565" t="s">
        <v>1359</v>
      </c>
      <c r="AE64" s="565" t="str">
        <f aca="false">INDEX(PanchangaYoga,MOD(26+A64-7,27)+1,2)</f>
        <v>Gaṇḍa</v>
      </c>
      <c r="AF64" s="565" t="s">
        <v>861</v>
      </c>
      <c r="AG64" s="565" t="s">
        <v>1706</v>
      </c>
      <c r="AH64" s="621" t="n">
        <v>0.00219907407407407</v>
      </c>
      <c r="AI64" s="621" t="n">
        <f aca="false">AH64*360</f>
        <v>0.791666666666665</v>
      </c>
      <c r="AJ64" s="622" t="s">
        <v>1707</v>
      </c>
      <c r="AK64" s="599" t="s">
        <v>1504</v>
      </c>
      <c r="AL64" s="565" t="s">
        <v>1708</v>
      </c>
      <c r="AM64" s="565" t="s">
        <v>1479</v>
      </c>
      <c r="AN64" s="565" t="s">
        <v>1327</v>
      </c>
      <c r="AO64" s="565" t="s">
        <v>1689</v>
      </c>
      <c r="AP64" s="565" t="s">
        <v>1709</v>
      </c>
      <c r="AQ64" s="565" t="n">
        <v>10</v>
      </c>
      <c r="AR64" s="565" t="n">
        <v>28</v>
      </c>
      <c r="AS64" s="565" t="n">
        <v>36</v>
      </c>
      <c r="AT64" s="565" t="n">
        <v>52</v>
      </c>
      <c r="AU64" s="565" t="n">
        <v>60</v>
      </c>
      <c r="AV64" s="565" t="s">
        <v>700</v>
      </c>
      <c r="AW64" s="565" t="s">
        <v>1710</v>
      </c>
      <c r="AX64" s="565" t="s">
        <v>1711</v>
      </c>
      <c r="AY64" s="565" t="s">
        <v>1675</v>
      </c>
      <c r="AZ64" s="565" t="s">
        <v>1548</v>
      </c>
      <c r="BA64" s="565" t="s">
        <v>1712</v>
      </c>
      <c r="BB64" s="565" t="s">
        <v>1713</v>
      </c>
      <c r="BC64" s="565" t="s">
        <v>1714</v>
      </c>
      <c r="BD64" s="598" t="str">
        <f aca="false">B53</f>
        <v>Ardra</v>
      </c>
      <c r="BF64" s="626" t="s">
        <v>1715</v>
      </c>
      <c r="BG64" s="626" t="s">
        <v>1715</v>
      </c>
    </row>
    <row r="65" customFormat="false" ht="16.5" hidden="false" customHeight="true" outlineLevel="0" collapsed="false">
      <c r="A65" s="614" t="n">
        <v>18</v>
      </c>
      <c r="B65" s="565" t="s">
        <v>1716</v>
      </c>
      <c r="C65" s="565" t="s">
        <v>1717</v>
      </c>
      <c r="D65" s="565" t="s">
        <v>800</v>
      </c>
      <c r="E65" s="565" t="s">
        <v>1699</v>
      </c>
      <c r="F65" s="624" t="s">
        <v>1378</v>
      </c>
      <c r="G65" s="629" t="s">
        <v>1467</v>
      </c>
      <c r="H65" s="617" t="s">
        <v>1379</v>
      </c>
      <c r="I65" s="625" t="s">
        <v>1344</v>
      </c>
      <c r="J65" s="565" t="s">
        <v>1516</v>
      </c>
      <c r="K65" s="565" t="s">
        <v>1411</v>
      </c>
      <c r="L65" s="565" t="s">
        <v>1383</v>
      </c>
      <c r="M65" s="565" t="s">
        <v>1700</v>
      </c>
      <c r="N65" s="565" t="s">
        <v>1718</v>
      </c>
      <c r="O65" s="565" t="s">
        <v>1555</v>
      </c>
      <c r="P65" s="565" t="s">
        <v>1702</v>
      </c>
      <c r="Q65" s="565" t="s">
        <v>1719</v>
      </c>
      <c r="R65" s="565" t="s">
        <v>184</v>
      </c>
      <c r="S65" s="565" t="s">
        <v>1418</v>
      </c>
      <c r="T65" s="565" t="s">
        <v>1496</v>
      </c>
      <c r="U65" s="574" t="n">
        <f aca="false">U64+StarDeg</f>
        <v>226.666666666666</v>
      </c>
      <c r="V65" s="574" t="n">
        <f aca="false">V64+StarDeg</f>
        <v>240</v>
      </c>
      <c r="W65" s="618" t="s">
        <v>1720</v>
      </c>
      <c r="X65" s="619" t="s">
        <v>1721</v>
      </c>
      <c r="Y65" s="567" t="s">
        <v>1448</v>
      </c>
      <c r="Z65" s="565" t="s">
        <v>1358</v>
      </c>
      <c r="AA65" s="567" t="s">
        <v>1360</v>
      </c>
      <c r="AB65" s="565" t="s">
        <v>1360</v>
      </c>
      <c r="AC65" s="565" t="s">
        <v>1359</v>
      </c>
      <c r="AD65" s="565" t="s">
        <v>1358</v>
      </c>
      <c r="AE65" s="565" t="str">
        <f aca="false">INDEX(PanchangaYoga,MOD(26+A65-7,27)+1,2)</f>
        <v>Vriddhi</v>
      </c>
      <c r="AF65" s="565" t="s">
        <v>861</v>
      </c>
      <c r="AG65" s="565" t="s">
        <v>1722</v>
      </c>
      <c r="AH65" s="621" t="n">
        <v>0.00196759259259259</v>
      </c>
      <c r="AI65" s="621" t="n">
        <f aca="false">AH65*360</f>
        <v>0.708333333333332</v>
      </c>
      <c r="AJ65" s="622" t="s">
        <v>1723</v>
      </c>
      <c r="AK65" s="599" t="s">
        <v>1504</v>
      </c>
      <c r="AL65" s="565" t="s">
        <v>1708</v>
      </c>
      <c r="AM65" s="565" t="s">
        <v>1505</v>
      </c>
      <c r="AN65" s="565" t="s">
        <v>1396</v>
      </c>
      <c r="AO65" s="565" t="s">
        <v>1689</v>
      </c>
      <c r="AP65" s="565" t="s">
        <v>1724</v>
      </c>
      <c r="AQ65" s="565" t="n">
        <v>14</v>
      </c>
      <c r="AR65" s="565" t="n">
        <v>38</v>
      </c>
      <c r="AS65" s="565" t="n">
        <v>34</v>
      </c>
      <c r="AT65" s="565" t="n">
        <v>20</v>
      </c>
      <c r="AU65" s="565" t="n">
        <v>30</v>
      </c>
      <c r="AV65" s="565" t="s">
        <v>700</v>
      </c>
      <c r="AW65" s="565" t="s">
        <v>1725</v>
      </c>
      <c r="AX65" s="565" t="s">
        <v>1601</v>
      </c>
      <c r="AY65" s="565" t="s">
        <v>1483</v>
      </c>
      <c r="AZ65" s="565" t="s">
        <v>1549</v>
      </c>
      <c r="BA65" s="565" t="s">
        <v>1581</v>
      </c>
      <c r="BB65" s="565" t="s">
        <v>1726</v>
      </c>
      <c r="BC65" s="565" t="s">
        <v>1727</v>
      </c>
      <c r="BD65" s="598" t="str">
        <f aca="false">B54</f>
        <v>Punarvasu</v>
      </c>
      <c r="BF65" s="626" t="s">
        <v>1728</v>
      </c>
      <c r="BG65" s="626" t="s">
        <v>1728</v>
      </c>
    </row>
    <row r="66" customFormat="false" ht="16.5" hidden="false" customHeight="true" outlineLevel="0" collapsed="false">
      <c r="A66" s="614" t="n">
        <v>19</v>
      </c>
      <c r="B66" s="565" t="s">
        <v>597</v>
      </c>
      <c r="C66" s="565" t="s">
        <v>1729</v>
      </c>
      <c r="D66" s="565" t="s">
        <v>166</v>
      </c>
      <c r="E66" s="565" t="s">
        <v>1730</v>
      </c>
      <c r="F66" s="624" t="s">
        <v>1378</v>
      </c>
      <c r="G66" s="629" t="s">
        <v>897</v>
      </c>
      <c r="H66" s="625" t="s">
        <v>1410</v>
      </c>
      <c r="I66" s="625" t="s">
        <v>1380</v>
      </c>
      <c r="J66" s="565" t="s">
        <v>1345</v>
      </c>
      <c r="K66" s="565" t="s">
        <v>1411</v>
      </c>
      <c r="L66" s="565" t="s">
        <v>1412</v>
      </c>
      <c r="M66" s="565" t="s">
        <v>1731</v>
      </c>
      <c r="N66" s="565" t="s">
        <v>1731</v>
      </c>
      <c r="O66" s="565" t="s">
        <v>1732</v>
      </c>
      <c r="P66" s="565" t="s">
        <v>1493</v>
      </c>
      <c r="Q66" s="565" t="s">
        <v>1733</v>
      </c>
      <c r="R66" s="565" t="s">
        <v>184</v>
      </c>
      <c r="S66" s="565" t="s">
        <v>1353</v>
      </c>
      <c r="T66" s="565" t="s">
        <v>1354</v>
      </c>
      <c r="U66" s="574" t="n">
        <f aca="false">U65+StarDeg</f>
        <v>240</v>
      </c>
      <c r="V66" s="574" t="n">
        <f aca="false">V65+StarDeg</f>
        <v>253.333333333333</v>
      </c>
      <c r="W66" s="618" t="s">
        <v>1734</v>
      </c>
      <c r="X66" s="619" t="s">
        <v>1735</v>
      </c>
      <c r="Y66" s="567" t="s">
        <v>1476</v>
      </c>
      <c r="Z66" s="565" t="s">
        <v>1358</v>
      </c>
      <c r="AA66" s="567" t="s">
        <v>1358</v>
      </c>
      <c r="AB66" s="565" t="s">
        <v>1359</v>
      </c>
      <c r="AC66" s="565" t="s">
        <v>1360</v>
      </c>
      <c r="AD66" s="565" t="s">
        <v>1360</v>
      </c>
      <c r="AE66" s="565" t="str">
        <f aca="false">INDEX(PanchangaYoga,MOD(26+A66-7,27)+1,2)</f>
        <v>Dhruva</v>
      </c>
      <c r="AF66" s="565" t="s">
        <v>1736</v>
      </c>
      <c r="AG66" s="565" t="s">
        <v>1737</v>
      </c>
      <c r="AH66" s="621" t="n">
        <v>0.000810185185185185</v>
      </c>
      <c r="AI66" s="621" t="n">
        <f aca="false">AH66*360</f>
        <v>0.291666666666667</v>
      </c>
      <c r="AJ66" s="622" t="s">
        <v>1738</v>
      </c>
      <c r="AK66" s="599" t="s">
        <v>1504</v>
      </c>
      <c r="AL66" s="565" t="s">
        <v>1708</v>
      </c>
      <c r="AM66" s="565" t="s">
        <v>1505</v>
      </c>
      <c r="AN66" s="565" t="s">
        <v>1427</v>
      </c>
      <c r="AO66" s="565" t="s">
        <v>1689</v>
      </c>
      <c r="AP66" s="565" t="s">
        <v>1739</v>
      </c>
      <c r="AQ66" s="565" t="n">
        <v>56</v>
      </c>
      <c r="AR66" s="565" t="n">
        <v>44</v>
      </c>
      <c r="AS66" s="565" t="n">
        <v>32</v>
      </c>
      <c r="AT66" s="565" t="n">
        <v>1</v>
      </c>
      <c r="AU66" s="565" t="n">
        <v>8</v>
      </c>
      <c r="AV66" s="565" t="s">
        <v>718</v>
      </c>
      <c r="AW66" s="565" t="s">
        <v>1740</v>
      </c>
      <c r="AX66" s="565" t="s">
        <v>1483</v>
      </c>
      <c r="AY66" s="565" t="s">
        <v>1741</v>
      </c>
      <c r="AZ66" s="565" t="s">
        <v>1742</v>
      </c>
      <c r="BA66" s="565" t="s">
        <v>1743</v>
      </c>
      <c r="BB66" s="565" t="s">
        <v>1744</v>
      </c>
      <c r="BC66" s="565" t="s">
        <v>1745</v>
      </c>
      <c r="BD66" s="598" t="str">
        <f aca="false">B55</f>
        <v>Pushya</v>
      </c>
      <c r="BF66" s="623" t="s">
        <v>1746</v>
      </c>
      <c r="BG66" s="623" t="s">
        <v>1747</v>
      </c>
    </row>
    <row r="67" customFormat="false" ht="16.5" hidden="false" customHeight="true" outlineLevel="0" collapsed="false">
      <c r="A67" s="614" t="n">
        <v>20</v>
      </c>
      <c r="B67" s="565" t="s">
        <v>1748</v>
      </c>
      <c r="C67" s="565" t="s">
        <v>1749</v>
      </c>
      <c r="D67" s="565" t="s">
        <v>163</v>
      </c>
      <c r="E67" s="565" t="s">
        <v>1730</v>
      </c>
      <c r="F67" s="624" t="s">
        <v>1378</v>
      </c>
      <c r="G67" s="625" t="s">
        <v>1378</v>
      </c>
      <c r="H67" s="625" t="s">
        <v>1438</v>
      </c>
      <c r="I67" s="625" t="s">
        <v>1380</v>
      </c>
      <c r="J67" s="565" t="s">
        <v>1381</v>
      </c>
      <c r="K67" s="565" t="s">
        <v>1382</v>
      </c>
      <c r="L67" s="565" t="s">
        <v>1440</v>
      </c>
      <c r="M67" s="565" t="s">
        <v>1750</v>
      </c>
      <c r="N67" s="565" t="s">
        <v>1751</v>
      </c>
      <c r="O67" s="565" t="s">
        <v>1555</v>
      </c>
      <c r="P67" s="565" t="s">
        <v>1752</v>
      </c>
      <c r="Q67" s="565" t="s">
        <v>1753</v>
      </c>
      <c r="R67" s="565" t="s">
        <v>1171</v>
      </c>
      <c r="S67" s="565" t="s">
        <v>1388</v>
      </c>
      <c r="T67" s="565" t="s">
        <v>1389</v>
      </c>
      <c r="U67" s="574" t="n">
        <f aca="false">U66+StarDeg</f>
        <v>253.333333333333</v>
      </c>
      <c r="V67" s="574" t="n">
        <f aca="false">V66+StarDeg</f>
        <v>266.666666666666</v>
      </c>
      <c r="W67" s="618" t="s">
        <v>1754</v>
      </c>
      <c r="X67" s="619" t="s">
        <v>1755</v>
      </c>
      <c r="Y67" s="567" t="s">
        <v>1499</v>
      </c>
      <c r="Z67" s="565" t="s">
        <v>1359</v>
      </c>
      <c r="AA67" s="567" t="s">
        <v>1359</v>
      </c>
      <c r="AB67" s="565" t="s">
        <v>1358</v>
      </c>
      <c r="AC67" s="565" t="s">
        <v>1358</v>
      </c>
      <c r="AD67" s="565" t="s">
        <v>1359</v>
      </c>
      <c r="AE67" s="565" t="str">
        <f aca="false">INDEX(PanchangaYoga,MOD(26+A67-7,27)+1,2)</f>
        <v>Vyāghāta</v>
      </c>
      <c r="AF67" s="565" t="s">
        <v>1736</v>
      </c>
      <c r="AG67" s="565" t="s">
        <v>1756</v>
      </c>
      <c r="AH67" s="621" t="n">
        <v>0.00231481481481481</v>
      </c>
      <c r="AI67" s="621" t="n">
        <f aca="false">AH67*360</f>
        <v>0.833333333333332</v>
      </c>
      <c r="AJ67" s="622" t="s">
        <v>1757</v>
      </c>
      <c r="AK67" s="599" t="s">
        <v>1504</v>
      </c>
      <c r="AL67" s="565" t="s">
        <v>1708</v>
      </c>
      <c r="AM67" s="565" t="s">
        <v>1395</v>
      </c>
      <c r="AN67" s="565" t="s">
        <v>1452</v>
      </c>
      <c r="AO67" s="565" t="s">
        <v>1758</v>
      </c>
      <c r="AP67" s="565" t="s">
        <v>1759</v>
      </c>
      <c r="AQ67" s="565" t="n">
        <v>24</v>
      </c>
      <c r="AR67" s="565" t="n">
        <v>48</v>
      </c>
      <c r="AS67" s="565" t="n">
        <v>42</v>
      </c>
      <c r="AT67" s="565" t="n">
        <v>52</v>
      </c>
      <c r="AU67" s="565" t="n">
        <v>60</v>
      </c>
      <c r="AV67" s="565" t="s">
        <v>718</v>
      </c>
      <c r="AW67" s="565" t="s">
        <v>1760</v>
      </c>
      <c r="AX67" s="565" t="s">
        <v>1761</v>
      </c>
      <c r="AY67" s="565" t="s">
        <v>1482</v>
      </c>
      <c r="AZ67" s="565" t="s">
        <v>1762</v>
      </c>
      <c r="BA67" s="565" t="s">
        <v>1643</v>
      </c>
      <c r="BB67" s="565" t="s">
        <v>1763</v>
      </c>
      <c r="BC67" s="565" t="s">
        <v>1764</v>
      </c>
      <c r="BD67" s="598" t="str">
        <f aca="false">B56</f>
        <v>Ashlesha</v>
      </c>
      <c r="BF67" s="623" t="s">
        <v>1765</v>
      </c>
      <c r="BG67" s="632" t="s">
        <v>1766</v>
      </c>
    </row>
    <row r="68" customFormat="false" ht="16.5" hidden="false" customHeight="true" outlineLevel="0" collapsed="false">
      <c r="A68" s="614" t="n">
        <v>21</v>
      </c>
      <c r="B68" s="565" t="s">
        <v>1767</v>
      </c>
      <c r="C68" s="565" t="s">
        <v>1768</v>
      </c>
      <c r="D68" s="565" t="s">
        <v>158</v>
      </c>
      <c r="E68" s="565" t="s">
        <v>1769</v>
      </c>
      <c r="F68" s="624" t="s">
        <v>1378</v>
      </c>
      <c r="G68" s="625" t="s">
        <v>1409</v>
      </c>
      <c r="H68" s="628" t="s">
        <v>1343</v>
      </c>
      <c r="I68" s="625" t="s">
        <v>1439</v>
      </c>
      <c r="J68" s="565" t="s">
        <v>1381</v>
      </c>
      <c r="K68" s="565" t="s">
        <v>1382</v>
      </c>
      <c r="L68" s="565" t="s">
        <v>1440</v>
      </c>
      <c r="M68" s="565" t="s">
        <v>1770</v>
      </c>
      <c r="N68" s="565" t="s">
        <v>1771</v>
      </c>
      <c r="O68" s="565" t="s">
        <v>1555</v>
      </c>
      <c r="P68" s="565" t="s">
        <v>1772</v>
      </c>
      <c r="Q68" s="565" t="s">
        <v>1773</v>
      </c>
      <c r="R68" s="565" t="s">
        <v>1520</v>
      </c>
      <c r="S68" s="565" t="s">
        <v>1418</v>
      </c>
      <c r="T68" s="565" t="s">
        <v>1419</v>
      </c>
      <c r="U68" s="574" t="n">
        <f aca="false">U67+StarDeg</f>
        <v>266.666666666666</v>
      </c>
      <c r="V68" s="574" t="n">
        <f aca="false">V67+StarDeg</f>
        <v>279.999999999999</v>
      </c>
      <c r="W68" s="618" t="s">
        <v>1774</v>
      </c>
      <c r="X68" s="619" t="s">
        <v>1775</v>
      </c>
      <c r="Y68" s="567" t="s">
        <v>1523</v>
      </c>
      <c r="Z68" s="565" t="s">
        <v>1423</v>
      </c>
      <c r="AA68" s="567" t="s">
        <v>1360</v>
      </c>
      <c r="AB68" s="565" t="s">
        <v>1360</v>
      </c>
      <c r="AC68" s="565" t="s">
        <v>1359</v>
      </c>
      <c r="AD68" s="565" t="s">
        <v>1358</v>
      </c>
      <c r="AE68" s="565" t="str">
        <f aca="false">INDEX(PanchangaYoga,MOD(26+A68-7,27)+1,2)</f>
        <v>Harshana</v>
      </c>
      <c r="AF68" s="565" t="s">
        <v>842</v>
      </c>
      <c r="AG68" s="565" t="s">
        <v>1776</v>
      </c>
      <c r="AH68" s="621" t="n">
        <v>0.000694444444444444</v>
      </c>
      <c r="AI68" s="621" t="n">
        <f aca="false">AH68*360</f>
        <v>0.25</v>
      </c>
      <c r="AJ68" s="622" t="s">
        <v>1777</v>
      </c>
      <c r="AK68" s="599" t="s">
        <v>1504</v>
      </c>
      <c r="AL68" s="565" t="s">
        <v>1708</v>
      </c>
      <c r="AM68" s="565" t="s">
        <v>1451</v>
      </c>
      <c r="AN68" s="565" t="s">
        <v>1327</v>
      </c>
      <c r="AO68" s="565" t="s">
        <v>1758</v>
      </c>
      <c r="AP68" s="565" t="s">
        <v>1778</v>
      </c>
      <c r="AQ68" s="565" t="n">
        <v>20</v>
      </c>
      <c r="AR68" s="565" t="n">
        <v>44</v>
      </c>
      <c r="AS68" s="565" t="n">
        <v>44</v>
      </c>
      <c r="AT68" s="565" t="n">
        <v>20</v>
      </c>
      <c r="AU68" s="565" t="n">
        <v>30</v>
      </c>
      <c r="AV68" s="565" t="s">
        <v>718</v>
      </c>
      <c r="AX68" s="565" t="s">
        <v>1743</v>
      </c>
      <c r="AY68" s="565" t="s">
        <v>1779</v>
      </c>
      <c r="AZ68" s="565" t="s">
        <v>1780</v>
      </c>
      <c r="BA68" s="565" t="s">
        <v>1781</v>
      </c>
      <c r="BB68" s="565" t="s">
        <v>1782</v>
      </c>
      <c r="BC68" s="565" t="s">
        <v>1783</v>
      </c>
      <c r="BD68" s="598" t="str">
        <f aca="false">B57</f>
        <v>Magha</v>
      </c>
      <c r="BF68" s="626" t="s">
        <v>1784</v>
      </c>
      <c r="BG68" s="623" t="s">
        <v>1785</v>
      </c>
    </row>
    <row r="69" s="635" customFormat="true" ht="13.5" hidden="false" customHeight="true" outlineLevel="0" collapsed="false">
      <c r="A69" s="633"/>
      <c r="B69" s="634" t="s">
        <v>655</v>
      </c>
      <c r="C69" s="634"/>
      <c r="D69" s="634" t="s">
        <v>158</v>
      </c>
      <c r="E69" s="634" t="s">
        <v>1786</v>
      </c>
      <c r="F69" s="634"/>
      <c r="G69" s="634"/>
      <c r="H69" s="617" t="s">
        <v>1379</v>
      </c>
      <c r="I69" s="634"/>
      <c r="J69" s="634"/>
      <c r="K69" s="634"/>
      <c r="L69" s="634"/>
      <c r="M69" s="634"/>
      <c r="O69" s="634"/>
      <c r="Q69" s="634" t="s">
        <v>1443</v>
      </c>
      <c r="R69" s="634"/>
      <c r="S69" s="634"/>
      <c r="T69" s="634"/>
      <c r="U69" s="636" t="n">
        <f aca="false">276+2/3</f>
        <v>276.666666666667</v>
      </c>
      <c r="V69" s="636" t="n">
        <f aca="false">U69+3+1/3+(13+1/3)/15</f>
        <v>280.888888888889</v>
      </c>
      <c r="W69" s="634" t="s">
        <v>1787</v>
      </c>
      <c r="X69" s="637" t="s">
        <v>1788</v>
      </c>
      <c r="Y69" s="634" t="s">
        <v>1357</v>
      </c>
      <c r="Z69" s="634"/>
      <c r="AA69" s="638"/>
      <c r="AI69" s="639"/>
      <c r="AK69" s="640"/>
      <c r="AM69" s="641" t="s">
        <v>1365</v>
      </c>
      <c r="AN69" s="635" t="s">
        <v>1396</v>
      </c>
      <c r="AO69" s="635" t="s">
        <v>1758</v>
      </c>
      <c r="AQ69" s="565" t="n">
        <v>0</v>
      </c>
      <c r="AR69" s="565"/>
      <c r="AS69" s="565"/>
      <c r="AT69" s="565"/>
      <c r="AU69" s="565"/>
      <c r="AV69" s="565"/>
      <c r="AW69" s="565" t="s">
        <v>1789</v>
      </c>
      <c r="AX69" s="565"/>
      <c r="AY69" s="565"/>
      <c r="AZ69" s="565"/>
      <c r="BA69" s="565"/>
      <c r="BB69" s="565"/>
      <c r="BC69" s="565"/>
      <c r="BD69" s="598"/>
      <c r="BF69" s="623"/>
      <c r="BG69" s="623"/>
    </row>
    <row r="70" customFormat="false" ht="13.5" hidden="false" customHeight="true" outlineLevel="0" collapsed="false">
      <c r="A70" s="614" t="n">
        <v>22</v>
      </c>
      <c r="B70" s="565" t="s">
        <v>609</v>
      </c>
      <c r="C70" s="565" t="s">
        <v>1790</v>
      </c>
      <c r="D70" s="565" t="s">
        <v>159</v>
      </c>
      <c r="E70" s="565" t="s">
        <v>1786</v>
      </c>
      <c r="F70" s="627" t="s">
        <v>1378</v>
      </c>
      <c r="G70" s="628" t="s">
        <v>1791</v>
      </c>
      <c r="H70" s="625" t="s">
        <v>1410</v>
      </c>
      <c r="I70" s="628" t="s">
        <v>1439</v>
      </c>
      <c r="J70" s="565" t="s">
        <v>1381</v>
      </c>
      <c r="K70" s="565" t="s">
        <v>1346</v>
      </c>
      <c r="L70" s="565" t="s">
        <v>1383</v>
      </c>
      <c r="M70" s="565" t="s">
        <v>1539</v>
      </c>
      <c r="N70" s="565" t="s">
        <v>1539</v>
      </c>
      <c r="O70" s="565" t="s">
        <v>1492</v>
      </c>
      <c r="P70" s="565" t="s">
        <v>1752</v>
      </c>
      <c r="Q70" s="565" t="s">
        <v>1792</v>
      </c>
      <c r="R70" s="565" t="s">
        <v>1495</v>
      </c>
      <c r="S70" s="565" t="s">
        <v>1353</v>
      </c>
      <c r="T70" s="565" t="s">
        <v>1445</v>
      </c>
      <c r="U70" s="574" t="n">
        <f aca="false">U68+StarDeg</f>
        <v>279.999999999999</v>
      </c>
      <c r="V70" s="574" t="n">
        <f aca="false">V68+StarDeg</f>
        <v>293.333333333333</v>
      </c>
      <c r="W70" s="618" t="s">
        <v>1793</v>
      </c>
      <c r="X70" s="619" t="s">
        <v>1794</v>
      </c>
      <c r="Y70" s="567" t="s">
        <v>1392</v>
      </c>
      <c r="Z70" s="565" t="s">
        <v>1423</v>
      </c>
      <c r="AA70" s="567" t="s">
        <v>1358</v>
      </c>
      <c r="AB70" s="565" t="s">
        <v>1359</v>
      </c>
      <c r="AC70" s="565" t="s">
        <v>1360</v>
      </c>
      <c r="AD70" s="565" t="s">
        <v>1360</v>
      </c>
      <c r="AE70" s="565" t="str">
        <f aca="false">INDEX(PanchangaYoga,MOD(26+A70-7,27)+1,2)</f>
        <v>Vajra</v>
      </c>
      <c r="AF70" s="565" t="s">
        <v>842</v>
      </c>
      <c r="AG70" s="565" t="s">
        <v>1795</v>
      </c>
      <c r="AH70" s="621" t="n">
        <v>0.00115740740740741</v>
      </c>
      <c r="AI70" s="621" t="n">
        <f aca="false">AH70*360</f>
        <v>0.416666666666668</v>
      </c>
      <c r="AJ70" s="622" t="s">
        <v>1796</v>
      </c>
      <c r="AK70" s="599" t="s">
        <v>1504</v>
      </c>
      <c r="AL70" s="565" t="s">
        <v>1708</v>
      </c>
      <c r="AM70" s="565" t="s">
        <v>1526</v>
      </c>
      <c r="AN70" s="565" t="s">
        <v>1427</v>
      </c>
      <c r="AO70" s="565" t="s">
        <v>1758</v>
      </c>
      <c r="AP70" s="565" t="s">
        <v>1797</v>
      </c>
      <c r="AQ70" s="565" t="n">
        <v>10</v>
      </c>
      <c r="AR70" s="565" t="n">
        <v>34</v>
      </c>
      <c r="AS70" s="565" t="n">
        <v>46</v>
      </c>
      <c r="AT70" s="565" t="n">
        <v>1</v>
      </c>
      <c r="AU70" s="565" t="n">
        <v>8</v>
      </c>
      <c r="AV70" s="565" t="s">
        <v>700</v>
      </c>
      <c r="AW70" s="565" t="s">
        <v>1798</v>
      </c>
      <c r="AX70" s="565" t="s">
        <v>1799</v>
      </c>
      <c r="AY70" s="565" t="s">
        <v>1800</v>
      </c>
      <c r="AZ70" s="565" t="s">
        <v>1583</v>
      </c>
      <c r="BA70" s="565" t="s">
        <v>1675</v>
      </c>
      <c r="BB70" s="565" t="s">
        <v>1801</v>
      </c>
      <c r="BC70" s="565" t="s">
        <v>1802</v>
      </c>
      <c r="BD70" s="598" t="str">
        <f aca="false">B58</f>
        <v>Purva Phalguni</v>
      </c>
      <c r="BF70" s="626" t="s">
        <v>1803</v>
      </c>
      <c r="BG70" s="626" t="s">
        <v>1804</v>
      </c>
    </row>
    <row r="71" customFormat="false" ht="21" hidden="false" customHeight="true" outlineLevel="0" collapsed="false">
      <c r="A71" s="614" t="n">
        <v>23</v>
      </c>
      <c r="B71" s="565" t="s">
        <v>1805</v>
      </c>
      <c r="C71" s="565" t="s">
        <v>1806</v>
      </c>
      <c r="D71" s="565" t="s">
        <v>160</v>
      </c>
      <c r="E71" s="565" t="s">
        <v>1807</v>
      </c>
      <c r="F71" s="615" t="s">
        <v>1409</v>
      </c>
      <c r="G71" s="617" t="s">
        <v>897</v>
      </c>
      <c r="H71" s="625" t="s">
        <v>1438</v>
      </c>
      <c r="I71" s="617" t="s">
        <v>1439</v>
      </c>
      <c r="J71" s="565" t="s">
        <v>1345</v>
      </c>
      <c r="K71" s="565" t="s">
        <v>1411</v>
      </c>
      <c r="L71" s="565" t="s">
        <v>1347</v>
      </c>
      <c r="M71" s="565" t="s">
        <v>1808</v>
      </c>
      <c r="N71" s="565" t="s">
        <v>1809</v>
      </c>
      <c r="O71" s="565" t="s">
        <v>1492</v>
      </c>
      <c r="P71" s="565" t="s">
        <v>1810</v>
      </c>
      <c r="Q71" s="565" t="s">
        <v>1811</v>
      </c>
      <c r="R71" s="599" t="s">
        <v>1061</v>
      </c>
      <c r="S71" s="565" t="s">
        <v>1388</v>
      </c>
      <c r="T71" s="565" t="s">
        <v>1473</v>
      </c>
      <c r="U71" s="574" t="n">
        <f aca="false">U70+StarDeg</f>
        <v>293.333333333333</v>
      </c>
      <c r="V71" s="574" t="n">
        <f aca="false">V70+StarDeg</f>
        <v>306.666666666666</v>
      </c>
      <c r="W71" s="618" t="s">
        <v>1812</v>
      </c>
      <c r="X71" s="619" t="s">
        <v>1813</v>
      </c>
      <c r="Y71" s="567" t="s">
        <v>1422</v>
      </c>
      <c r="Z71" s="565" t="s">
        <v>1359</v>
      </c>
      <c r="AA71" s="567" t="s">
        <v>1359</v>
      </c>
      <c r="AB71" s="565" t="s">
        <v>1358</v>
      </c>
      <c r="AC71" s="565" t="s">
        <v>1358</v>
      </c>
      <c r="AD71" s="565" t="s">
        <v>1359</v>
      </c>
      <c r="AE71" s="565" t="str">
        <f aca="false">INDEX(PanchangaYoga,MOD(26+A71-7,27)+1,2)</f>
        <v>Siddhi</v>
      </c>
      <c r="AF71" s="565" t="s">
        <v>842</v>
      </c>
      <c r="AG71" s="565" t="s">
        <v>1814</v>
      </c>
      <c r="AH71" s="621" t="n">
        <v>0.000810185185185185</v>
      </c>
      <c r="AI71" s="621" t="n">
        <f aca="false">AH71*360</f>
        <v>0.291666666666667</v>
      </c>
      <c r="AJ71" s="622" t="s">
        <v>1815</v>
      </c>
      <c r="AK71" s="599" t="s">
        <v>1364</v>
      </c>
      <c r="AL71" s="565" t="s">
        <v>1816</v>
      </c>
      <c r="AM71" s="565" t="s">
        <v>1526</v>
      </c>
      <c r="AN71" s="565" t="s">
        <v>1452</v>
      </c>
      <c r="AO71" s="565" t="s">
        <v>1817</v>
      </c>
      <c r="AP71" s="565" t="s">
        <v>1818</v>
      </c>
      <c r="AQ71" s="565" t="n">
        <v>10</v>
      </c>
      <c r="AR71" s="565" t="n">
        <v>34</v>
      </c>
      <c r="AS71" s="565" t="n">
        <v>48</v>
      </c>
      <c r="AT71" s="565" t="n">
        <v>52</v>
      </c>
      <c r="AU71" s="565" t="n">
        <v>60</v>
      </c>
      <c r="AV71" s="565" t="s">
        <v>700</v>
      </c>
      <c r="AW71" s="565" t="s">
        <v>1819</v>
      </c>
      <c r="AX71" s="565" t="s">
        <v>1548</v>
      </c>
      <c r="AY71" s="565" t="s">
        <v>1820</v>
      </c>
      <c r="AZ71" s="565" t="s">
        <v>1458</v>
      </c>
      <c r="BA71" s="565" t="s">
        <v>1821</v>
      </c>
      <c r="BB71" s="565" t="s">
        <v>1822</v>
      </c>
      <c r="BC71" s="565" t="s">
        <v>1823</v>
      </c>
      <c r="BD71" s="598" t="str">
        <f aca="false">B59</f>
        <v>Uttara Phalguni</v>
      </c>
      <c r="BF71" s="623" t="s">
        <v>1824</v>
      </c>
      <c r="BG71" s="623" t="s">
        <v>1825</v>
      </c>
    </row>
    <row r="72" customFormat="false" ht="24" hidden="false" customHeight="true" outlineLevel="0" collapsed="false">
      <c r="A72" s="614" t="n">
        <v>24</v>
      </c>
      <c r="B72" s="565" t="s">
        <v>1826</v>
      </c>
      <c r="C72" s="565" t="s">
        <v>1827</v>
      </c>
      <c r="D72" s="565" t="s">
        <v>165</v>
      </c>
      <c r="E72" s="565" t="s">
        <v>1828</v>
      </c>
      <c r="F72" s="624" t="s">
        <v>1409</v>
      </c>
      <c r="G72" s="625" t="s">
        <v>1378</v>
      </c>
      <c r="H72" s="628" t="s">
        <v>1343</v>
      </c>
      <c r="I72" s="625" t="s">
        <v>1439</v>
      </c>
      <c r="J72" s="565" t="s">
        <v>1345</v>
      </c>
      <c r="K72" s="565" t="s">
        <v>1411</v>
      </c>
      <c r="L72" s="565" t="s">
        <v>1347</v>
      </c>
      <c r="M72" s="565" t="s">
        <v>1829</v>
      </c>
      <c r="N72" s="565" t="s">
        <v>1830</v>
      </c>
      <c r="O72" s="565" t="s">
        <v>1470</v>
      </c>
      <c r="P72" s="565" t="s">
        <v>1350</v>
      </c>
      <c r="Q72" s="565" t="s">
        <v>1831</v>
      </c>
      <c r="R72" s="565" t="s">
        <v>1495</v>
      </c>
      <c r="S72" s="565" t="s">
        <v>1418</v>
      </c>
      <c r="T72" s="565" t="s">
        <v>1496</v>
      </c>
      <c r="U72" s="574" t="n">
        <f aca="false">U71+StarDeg</f>
        <v>306.666666666666</v>
      </c>
      <c r="V72" s="574" t="n">
        <f aca="false">V71+StarDeg</f>
        <v>319.999999999999</v>
      </c>
      <c r="W72" s="618" t="s">
        <v>1832</v>
      </c>
      <c r="X72" s="619" t="s">
        <v>1833</v>
      </c>
      <c r="Y72" s="567" t="s">
        <v>1448</v>
      </c>
      <c r="Z72" s="565" t="s">
        <v>1358</v>
      </c>
      <c r="AA72" s="567" t="s">
        <v>1360</v>
      </c>
      <c r="AB72" s="565" t="s">
        <v>1360</v>
      </c>
      <c r="AC72" s="565" t="s">
        <v>1359</v>
      </c>
      <c r="AD72" s="565" t="s">
        <v>1358</v>
      </c>
      <c r="AE72" s="565" t="str">
        <f aca="false">INDEX(PanchangaYoga,MOD(26+A72-7,27)+1,2)</f>
        <v>Vyatīpāta</v>
      </c>
      <c r="AF72" s="565" t="s">
        <v>842</v>
      </c>
      <c r="AG72" s="565" t="s">
        <v>1834</v>
      </c>
      <c r="AH72" s="621" t="n">
        <v>0.00208333333333333</v>
      </c>
      <c r="AI72" s="621" t="n">
        <f aca="false">AH72*360</f>
        <v>0.749999999999999</v>
      </c>
      <c r="AJ72" s="622" t="s">
        <v>1835</v>
      </c>
      <c r="AK72" s="599" t="s">
        <v>1364</v>
      </c>
      <c r="AL72" s="565" t="s">
        <v>1816</v>
      </c>
      <c r="AM72" s="565" t="s">
        <v>1526</v>
      </c>
      <c r="AN72" s="565" t="s">
        <v>1327</v>
      </c>
      <c r="AO72" s="565" t="s">
        <v>1817</v>
      </c>
      <c r="AP72" s="565" t="s">
        <v>1836</v>
      </c>
      <c r="AQ72" s="565" t="n">
        <v>18</v>
      </c>
      <c r="AR72" s="565" t="n">
        <v>42</v>
      </c>
      <c r="AS72" s="565" t="n">
        <v>50</v>
      </c>
      <c r="AT72" s="565" t="n">
        <v>20</v>
      </c>
      <c r="AU72" s="565" t="n">
        <v>30</v>
      </c>
      <c r="AV72" s="565" t="s">
        <v>700</v>
      </c>
      <c r="AW72" s="565" t="s">
        <v>1837</v>
      </c>
      <c r="AX72" s="565" t="s">
        <v>1762</v>
      </c>
      <c r="AY72" s="565" t="s">
        <v>1643</v>
      </c>
      <c r="AZ72" s="565" t="s">
        <v>1529</v>
      </c>
      <c r="BA72" s="565" t="s">
        <v>1581</v>
      </c>
      <c r="BB72" s="565" t="s">
        <v>1838</v>
      </c>
      <c r="BC72" s="565" t="s">
        <v>1839</v>
      </c>
      <c r="BD72" s="598" t="str">
        <f aca="false">B60</f>
        <v>Hasta</v>
      </c>
      <c r="BF72" s="632" t="s">
        <v>1840</v>
      </c>
      <c r="BG72" s="623" t="s">
        <v>1841</v>
      </c>
    </row>
    <row r="73" customFormat="false" ht="16.5" hidden="false" customHeight="true" outlineLevel="0" collapsed="false">
      <c r="A73" s="614" t="n">
        <v>25</v>
      </c>
      <c r="B73" s="565" t="s">
        <v>1842</v>
      </c>
      <c r="C73" s="565" t="s">
        <v>1843</v>
      </c>
      <c r="D73" s="565" t="s">
        <v>162</v>
      </c>
      <c r="E73" s="565" t="s">
        <v>1844</v>
      </c>
      <c r="F73" s="624" t="s">
        <v>1409</v>
      </c>
      <c r="G73" s="625" t="s">
        <v>1409</v>
      </c>
      <c r="H73" s="617" t="s">
        <v>1379</v>
      </c>
      <c r="I73" s="625" t="s">
        <v>1380</v>
      </c>
      <c r="J73" s="565" t="s">
        <v>1516</v>
      </c>
      <c r="K73" s="565" t="s">
        <v>1382</v>
      </c>
      <c r="L73" s="565" t="s">
        <v>1383</v>
      </c>
      <c r="M73" s="565" t="s">
        <v>1845</v>
      </c>
      <c r="N73" s="565" t="s">
        <v>1846</v>
      </c>
      <c r="O73" s="565" t="s">
        <v>1555</v>
      </c>
      <c r="P73" s="565" t="s">
        <v>1810</v>
      </c>
      <c r="Q73" s="565" t="s">
        <v>1847</v>
      </c>
      <c r="R73" s="565" t="s">
        <v>1520</v>
      </c>
      <c r="S73" s="565" t="s">
        <v>1353</v>
      </c>
      <c r="T73" s="565" t="s">
        <v>1354</v>
      </c>
      <c r="U73" s="574" t="n">
        <f aca="false">U72+StarDeg</f>
        <v>319.999999999999</v>
      </c>
      <c r="V73" s="574" t="n">
        <f aca="false">V72+StarDeg</f>
        <v>333.333333333333</v>
      </c>
      <c r="W73" s="618" t="s">
        <v>1848</v>
      </c>
      <c r="X73" s="619" t="s">
        <v>1849</v>
      </c>
      <c r="Y73" s="567" t="s">
        <v>1476</v>
      </c>
      <c r="Z73" s="565" t="s">
        <v>1358</v>
      </c>
      <c r="AA73" s="567" t="s">
        <v>1358</v>
      </c>
      <c r="AB73" s="565" t="s">
        <v>1359</v>
      </c>
      <c r="AC73" s="565" t="s">
        <v>1360</v>
      </c>
      <c r="AD73" s="565" t="s">
        <v>1360</v>
      </c>
      <c r="AE73" s="565" t="str">
        <f aca="false">INDEX(PanchangaYoga,MOD(26+A73-7,27)+1,2)</f>
        <v>Varigha/Variiyas</v>
      </c>
      <c r="AF73" s="565" t="s">
        <v>842</v>
      </c>
      <c r="AG73" s="565" t="s">
        <v>1850</v>
      </c>
      <c r="AH73" s="621" t="n">
        <v>0.00185185185185185</v>
      </c>
      <c r="AI73" s="621" t="n">
        <f aca="false">AH73*360</f>
        <v>0.666666666666666</v>
      </c>
      <c r="AJ73" s="622" t="s">
        <v>1851</v>
      </c>
      <c r="AK73" s="599" t="s">
        <v>1364</v>
      </c>
      <c r="AL73" s="565" t="s">
        <v>1816</v>
      </c>
      <c r="AM73" s="565" t="s">
        <v>1395</v>
      </c>
      <c r="AN73" s="565" t="s">
        <v>1396</v>
      </c>
      <c r="AO73" s="565" t="s">
        <v>1817</v>
      </c>
      <c r="AP73" s="565" t="s">
        <v>1852</v>
      </c>
      <c r="AQ73" s="565" t="n">
        <v>16</v>
      </c>
      <c r="AR73" s="565" t="n">
        <v>40</v>
      </c>
      <c r="AS73" s="565" t="n">
        <v>52</v>
      </c>
      <c r="AT73" s="565" t="n">
        <v>1</v>
      </c>
      <c r="AU73" s="565" t="n">
        <v>8</v>
      </c>
      <c r="AV73" s="565" t="s">
        <v>718</v>
      </c>
      <c r="AW73" s="565" t="s">
        <v>1853</v>
      </c>
      <c r="AX73" s="565" t="s">
        <v>1854</v>
      </c>
      <c r="AY73" s="565" t="s">
        <v>1167</v>
      </c>
      <c r="AZ73" s="565" t="s">
        <v>1855</v>
      </c>
      <c r="BA73" s="565" t="s">
        <v>1483</v>
      </c>
      <c r="BB73" s="565" t="s">
        <v>1856</v>
      </c>
      <c r="BC73" s="565" t="s">
        <v>1857</v>
      </c>
      <c r="BD73" s="598" t="str">
        <f aca="false">B61</f>
        <v>Chitra</v>
      </c>
      <c r="BF73" s="632" t="s">
        <v>1858</v>
      </c>
      <c r="BG73" s="623" t="s">
        <v>1859</v>
      </c>
    </row>
    <row r="74" customFormat="false" ht="17.25" hidden="false" customHeight="true" outlineLevel="0" collapsed="false">
      <c r="A74" s="614" t="n">
        <v>26</v>
      </c>
      <c r="B74" s="565" t="s">
        <v>1860</v>
      </c>
      <c r="C74" s="565" t="s">
        <v>1861</v>
      </c>
      <c r="D74" s="565" t="s">
        <v>462</v>
      </c>
      <c r="E74" s="565" t="s">
        <v>1862</v>
      </c>
      <c r="F74" s="624" t="s">
        <v>1409</v>
      </c>
      <c r="G74" s="625" t="s">
        <v>1342</v>
      </c>
      <c r="H74" s="625" t="s">
        <v>1410</v>
      </c>
      <c r="I74" s="625" t="s">
        <v>1439</v>
      </c>
      <c r="J74" s="565" t="s">
        <v>1345</v>
      </c>
      <c r="K74" s="565" t="s">
        <v>1382</v>
      </c>
      <c r="L74" s="565" t="s">
        <v>1412</v>
      </c>
      <c r="M74" s="565" t="s">
        <v>1863</v>
      </c>
      <c r="N74" s="565" t="s">
        <v>1864</v>
      </c>
      <c r="O74" s="565" t="s">
        <v>1385</v>
      </c>
      <c r="P74" s="565" t="s">
        <v>1612</v>
      </c>
      <c r="Q74" s="565" t="s">
        <v>1865</v>
      </c>
      <c r="R74" s="565" t="s">
        <v>1171</v>
      </c>
      <c r="S74" s="565" t="s">
        <v>1388</v>
      </c>
      <c r="T74" s="565" t="s">
        <v>1389</v>
      </c>
      <c r="U74" s="574" t="n">
        <f aca="false">U73+StarDeg</f>
        <v>333.333333333333</v>
      </c>
      <c r="V74" s="574" t="n">
        <f aca="false">V73+StarDeg</f>
        <v>346.666666666666</v>
      </c>
      <c r="W74" s="618" t="s">
        <v>1866</v>
      </c>
      <c r="X74" s="619" t="s">
        <v>1867</v>
      </c>
      <c r="Y74" s="567" t="s">
        <v>1499</v>
      </c>
      <c r="Z74" s="565" t="s">
        <v>1359</v>
      </c>
      <c r="AA74" s="567" t="s">
        <v>1359</v>
      </c>
      <c r="AB74" s="565" t="s">
        <v>1358</v>
      </c>
      <c r="AC74" s="565" t="s">
        <v>1358</v>
      </c>
      <c r="AD74" s="565" t="s">
        <v>1359</v>
      </c>
      <c r="AE74" s="565" t="str">
        <f aca="false">INDEX(PanchangaYoga,MOD(26+A74-7,27)+1,2)</f>
        <v>Parigha</v>
      </c>
      <c r="AF74" s="565" t="s">
        <v>842</v>
      </c>
      <c r="AG74" s="565" t="s">
        <v>1868</v>
      </c>
      <c r="AH74" s="621" t="n">
        <v>0.00219907407407407</v>
      </c>
      <c r="AI74" s="621" t="n">
        <f aca="false">AH74*360</f>
        <v>0.791666666666665</v>
      </c>
      <c r="AJ74" s="622" t="s">
        <v>1869</v>
      </c>
      <c r="AK74" s="599" t="s">
        <v>1364</v>
      </c>
      <c r="AL74" s="565" t="s">
        <v>1816</v>
      </c>
      <c r="AM74" s="565" t="s">
        <v>1451</v>
      </c>
      <c r="AN74" s="565" t="s">
        <v>1427</v>
      </c>
      <c r="AO74" s="565" t="s">
        <v>1817</v>
      </c>
      <c r="AP74" s="565" t="s">
        <v>1870</v>
      </c>
      <c r="AQ74" s="565" t="n">
        <v>24</v>
      </c>
      <c r="AR74" s="565" t="n">
        <v>48</v>
      </c>
      <c r="AS74" s="565" t="n">
        <v>52</v>
      </c>
      <c r="AT74" s="565" t="n">
        <v>52</v>
      </c>
      <c r="AU74" s="565" t="n">
        <v>60</v>
      </c>
      <c r="AV74" s="565" t="s">
        <v>718</v>
      </c>
      <c r="AX74" s="565" t="s">
        <v>1482</v>
      </c>
      <c r="AY74" s="565" t="s">
        <v>1167</v>
      </c>
      <c r="AZ74" s="565" t="s">
        <v>1581</v>
      </c>
      <c r="BA74" s="565" t="s">
        <v>1529</v>
      </c>
      <c r="BB74" s="565" t="s">
        <v>1871</v>
      </c>
      <c r="BC74" s="565" t="s">
        <v>1872</v>
      </c>
      <c r="BD74" s="598" t="str">
        <f aca="false">B62</f>
        <v>Swati</v>
      </c>
      <c r="BF74" s="632" t="s">
        <v>1873</v>
      </c>
      <c r="BG74" s="623" t="s">
        <v>1874</v>
      </c>
    </row>
    <row r="75" s="565" customFormat="true" ht="31.5" hidden="false" customHeight="true" outlineLevel="0" collapsed="false">
      <c r="A75" s="614" t="n">
        <v>27</v>
      </c>
      <c r="B75" s="565" t="s">
        <v>574</v>
      </c>
      <c r="D75" s="565" t="s">
        <v>800</v>
      </c>
      <c r="E75" s="565" t="s">
        <v>1862</v>
      </c>
      <c r="F75" s="627" t="s">
        <v>1409</v>
      </c>
      <c r="G75" s="630" t="s">
        <v>1467</v>
      </c>
      <c r="H75" s="625" t="s">
        <v>1438</v>
      </c>
      <c r="I75" s="628" t="s">
        <v>1344</v>
      </c>
      <c r="J75" s="565" t="s">
        <v>1516</v>
      </c>
      <c r="K75" s="565" t="s">
        <v>1346</v>
      </c>
      <c r="L75" s="565" t="s">
        <v>1440</v>
      </c>
      <c r="M75" s="565" t="s">
        <v>1875</v>
      </c>
      <c r="N75" s="565" t="s">
        <v>1875</v>
      </c>
      <c r="O75" s="565" t="s">
        <v>1385</v>
      </c>
      <c r="P75" s="565" t="s">
        <v>1384</v>
      </c>
      <c r="Q75" s="565" t="s">
        <v>1876</v>
      </c>
      <c r="R75" s="565" t="s">
        <v>184</v>
      </c>
      <c r="S75" s="565" t="s">
        <v>1418</v>
      </c>
      <c r="T75" s="565" t="s">
        <v>1419</v>
      </c>
      <c r="U75" s="574" t="n">
        <f aca="false">U74+StarDeg</f>
        <v>346.666666666666</v>
      </c>
      <c r="V75" s="565" t="n">
        <f aca="false">V74+StarDeg</f>
        <v>359.999999999999</v>
      </c>
      <c r="W75" s="618" t="s">
        <v>1877</v>
      </c>
      <c r="X75" s="619" t="s">
        <v>1878</v>
      </c>
      <c r="Y75" s="567" t="s">
        <v>1523</v>
      </c>
      <c r="Z75" s="565" t="s">
        <v>1423</v>
      </c>
      <c r="AA75" s="567" t="s">
        <v>1360</v>
      </c>
      <c r="AB75" s="565" t="s">
        <v>1360</v>
      </c>
      <c r="AC75" s="565" t="s">
        <v>1359</v>
      </c>
      <c r="AD75" s="565" t="s">
        <v>1358</v>
      </c>
      <c r="AE75" s="565" t="str">
        <f aca="false">INDEX(PanchangaYoga,MOD(26+A75-7,27)+1,2)</f>
        <v>Shiva</v>
      </c>
      <c r="AF75" s="565" t="s">
        <v>842</v>
      </c>
      <c r="AG75" s="565" t="s">
        <v>1879</v>
      </c>
      <c r="AH75" s="621" t="n">
        <v>0.00196759259259259</v>
      </c>
      <c r="AI75" s="621" t="n">
        <f aca="false">AH75*360</f>
        <v>0.708333333333332</v>
      </c>
      <c r="AJ75" s="642" t="s">
        <v>1880</v>
      </c>
      <c r="AK75" s="599" t="s">
        <v>1364</v>
      </c>
      <c r="AL75" s="565" t="s">
        <v>1816</v>
      </c>
      <c r="AM75" s="565" t="s">
        <v>1479</v>
      </c>
      <c r="AN75" s="565" t="s">
        <v>1452</v>
      </c>
      <c r="AO75" s="565" t="s">
        <v>1366</v>
      </c>
      <c r="AP75" s="565" t="s">
        <v>1881</v>
      </c>
      <c r="AQ75" s="565" t="n">
        <v>30</v>
      </c>
      <c r="AR75" s="565" t="n">
        <v>54</v>
      </c>
      <c r="AS75" s="565" t="n">
        <v>54</v>
      </c>
      <c r="AT75" s="565" t="n">
        <v>20</v>
      </c>
      <c r="AU75" s="565" t="n">
        <v>30</v>
      </c>
      <c r="AV75" s="565" t="s">
        <v>718</v>
      </c>
      <c r="AW75" s="565" t="s">
        <v>1882</v>
      </c>
      <c r="AX75" s="565" t="s">
        <v>1883</v>
      </c>
      <c r="AY75" s="565" t="s">
        <v>1167</v>
      </c>
      <c r="AZ75" s="565" t="s">
        <v>1884</v>
      </c>
      <c r="BA75" s="565" t="s">
        <v>1885</v>
      </c>
      <c r="BB75" s="565" t="s">
        <v>1886</v>
      </c>
      <c r="BC75" s="565" t="s">
        <v>1887</v>
      </c>
      <c r="BD75" s="598" t="str">
        <f aca="false">B63</f>
        <v>Vishakha</v>
      </c>
      <c r="BF75" s="623" t="s">
        <v>1888</v>
      </c>
      <c r="BG75" s="623" t="s">
        <v>1889</v>
      </c>
    </row>
    <row r="76" customFormat="false" ht="15" hidden="false" customHeight="false" outlineLevel="0" collapsed="false">
      <c r="X76" s="643"/>
      <c r="Y76" s="567"/>
      <c r="Z76" s="565"/>
      <c r="AH76" s="621" t="n">
        <f aca="false">SUM(AH48:AH75)</f>
        <v>0.0416666666666666</v>
      </c>
      <c r="AI76" s="621" t="n">
        <f aca="false">SUM(AI48:AI75)</f>
        <v>15</v>
      </c>
      <c r="AK76" s="599"/>
      <c r="BD76" s="598"/>
    </row>
    <row r="77" customFormat="false" ht="15" hidden="false" customHeight="false" outlineLevel="0" collapsed="false">
      <c r="A77" s="644"/>
      <c r="B77" s="645"/>
      <c r="C77" s="645"/>
      <c r="D77" s="645"/>
      <c r="E77" s="645"/>
      <c r="F77" s="645"/>
      <c r="G77" s="645"/>
      <c r="H77" s="645"/>
      <c r="I77" s="645"/>
      <c r="J77" s="645"/>
      <c r="K77" s="645"/>
      <c r="L77" s="645"/>
      <c r="M77" s="645"/>
      <c r="O77" s="645"/>
      <c r="P77" s="645"/>
      <c r="Q77" s="645"/>
      <c r="R77" s="645"/>
      <c r="S77" s="645"/>
      <c r="T77" s="645"/>
      <c r="U77" s="645"/>
      <c r="V77" s="645"/>
      <c r="X77" s="645"/>
      <c r="Y77" s="646"/>
      <c r="Z77" s="565"/>
      <c r="AL77" s="647"/>
      <c r="AM77" s="621"/>
      <c r="AO77" s="648"/>
      <c r="AP77" s="648"/>
      <c r="AQ77" s="649"/>
      <c r="AR77" s="649"/>
      <c r="AS77" s="649"/>
    </row>
    <row r="78" customFormat="false" ht="15" hidden="false" customHeight="false" outlineLevel="0" collapsed="false">
      <c r="J78" s="565" t="s">
        <v>1890</v>
      </c>
      <c r="AK78" s="650"/>
      <c r="AL78" s="650"/>
      <c r="AM78" s="650"/>
    </row>
    <row r="79" customFormat="false" ht="39.55" hidden="false" customHeight="false" outlineLevel="0" collapsed="false">
      <c r="A79" s="651" t="s">
        <v>1891</v>
      </c>
      <c r="B79" s="575" t="s">
        <v>386</v>
      </c>
      <c r="C79" s="575" t="s">
        <v>244</v>
      </c>
      <c r="D79" s="575" t="s">
        <v>1892</v>
      </c>
      <c r="E79" s="565" t="s">
        <v>1893</v>
      </c>
      <c r="F79" s="565" t="s">
        <v>1075</v>
      </c>
      <c r="G79" s="566" t="s">
        <v>1894</v>
      </c>
      <c r="H79" s="566" t="s">
        <v>1895</v>
      </c>
      <c r="I79" s="652" t="s">
        <v>1896</v>
      </c>
      <c r="J79" s="652" t="s">
        <v>1897</v>
      </c>
      <c r="K79" s="652" t="s">
        <v>1898</v>
      </c>
      <c r="L79" s="652" t="s">
        <v>1899</v>
      </c>
      <c r="M79" s="653" t="s">
        <v>1900</v>
      </c>
      <c r="N79" s="653" t="s">
        <v>1901</v>
      </c>
      <c r="O79" s="653" t="s">
        <v>1902</v>
      </c>
      <c r="P79" s="652" t="s">
        <v>1903</v>
      </c>
      <c r="Q79" s="652" t="s">
        <v>1904</v>
      </c>
      <c r="R79" s="652" t="s">
        <v>1905</v>
      </c>
      <c r="Z79" s="565"/>
      <c r="AA79" s="565"/>
      <c r="AG79" s="567"/>
      <c r="AH79" s="567"/>
    </row>
    <row r="80" customFormat="false" ht="15.75" hidden="false" customHeight="true" outlineLevel="0" collapsed="false">
      <c r="A80" s="651" t="n">
        <v>0</v>
      </c>
      <c r="B80" s="575" t="s">
        <v>872</v>
      </c>
      <c r="C80" s="575" t="s">
        <v>165</v>
      </c>
      <c r="D80" s="654"/>
      <c r="E80" s="618"/>
      <c r="F80" s="565" t="s">
        <v>1906</v>
      </c>
      <c r="G80" s="566" t="s">
        <v>1907</v>
      </c>
      <c r="H80" s="566" t="s">
        <v>1908</v>
      </c>
      <c r="I80" s="565" t="s">
        <v>1909</v>
      </c>
      <c r="J80" s="565" t="s">
        <v>1910</v>
      </c>
      <c r="K80" s="565" t="s">
        <v>1911</v>
      </c>
      <c r="L80" s="566"/>
      <c r="M80" s="566"/>
      <c r="N80" s="566" t="s">
        <v>1912</v>
      </c>
      <c r="O80" s="566" t="s">
        <v>1913</v>
      </c>
      <c r="R80" s="566" t="s">
        <v>1914</v>
      </c>
      <c r="Z80" s="565"/>
      <c r="AA80" s="565"/>
      <c r="AG80" s="567"/>
      <c r="AH80" s="567"/>
    </row>
    <row r="81" customFormat="false" ht="15.75" hidden="false" customHeight="true" outlineLevel="0" collapsed="false">
      <c r="A81" s="651" t="n">
        <v>1</v>
      </c>
      <c r="B81" s="575" t="s">
        <v>1915</v>
      </c>
      <c r="C81" s="575" t="s">
        <v>158</v>
      </c>
      <c r="D81" s="655" t="s">
        <v>1916</v>
      </c>
      <c r="E81" s="656" t="s">
        <v>1917</v>
      </c>
      <c r="F81" s="565" t="s">
        <v>1918</v>
      </c>
      <c r="G81" s="566" t="s">
        <v>1919</v>
      </c>
      <c r="H81" s="566" t="s">
        <v>1920</v>
      </c>
      <c r="I81" s="565" t="s">
        <v>897</v>
      </c>
      <c r="J81" s="565" t="s">
        <v>1921</v>
      </c>
      <c r="K81" s="565" t="s">
        <v>1922</v>
      </c>
      <c r="L81" s="566" t="s">
        <v>1923</v>
      </c>
      <c r="M81" s="566"/>
      <c r="N81" s="566" t="s">
        <v>1924</v>
      </c>
      <c r="O81" s="566" t="s">
        <v>1925</v>
      </c>
      <c r="P81" s="565" t="s">
        <v>1926</v>
      </c>
      <c r="Q81" s="565" t="s">
        <v>1927</v>
      </c>
      <c r="R81" s="566" t="s">
        <v>1928</v>
      </c>
      <c r="Z81" s="565"/>
      <c r="AA81" s="565"/>
      <c r="AG81" s="567"/>
      <c r="AH81" s="567"/>
    </row>
    <row r="82" customFormat="false" ht="15.75" hidden="false" customHeight="true" outlineLevel="0" collapsed="false">
      <c r="A82" s="651" t="n">
        <v>2</v>
      </c>
      <c r="B82" s="575" t="s">
        <v>1929</v>
      </c>
      <c r="C82" s="575" t="s">
        <v>159</v>
      </c>
      <c r="D82" s="575" t="s">
        <v>1930</v>
      </c>
      <c r="E82" s="565" t="s">
        <v>162</v>
      </c>
      <c r="F82" s="565" t="s">
        <v>1931</v>
      </c>
      <c r="G82" s="566" t="s">
        <v>1932</v>
      </c>
      <c r="H82" s="566" t="s">
        <v>1933</v>
      </c>
      <c r="I82" s="565" t="s">
        <v>1934</v>
      </c>
      <c r="J82" s="565" t="s">
        <v>1935</v>
      </c>
      <c r="K82" s="565" t="s">
        <v>1922</v>
      </c>
      <c r="L82" s="566" t="s">
        <v>1936</v>
      </c>
      <c r="M82" s="566"/>
      <c r="N82" s="566" t="s">
        <v>1926</v>
      </c>
      <c r="O82" s="566" t="s">
        <v>1927</v>
      </c>
      <c r="P82" s="565" t="s">
        <v>1937</v>
      </c>
      <c r="Q82" s="565" t="s">
        <v>1938</v>
      </c>
      <c r="R82" s="566" t="s">
        <v>1939</v>
      </c>
      <c r="Z82" s="565"/>
      <c r="AA82" s="565"/>
      <c r="AG82" s="567"/>
      <c r="AH82" s="567"/>
    </row>
    <row r="83" customFormat="false" ht="15.75" hidden="false" customHeight="true" outlineLevel="0" collapsed="false">
      <c r="A83" s="651" t="n">
        <v>3</v>
      </c>
      <c r="B83" s="575" t="s">
        <v>1940</v>
      </c>
      <c r="C83" s="575" t="s">
        <v>160</v>
      </c>
      <c r="D83" s="575" t="s">
        <v>1941</v>
      </c>
      <c r="E83" s="565" t="s">
        <v>1942</v>
      </c>
      <c r="F83" s="565" t="s">
        <v>1943</v>
      </c>
      <c r="G83" s="566" t="s">
        <v>1944</v>
      </c>
      <c r="H83" s="566" t="s">
        <v>1945</v>
      </c>
      <c r="I83" s="565" t="s">
        <v>1946</v>
      </c>
      <c r="J83" s="565" t="s">
        <v>1947</v>
      </c>
      <c r="K83" s="565" t="s">
        <v>1948</v>
      </c>
      <c r="L83" s="566" t="s">
        <v>1949</v>
      </c>
      <c r="M83" s="566"/>
      <c r="N83" s="566" t="s">
        <v>1937</v>
      </c>
      <c r="O83" s="566" t="s">
        <v>1938</v>
      </c>
      <c r="P83" s="565" t="s">
        <v>1950</v>
      </c>
      <c r="Q83" s="565" t="s">
        <v>1951</v>
      </c>
      <c r="R83" s="566"/>
      <c r="Z83" s="565"/>
      <c r="AA83" s="565"/>
      <c r="AG83" s="567"/>
      <c r="AH83" s="567"/>
    </row>
    <row r="84" customFormat="false" ht="15.75" hidden="false" customHeight="true" outlineLevel="0" collapsed="false">
      <c r="A84" s="651" t="n">
        <v>4</v>
      </c>
      <c r="B84" s="575" t="s">
        <v>1952</v>
      </c>
      <c r="C84" s="575" t="s">
        <v>161</v>
      </c>
      <c r="D84" s="575" t="s">
        <v>1953</v>
      </c>
      <c r="E84" s="565" t="s">
        <v>1917</v>
      </c>
      <c r="F84" s="565" t="s">
        <v>1954</v>
      </c>
      <c r="G84" s="566" t="s">
        <v>1955</v>
      </c>
      <c r="H84" s="566" t="s">
        <v>1956</v>
      </c>
      <c r="I84" s="565" t="s">
        <v>1957</v>
      </c>
      <c r="J84" s="565" t="s">
        <v>1958</v>
      </c>
      <c r="K84" s="565" t="s">
        <v>1922</v>
      </c>
      <c r="L84" s="566" t="s">
        <v>1959</v>
      </c>
      <c r="M84" s="566"/>
      <c r="N84" s="566" t="s">
        <v>1950</v>
      </c>
      <c r="O84" s="566" t="s">
        <v>1951</v>
      </c>
      <c r="P84" s="565" t="s">
        <v>1925</v>
      </c>
      <c r="Q84" s="565" t="s">
        <v>1926</v>
      </c>
      <c r="R84" s="566"/>
      <c r="Z84" s="565"/>
      <c r="AA84" s="565"/>
      <c r="AG84" s="567"/>
      <c r="AH84" s="567"/>
    </row>
    <row r="85" customFormat="false" ht="15.75" hidden="false" customHeight="true" outlineLevel="0" collapsed="false">
      <c r="A85" s="651" t="n">
        <v>5</v>
      </c>
      <c r="B85" s="575" t="s">
        <v>1960</v>
      </c>
      <c r="C85" s="575" t="s">
        <v>162</v>
      </c>
      <c r="D85" s="575" t="s">
        <v>1961</v>
      </c>
      <c r="E85" s="565" t="s">
        <v>161</v>
      </c>
      <c r="F85" s="565" t="s">
        <v>1962</v>
      </c>
      <c r="G85" s="566" t="s">
        <v>1907</v>
      </c>
      <c r="H85" s="566" t="s">
        <v>1908</v>
      </c>
      <c r="I85" s="565" t="s">
        <v>1913</v>
      </c>
      <c r="J85" s="565" t="s">
        <v>1963</v>
      </c>
      <c r="K85" s="565" t="s">
        <v>1922</v>
      </c>
      <c r="L85" s="566" t="s">
        <v>1964</v>
      </c>
      <c r="M85" s="566"/>
      <c r="N85" s="566" t="s">
        <v>1925</v>
      </c>
      <c r="O85" s="566" t="s">
        <v>1926</v>
      </c>
      <c r="P85" s="565" t="s">
        <v>1927</v>
      </c>
      <c r="Q85" s="565" t="s">
        <v>1937</v>
      </c>
      <c r="R85" s="566"/>
      <c r="Z85" s="565"/>
      <c r="AA85" s="565"/>
      <c r="AG85" s="567"/>
      <c r="AH85" s="567"/>
    </row>
    <row r="86" customFormat="false" ht="15.75" hidden="false" customHeight="true" outlineLevel="0" collapsed="false">
      <c r="A86" s="651" t="n">
        <v>6</v>
      </c>
      <c r="B86" s="575" t="s">
        <v>1965</v>
      </c>
      <c r="C86" s="575" t="s">
        <v>163</v>
      </c>
      <c r="D86" s="575" t="s">
        <v>1966</v>
      </c>
      <c r="E86" s="565" t="s">
        <v>158</v>
      </c>
      <c r="F86" s="565" t="s">
        <v>1967</v>
      </c>
      <c r="G86" s="566" t="s">
        <v>1919</v>
      </c>
      <c r="H86" s="566" t="s">
        <v>1920</v>
      </c>
      <c r="I86" s="565" t="s">
        <v>1968</v>
      </c>
      <c r="J86" s="565" t="s">
        <v>1969</v>
      </c>
      <c r="K86" s="565" t="s">
        <v>1970</v>
      </c>
      <c r="L86" s="566" t="s">
        <v>1971</v>
      </c>
      <c r="M86" s="566"/>
      <c r="N86" s="566" t="s">
        <v>1927</v>
      </c>
      <c r="O86" s="566" t="s">
        <v>1937</v>
      </c>
      <c r="P86" s="565" t="s">
        <v>1938</v>
      </c>
      <c r="Q86" s="565" t="s">
        <v>1950</v>
      </c>
      <c r="R86" s="566"/>
      <c r="Z86" s="565"/>
      <c r="AA86" s="565"/>
      <c r="AG86" s="567"/>
      <c r="AH86" s="567"/>
    </row>
    <row r="87" customFormat="false" ht="15.75" hidden="false" customHeight="true" outlineLevel="0" collapsed="false">
      <c r="A87" s="651" t="n">
        <v>7</v>
      </c>
      <c r="B87" s="575" t="s">
        <v>830</v>
      </c>
      <c r="C87" s="575" t="s">
        <v>164</v>
      </c>
      <c r="D87" s="575" t="s">
        <v>1972</v>
      </c>
      <c r="E87" s="565" t="s">
        <v>1973</v>
      </c>
      <c r="F87" s="565" t="s">
        <v>1974</v>
      </c>
      <c r="G87" s="566" t="s">
        <v>1932</v>
      </c>
      <c r="H87" s="566" t="s">
        <v>1933</v>
      </c>
      <c r="I87" s="565" t="s">
        <v>1975</v>
      </c>
      <c r="J87" s="565" t="s">
        <v>1976</v>
      </c>
      <c r="K87" s="565" t="s">
        <v>1948</v>
      </c>
      <c r="L87" s="566" t="s">
        <v>1977</v>
      </c>
      <c r="M87" s="566"/>
      <c r="N87" s="566" t="s">
        <v>1938</v>
      </c>
      <c r="O87" s="566" t="s">
        <v>1950</v>
      </c>
      <c r="P87" s="565" t="s">
        <v>1951</v>
      </c>
      <c r="Q87" s="565" t="s">
        <v>1925</v>
      </c>
      <c r="R87" s="566"/>
      <c r="Z87" s="565"/>
      <c r="AA87" s="565"/>
      <c r="AG87" s="567"/>
      <c r="AH87" s="567"/>
    </row>
    <row r="88" customFormat="false" ht="15.75" hidden="false" customHeight="true" outlineLevel="0" collapsed="false">
      <c r="A88" s="651" t="n">
        <v>8</v>
      </c>
      <c r="B88" s="575" t="s">
        <v>1978</v>
      </c>
      <c r="C88" s="575" t="s">
        <v>165</v>
      </c>
      <c r="D88" s="575" t="str">
        <f aca="false">D85</f>
        <v>Gemini, Virgo</v>
      </c>
      <c r="E88" s="575" t="str">
        <f aca="false">E85</f>
        <v>Mercury</v>
      </c>
      <c r="F88" s="565" t="s">
        <v>1979</v>
      </c>
      <c r="G88" s="566" t="s">
        <v>1944</v>
      </c>
      <c r="H88" s="566" t="s">
        <v>1945</v>
      </c>
      <c r="I88" s="565" t="s">
        <v>1980</v>
      </c>
      <c r="J88" s="565" t="s">
        <v>1981</v>
      </c>
      <c r="K88" s="565" t="s">
        <v>1970</v>
      </c>
      <c r="L88" s="566" t="s">
        <v>1982</v>
      </c>
      <c r="M88" s="566"/>
      <c r="N88" s="566" t="s">
        <v>1951</v>
      </c>
      <c r="O88" s="566" t="s">
        <v>1925</v>
      </c>
      <c r="P88" s="565" t="s">
        <v>1926</v>
      </c>
      <c r="Q88" s="565" t="s">
        <v>1927</v>
      </c>
      <c r="R88" s="566"/>
      <c r="Z88" s="565"/>
      <c r="AA88" s="565"/>
      <c r="AG88" s="567"/>
      <c r="AH88" s="567"/>
    </row>
    <row r="89" customFormat="false" ht="15.75" hidden="false" customHeight="true" outlineLevel="0" collapsed="false">
      <c r="A89" s="651" t="n">
        <v>9</v>
      </c>
      <c r="B89" s="575" t="s">
        <v>859</v>
      </c>
      <c r="C89" s="575" t="s">
        <v>158</v>
      </c>
      <c r="D89" s="575" t="s">
        <v>1983</v>
      </c>
      <c r="E89" s="565" t="s">
        <v>1984</v>
      </c>
      <c r="F89" s="565" t="s">
        <v>1985</v>
      </c>
      <c r="G89" s="566" t="s">
        <v>1955</v>
      </c>
      <c r="H89" s="566" t="s">
        <v>1956</v>
      </c>
      <c r="I89" s="565" t="s">
        <v>1986</v>
      </c>
      <c r="J89" s="565" t="s">
        <v>1987</v>
      </c>
      <c r="K89" s="565" t="s">
        <v>1911</v>
      </c>
      <c r="L89" s="566" t="s">
        <v>1988</v>
      </c>
      <c r="M89" s="566"/>
      <c r="N89" s="566" t="s">
        <v>1926</v>
      </c>
      <c r="O89" s="566" t="s">
        <v>1927</v>
      </c>
      <c r="P89" s="565" t="s">
        <v>1937</v>
      </c>
      <c r="Q89" s="565" t="s">
        <v>1938</v>
      </c>
      <c r="R89" s="566"/>
      <c r="Z89" s="565"/>
      <c r="AA89" s="565"/>
      <c r="AG89" s="567"/>
      <c r="AH89" s="567"/>
    </row>
    <row r="90" customFormat="false" ht="15.75" hidden="false" customHeight="true" outlineLevel="0" collapsed="false">
      <c r="A90" s="651" t="n">
        <v>10</v>
      </c>
      <c r="B90" s="575" t="s">
        <v>1989</v>
      </c>
      <c r="C90" s="575" t="s">
        <v>159</v>
      </c>
      <c r="D90" s="575" t="str">
        <f aca="false">D89</f>
        <v>Leo, Scorpio</v>
      </c>
      <c r="E90" s="565" t="str">
        <f aca="false">E89</f>
        <v>Sun,Mars</v>
      </c>
      <c r="F90" s="565" t="s">
        <v>1906</v>
      </c>
      <c r="G90" s="566" t="s">
        <v>1907</v>
      </c>
      <c r="H90" s="566" t="s">
        <v>1908</v>
      </c>
      <c r="I90" s="565" t="s">
        <v>1990</v>
      </c>
      <c r="J90" s="565" t="s">
        <v>1347</v>
      </c>
      <c r="K90" s="565" t="s">
        <v>1970</v>
      </c>
      <c r="L90" s="566" t="s">
        <v>1991</v>
      </c>
      <c r="M90" s="566"/>
      <c r="N90" s="566" t="s">
        <v>1937</v>
      </c>
      <c r="O90" s="566" t="s">
        <v>1938</v>
      </c>
      <c r="P90" s="565" t="s">
        <v>1950</v>
      </c>
      <c r="Q90" s="565" t="s">
        <v>1951</v>
      </c>
      <c r="R90" s="566"/>
      <c r="Z90" s="565"/>
      <c r="AA90" s="565"/>
      <c r="AG90" s="567"/>
      <c r="AH90" s="567"/>
    </row>
    <row r="91" customFormat="false" ht="15.75" hidden="false" customHeight="true" outlineLevel="0" collapsed="false">
      <c r="A91" s="651" t="n">
        <v>11</v>
      </c>
      <c r="B91" s="575" t="s">
        <v>852</v>
      </c>
      <c r="C91" s="575" t="s">
        <v>160</v>
      </c>
      <c r="D91" s="575" t="str">
        <f aca="false">D82</f>
        <v>Sagittarius, Pisces</v>
      </c>
      <c r="E91" s="575" t="str">
        <f aca="false">E82</f>
        <v>Jupiter</v>
      </c>
      <c r="F91" s="565" t="s">
        <v>1967</v>
      </c>
      <c r="G91" s="566" t="s">
        <v>1919</v>
      </c>
      <c r="H91" s="566" t="s">
        <v>1920</v>
      </c>
      <c r="I91" s="565" t="s">
        <v>1992</v>
      </c>
      <c r="J91" s="565" t="s">
        <v>1993</v>
      </c>
      <c r="K91" s="565" t="s">
        <v>1948</v>
      </c>
      <c r="L91" s="566" t="s">
        <v>1994</v>
      </c>
      <c r="M91" s="566"/>
      <c r="N91" s="566" t="s">
        <v>1950</v>
      </c>
      <c r="O91" s="566" t="s">
        <v>1951</v>
      </c>
      <c r="P91" s="565" t="s">
        <v>1925</v>
      </c>
      <c r="Q91" s="565" t="s">
        <v>1926</v>
      </c>
      <c r="R91" s="566"/>
      <c r="Z91" s="565"/>
      <c r="AA91" s="565"/>
      <c r="AG91" s="567"/>
      <c r="AH91" s="567"/>
    </row>
    <row r="92" customFormat="false" ht="15.75" hidden="false" customHeight="true" outlineLevel="0" collapsed="false">
      <c r="A92" s="651" t="n">
        <v>12</v>
      </c>
      <c r="B92" s="575" t="s">
        <v>847</v>
      </c>
      <c r="C92" s="575" t="s">
        <v>161</v>
      </c>
      <c r="D92" s="575" t="str">
        <f aca="false">D81</f>
        <v>Libra,Capricorn</v>
      </c>
      <c r="E92" s="575" t="str">
        <f aca="false">E81</f>
        <v>Venus,Saturn</v>
      </c>
      <c r="F92" s="565" t="s">
        <v>1974</v>
      </c>
      <c r="G92" s="566" t="s">
        <v>1932</v>
      </c>
      <c r="H92" s="566" t="s">
        <v>1933</v>
      </c>
      <c r="I92" s="565" t="s">
        <v>1995</v>
      </c>
      <c r="J92" s="565" t="s">
        <v>1996</v>
      </c>
      <c r="K92" s="565" t="s">
        <v>1970</v>
      </c>
      <c r="L92" s="566" t="s">
        <v>1997</v>
      </c>
      <c r="M92" s="566"/>
      <c r="N92" s="566" t="s">
        <v>1925</v>
      </c>
      <c r="O92" s="566" t="s">
        <v>1926</v>
      </c>
      <c r="P92" s="565" t="s">
        <v>1927</v>
      </c>
      <c r="Q92" s="565" t="s">
        <v>1937</v>
      </c>
      <c r="R92" s="566"/>
      <c r="Z92" s="565"/>
      <c r="AA92" s="565"/>
      <c r="AG92" s="567"/>
      <c r="AH92" s="567"/>
    </row>
    <row r="93" customFormat="false" ht="15.75" hidden="false" customHeight="true" outlineLevel="0" collapsed="false">
      <c r="A93" s="651" t="n">
        <v>13</v>
      </c>
      <c r="B93" s="575" t="s">
        <v>1998</v>
      </c>
      <c r="C93" s="575" t="s">
        <v>162</v>
      </c>
      <c r="D93" s="575" t="s">
        <v>1999</v>
      </c>
      <c r="E93" s="565" t="s">
        <v>2000</v>
      </c>
      <c r="F93" s="565" t="s">
        <v>1979</v>
      </c>
      <c r="G93" s="566" t="s">
        <v>1944</v>
      </c>
      <c r="H93" s="566" t="s">
        <v>1945</v>
      </c>
      <c r="I93" s="565" t="s">
        <v>2001</v>
      </c>
      <c r="J93" s="565" t="s">
        <v>2002</v>
      </c>
      <c r="K93" s="565" t="s">
        <v>1948</v>
      </c>
      <c r="L93" s="566" t="s">
        <v>2003</v>
      </c>
      <c r="M93" s="566"/>
      <c r="N93" s="566" t="s">
        <v>1927</v>
      </c>
      <c r="O93" s="566" t="s">
        <v>1937</v>
      </c>
      <c r="P93" s="565" t="s">
        <v>1938</v>
      </c>
      <c r="Q93" s="565" t="s">
        <v>1950</v>
      </c>
      <c r="R93" s="566"/>
      <c r="Z93" s="565"/>
      <c r="AA93" s="565"/>
      <c r="AG93" s="567"/>
      <c r="AH93" s="567"/>
    </row>
    <row r="94" customFormat="false" ht="15.75" hidden="false" customHeight="true" outlineLevel="0" collapsed="false">
      <c r="A94" s="651" t="n">
        <v>14</v>
      </c>
      <c r="B94" s="575" t="s">
        <v>2004</v>
      </c>
      <c r="C94" s="575" t="s">
        <v>163</v>
      </c>
      <c r="D94" s="575" t="s">
        <v>2005</v>
      </c>
      <c r="E94" s="565" t="s">
        <v>162</v>
      </c>
      <c r="F94" s="565" t="s">
        <v>1985</v>
      </c>
      <c r="G94" s="566" t="s">
        <v>1955</v>
      </c>
      <c r="H94" s="566" t="s">
        <v>1956</v>
      </c>
      <c r="I94" s="565" t="s">
        <v>2006</v>
      </c>
      <c r="J94" s="565" t="s">
        <v>910</v>
      </c>
      <c r="K94" s="565" t="s">
        <v>1911</v>
      </c>
      <c r="L94" s="566" t="s">
        <v>2007</v>
      </c>
      <c r="M94" s="566" t="s">
        <v>2008</v>
      </c>
      <c r="N94" s="566" t="s">
        <v>1938</v>
      </c>
      <c r="O94" s="566" t="s">
        <v>1950</v>
      </c>
      <c r="P94" s="565" t="s">
        <v>1951</v>
      </c>
      <c r="Q94" s="565" t="s">
        <v>2009</v>
      </c>
      <c r="R94" s="566"/>
      <c r="Z94" s="565"/>
      <c r="AA94" s="565"/>
      <c r="AG94" s="567"/>
      <c r="AH94" s="567"/>
    </row>
    <row r="95" s="565" customFormat="true" ht="15.75" hidden="false" customHeight="true" outlineLevel="0" collapsed="false">
      <c r="A95" s="651" t="n">
        <v>15</v>
      </c>
      <c r="B95" s="575" t="s">
        <v>869</v>
      </c>
      <c r="C95" s="575" t="s">
        <v>164</v>
      </c>
      <c r="D95" s="575"/>
      <c r="F95" s="565" t="s">
        <v>1906</v>
      </c>
      <c r="G95" s="566" t="s">
        <v>1907</v>
      </c>
      <c r="H95" s="566" t="s">
        <v>1908</v>
      </c>
      <c r="I95" s="565" t="s">
        <v>1909</v>
      </c>
      <c r="J95" s="565" t="s">
        <v>1910</v>
      </c>
      <c r="K95" s="565" t="s">
        <v>1911</v>
      </c>
      <c r="L95" s="566" t="s">
        <v>2010</v>
      </c>
      <c r="M95" s="566"/>
      <c r="N95" s="566" t="s">
        <v>1951</v>
      </c>
      <c r="O95" s="566" t="s">
        <v>1925</v>
      </c>
      <c r="R95" s="566"/>
      <c r="AG95" s="567"/>
      <c r="AH95" s="567"/>
      <c r="BF95" s="568"/>
      <c r="BG95" s="568"/>
    </row>
    <row r="98" customFormat="false" ht="15" hidden="false" customHeight="false" outlineLevel="0" collapsed="false">
      <c r="A98" s="657" t="s">
        <v>1315</v>
      </c>
      <c r="B98" s="658" t="s">
        <v>2011</v>
      </c>
      <c r="C98" s="658" t="s">
        <v>224</v>
      </c>
      <c r="D98" s="658" t="s">
        <v>2012</v>
      </c>
      <c r="E98" s="658" t="s">
        <v>2013</v>
      </c>
      <c r="F98" s="658" t="s">
        <v>2014</v>
      </c>
      <c r="G98" s="659" t="s">
        <v>2015</v>
      </c>
      <c r="H98" s="565" t="s">
        <v>2016</v>
      </c>
      <c r="I98" s="565" t="s">
        <v>2017</v>
      </c>
      <c r="J98" s="565" t="s">
        <v>2018</v>
      </c>
      <c r="Z98" s="565"/>
      <c r="AB98" s="567"/>
    </row>
    <row r="99" customFormat="false" ht="17.25" hidden="false" customHeight="true" outlineLevel="0" collapsed="false">
      <c r="A99" s="660" t="n">
        <v>1</v>
      </c>
      <c r="B99" s="661" t="s">
        <v>2019</v>
      </c>
      <c r="C99" s="662" t="s">
        <v>2020</v>
      </c>
      <c r="D99" s="661" t="s">
        <v>566</v>
      </c>
      <c r="E99" s="663" t="s">
        <v>462</v>
      </c>
      <c r="F99" s="565" t="s">
        <v>1958</v>
      </c>
      <c r="G99" s="664" t="s">
        <v>159</v>
      </c>
      <c r="H99" s="565" t="str">
        <f aca="false">D113</f>
        <v>Shravan</v>
      </c>
      <c r="I99" s="599" t="str">
        <f aca="false">E113</f>
        <v>Moon</v>
      </c>
      <c r="J99" s="566" t="s">
        <v>2021</v>
      </c>
      <c r="Z99" s="565"/>
      <c r="AB99" s="567"/>
    </row>
    <row r="100" customFormat="false" ht="15" hidden="false" customHeight="false" outlineLevel="0" collapsed="false">
      <c r="A100" s="651" t="n">
        <v>2</v>
      </c>
      <c r="B100" s="575" t="s">
        <v>2022</v>
      </c>
      <c r="C100" s="575" t="s">
        <v>2023</v>
      </c>
      <c r="D100" s="575" t="s">
        <v>644</v>
      </c>
      <c r="E100" s="575" t="s">
        <v>800</v>
      </c>
      <c r="F100" s="565" t="s">
        <v>2024</v>
      </c>
      <c r="G100" s="565" t="s">
        <v>159</v>
      </c>
      <c r="H100" s="565" t="str">
        <f aca="false">D114</f>
        <v>Dhanistha</v>
      </c>
      <c r="I100" s="565" t="str">
        <f aca="false">E114</f>
        <v>Mars</v>
      </c>
    </row>
    <row r="101" customFormat="false" ht="15" hidden="false" customHeight="false" outlineLevel="0" collapsed="false">
      <c r="A101" s="651" t="n">
        <v>3</v>
      </c>
      <c r="B101" s="575" t="s">
        <v>2025</v>
      </c>
      <c r="C101" s="575" t="s">
        <v>2026</v>
      </c>
      <c r="D101" s="575" t="s">
        <v>645</v>
      </c>
      <c r="E101" s="575" t="s">
        <v>166</v>
      </c>
      <c r="F101" s="565" t="s">
        <v>2027</v>
      </c>
      <c r="G101" s="565" t="s">
        <v>158</v>
      </c>
      <c r="H101" s="565" t="str">
        <f aca="false">D115</f>
        <v>Satabishak</v>
      </c>
      <c r="I101" s="565" t="str">
        <f aca="false">E115</f>
        <v>Rahu</v>
      </c>
      <c r="Z101" s="565"/>
      <c r="AB101" s="567"/>
    </row>
    <row r="102" customFormat="false" ht="15" hidden="false" customHeight="false" outlineLevel="0" collapsed="false">
      <c r="A102" s="651" t="n">
        <v>4</v>
      </c>
      <c r="B102" s="575" t="s">
        <v>2028</v>
      </c>
      <c r="C102" s="575" t="s">
        <v>2029</v>
      </c>
      <c r="D102" s="575" t="s">
        <v>1588</v>
      </c>
      <c r="E102" s="575" t="s">
        <v>163</v>
      </c>
      <c r="F102" s="565" t="s">
        <v>1934</v>
      </c>
      <c r="G102" s="565" t="s">
        <v>158</v>
      </c>
      <c r="H102" s="565" t="str">
        <f aca="false">D116</f>
        <v>Purva Bhadrapad</v>
      </c>
      <c r="I102" s="565" t="str">
        <f aca="false">E116</f>
        <v>Jupiter</v>
      </c>
      <c r="Z102" s="565"/>
      <c r="AB102" s="567"/>
    </row>
    <row r="103" customFormat="false" ht="15" hidden="false" customHeight="false" outlineLevel="0" collapsed="false">
      <c r="A103" s="651" t="n">
        <v>5</v>
      </c>
      <c r="B103" s="575" t="s">
        <v>2030</v>
      </c>
      <c r="C103" s="575" t="s">
        <v>2031</v>
      </c>
      <c r="D103" s="575" t="s">
        <v>1607</v>
      </c>
      <c r="E103" s="575" t="s">
        <v>158</v>
      </c>
      <c r="F103" s="565" t="s">
        <v>2032</v>
      </c>
      <c r="G103" s="565" t="s">
        <v>2033</v>
      </c>
      <c r="H103" s="565" t="str">
        <f aca="false">D117</f>
        <v>Uttara Bhadrapad</v>
      </c>
      <c r="I103" s="565" t="str">
        <f aca="false">E117</f>
        <v>Sat</v>
      </c>
      <c r="Z103" s="565"/>
      <c r="AB103" s="567"/>
    </row>
    <row r="104" customFormat="false" ht="15" hidden="false" customHeight="false" outlineLevel="0" collapsed="false">
      <c r="A104" s="660" t="n">
        <v>6</v>
      </c>
      <c r="B104" s="661" t="s">
        <v>2034</v>
      </c>
      <c r="C104" s="661" t="s">
        <v>2035</v>
      </c>
      <c r="D104" s="661" t="s">
        <v>648</v>
      </c>
      <c r="E104" s="661" t="s">
        <v>159</v>
      </c>
      <c r="F104" s="565" t="s">
        <v>2036</v>
      </c>
      <c r="G104" s="664" t="s">
        <v>800</v>
      </c>
      <c r="H104" s="565" t="str">
        <f aca="false">D118</f>
        <v>Revati</v>
      </c>
      <c r="I104" s="599" t="str">
        <f aca="false">E118</f>
        <v>Merc</v>
      </c>
      <c r="Z104" s="565"/>
      <c r="AB104" s="567"/>
    </row>
    <row r="105" customFormat="false" ht="15" hidden="false" customHeight="false" outlineLevel="0" collapsed="false">
      <c r="A105" s="651" t="n">
        <v>7</v>
      </c>
      <c r="B105" s="575" t="s">
        <v>2037</v>
      </c>
      <c r="C105" s="575" t="s">
        <v>2038</v>
      </c>
      <c r="D105" s="575" t="s">
        <v>649</v>
      </c>
      <c r="E105" s="575" t="s">
        <v>160</v>
      </c>
      <c r="F105" s="565" t="s">
        <v>2039</v>
      </c>
      <c r="G105" s="565" t="s">
        <v>2040</v>
      </c>
      <c r="H105" s="565" t="str">
        <f aca="false">D119</f>
        <v>Ashvini</v>
      </c>
      <c r="I105" s="565" t="str">
        <f aca="false">E119</f>
        <v>Ketu</v>
      </c>
      <c r="Z105" s="565"/>
      <c r="AB105" s="567"/>
    </row>
    <row r="106" customFormat="false" ht="15" hidden="false" customHeight="false" outlineLevel="0" collapsed="false">
      <c r="A106" s="651" t="n">
        <v>8</v>
      </c>
      <c r="B106" s="575" t="s">
        <v>2041</v>
      </c>
      <c r="C106" s="575" t="s">
        <v>2042</v>
      </c>
      <c r="D106" s="575" t="s">
        <v>592</v>
      </c>
      <c r="E106" s="575" t="s">
        <v>165</v>
      </c>
      <c r="F106" s="565" t="s">
        <v>2043</v>
      </c>
      <c r="G106" s="599" t="s">
        <v>163</v>
      </c>
      <c r="H106" s="565" t="str">
        <f aca="false">D120</f>
        <v>Bharani</v>
      </c>
      <c r="I106" s="599" t="str">
        <f aca="false">E120</f>
        <v>Venus</v>
      </c>
      <c r="Z106" s="565"/>
      <c r="AB106" s="567"/>
    </row>
    <row r="107" customFormat="false" ht="15" hidden="false" customHeight="false" outlineLevel="0" collapsed="false">
      <c r="A107" s="660" t="n">
        <v>9</v>
      </c>
      <c r="B107" s="661" t="s">
        <v>2044</v>
      </c>
      <c r="C107" s="661" t="s">
        <v>2045</v>
      </c>
      <c r="D107" s="661" t="s">
        <v>1679</v>
      </c>
      <c r="E107" s="661" t="s">
        <v>162</v>
      </c>
      <c r="F107" s="665" t="s">
        <v>1467</v>
      </c>
      <c r="G107" s="666" t="s">
        <v>2046</v>
      </c>
      <c r="H107" s="565" t="str">
        <f aca="false">D121</f>
        <v>Kritika</v>
      </c>
      <c r="I107" s="565" t="str">
        <f aca="false">E121</f>
        <v>Sun</v>
      </c>
      <c r="K107" s="565" t="s">
        <v>112</v>
      </c>
      <c r="Z107" s="565"/>
      <c r="AB107" s="567"/>
    </row>
    <row r="108" customFormat="false" ht="15" hidden="false" customHeight="false" outlineLevel="0" collapsed="false">
      <c r="A108" s="660" t="n">
        <v>10</v>
      </c>
      <c r="B108" s="661" t="s">
        <v>2047</v>
      </c>
      <c r="C108" s="661" t="s">
        <v>2048</v>
      </c>
      <c r="D108" s="661" t="s">
        <v>581</v>
      </c>
      <c r="E108" s="663" t="s">
        <v>462</v>
      </c>
      <c r="F108" s="665" t="s">
        <v>897</v>
      </c>
      <c r="G108" s="666" t="s">
        <v>160</v>
      </c>
      <c r="H108" s="565" t="str">
        <f aca="false">D122</f>
        <v>Rohini</v>
      </c>
      <c r="I108" s="565" t="str">
        <f aca="false">E122</f>
        <v>Moon</v>
      </c>
      <c r="Z108" s="565"/>
      <c r="AB108" s="567"/>
    </row>
    <row r="109" customFormat="false" ht="15" hidden="false" customHeight="false" outlineLevel="0" collapsed="false">
      <c r="A109" s="651" t="n">
        <v>11</v>
      </c>
      <c r="B109" s="575" t="s">
        <v>2049</v>
      </c>
      <c r="C109" s="575" t="s">
        <v>2050</v>
      </c>
      <c r="D109" s="575" t="s">
        <v>1716</v>
      </c>
      <c r="E109" s="575" t="s">
        <v>800</v>
      </c>
      <c r="F109" s="565" t="s">
        <v>2051</v>
      </c>
      <c r="G109" s="599" t="s">
        <v>160</v>
      </c>
      <c r="H109" s="565" t="str">
        <f aca="false">D123</f>
        <v>Mrigashira</v>
      </c>
      <c r="I109" s="599" t="str">
        <f aca="false">E123</f>
        <v>Mars</v>
      </c>
      <c r="Z109" s="565"/>
      <c r="AB109" s="567"/>
    </row>
    <row r="110" customFormat="false" ht="15" hidden="false" customHeight="false" outlineLevel="0" collapsed="false">
      <c r="A110" s="651" t="n">
        <v>12</v>
      </c>
      <c r="B110" s="575" t="s">
        <v>2052</v>
      </c>
      <c r="C110" s="575" t="s">
        <v>2053</v>
      </c>
      <c r="D110" s="575" t="s">
        <v>597</v>
      </c>
      <c r="E110" s="575" t="s">
        <v>166</v>
      </c>
      <c r="F110" s="565" t="s">
        <v>2054</v>
      </c>
      <c r="G110" s="565" t="s">
        <v>162</v>
      </c>
      <c r="H110" s="565" t="str">
        <f aca="false">D124</f>
        <v>Ardra</v>
      </c>
      <c r="I110" s="565" t="str">
        <f aca="false">E124</f>
        <v>Rahu</v>
      </c>
      <c r="Z110" s="565"/>
      <c r="AB110" s="567"/>
    </row>
    <row r="111" customFormat="false" ht="15" hidden="false" customHeight="false" outlineLevel="0" collapsed="false">
      <c r="A111" s="651" t="n">
        <v>13</v>
      </c>
      <c r="B111" s="575" t="s">
        <v>2055</v>
      </c>
      <c r="C111" s="575" t="s">
        <v>2056</v>
      </c>
      <c r="D111" s="575" t="s">
        <v>1748</v>
      </c>
      <c r="E111" s="575" t="s">
        <v>163</v>
      </c>
      <c r="F111" s="565" t="s">
        <v>1378</v>
      </c>
      <c r="G111" s="599" t="s">
        <v>162</v>
      </c>
      <c r="H111" s="565" t="str">
        <f aca="false">D125</f>
        <v>Punarvasu</v>
      </c>
      <c r="I111" s="599" t="str">
        <f aca="false">E125</f>
        <v>Jupiter</v>
      </c>
      <c r="Z111" s="565"/>
      <c r="AB111" s="567"/>
    </row>
    <row r="112" customFormat="false" ht="15" hidden="false" customHeight="false" outlineLevel="0" collapsed="false">
      <c r="A112" s="651" t="n">
        <v>14</v>
      </c>
      <c r="B112" s="575" t="s">
        <v>2057</v>
      </c>
      <c r="C112" s="575" t="s">
        <v>2058</v>
      </c>
      <c r="D112" s="575" t="s">
        <v>1767</v>
      </c>
      <c r="E112" s="575" t="s">
        <v>158</v>
      </c>
      <c r="F112" s="565" t="s">
        <v>2059</v>
      </c>
      <c r="G112" s="565" t="s">
        <v>2060</v>
      </c>
      <c r="H112" s="565" t="str">
        <f aca="false">D99</f>
        <v>Pushya</v>
      </c>
      <c r="I112" s="565" t="str">
        <f aca="false">E99</f>
        <v>Sat</v>
      </c>
      <c r="Z112" s="565"/>
      <c r="AB112" s="567"/>
    </row>
    <row r="113" customFormat="false" ht="15" hidden="false" customHeight="false" outlineLevel="0" collapsed="false">
      <c r="A113" s="660" t="n">
        <v>15</v>
      </c>
      <c r="B113" s="661" t="s">
        <v>2061</v>
      </c>
      <c r="C113" s="661" t="s">
        <v>2062</v>
      </c>
      <c r="D113" s="661" t="s">
        <v>609</v>
      </c>
      <c r="E113" s="661" t="s">
        <v>159</v>
      </c>
      <c r="F113" s="565" t="s">
        <v>2063</v>
      </c>
      <c r="G113" s="666" t="s">
        <v>164</v>
      </c>
      <c r="H113" s="565" t="str">
        <f aca="false">D100</f>
        <v>Ashlesha</v>
      </c>
      <c r="I113" s="565" t="str">
        <f aca="false">E100</f>
        <v>Merc</v>
      </c>
      <c r="Z113" s="565"/>
      <c r="AB113" s="567"/>
    </row>
    <row r="114" customFormat="false" ht="15" hidden="false" customHeight="false" outlineLevel="0" collapsed="false">
      <c r="A114" s="651" t="n">
        <v>16</v>
      </c>
      <c r="B114" s="575" t="s">
        <v>2064</v>
      </c>
      <c r="C114" s="575" t="s">
        <v>2065</v>
      </c>
      <c r="D114" s="575" t="s">
        <v>1805</v>
      </c>
      <c r="E114" s="575" t="s">
        <v>160</v>
      </c>
      <c r="F114" s="565" t="s">
        <v>1957</v>
      </c>
      <c r="G114" s="565" t="s">
        <v>164</v>
      </c>
      <c r="H114" s="565" t="str">
        <f aca="false">D101</f>
        <v>Magha</v>
      </c>
      <c r="I114" s="565" t="str">
        <f aca="false">E101</f>
        <v>Ketu</v>
      </c>
      <c r="Z114" s="565"/>
      <c r="AB114" s="567"/>
    </row>
    <row r="115" customFormat="false" ht="15" hidden="false" customHeight="false" outlineLevel="0" collapsed="false">
      <c r="A115" s="660" t="n">
        <v>17</v>
      </c>
      <c r="B115" s="661" t="s">
        <v>2066</v>
      </c>
      <c r="C115" s="661" t="s">
        <v>2067</v>
      </c>
      <c r="D115" s="661" t="s">
        <v>1826</v>
      </c>
      <c r="E115" s="661" t="s">
        <v>165</v>
      </c>
      <c r="F115" s="565" t="s">
        <v>2068</v>
      </c>
      <c r="G115" s="666" t="s">
        <v>164</v>
      </c>
      <c r="H115" s="565" t="str">
        <f aca="false">D102</f>
        <v>Purva Phalguni</v>
      </c>
      <c r="I115" s="565" t="str">
        <f aca="false">E102</f>
        <v>Venus</v>
      </c>
      <c r="J115" s="565" t="s">
        <v>2069</v>
      </c>
      <c r="Z115" s="565"/>
      <c r="AB115" s="567"/>
    </row>
    <row r="116" customFormat="false" ht="15" hidden="false" customHeight="false" outlineLevel="0" collapsed="false">
      <c r="A116" s="651" t="n">
        <v>18</v>
      </c>
      <c r="B116" s="575" t="s">
        <v>2070</v>
      </c>
      <c r="C116" s="575" t="s">
        <v>2071</v>
      </c>
      <c r="D116" s="575" t="s">
        <v>1842</v>
      </c>
      <c r="E116" s="575" t="s">
        <v>162</v>
      </c>
      <c r="F116" s="565" t="s">
        <v>2072</v>
      </c>
      <c r="G116" s="565" t="s">
        <v>164</v>
      </c>
      <c r="H116" s="565" t="str">
        <f aca="false">D103</f>
        <v>Uttara Phalguni</v>
      </c>
      <c r="I116" s="565" t="str">
        <f aca="false">E103</f>
        <v>Sun</v>
      </c>
      <c r="Z116" s="565"/>
      <c r="AB116" s="567"/>
    </row>
    <row r="117" customFormat="false" ht="15" hidden="false" customHeight="false" outlineLevel="0" collapsed="false">
      <c r="A117" s="660" t="n">
        <v>19</v>
      </c>
      <c r="B117" s="661" t="s">
        <v>2073</v>
      </c>
      <c r="C117" s="661" t="s">
        <v>2074</v>
      </c>
      <c r="D117" s="661" t="s">
        <v>1860</v>
      </c>
      <c r="E117" s="663" t="s">
        <v>462</v>
      </c>
      <c r="F117" s="565" t="s">
        <v>2075</v>
      </c>
      <c r="G117" s="666" t="s">
        <v>2076</v>
      </c>
      <c r="H117" s="565" t="str">
        <f aca="false">D104</f>
        <v>Hasta</v>
      </c>
      <c r="I117" s="565" t="str">
        <f aca="false">E104</f>
        <v>Moon</v>
      </c>
      <c r="Z117" s="565"/>
      <c r="AB117" s="567"/>
    </row>
    <row r="118" customFormat="false" ht="15" hidden="false" customHeight="false" outlineLevel="0" collapsed="false">
      <c r="A118" s="651" t="n">
        <v>20</v>
      </c>
      <c r="B118" s="575" t="s">
        <v>2006</v>
      </c>
      <c r="C118" s="575" t="s">
        <v>2077</v>
      </c>
      <c r="D118" s="575" t="s">
        <v>574</v>
      </c>
      <c r="E118" s="575" t="s">
        <v>800</v>
      </c>
      <c r="F118" s="565" t="s">
        <v>282</v>
      </c>
      <c r="G118" s="565" t="s">
        <v>162</v>
      </c>
      <c r="H118" s="565" t="str">
        <f aca="false">D105</f>
        <v>Chitra</v>
      </c>
      <c r="I118" s="565" t="str">
        <f aca="false">E105</f>
        <v>Mars</v>
      </c>
      <c r="Z118" s="565"/>
      <c r="AB118" s="567"/>
    </row>
    <row r="119" customFormat="false" ht="15" hidden="false" customHeight="false" outlineLevel="0" collapsed="false">
      <c r="A119" s="651" t="n">
        <v>21</v>
      </c>
      <c r="B119" s="575" t="s">
        <v>620</v>
      </c>
      <c r="C119" s="575" t="s">
        <v>2078</v>
      </c>
      <c r="D119" s="575" t="s">
        <v>602</v>
      </c>
      <c r="E119" s="575" t="s">
        <v>166</v>
      </c>
      <c r="F119" s="565" t="s">
        <v>2079</v>
      </c>
      <c r="G119" s="565" t="s">
        <v>160</v>
      </c>
      <c r="H119" s="565" t="str">
        <f aca="false">D106</f>
        <v>Swati</v>
      </c>
      <c r="I119" s="565" t="str">
        <f aca="false">E106</f>
        <v>Rahu</v>
      </c>
      <c r="Z119" s="565"/>
      <c r="AB119" s="567"/>
    </row>
    <row r="120" customFormat="false" ht="15" hidden="false" customHeight="false" outlineLevel="0" collapsed="false">
      <c r="A120" s="651" t="n">
        <v>22</v>
      </c>
      <c r="B120" s="575" t="s">
        <v>2080</v>
      </c>
      <c r="C120" s="575" t="s">
        <v>2081</v>
      </c>
      <c r="D120" s="575" t="s">
        <v>639</v>
      </c>
      <c r="E120" s="575" t="s">
        <v>163</v>
      </c>
      <c r="F120" s="565" t="s">
        <v>2082</v>
      </c>
      <c r="G120" s="565" t="s">
        <v>160</v>
      </c>
      <c r="H120" s="565" t="str">
        <f aca="false">D107</f>
        <v>Vishakha</v>
      </c>
      <c r="I120" s="565" t="str">
        <f aca="false">E107</f>
        <v>Jupiter</v>
      </c>
      <c r="Z120" s="565"/>
      <c r="AB120" s="567"/>
    </row>
    <row r="121" customFormat="false" ht="15" hidden="false" customHeight="false" outlineLevel="0" collapsed="false">
      <c r="A121" s="651" t="n">
        <v>23</v>
      </c>
      <c r="B121" s="575" t="s">
        <v>2083</v>
      </c>
      <c r="C121" s="575" t="s">
        <v>2084</v>
      </c>
      <c r="D121" s="575" t="s">
        <v>553</v>
      </c>
      <c r="E121" s="575" t="s">
        <v>158</v>
      </c>
      <c r="F121" s="565" t="s">
        <v>2085</v>
      </c>
      <c r="G121" s="565" t="s">
        <v>2086</v>
      </c>
      <c r="H121" s="565" t="str">
        <f aca="false">D108</f>
        <v>Anuradha</v>
      </c>
      <c r="I121" s="565" t="str">
        <f aca="false">E108</f>
        <v>Sat</v>
      </c>
      <c r="Z121" s="565"/>
      <c r="AB121" s="567"/>
    </row>
    <row r="122" customFormat="false" ht="15" hidden="false" customHeight="false" outlineLevel="0" collapsed="false">
      <c r="A122" s="651" t="n">
        <v>24</v>
      </c>
      <c r="B122" s="575" t="s">
        <v>2087</v>
      </c>
      <c r="C122" s="575" t="s">
        <v>2088</v>
      </c>
      <c r="D122" s="575" t="s">
        <v>641</v>
      </c>
      <c r="E122" s="575" t="s">
        <v>159</v>
      </c>
      <c r="F122" s="565" t="s">
        <v>2089</v>
      </c>
      <c r="G122" s="565" t="s">
        <v>163</v>
      </c>
      <c r="H122" s="565" t="str">
        <f aca="false">D109</f>
        <v>Jyeshtha</v>
      </c>
      <c r="I122" s="565" t="str">
        <f aca="false">E109</f>
        <v>Merc</v>
      </c>
      <c r="Z122" s="565"/>
      <c r="AB122" s="567"/>
    </row>
    <row r="123" customFormat="false" ht="15" hidden="false" customHeight="false" outlineLevel="0" collapsed="false">
      <c r="A123" s="651" t="n">
        <v>25</v>
      </c>
      <c r="B123" s="575" t="s">
        <v>2090</v>
      </c>
      <c r="C123" s="575" t="s">
        <v>2091</v>
      </c>
      <c r="D123" s="575" t="s">
        <v>1464</v>
      </c>
      <c r="E123" s="575" t="s">
        <v>160</v>
      </c>
      <c r="F123" s="565" t="s">
        <v>2092</v>
      </c>
      <c r="G123" s="565" t="s">
        <v>2093</v>
      </c>
      <c r="H123" s="565" t="str">
        <f aca="false">D110</f>
        <v>Mula</v>
      </c>
      <c r="I123" s="565" t="str">
        <f aca="false">E110</f>
        <v>Ketu</v>
      </c>
      <c r="Z123" s="565"/>
      <c r="AB123" s="567"/>
    </row>
    <row r="124" customFormat="false" ht="15" hidden="false" customHeight="false" outlineLevel="0" collapsed="false">
      <c r="A124" s="651" t="n">
        <v>26</v>
      </c>
      <c r="B124" s="575" t="s">
        <v>2094</v>
      </c>
      <c r="C124" s="575" t="s">
        <v>2095</v>
      </c>
      <c r="D124" s="575" t="s">
        <v>557</v>
      </c>
      <c r="E124" s="575" t="s">
        <v>165</v>
      </c>
      <c r="F124" s="565" t="s">
        <v>2096</v>
      </c>
      <c r="G124" s="565" t="s">
        <v>161</v>
      </c>
      <c r="H124" s="565" t="str">
        <f aca="false">D111</f>
        <v>Purva Ashadha</v>
      </c>
      <c r="I124" s="565" t="str">
        <f aca="false">E111</f>
        <v>Venus</v>
      </c>
      <c r="Z124" s="565"/>
      <c r="AB124" s="567"/>
    </row>
    <row r="125" customFormat="false" ht="15" hidden="false" customHeight="false" outlineLevel="0" collapsed="false">
      <c r="A125" s="660" t="n">
        <v>27</v>
      </c>
      <c r="B125" s="661" t="s">
        <v>2097</v>
      </c>
      <c r="C125" s="661" t="s">
        <v>2098</v>
      </c>
      <c r="D125" s="661" t="s">
        <v>643</v>
      </c>
      <c r="E125" s="661" t="s">
        <v>162</v>
      </c>
      <c r="F125" s="565" t="s">
        <v>2099</v>
      </c>
      <c r="G125" s="666" t="s">
        <v>2100</v>
      </c>
      <c r="H125" s="565" t="str">
        <f aca="false">D112</f>
        <v>Uttara Ashadha</v>
      </c>
      <c r="I125" s="565" t="str">
        <f aca="false">E112</f>
        <v>Sun</v>
      </c>
      <c r="J125" s="565" t="s">
        <v>2101</v>
      </c>
      <c r="Z125" s="565"/>
      <c r="AB125" s="567"/>
    </row>
    <row r="127" customFormat="false" ht="15" hidden="false" customHeight="false" outlineLevel="0" collapsed="false">
      <c r="A127" s="565" t="s">
        <v>2102</v>
      </c>
      <c r="B127" s="565" t="s">
        <v>244</v>
      </c>
      <c r="C127" s="565" t="s">
        <v>2103</v>
      </c>
      <c r="D127" s="565" t="s">
        <v>2104</v>
      </c>
      <c r="E127" s="565" t="s">
        <v>2105</v>
      </c>
      <c r="F127" s="566"/>
      <c r="Z127" s="565"/>
      <c r="AB127" s="567"/>
    </row>
    <row r="128" customFormat="false" ht="15" hidden="false" customHeight="false" outlineLevel="0" collapsed="false">
      <c r="A128" s="565" t="s">
        <v>1758</v>
      </c>
      <c r="B128" s="565" t="s">
        <v>158</v>
      </c>
      <c r="C128" s="565" t="s">
        <v>2006</v>
      </c>
      <c r="D128" s="667" t="n">
        <v>0.683333333333333</v>
      </c>
      <c r="E128" s="667"/>
      <c r="F128" s="566"/>
      <c r="Z128" s="565"/>
      <c r="AB128" s="567"/>
    </row>
    <row r="129" customFormat="false" ht="15" hidden="false" customHeight="false" outlineLevel="0" collapsed="false">
      <c r="A129" s="565" t="s">
        <v>1817</v>
      </c>
      <c r="B129" s="565" t="s">
        <v>159</v>
      </c>
      <c r="C129" s="565" t="s">
        <v>1986</v>
      </c>
      <c r="D129" s="667" t="n">
        <v>0.516666666666667</v>
      </c>
      <c r="E129" s="667" t="n">
        <v>0.616666666666667</v>
      </c>
      <c r="F129" s="566"/>
      <c r="Z129" s="565"/>
      <c r="AB129" s="567"/>
    </row>
    <row r="130" customFormat="false" ht="15" hidden="false" customHeight="false" outlineLevel="0" collapsed="false">
      <c r="A130" s="565" t="s">
        <v>1366</v>
      </c>
      <c r="B130" s="565" t="s">
        <v>160</v>
      </c>
      <c r="C130" s="565" t="s">
        <v>2106</v>
      </c>
      <c r="D130" s="667" t="n">
        <v>0.35</v>
      </c>
      <c r="E130" s="667" t="n">
        <v>0.95</v>
      </c>
      <c r="F130" s="566"/>
      <c r="Z130" s="565"/>
      <c r="AB130" s="567"/>
    </row>
    <row r="131" customFormat="false" ht="15" hidden="false" customHeight="false" outlineLevel="0" collapsed="false">
      <c r="A131" s="565" t="s">
        <v>1453</v>
      </c>
      <c r="B131" s="565" t="s">
        <v>161</v>
      </c>
      <c r="C131" s="565" t="s">
        <v>2024</v>
      </c>
      <c r="D131" s="667" t="n">
        <v>0.483333333333333</v>
      </c>
      <c r="E131" s="667"/>
      <c r="F131" s="566"/>
      <c r="Z131" s="565"/>
      <c r="AB131" s="567"/>
    </row>
    <row r="132" customFormat="false" ht="15" hidden="false" customHeight="false" outlineLevel="0" collapsed="false">
      <c r="A132" s="565" t="s">
        <v>1545</v>
      </c>
      <c r="B132" s="565" t="s">
        <v>162</v>
      </c>
      <c r="C132" s="565" t="s">
        <v>1934</v>
      </c>
      <c r="D132" s="667" t="n">
        <v>0.416666666666667</v>
      </c>
      <c r="E132" s="667" t="n">
        <v>0.616666666666667</v>
      </c>
      <c r="F132" s="566"/>
      <c r="Z132" s="565"/>
      <c r="AB132" s="567"/>
    </row>
    <row r="133" customFormat="false" ht="15" hidden="false" customHeight="false" outlineLevel="0" collapsed="false">
      <c r="A133" s="565" t="s">
        <v>1620</v>
      </c>
      <c r="B133" s="565" t="s">
        <v>163</v>
      </c>
      <c r="C133" s="565" t="s">
        <v>1976</v>
      </c>
      <c r="D133" s="667" t="n">
        <v>0.35</v>
      </c>
      <c r="E133" s="667" t="n">
        <v>0.516666666666667</v>
      </c>
      <c r="F133" s="566"/>
      <c r="Z133" s="565"/>
      <c r="AB133" s="567"/>
    </row>
    <row r="134" customFormat="false" ht="15" hidden="false" customHeight="false" outlineLevel="0" collapsed="false">
      <c r="A134" s="565" t="s">
        <v>1689</v>
      </c>
      <c r="B134" s="565" t="s">
        <v>164</v>
      </c>
      <c r="C134" s="565" t="s">
        <v>2107</v>
      </c>
      <c r="D134" s="667" t="n">
        <v>0.316666666666667</v>
      </c>
      <c r="E134" s="667"/>
      <c r="F134" s="566"/>
      <c r="Z134" s="565"/>
      <c r="AB134" s="567"/>
    </row>
    <row r="135" customFormat="false" ht="15" hidden="false" customHeight="false" outlineLevel="0" collapsed="false">
      <c r="C135" s="667"/>
      <c r="D135" s="667"/>
    </row>
    <row r="136" customFormat="false" ht="15" hidden="false" customHeight="false" outlineLevel="0" collapsed="false">
      <c r="A136" s="565" t="s">
        <v>2108</v>
      </c>
      <c r="B136" s="587" t="s">
        <v>2109</v>
      </c>
      <c r="C136" s="667" t="s">
        <v>2110</v>
      </c>
      <c r="D136" s="566" t="s">
        <v>244</v>
      </c>
      <c r="E136" s="667" t="s">
        <v>2111</v>
      </c>
      <c r="F136" s="565" t="s">
        <v>2112</v>
      </c>
      <c r="G136" s="565" t="s">
        <v>2113</v>
      </c>
      <c r="Z136" s="565"/>
      <c r="AB136" s="567"/>
    </row>
    <row r="137" customFormat="false" ht="15" hidden="false" customHeight="false" outlineLevel="0" collapsed="false">
      <c r="A137" s="565" t="n">
        <v>1</v>
      </c>
      <c r="B137" s="587" t="s">
        <v>2114</v>
      </c>
      <c r="C137" s="667" t="s">
        <v>2115</v>
      </c>
      <c r="D137" s="566" t="s">
        <v>158</v>
      </c>
      <c r="E137" s="667" t="s">
        <v>2116</v>
      </c>
      <c r="F137" s="587" t="s">
        <v>2117</v>
      </c>
      <c r="G137" s="565" t="s">
        <v>1976</v>
      </c>
      <c r="Z137" s="565"/>
      <c r="AB137" s="567"/>
    </row>
    <row r="138" customFormat="false" ht="15" hidden="false" customHeight="false" outlineLevel="0" collapsed="false">
      <c r="A138" s="565" t="n">
        <v>2</v>
      </c>
      <c r="B138" s="587" t="s">
        <v>2118</v>
      </c>
      <c r="C138" s="667" t="s">
        <v>2119</v>
      </c>
      <c r="D138" s="566" t="s">
        <v>159</v>
      </c>
      <c r="E138" s="667" t="s">
        <v>2120</v>
      </c>
      <c r="G138" s="565" t="s">
        <v>2121</v>
      </c>
      <c r="Z138" s="565"/>
      <c r="AB138" s="567"/>
    </row>
    <row r="139" customFormat="false" ht="15" hidden="false" customHeight="false" outlineLevel="0" collapsed="false">
      <c r="A139" s="565" t="n">
        <v>3</v>
      </c>
      <c r="B139" s="587" t="s">
        <v>2122</v>
      </c>
      <c r="C139" s="667" t="s">
        <v>2123</v>
      </c>
      <c r="D139" s="566" t="s">
        <v>160</v>
      </c>
      <c r="E139" s="667" t="s">
        <v>2124</v>
      </c>
      <c r="G139" s="565" t="s">
        <v>2125</v>
      </c>
      <c r="Z139" s="565"/>
      <c r="AB139" s="567"/>
    </row>
    <row r="140" customFormat="false" ht="15" hidden="false" customHeight="false" outlineLevel="0" collapsed="false">
      <c r="A140" s="565" t="n">
        <v>4</v>
      </c>
      <c r="B140" s="587" t="s">
        <v>2126</v>
      </c>
      <c r="C140" s="667" t="s">
        <v>2127</v>
      </c>
      <c r="D140" s="566" t="s">
        <v>161</v>
      </c>
      <c r="E140" s="667" t="s">
        <v>2128</v>
      </c>
      <c r="G140" s="565" t="s">
        <v>2129</v>
      </c>
      <c r="Z140" s="565"/>
      <c r="AB140" s="567"/>
    </row>
    <row r="141" customFormat="false" ht="15" hidden="false" customHeight="false" outlineLevel="0" collapsed="false">
      <c r="A141" s="565" t="n">
        <v>5</v>
      </c>
      <c r="B141" s="587" t="s">
        <v>2130</v>
      </c>
      <c r="C141" s="667" t="s">
        <v>2131</v>
      </c>
      <c r="D141" s="566" t="s">
        <v>162</v>
      </c>
      <c r="E141" s="667" t="s">
        <v>2132</v>
      </c>
      <c r="F141" s="565" t="s">
        <v>2133</v>
      </c>
      <c r="G141" s="565" t="s">
        <v>2134</v>
      </c>
      <c r="Z141" s="565"/>
      <c r="AB141" s="567"/>
    </row>
    <row r="142" customFormat="false" ht="15" hidden="false" customHeight="false" outlineLevel="0" collapsed="false">
      <c r="A142" s="565" t="n">
        <v>6</v>
      </c>
      <c r="B142" s="587" t="s">
        <v>2135</v>
      </c>
      <c r="C142" s="667" t="s">
        <v>2136</v>
      </c>
      <c r="D142" s="566" t="s">
        <v>163</v>
      </c>
      <c r="E142" s="667" t="s">
        <v>2137</v>
      </c>
      <c r="G142" s="565" t="s">
        <v>2085</v>
      </c>
      <c r="Z142" s="565"/>
      <c r="AB142" s="567"/>
    </row>
    <row r="143" customFormat="false" ht="15" hidden="false" customHeight="false" outlineLevel="0" collapsed="false">
      <c r="A143" s="668" t="n">
        <v>7</v>
      </c>
      <c r="B143" s="669" t="s">
        <v>2138</v>
      </c>
      <c r="C143" s="670" t="s">
        <v>2139</v>
      </c>
      <c r="D143" s="671" t="s">
        <v>164</v>
      </c>
      <c r="E143" s="670" t="s">
        <v>2140</v>
      </c>
      <c r="F143" s="668"/>
      <c r="G143" s="565" t="s">
        <v>1958</v>
      </c>
      <c r="Z143" s="565"/>
      <c r="AB143" s="567"/>
    </row>
    <row r="144" customFormat="false" ht="26.85" hidden="false" customHeight="false" outlineLevel="0" collapsed="false">
      <c r="A144" s="565" t="n">
        <v>8</v>
      </c>
      <c r="B144" s="587" t="s">
        <v>2141</v>
      </c>
      <c r="C144" s="667" t="s">
        <v>2142</v>
      </c>
      <c r="D144" s="566" t="s">
        <v>2143</v>
      </c>
      <c r="E144" s="667" t="s">
        <v>2144</v>
      </c>
      <c r="F144" s="565" t="s">
        <v>2145</v>
      </c>
      <c r="G144" s="565" t="s">
        <v>910</v>
      </c>
      <c r="Z144" s="565"/>
      <c r="AB144" s="567"/>
    </row>
    <row r="145" customFormat="false" ht="26.85" hidden="false" customHeight="false" outlineLevel="0" collapsed="false">
      <c r="A145" s="565" t="n">
        <v>9</v>
      </c>
      <c r="B145" s="587" t="s">
        <v>2146</v>
      </c>
      <c r="C145" s="667" t="s">
        <v>2147</v>
      </c>
      <c r="D145" s="566" t="s">
        <v>2148</v>
      </c>
      <c r="E145" s="667" t="s">
        <v>2149</v>
      </c>
      <c r="G145" s="565" t="s">
        <v>2150</v>
      </c>
      <c r="Z145" s="565"/>
      <c r="AB145" s="567"/>
    </row>
    <row r="146" customFormat="false" ht="26.85" hidden="false" customHeight="false" outlineLevel="0" collapsed="false">
      <c r="A146" s="565" t="n">
        <v>10</v>
      </c>
      <c r="B146" s="587" t="s">
        <v>2151</v>
      </c>
      <c r="C146" s="667" t="s">
        <v>2152</v>
      </c>
      <c r="D146" s="566" t="s">
        <v>2153</v>
      </c>
      <c r="E146" s="667" t="s">
        <v>2149</v>
      </c>
      <c r="F146" s="565" t="s">
        <v>2154</v>
      </c>
      <c r="G146" s="565" t="s">
        <v>2155</v>
      </c>
      <c r="Z146" s="565"/>
      <c r="AB146" s="567"/>
    </row>
    <row r="147" customFormat="false" ht="26.85" hidden="false" customHeight="false" outlineLevel="0" collapsed="false">
      <c r="A147" s="565" t="n">
        <v>11</v>
      </c>
      <c r="B147" s="587" t="s">
        <v>2156</v>
      </c>
      <c r="C147" s="667" t="s">
        <v>2157</v>
      </c>
      <c r="D147" s="566" t="s">
        <v>2158</v>
      </c>
      <c r="E147" s="667" t="s">
        <v>2159</v>
      </c>
      <c r="G147" s="565" t="s">
        <v>2160</v>
      </c>
      <c r="Z147" s="565"/>
      <c r="AB147" s="567"/>
    </row>
    <row r="148" customFormat="false" ht="15" hidden="false" customHeight="false" outlineLevel="0" collapsed="false">
      <c r="C148" s="667"/>
      <c r="D148" s="566"/>
      <c r="E148" s="667"/>
      <c r="Z148" s="565"/>
      <c r="AB148" s="567"/>
    </row>
    <row r="149" customFormat="false" ht="17.35" hidden="false" customHeight="false" outlineLevel="0" collapsed="false">
      <c r="A149" s="672" t="s">
        <v>178</v>
      </c>
      <c r="B149" s="672" t="s">
        <v>788</v>
      </c>
      <c r="C149" s="672" t="s">
        <v>789</v>
      </c>
      <c r="D149" s="672" t="s">
        <v>790</v>
      </c>
      <c r="E149" s="672" t="s">
        <v>791</v>
      </c>
      <c r="F149" s="672" t="s">
        <v>792</v>
      </c>
      <c r="G149" s="672" t="s">
        <v>793</v>
      </c>
      <c r="H149" s="672" t="s">
        <v>794</v>
      </c>
      <c r="I149" s="672" t="s">
        <v>795</v>
      </c>
      <c r="J149" s="672" t="s">
        <v>796</v>
      </c>
      <c r="K149" s="672" t="s">
        <v>797</v>
      </c>
      <c r="L149" s="672" t="s">
        <v>798</v>
      </c>
      <c r="M149" s="672" t="s">
        <v>799</v>
      </c>
      <c r="N149" s="672" t="s">
        <v>2161</v>
      </c>
      <c r="O149" s="672" t="s">
        <v>2162</v>
      </c>
      <c r="P149" s="672" t="s">
        <v>2163</v>
      </c>
      <c r="Q149" s="672" t="s">
        <v>2164</v>
      </c>
      <c r="R149" s="672" t="s">
        <v>2165</v>
      </c>
      <c r="S149" s="672" t="s">
        <v>2166</v>
      </c>
      <c r="T149" s="672" t="s">
        <v>2167</v>
      </c>
      <c r="U149" s="672" t="s">
        <v>2168</v>
      </c>
      <c r="V149" s="672" t="s">
        <v>2169</v>
      </c>
      <c r="W149" s="672" t="s">
        <v>2170</v>
      </c>
      <c r="X149" s="672" t="s">
        <v>2171</v>
      </c>
      <c r="Y149" s="672" t="s">
        <v>2172</v>
      </c>
      <c r="Z149" s="672" t="s">
        <v>2173</v>
      </c>
      <c r="AA149" s="672" t="s">
        <v>2174</v>
      </c>
      <c r="AB149" s="672" t="s">
        <v>2175</v>
      </c>
      <c r="AC149" s="672" t="s">
        <v>2176</v>
      </c>
      <c r="AD149" s="672" t="s">
        <v>2177</v>
      </c>
      <c r="AE149" s="672" t="s">
        <v>2178</v>
      </c>
      <c r="AF149" s="672" t="s">
        <v>2179</v>
      </c>
      <c r="AG149" s="672" t="s">
        <v>2180</v>
      </c>
      <c r="AH149" s="672" t="s">
        <v>2181</v>
      </c>
      <c r="AI149" s="672" t="s">
        <v>2182</v>
      </c>
      <c r="AJ149" s="672" t="s">
        <v>2183</v>
      </c>
      <c r="AK149" s="672" t="s">
        <v>2184</v>
      </c>
      <c r="AL149" s="672" t="s">
        <v>2185</v>
      </c>
      <c r="AM149" s="672" t="s">
        <v>2186</v>
      </c>
      <c r="AN149" s="672" t="s">
        <v>2187</v>
      </c>
      <c r="AO149" s="672" t="s">
        <v>2188</v>
      </c>
      <c r="AP149" s="672" t="s">
        <v>2189</v>
      </c>
      <c r="AQ149" s="672" t="s">
        <v>2190</v>
      </c>
      <c r="AR149" s="672" t="s">
        <v>2191</v>
      </c>
      <c r="AS149" s="672" t="s">
        <v>2192</v>
      </c>
      <c r="AT149" s="672" t="s">
        <v>2193</v>
      </c>
      <c r="AU149" s="672" t="s">
        <v>2194</v>
      </c>
      <c r="AV149" s="672" t="s">
        <v>2195</v>
      </c>
      <c r="AW149" s="672" t="s">
        <v>2196</v>
      </c>
      <c r="AX149" s="672" t="s">
        <v>2197</v>
      </c>
      <c r="AY149" s="672" t="s">
        <v>2198</v>
      </c>
    </row>
    <row r="150" customFormat="false" ht="20.1" hidden="false" customHeight="false" outlineLevel="0" collapsed="false">
      <c r="A150" s="672" t="s">
        <v>2199</v>
      </c>
      <c r="B150" s="673" t="s">
        <v>2200</v>
      </c>
      <c r="C150" s="674" t="s">
        <v>2201</v>
      </c>
      <c r="D150" s="675" t="s">
        <v>2202</v>
      </c>
      <c r="E150" s="674" t="s">
        <v>2203</v>
      </c>
      <c r="F150" s="673" t="s">
        <v>2204</v>
      </c>
      <c r="G150" s="673" t="s">
        <v>2205</v>
      </c>
      <c r="H150" s="673" t="s">
        <v>2206</v>
      </c>
      <c r="I150" s="673" t="s">
        <v>2206</v>
      </c>
      <c r="J150" s="673" t="s">
        <v>2207</v>
      </c>
      <c r="K150" s="673" t="s">
        <v>2207</v>
      </c>
      <c r="L150" s="673" t="s">
        <v>2208</v>
      </c>
      <c r="M150" s="673" t="s">
        <v>2209</v>
      </c>
      <c r="N150" s="673" t="s">
        <v>2210</v>
      </c>
      <c r="O150" s="673" t="s">
        <v>2211</v>
      </c>
      <c r="P150" s="673" t="s">
        <v>2200</v>
      </c>
      <c r="Q150" s="673" t="s">
        <v>2212</v>
      </c>
      <c r="R150" s="673" t="s">
        <v>2213</v>
      </c>
      <c r="S150" s="673" t="s">
        <v>2214</v>
      </c>
      <c r="T150" s="673" t="s">
        <v>2215</v>
      </c>
      <c r="U150" s="673" t="s">
        <v>2216</v>
      </c>
      <c r="V150" s="673" t="s">
        <v>2217</v>
      </c>
      <c r="W150" s="673" t="s">
        <v>2218</v>
      </c>
      <c r="X150" s="673" t="s">
        <v>2218</v>
      </c>
      <c r="Y150" s="673" t="s">
        <v>2219</v>
      </c>
      <c r="Z150" s="673" t="s">
        <v>2220</v>
      </c>
      <c r="AA150" s="676" t="s">
        <v>2221</v>
      </c>
      <c r="AB150" s="676" t="s">
        <v>2222</v>
      </c>
      <c r="AC150" s="673" t="s">
        <v>2223</v>
      </c>
      <c r="AD150" s="673" t="s">
        <v>2224</v>
      </c>
      <c r="AE150" s="673" t="s">
        <v>2225</v>
      </c>
      <c r="AF150" s="673" t="s">
        <v>2226</v>
      </c>
      <c r="AG150" s="673" t="s">
        <v>2227</v>
      </c>
      <c r="AH150" s="673" t="s">
        <v>2228</v>
      </c>
      <c r="AI150" s="673" t="s">
        <v>2229</v>
      </c>
      <c r="AJ150" s="673" t="s">
        <v>2230</v>
      </c>
      <c r="AK150" s="673" t="s">
        <v>2231</v>
      </c>
      <c r="AL150" s="673" t="s">
        <v>2232</v>
      </c>
      <c r="AM150" s="673" t="s">
        <v>2233</v>
      </c>
      <c r="AN150" s="673" t="s">
        <v>2234</v>
      </c>
      <c r="AO150" s="673" t="s">
        <v>2235</v>
      </c>
      <c r="AP150" s="673" t="s">
        <v>2236</v>
      </c>
      <c r="AQ150" s="673" t="s">
        <v>2237</v>
      </c>
      <c r="AR150" s="673" t="s">
        <v>2238</v>
      </c>
      <c r="AS150" s="673" t="s">
        <v>2239</v>
      </c>
      <c r="AT150" s="673" t="s">
        <v>2240</v>
      </c>
      <c r="AU150" s="673" t="s">
        <v>2241</v>
      </c>
      <c r="AV150" s="673" t="s">
        <v>2242</v>
      </c>
      <c r="AW150" s="673" t="s">
        <v>2243</v>
      </c>
      <c r="AX150" s="673" t="s">
        <v>2244</v>
      </c>
      <c r="AY150" s="673" t="s">
        <v>2245</v>
      </c>
    </row>
    <row r="151" customFormat="false" ht="20.85" hidden="false" customHeight="false" outlineLevel="0" collapsed="false">
      <c r="A151" s="672" t="s">
        <v>2246</v>
      </c>
      <c r="B151" s="672" t="s">
        <v>2247</v>
      </c>
      <c r="C151" s="677" t="s">
        <v>2248</v>
      </c>
      <c r="D151" s="678" t="s">
        <v>2249</v>
      </c>
      <c r="E151" s="677" t="s">
        <v>2250</v>
      </c>
      <c r="F151" s="672" t="s">
        <v>2251</v>
      </c>
      <c r="G151" s="672" t="s">
        <v>2252</v>
      </c>
      <c r="H151" s="672" t="s">
        <v>2253</v>
      </c>
      <c r="I151" s="672" t="s">
        <v>2254</v>
      </c>
      <c r="J151" s="672" t="s">
        <v>2255</v>
      </c>
      <c r="K151" s="672" t="s">
        <v>2256</v>
      </c>
      <c r="L151" s="672" t="s">
        <v>2257</v>
      </c>
      <c r="M151" s="672" t="s">
        <v>2258</v>
      </c>
      <c r="N151" s="672" t="s">
        <v>2259</v>
      </c>
      <c r="O151" s="672" t="s">
        <v>2260</v>
      </c>
      <c r="P151" s="672" t="s">
        <v>2261</v>
      </c>
      <c r="Q151" s="672" t="s">
        <v>2262</v>
      </c>
      <c r="R151" s="672" t="s">
        <v>2263</v>
      </c>
      <c r="S151" s="672" t="s">
        <v>2264</v>
      </c>
      <c r="T151" s="672" t="s">
        <v>2265</v>
      </c>
      <c r="U151" s="672" t="s">
        <v>2266</v>
      </c>
      <c r="V151" s="672" t="s">
        <v>2267</v>
      </c>
      <c r="W151" s="672" t="s">
        <v>2268</v>
      </c>
      <c r="X151" s="672" t="s">
        <v>2268</v>
      </c>
      <c r="Y151" s="672" t="s">
        <v>2269</v>
      </c>
      <c r="Z151" s="672" t="s">
        <v>2270</v>
      </c>
      <c r="AA151" s="679" t="s">
        <v>2271</v>
      </c>
      <c r="AB151" s="679" t="s">
        <v>2272</v>
      </c>
      <c r="AC151" s="672" t="s">
        <v>2273</v>
      </c>
      <c r="AD151" s="672" t="s">
        <v>2274</v>
      </c>
      <c r="AE151" s="672" t="s">
        <v>2275</v>
      </c>
      <c r="AF151" s="672" t="s">
        <v>2276</v>
      </c>
      <c r="AG151" s="672" t="s">
        <v>2277</v>
      </c>
      <c r="AH151" s="672" t="s">
        <v>2278</v>
      </c>
      <c r="AI151" s="672" t="s">
        <v>2279</v>
      </c>
      <c r="AJ151" s="672" t="s">
        <v>2280</v>
      </c>
      <c r="AK151" s="672" t="s">
        <v>2281</v>
      </c>
      <c r="AL151" s="672" t="s">
        <v>2282</v>
      </c>
      <c r="AM151" s="672" t="s">
        <v>2283</v>
      </c>
      <c r="AN151" s="672" t="s">
        <v>2284</v>
      </c>
      <c r="AO151" s="672" t="s">
        <v>2285</v>
      </c>
      <c r="AP151" s="672" t="s">
        <v>2286</v>
      </c>
      <c r="AQ151" s="672" t="s">
        <v>2287</v>
      </c>
      <c r="AR151" s="672" t="s">
        <v>2288</v>
      </c>
      <c r="AS151" s="672" t="s">
        <v>2289</v>
      </c>
      <c r="AT151" s="672" t="s">
        <v>2290</v>
      </c>
      <c r="AU151" s="672" t="s">
        <v>2291</v>
      </c>
      <c r="AV151" s="672" t="s">
        <v>2292</v>
      </c>
      <c r="AW151" s="672" t="s">
        <v>2293</v>
      </c>
      <c r="AX151" s="672" t="s">
        <v>2294</v>
      </c>
      <c r="AY151" s="672" t="s">
        <v>2295</v>
      </c>
    </row>
    <row r="152" s="565" customFormat="true" ht="15" hidden="false" customHeight="false" outlineLevel="0" collapsed="false">
      <c r="BF152" s="568"/>
      <c r="BG152" s="568"/>
    </row>
    <row r="153" customFormat="false" ht="15" hidden="false" customHeight="false" outlineLevel="0" collapsed="false">
      <c r="A153" s="565" t="s">
        <v>2296</v>
      </c>
      <c r="B153" s="565" t="s">
        <v>2297</v>
      </c>
      <c r="C153" s="565" t="s">
        <v>474</v>
      </c>
      <c r="D153" s="565" t="s">
        <v>475</v>
      </c>
      <c r="E153" s="565" t="s">
        <v>476</v>
      </c>
      <c r="F153" s="565" t="s">
        <v>477</v>
      </c>
      <c r="G153" s="565" t="s">
        <v>478</v>
      </c>
      <c r="H153" s="565" t="s">
        <v>479</v>
      </c>
      <c r="I153" s="565" t="s">
        <v>2298</v>
      </c>
      <c r="J153" s="565" t="s">
        <v>2299</v>
      </c>
      <c r="K153" s="565" t="s">
        <v>2300</v>
      </c>
      <c r="L153" s="565" t="s">
        <v>893</v>
      </c>
      <c r="M153" s="565" t="s">
        <v>894</v>
      </c>
      <c r="N153" s="565" t="s">
        <v>895</v>
      </c>
      <c r="O153" s="565" t="s">
        <v>2301</v>
      </c>
      <c r="P153" s="565" t="s">
        <v>2302</v>
      </c>
      <c r="Z153" s="565"/>
      <c r="AA153" s="565"/>
    </row>
    <row r="154" customFormat="false" ht="15" hidden="false" customHeight="false" outlineLevel="0" collapsed="false">
      <c r="A154" s="680" t="s">
        <v>2200</v>
      </c>
      <c r="B154" s="681" t="s">
        <v>2201</v>
      </c>
      <c r="C154" s="681" t="s">
        <v>2202</v>
      </c>
      <c r="D154" s="681" t="s">
        <v>2203</v>
      </c>
      <c r="E154" s="681" t="s">
        <v>2204</v>
      </c>
      <c r="F154" s="681" t="s">
        <v>2205</v>
      </c>
      <c r="G154" s="681" t="s">
        <v>2206</v>
      </c>
      <c r="H154" s="681" t="s">
        <v>2206</v>
      </c>
      <c r="I154" s="681" t="s">
        <v>2207</v>
      </c>
      <c r="J154" s="681" t="s">
        <v>2207</v>
      </c>
      <c r="K154" s="681" t="s">
        <v>2208</v>
      </c>
      <c r="L154" s="681" t="s">
        <v>2209</v>
      </c>
      <c r="M154" s="681" t="s">
        <v>2210</v>
      </c>
      <c r="N154" s="681" t="s">
        <v>2211</v>
      </c>
      <c r="O154" s="681" t="s">
        <v>2200</v>
      </c>
      <c r="P154" s="682" t="s">
        <v>2212</v>
      </c>
      <c r="Z154" s="565"/>
      <c r="AA154" s="565"/>
    </row>
    <row r="155" customFormat="false" ht="15" hidden="false" customHeight="false" outlineLevel="0" collapsed="false">
      <c r="A155" s="683" t="s">
        <v>2247</v>
      </c>
      <c r="B155" s="643" t="s">
        <v>2248</v>
      </c>
      <c r="C155" s="643" t="s">
        <v>2249</v>
      </c>
      <c r="D155" s="643" t="s">
        <v>2250</v>
      </c>
      <c r="E155" s="643" t="s">
        <v>2251</v>
      </c>
      <c r="F155" s="643" t="s">
        <v>2252</v>
      </c>
      <c r="G155" s="643" t="s">
        <v>2253</v>
      </c>
      <c r="H155" s="643" t="s">
        <v>2254</v>
      </c>
      <c r="I155" s="643" t="s">
        <v>2255</v>
      </c>
      <c r="J155" s="643" t="s">
        <v>2256</v>
      </c>
      <c r="K155" s="643" t="s">
        <v>2257</v>
      </c>
      <c r="L155" s="643" t="s">
        <v>2258</v>
      </c>
      <c r="M155" s="643" t="s">
        <v>2259</v>
      </c>
      <c r="N155" s="643" t="s">
        <v>2260</v>
      </c>
      <c r="O155" s="643" t="s">
        <v>2261</v>
      </c>
      <c r="P155" s="684" t="s">
        <v>2262</v>
      </c>
      <c r="Z155" s="565"/>
      <c r="AA155" s="565"/>
    </row>
    <row r="156" customFormat="false" ht="15" hidden="false" customHeight="false" outlineLevel="0" collapsed="false">
      <c r="A156" s="685" t="n">
        <v>0</v>
      </c>
      <c r="B156" s="686" t="n">
        <v>0</v>
      </c>
      <c r="C156" s="686" t="n">
        <v>0</v>
      </c>
      <c r="D156" s="686" t="n">
        <v>0</v>
      </c>
      <c r="E156" s="686" t="n">
        <v>0</v>
      </c>
      <c r="F156" s="686" t="n">
        <v>0</v>
      </c>
      <c r="G156" s="686" t="n">
        <v>0</v>
      </c>
      <c r="H156" s="686" t="n">
        <v>0</v>
      </c>
      <c r="I156" s="686" t="n">
        <v>0</v>
      </c>
      <c r="J156" s="686" t="n">
        <v>0</v>
      </c>
      <c r="K156" s="686" t="n">
        <v>0</v>
      </c>
      <c r="L156" s="686" t="n">
        <v>0</v>
      </c>
      <c r="M156" s="686" t="n">
        <v>0</v>
      </c>
      <c r="N156" s="686" t="n">
        <v>0</v>
      </c>
      <c r="O156" s="686" t="n">
        <v>0</v>
      </c>
      <c r="P156" s="687" t="n">
        <v>0</v>
      </c>
      <c r="Z156" s="565"/>
      <c r="AA156" s="565"/>
    </row>
    <row r="157" customFormat="false" ht="15" hidden="false" customHeight="false" outlineLevel="0" collapsed="false">
      <c r="A157" s="680" t="s">
        <v>2213</v>
      </c>
      <c r="B157" s="681" t="s">
        <v>2214</v>
      </c>
      <c r="C157" s="681" t="s">
        <v>2215</v>
      </c>
      <c r="D157" s="681" t="s">
        <v>2216</v>
      </c>
      <c r="E157" s="681" t="s">
        <v>2217</v>
      </c>
      <c r="F157" s="681" t="s">
        <v>2218</v>
      </c>
      <c r="G157" s="681" t="s">
        <v>2218</v>
      </c>
      <c r="H157" s="681" t="s">
        <v>2219</v>
      </c>
      <c r="I157" s="681" t="s">
        <v>2220</v>
      </c>
      <c r="J157" s="682" t="s">
        <v>2221</v>
      </c>
      <c r="K157" s="681"/>
      <c r="L157" s="681"/>
      <c r="M157" s="681"/>
      <c r="N157" s="681"/>
      <c r="O157" s="681"/>
      <c r="P157" s="682"/>
      <c r="Z157" s="565"/>
      <c r="AA157" s="565"/>
    </row>
    <row r="158" customFormat="false" ht="15" hidden="false" customHeight="false" outlineLevel="0" collapsed="false">
      <c r="A158" s="683" t="s">
        <v>2263</v>
      </c>
      <c r="B158" s="643" t="s">
        <v>2264</v>
      </c>
      <c r="C158" s="643" t="s">
        <v>2265</v>
      </c>
      <c r="D158" s="643" t="s">
        <v>2266</v>
      </c>
      <c r="E158" s="643" t="s">
        <v>2267</v>
      </c>
      <c r="F158" s="643" t="s">
        <v>2268</v>
      </c>
      <c r="G158" s="643" t="s">
        <v>2268</v>
      </c>
      <c r="H158" s="643" t="s">
        <v>2269</v>
      </c>
      <c r="I158" s="643" t="s">
        <v>2270</v>
      </c>
      <c r="J158" s="684" t="s">
        <v>2271</v>
      </c>
      <c r="K158" s="643"/>
      <c r="L158" s="643"/>
      <c r="M158" s="643"/>
      <c r="N158" s="643"/>
      <c r="O158" s="643"/>
      <c r="P158" s="684"/>
      <c r="Z158" s="565"/>
      <c r="AA158" s="565"/>
    </row>
    <row r="159" customFormat="false" ht="15" hidden="false" customHeight="false" outlineLevel="0" collapsed="false">
      <c r="A159" s="685" t="n">
        <v>1</v>
      </c>
      <c r="B159" s="686" t="n">
        <v>2</v>
      </c>
      <c r="C159" s="686" t="n">
        <v>3</v>
      </c>
      <c r="D159" s="686" t="n">
        <v>4</v>
      </c>
      <c r="E159" s="686" t="n">
        <v>5</v>
      </c>
      <c r="F159" s="686" t="n">
        <v>6</v>
      </c>
      <c r="G159" s="686" t="n">
        <v>7</v>
      </c>
      <c r="H159" s="686" t="n">
        <v>8</v>
      </c>
      <c r="I159" s="686" t="n">
        <v>9</v>
      </c>
      <c r="J159" s="687" t="n">
        <v>0</v>
      </c>
      <c r="K159" s="686"/>
      <c r="L159" s="686"/>
      <c r="M159" s="686"/>
      <c r="N159" s="686"/>
      <c r="O159" s="686"/>
      <c r="P159" s="687"/>
      <c r="Z159" s="565"/>
      <c r="AA159" s="565"/>
    </row>
    <row r="160" customFormat="false" ht="15" hidden="false" customHeight="false" outlineLevel="0" collapsed="false">
      <c r="A160" s="680" t="s">
        <v>2222</v>
      </c>
      <c r="B160" s="681" t="s">
        <v>2223</v>
      </c>
      <c r="C160" s="681" t="s">
        <v>2224</v>
      </c>
      <c r="D160" s="681" t="s">
        <v>2225</v>
      </c>
      <c r="E160" s="681" t="s">
        <v>2226</v>
      </c>
      <c r="F160" s="681" t="s">
        <v>2227</v>
      </c>
      <c r="G160" s="681" t="s">
        <v>2228</v>
      </c>
      <c r="H160" s="681" t="s">
        <v>2229</v>
      </c>
      <c r="I160" s="681" t="s">
        <v>2230</v>
      </c>
      <c r="J160" s="682" t="s">
        <v>2231</v>
      </c>
      <c r="K160" s="681"/>
      <c r="L160" s="681"/>
      <c r="M160" s="681"/>
      <c r="N160" s="681"/>
      <c r="O160" s="681"/>
      <c r="P160" s="682"/>
      <c r="Z160" s="565"/>
      <c r="AA160" s="565"/>
    </row>
    <row r="161" customFormat="false" ht="15" hidden="false" customHeight="false" outlineLevel="0" collapsed="false">
      <c r="A161" s="683" t="s">
        <v>2272</v>
      </c>
      <c r="B161" s="643" t="s">
        <v>2273</v>
      </c>
      <c r="C161" s="643" t="s">
        <v>2274</v>
      </c>
      <c r="D161" s="643" t="s">
        <v>2275</v>
      </c>
      <c r="E161" s="643" t="s">
        <v>2276</v>
      </c>
      <c r="F161" s="643" t="s">
        <v>2277</v>
      </c>
      <c r="G161" s="643" t="s">
        <v>2278</v>
      </c>
      <c r="H161" s="643" t="s">
        <v>2279</v>
      </c>
      <c r="I161" s="643" t="s">
        <v>2280</v>
      </c>
      <c r="J161" s="684" t="s">
        <v>2281</v>
      </c>
      <c r="K161" s="643"/>
      <c r="L161" s="643"/>
      <c r="M161" s="643"/>
      <c r="N161" s="643"/>
      <c r="O161" s="643"/>
      <c r="P161" s="684"/>
      <c r="Z161" s="565"/>
      <c r="AA161" s="565"/>
    </row>
    <row r="162" customFormat="false" ht="15" hidden="false" customHeight="false" outlineLevel="0" collapsed="false">
      <c r="A162" s="685" t="n">
        <v>1</v>
      </c>
      <c r="B162" s="686" t="n">
        <v>2</v>
      </c>
      <c r="C162" s="686" t="n">
        <v>3</v>
      </c>
      <c r="D162" s="686" t="n">
        <v>4</v>
      </c>
      <c r="E162" s="686" t="n">
        <v>5</v>
      </c>
      <c r="F162" s="686" t="n">
        <v>6</v>
      </c>
      <c r="G162" s="686" t="n">
        <v>7</v>
      </c>
      <c r="H162" s="686" t="n">
        <v>8</v>
      </c>
      <c r="I162" s="686" t="n">
        <v>9</v>
      </c>
      <c r="J162" s="687" t="n">
        <v>0</v>
      </c>
      <c r="K162" s="686"/>
      <c r="L162" s="686"/>
      <c r="M162" s="686"/>
      <c r="N162" s="686"/>
      <c r="O162" s="686"/>
      <c r="P162" s="687"/>
      <c r="Z162" s="565"/>
      <c r="AA162" s="565"/>
    </row>
    <row r="163" customFormat="false" ht="15" hidden="false" customHeight="false" outlineLevel="0" collapsed="false">
      <c r="A163" s="680" t="s">
        <v>2232</v>
      </c>
      <c r="B163" s="681" t="s">
        <v>2233</v>
      </c>
      <c r="C163" s="681" t="s">
        <v>2234</v>
      </c>
      <c r="D163" s="681" t="s">
        <v>2235</v>
      </c>
      <c r="E163" s="682" t="s">
        <v>2236</v>
      </c>
      <c r="F163" s="681"/>
      <c r="G163" s="681"/>
      <c r="H163" s="681"/>
      <c r="I163" s="681"/>
      <c r="J163" s="681"/>
      <c r="K163" s="681"/>
      <c r="L163" s="681"/>
      <c r="M163" s="681"/>
      <c r="N163" s="681"/>
      <c r="O163" s="681"/>
      <c r="P163" s="682"/>
      <c r="Z163" s="565"/>
      <c r="AA163" s="565"/>
    </row>
    <row r="164" customFormat="false" ht="15" hidden="false" customHeight="false" outlineLevel="0" collapsed="false">
      <c r="A164" s="683" t="s">
        <v>2282</v>
      </c>
      <c r="B164" s="643" t="s">
        <v>2283</v>
      </c>
      <c r="C164" s="643" t="s">
        <v>2284</v>
      </c>
      <c r="D164" s="643" t="s">
        <v>2285</v>
      </c>
      <c r="E164" s="684" t="s">
        <v>2286</v>
      </c>
      <c r="F164" s="643"/>
      <c r="G164" s="643"/>
      <c r="H164" s="643"/>
      <c r="I164" s="643"/>
      <c r="J164" s="643"/>
      <c r="K164" s="643"/>
      <c r="L164" s="643"/>
      <c r="M164" s="643"/>
      <c r="N164" s="643"/>
      <c r="O164" s="643"/>
      <c r="P164" s="684"/>
      <c r="Z164" s="565"/>
      <c r="AA164" s="565"/>
    </row>
    <row r="165" customFormat="false" ht="15" hidden="false" customHeight="false" outlineLevel="0" collapsed="false">
      <c r="A165" s="685" t="n">
        <v>1</v>
      </c>
      <c r="B165" s="686" t="n">
        <v>2</v>
      </c>
      <c r="C165" s="686" t="n">
        <v>3</v>
      </c>
      <c r="D165" s="686" t="n">
        <v>4</v>
      </c>
      <c r="E165" s="687" t="n">
        <v>5</v>
      </c>
      <c r="F165" s="686"/>
      <c r="G165" s="686"/>
      <c r="H165" s="686"/>
      <c r="I165" s="686"/>
      <c r="J165" s="686"/>
      <c r="K165" s="686"/>
      <c r="L165" s="686"/>
      <c r="M165" s="686"/>
      <c r="N165" s="686"/>
      <c r="O165" s="686"/>
      <c r="P165" s="687"/>
      <c r="Z165" s="565"/>
      <c r="AA165" s="565"/>
    </row>
    <row r="166" customFormat="false" ht="17.9" hidden="false" customHeight="false" outlineLevel="0" collapsed="false">
      <c r="A166" s="680" t="s">
        <v>2237</v>
      </c>
      <c r="B166" s="681" t="s">
        <v>2238</v>
      </c>
      <c r="C166" s="681" t="s">
        <v>2239</v>
      </c>
      <c r="D166" s="681" t="s">
        <v>2240</v>
      </c>
      <c r="E166" s="681" t="s">
        <v>2241</v>
      </c>
      <c r="F166" s="681" t="s">
        <v>2242</v>
      </c>
      <c r="G166" s="681" t="s">
        <v>2243</v>
      </c>
      <c r="H166" s="681" t="s">
        <v>2244</v>
      </c>
      <c r="I166" s="682" t="s">
        <v>2303</v>
      </c>
      <c r="J166" s="643"/>
      <c r="K166" s="643"/>
      <c r="L166" s="643"/>
      <c r="M166" s="643"/>
      <c r="N166" s="643"/>
      <c r="O166" s="643"/>
      <c r="P166" s="643"/>
      <c r="Z166" s="565"/>
      <c r="AA166" s="565"/>
    </row>
    <row r="167" customFormat="false" ht="15" hidden="false" customHeight="false" outlineLevel="0" collapsed="false">
      <c r="A167" s="683" t="s">
        <v>2287</v>
      </c>
      <c r="B167" s="643" t="s">
        <v>2288</v>
      </c>
      <c r="C167" s="643" t="s">
        <v>2289</v>
      </c>
      <c r="D167" s="643" t="s">
        <v>2290</v>
      </c>
      <c r="E167" s="643" t="s">
        <v>2291</v>
      </c>
      <c r="F167" s="643" t="s">
        <v>2292</v>
      </c>
      <c r="G167" s="643" t="s">
        <v>2293</v>
      </c>
      <c r="H167" s="643" t="s">
        <v>2294</v>
      </c>
      <c r="I167" s="684" t="s">
        <v>2304</v>
      </c>
      <c r="J167" s="643"/>
      <c r="K167" s="643"/>
      <c r="L167" s="643"/>
      <c r="M167" s="643"/>
      <c r="N167" s="643"/>
      <c r="O167" s="643"/>
      <c r="P167" s="643"/>
      <c r="Z167" s="565"/>
      <c r="AA167" s="565"/>
    </row>
    <row r="168" customFormat="false" ht="15" hidden="false" customHeight="false" outlineLevel="0" collapsed="false">
      <c r="A168" s="685" t="n">
        <v>1</v>
      </c>
      <c r="B168" s="686" t="n">
        <v>2</v>
      </c>
      <c r="C168" s="686" t="n">
        <v>3</v>
      </c>
      <c r="D168" s="686" t="n">
        <v>4</v>
      </c>
      <c r="E168" s="686" t="n">
        <v>5</v>
      </c>
      <c r="F168" s="686" t="n">
        <v>6</v>
      </c>
      <c r="G168" s="686" t="n">
        <v>7</v>
      </c>
      <c r="H168" s="686" t="n">
        <v>8</v>
      </c>
      <c r="I168" s="687" t="s">
        <v>2305</v>
      </c>
      <c r="J168" s="643"/>
      <c r="K168" s="643"/>
      <c r="L168" s="643"/>
      <c r="M168" s="643"/>
      <c r="N168" s="643"/>
      <c r="O168" s="643"/>
      <c r="P168" s="643"/>
      <c r="Z168" s="565"/>
      <c r="AA168" s="565"/>
    </row>
    <row r="170" customFormat="false" ht="15" hidden="false" customHeight="false" outlineLevel="0" collapsed="false">
      <c r="A170" s="565" t="s">
        <v>2306</v>
      </c>
      <c r="B170" s="565" t="s">
        <v>788</v>
      </c>
      <c r="C170" s="565" t="s">
        <v>789</v>
      </c>
      <c r="D170" s="565" t="s">
        <v>790</v>
      </c>
      <c r="E170" s="566" t="s">
        <v>791</v>
      </c>
      <c r="F170" s="565" t="s">
        <v>2307</v>
      </c>
      <c r="G170" s="567" t="s">
        <v>2308</v>
      </c>
      <c r="H170" s="567" t="s">
        <v>2309</v>
      </c>
      <c r="I170" s="567" t="s">
        <v>2310</v>
      </c>
      <c r="J170" s="567" t="s">
        <v>2311</v>
      </c>
      <c r="Z170" s="565"/>
      <c r="AB170" s="567"/>
    </row>
    <row r="171" customFormat="false" ht="19.4" hidden="false" customHeight="false" outlineLevel="0" collapsed="false">
      <c r="A171" s="565" t="n">
        <v>1</v>
      </c>
      <c r="B171" s="565" t="s">
        <v>2312</v>
      </c>
      <c r="C171" s="565" t="s">
        <v>2313</v>
      </c>
      <c r="D171" s="565" t="s">
        <v>2314</v>
      </c>
      <c r="E171" s="566" t="s">
        <v>2315</v>
      </c>
      <c r="F171" s="565" t="s">
        <v>2316</v>
      </c>
      <c r="G171" s="688" t="str">
        <f aca="false">B176&amp;" "&amp;G176</f>
        <v>अ क थ ह a ka tha ha</v>
      </c>
      <c r="H171" s="688" t="str">
        <f aca="false">C176&amp;" "&amp;H176</f>
        <v>उ ङ प u ṅa pa</v>
      </c>
      <c r="I171" s="688" t="str">
        <f aca="false">D176&amp;" "&amp;I176</f>
        <v>आ ख द ā kha da</v>
      </c>
      <c r="J171" s="688" t="str">
        <f aca="false">E176&amp;" "&amp;J176</f>
        <v>ऊ च फ ū ca pha</v>
      </c>
      <c r="Z171" s="565"/>
      <c r="AB171" s="567"/>
    </row>
    <row r="172" customFormat="false" ht="19.4" hidden="false" customHeight="false" outlineLevel="0" collapsed="false">
      <c r="A172" s="565" t="n">
        <v>2</v>
      </c>
      <c r="B172" s="565" t="s">
        <v>2317</v>
      </c>
      <c r="C172" s="565" t="s">
        <v>2318</v>
      </c>
      <c r="D172" s="565" t="s">
        <v>2319</v>
      </c>
      <c r="E172" s="566" t="s">
        <v>2320</v>
      </c>
      <c r="F172" s="565" t="s">
        <v>2321</v>
      </c>
      <c r="G172" s="688" t="str">
        <f aca="false">B177&amp;" "&amp;G177</f>
        <v>ओ ड व o ḍa va</v>
      </c>
      <c r="H172" s="688" t="str">
        <f aca="false">C177&amp;" "&amp;H177</f>
        <v>ऌ झ म ḷ jha ma</v>
      </c>
      <c r="I172" s="688" t="str">
        <f aca="false">D177&amp;" "&amp;I177</f>
        <v>औ ढ श au ḍha śa</v>
      </c>
      <c r="J172" s="688" t="str">
        <f aca="false">E177&amp;" "&amp;J177</f>
        <v>ॡ ञ य ḹ ña ya</v>
      </c>
      <c r="Z172" s="565"/>
      <c r="AB172" s="567"/>
    </row>
    <row r="173" customFormat="false" ht="19.4" hidden="false" customHeight="false" outlineLevel="0" collapsed="false">
      <c r="A173" s="565" t="n">
        <v>3</v>
      </c>
      <c r="B173" s="565" t="s">
        <v>2322</v>
      </c>
      <c r="C173" s="565" t="s">
        <v>2323</v>
      </c>
      <c r="D173" s="565" t="s">
        <v>2324</v>
      </c>
      <c r="E173" s="566" t="s">
        <v>2325</v>
      </c>
      <c r="F173" s="565" t="s">
        <v>2326</v>
      </c>
      <c r="G173" s="688" t="str">
        <f aca="false">B178&amp;" "&amp;G178</f>
        <v>ई घ न ī gha na</v>
      </c>
      <c r="H173" s="688" t="str">
        <f aca="false">C178&amp;" "&amp;H178</f>
        <v>ॠ ज भ ṝ ja bha</v>
      </c>
      <c r="I173" s="688" t="str">
        <f aca="false">D178&amp;" "&amp;I178</f>
        <v>इ ग ध i ga dha</v>
      </c>
      <c r="J173" s="688" t="str">
        <f aca="false">E178&amp;" "&amp;J178</f>
        <v>ऋ छ ब ṛ cha ba</v>
      </c>
      <c r="Z173" s="565"/>
      <c r="AB173" s="567"/>
    </row>
    <row r="174" customFormat="false" ht="19.4" hidden="false" customHeight="false" outlineLevel="0" collapsed="false">
      <c r="A174" s="565" t="n">
        <v>4</v>
      </c>
      <c r="B174" s="565" t="s">
        <v>2327</v>
      </c>
      <c r="C174" s="565" t="s">
        <v>2328</v>
      </c>
      <c r="D174" s="565" t="s">
        <v>2329</v>
      </c>
      <c r="E174" s="566" t="s">
        <v>2330</v>
      </c>
      <c r="F174" s="565" t="s">
        <v>2331</v>
      </c>
      <c r="G174" s="688" t="str">
        <f aca="false">B179&amp;" "&amp;G179</f>
        <v>अः त स aḥ ta sa</v>
      </c>
      <c r="H174" s="688" t="str">
        <f aca="false">C179&amp;" "&amp;H179</f>
        <v>ऐ ठ ल ai ṭha la</v>
      </c>
      <c r="I174" s="688" t="str">
        <f aca="false">D179&amp;" "&amp;I179</f>
        <v>अं ण ष aṁ ṇa ṣa</v>
      </c>
      <c r="J174" s="688" t="str">
        <f aca="false">E179&amp;" "&amp;J179</f>
        <v>ए ट र e ṭa ra</v>
      </c>
      <c r="Z174" s="565"/>
      <c r="AB174" s="567"/>
    </row>
    <row r="175" customFormat="false" ht="15" hidden="false" customHeight="false" outlineLevel="0" collapsed="false">
      <c r="A175" s="689" t="s">
        <v>2332</v>
      </c>
      <c r="B175" s="565" t="n">
        <v>1</v>
      </c>
      <c r="C175" s="565" t="n">
        <v>2</v>
      </c>
      <c r="D175" s="565" t="n">
        <v>3</v>
      </c>
      <c r="E175" s="566" t="n">
        <v>4</v>
      </c>
      <c r="G175" s="567" t="n">
        <v>1</v>
      </c>
      <c r="H175" s="567" t="n">
        <v>2</v>
      </c>
      <c r="I175" s="567" t="n">
        <v>3</v>
      </c>
      <c r="J175" s="567" t="n">
        <v>4</v>
      </c>
      <c r="Z175" s="565"/>
      <c r="AB175" s="567"/>
    </row>
    <row r="176" customFormat="false" ht="15" hidden="false" customHeight="false" outlineLevel="0" collapsed="false">
      <c r="A176" s="565" t="n">
        <v>1</v>
      </c>
      <c r="B176" s="689" t="s">
        <v>2333</v>
      </c>
      <c r="C176" s="689" t="s">
        <v>2334</v>
      </c>
      <c r="D176" s="689" t="s">
        <v>2335</v>
      </c>
      <c r="E176" s="689" t="s">
        <v>2336</v>
      </c>
      <c r="F176" s="689" t="n">
        <v>1</v>
      </c>
      <c r="G176" s="567" t="s">
        <v>2337</v>
      </c>
      <c r="H176" s="567" t="s">
        <v>2338</v>
      </c>
      <c r="I176" s="567" t="s">
        <v>2339</v>
      </c>
      <c r="J176" s="567" t="s">
        <v>2340</v>
      </c>
      <c r="Z176" s="565"/>
      <c r="AB176" s="567"/>
    </row>
    <row r="177" customFormat="false" ht="15" hidden="false" customHeight="false" outlineLevel="0" collapsed="false">
      <c r="A177" s="565" t="n">
        <v>2</v>
      </c>
      <c r="B177" s="689" t="s">
        <v>2341</v>
      </c>
      <c r="C177" s="689" t="s">
        <v>2342</v>
      </c>
      <c r="D177" s="689" t="s">
        <v>2343</v>
      </c>
      <c r="E177" s="689" t="s">
        <v>2344</v>
      </c>
      <c r="F177" s="689" t="n">
        <v>2</v>
      </c>
      <c r="G177" s="567" t="s">
        <v>2345</v>
      </c>
      <c r="H177" s="567" t="s">
        <v>2346</v>
      </c>
      <c r="I177" s="567" t="s">
        <v>2347</v>
      </c>
      <c r="J177" s="567" t="s">
        <v>2348</v>
      </c>
      <c r="Z177" s="565"/>
      <c r="AB177" s="567"/>
    </row>
    <row r="178" customFormat="false" ht="15" hidden="false" customHeight="false" outlineLevel="0" collapsed="false">
      <c r="A178" s="565" t="n">
        <v>3</v>
      </c>
      <c r="B178" s="689" t="s">
        <v>2349</v>
      </c>
      <c r="C178" s="689" t="s">
        <v>2350</v>
      </c>
      <c r="D178" s="689" t="s">
        <v>2351</v>
      </c>
      <c r="E178" s="689" t="s">
        <v>2352</v>
      </c>
      <c r="F178" s="689" t="n">
        <v>3</v>
      </c>
      <c r="G178" s="567" t="s">
        <v>2353</v>
      </c>
      <c r="H178" s="567" t="s">
        <v>2354</v>
      </c>
      <c r="I178" s="567" t="s">
        <v>2324</v>
      </c>
      <c r="J178" s="567" t="s">
        <v>2355</v>
      </c>
      <c r="Z178" s="565"/>
      <c r="AB178" s="567"/>
    </row>
    <row r="179" customFormat="false" ht="15" hidden="false" customHeight="false" outlineLevel="0" collapsed="false">
      <c r="A179" s="565" t="n">
        <v>4</v>
      </c>
      <c r="B179" s="689" t="s">
        <v>2356</v>
      </c>
      <c r="C179" s="689" t="s">
        <v>2357</v>
      </c>
      <c r="D179" s="689" t="s">
        <v>2358</v>
      </c>
      <c r="E179" s="689" t="s">
        <v>2359</v>
      </c>
      <c r="F179" s="689" t="n">
        <v>4</v>
      </c>
      <c r="G179" s="567" t="s">
        <v>2360</v>
      </c>
      <c r="H179" s="567" t="s">
        <v>2361</v>
      </c>
      <c r="I179" s="567" t="s">
        <v>2362</v>
      </c>
      <c r="J179" s="567" t="s">
        <v>2363</v>
      </c>
      <c r="Z179" s="565"/>
      <c r="AB179" s="567"/>
    </row>
    <row r="181" customFormat="false" ht="15" hidden="false" customHeight="false" outlineLevel="0" collapsed="false">
      <c r="B181" s="565" t="s">
        <v>2364</v>
      </c>
      <c r="C181" s="565" t="s">
        <v>2365</v>
      </c>
      <c r="D181" s="565" t="s">
        <v>2366</v>
      </c>
      <c r="E181" s="566" t="s">
        <v>2367</v>
      </c>
      <c r="F181" s="690" t="s">
        <v>2368</v>
      </c>
      <c r="G181" s="565" t="s">
        <v>2364</v>
      </c>
      <c r="H181" s="565" t="s">
        <v>2365</v>
      </c>
      <c r="I181" s="565" t="s">
        <v>2366</v>
      </c>
      <c r="J181" s="566" t="s">
        <v>2367</v>
      </c>
      <c r="K181" s="690" t="s">
        <v>2368</v>
      </c>
    </row>
    <row r="182" customFormat="false" ht="15" hidden="false" customHeight="false" outlineLevel="0" collapsed="false">
      <c r="B182" s="565" t="n">
        <v>1</v>
      </c>
      <c r="C182" s="565" t="n">
        <v>2</v>
      </c>
      <c r="D182" s="565" t="n">
        <v>3</v>
      </c>
      <c r="E182" s="565" t="n">
        <v>4</v>
      </c>
      <c r="F182" s="565" t="n">
        <v>5</v>
      </c>
      <c r="G182" s="565" t="n">
        <v>1</v>
      </c>
      <c r="H182" s="565" t="n">
        <v>2</v>
      </c>
      <c r="I182" s="565" t="n">
        <v>3</v>
      </c>
      <c r="J182" s="565" t="n">
        <v>4</v>
      </c>
      <c r="K182" s="565" t="n">
        <v>5</v>
      </c>
    </row>
    <row r="184" customFormat="false" ht="15" hidden="false" customHeight="false" outlineLevel="0" collapsed="false">
      <c r="F184" s="574"/>
    </row>
    <row r="185" customFormat="false" ht="15" hidden="false" customHeight="false" outlineLevel="0" collapsed="false">
      <c r="E185" s="691"/>
    </row>
    <row r="187" customFormat="false" ht="15" hidden="false" customHeight="false" outlineLevel="0" collapsed="false">
      <c r="A187" s="566" t="s">
        <v>243</v>
      </c>
      <c r="B187" s="566" t="s">
        <v>2369</v>
      </c>
      <c r="C187" s="566" t="s">
        <v>2370</v>
      </c>
      <c r="D187" s="566" t="s">
        <v>2371</v>
      </c>
      <c r="E187" s="566" t="s">
        <v>779</v>
      </c>
      <c r="F187" s="565" t="s">
        <v>324</v>
      </c>
      <c r="G187" s="565" t="s">
        <v>2372</v>
      </c>
    </row>
    <row r="188" customFormat="false" ht="115.65" hidden="false" customHeight="false" outlineLevel="0" collapsed="false">
      <c r="A188" s="566" t="n">
        <v>1</v>
      </c>
      <c r="B188" s="566" t="s">
        <v>2373</v>
      </c>
      <c r="C188" s="566" t="s">
        <v>2374</v>
      </c>
      <c r="D188" s="566" t="s">
        <v>2375</v>
      </c>
      <c r="E188" s="566" t="n">
        <v>8</v>
      </c>
      <c r="F188" s="565" t="s">
        <v>2376</v>
      </c>
      <c r="G188" s="565" t="n">
        <v>8</v>
      </c>
    </row>
    <row r="189" customFormat="false" ht="102.95" hidden="false" customHeight="false" outlineLevel="0" collapsed="false">
      <c r="A189" s="566" t="n">
        <v>2</v>
      </c>
      <c r="B189" s="566" t="s">
        <v>2377</v>
      </c>
      <c r="C189" s="566" t="s">
        <v>2378</v>
      </c>
      <c r="D189" s="566" t="s">
        <v>2379</v>
      </c>
      <c r="E189" s="566" t="n">
        <v>7</v>
      </c>
      <c r="G189" s="565" t="n">
        <v>0</v>
      </c>
    </row>
    <row r="190" customFormat="false" ht="26.85" hidden="false" customHeight="false" outlineLevel="0" collapsed="false">
      <c r="A190" s="566" t="n">
        <v>3</v>
      </c>
      <c r="B190" s="566" t="s">
        <v>2380</v>
      </c>
      <c r="C190" s="566" t="s">
        <v>2381</v>
      </c>
      <c r="D190" s="566" t="s">
        <v>2382</v>
      </c>
      <c r="E190" s="566" t="n">
        <v>6</v>
      </c>
      <c r="G190" s="565" t="n">
        <v>0</v>
      </c>
    </row>
    <row r="191" customFormat="false" ht="64.9" hidden="false" customHeight="false" outlineLevel="0" collapsed="false">
      <c r="A191" s="566" t="n">
        <v>4</v>
      </c>
      <c r="B191" s="566" t="s">
        <v>2383</v>
      </c>
      <c r="C191" s="566" t="s">
        <v>2384</v>
      </c>
      <c r="D191" s="566" t="s">
        <v>2385</v>
      </c>
      <c r="E191" s="566" t="n">
        <v>5</v>
      </c>
      <c r="G191" s="565" t="n">
        <v>0</v>
      </c>
    </row>
    <row r="192" customFormat="false" ht="39.55" hidden="false" customHeight="false" outlineLevel="0" collapsed="false">
      <c r="A192" s="566" t="n">
        <v>5</v>
      </c>
      <c r="B192" s="566" t="s">
        <v>889</v>
      </c>
      <c r="C192" s="566" t="s">
        <v>2386</v>
      </c>
      <c r="D192" s="566" t="s">
        <v>2387</v>
      </c>
      <c r="E192" s="566" t="n">
        <v>4</v>
      </c>
      <c r="G192" s="565" t="n">
        <v>2</v>
      </c>
    </row>
    <row r="193" customFormat="false" ht="102.95" hidden="false" customHeight="false" outlineLevel="0" collapsed="false">
      <c r="A193" s="566" t="n">
        <v>6</v>
      </c>
      <c r="B193" s="566" t="s">
        <v>2388</v>
      </c>
      <c r="C193" s="566" t="s">
        <v>2389</v>
      </c>
      <c r="D193" s="566" t="s">
        <v>2390</v>
      </c>
      <c r="E193" s="566" t="n">
        <v>3</v>
      </c>
      <c r="F193" s="565" t="s">
        <v>395</v>
      </c>
      <c r="G193" s="565" t="n">
        <v>3</v>
      </c>
    </row>
    <row r="194" customFormat="false" ht="305.95" hidden="false" customHeight="false" outlineLevel="0" collapsed="false">
      <c r="A194" s="566" t="n">
        <v>7</v>
      </c>
      <c r="B194" s="566" t="s">
        <v>2391</v>
      </c>
      <c r="C194" s="566" t="s">
        <v>2392</v>
      </c>
      <c r="D194" s="566" t="s">
        <v>2393</v>
      </c>
      <c r="E194" s="566" t="n">
        <v>2</v>
      </c>
      <c r="G194" s="565" t="n">
        <v>1</v>
      </c>
    </row>
    <row r="195" customFormat="false" ht="116.25" hidden="false" customHeight="true" outlineLevel="0" collapsed="false">
      <c r="A195" s="566" t="n">
        <v>8</v>
      </c>
      <c r="B195" s="566" t="s">
        <v>1306</v>
      </c>
      <c r="C195" s="566" t="s">
        <v>2394</v>
      </c>
      <c r="D195" s="566" t="s">
        <v>2395</v>
      </c>
      <c r="E195" s="566" t="n">
        <v>1</v>
      </c>
      <c r="G195" s="565" t="n">
        <v>0.5</v>
      </c>
    </row>
    <row r="196" customFormat="false" ht="113.25" hidden="false" customHeight="true" outlineLevel="0" collapsed="false">
      <c r="A196" s="566" t="n">
        <v>9</v>
      </c>
      <c r="B196" s="566" t="s">
        <v>2396</v>
      </c>
      <c r="C196" s="656" t="s">
        <v>2397</v>
      </c>
      <c r="D196" s="656" t="s">
        <v>2398</v>
      </c>
      <c r="E196" s="656" t="s">
        <v>2399</v>
      </c>
      <c r="F196" s="656"/>
      <c r="G196" s="656"/>
      <c r="H196" s="656"/>
      <c r="I196" s="656"/>
      <c r="J196" s="656"/>
      <c r="K196" s="656"/>
      <c r="L196" s="656"/>
      <c r="M196" s="656"/>
    </row>
    <row r="197" customFormat="false" ht="191.75" hidden="false" customHeight="false" outlineLevel="0" collapsed="false">
      <c r="A197" s="566" t="n">
        <v>10</v>
      </c>
      <c r="B197" s="656" t="s">
        <v>2400</v>
      </c>
      <c r="C197" s="656" t="s">
        <v>2401</v>
      </c>
      <c r="D197" s="656" t="s">
        <v>2402</v>
      </c>
      <c r="E197" s="656" t="s">
        <v>2399</v>
      </c>
      <c r="F197" s="656"/>
      <c r="G197" s="656"/>
      <c r="H197" s="656"/>
      <c r="I197" s="656"/>
      <c r="J197" s="656"/>
      <c r="K197" s="656"/>
      <c r="L197" s="656"/>
    </row>
    <row r="198" customFormat="false" ht="115.65" hidden="false" customHeight="false" outlineLevel="0" collapsed="false">
      <c r="A198" s="566" t="n">
        <v>11</v>
      </c>
      <c r="B198" s="566" t="s">
        <v>2403</v>
      </c>
      <c r="C198" s="566" t="s">
        <v>2404</v>
      </c>
      <c r="D198" s="566" t="s">
        <v>2405</v>
      </c>
      <c r="E198" s="566" t="s">
        <v>2399</v>
      </c>
    </row>
    <row r="199" customFormat="false" ht="39.55" hidden="false" customHeight="false" outlineLevel="0" collapsed="false">
      <c r="A199" s="566" t="n">
        <v>12</v>
      </c>
      <c r="B199" s="566" t="s">
        <v>2406</v>
      </c>
      <c r="C199" s="566" t="s">
        <v>2407</v>
      </c>
      <c r="D199" s="566" t="s">
        <v>2408</v>
      </c>
      <c r="E199" s="566" t="s">
        <v>2399</v>
      </c>
    </row>
    <row r="200" customFormat="false" ht="26.85" hidden="false" customHeight="false" outlineLevel="0" collapsed="false">
      <c r="A200" s="566" t="n">
        <v>13</v>
      </c>
      <c r="B200" s="566" t="s">
        <v>2409</v>
      </c>
      <c r="C200" s="566" t="s">
        <v>2410</v>
      </c>
      <c r="D200" s="566" t="s">
        <v>2411</v>
      </c>
      <c r="E200" s="566" t="s">
        <v>2399</v>
      </c>
    </row>
    <row r="201" customFormat="false" ht="15" hidden="false" customHeight="false" outlineLevel="0" collapsed="false">
      <c r="B201" s="566"/>
      <c r="C201" s="566"/>
      <c r="D201" s="566"/>
    </row>
    <row r="202" customFormat="false" ht="15" hidden="false" customHeight="false" outlineLevel="0" collapsed="false">
      <c r="A202" s="566" t="s">
        <v>320</v>
      </c>
      <c r="B202" s="692" t="s">
        <v>2412</v>
      </c>
      <c r="C202" s="565" t="s">
        <v>2413</v>
      </c>
      <c r="D202" s="566" t="s">
        <v>2414</v>
      </c>
    </row>
    <row r="203" customFormat="false" ht="15" hidden="false" customHeight="false" outlineLevel="0" collapsed="false">
      <c r="A203" s="566"/>
      <c r="B203" s="566"/>
      <c r="C203" s="566"/>
      <c r="D203" s="566"/>
    </row>
    <row r="204" customFormat="false" ht="15" hidden="false" customHeight="false" outlineLevel="0" collapsed="false">
      <c r="A204" s="693" t="s">
        <v>2415</v>
      </c>
      <c r="B204" s="693" t="s">
        <v>2416</v>
      </c>
      <c r="C204" s="693" t="s">
        <v>2417</v>
      </c>
      <c r="D204" s="693" t="s">
        <v>2418</v>
      </c>
    </row>
    <row r="205" customFormat="false" ht="15" hidden="false" customHeight="false" outlineLevel="0" collapsed="false">
      <c r="A205" s="581" t="s">
        <v>2419</v>
      </c>
      <c r="B205" s="581" t="s">
        <v>2420</v>
      </c>
      <c r="C205" s="581" t="s">
        <v>2421</v>
      </c>
      <c r="D205" s="581" t="s">
        <v>2422</v>
      </c>
    </row>
    <row r="206" customFormat="false" ht="15" hidden="false" customHeight="false" outlineLevel="0" collapsed="false">
      <c r="A206" s="581" t="s">
        <v>2423</v>
      </c>
      <c r="B206" s="581" t="s">
        <v>2424</v>
      </c>
      <c r="C206" s="581" t="s">
        <v>2425</v>
      </c>
      <c r="D206" s="581" t="s">
        <v>2426</v>
      </c>
    </row>
    <row r="207" customFormat="false" ht="13.5" hidden="false" customHeight="true" outlineLevel="0" collapsed="false">
      <c r="A207" s="581" t="s">
        <v>2427</v>
      </c>
      <c r="B207" s="581" t="s">
        <v>2428</v>
      </c>
      <c r="C207" s="581" t="s">
        <v>2429</v>
      </c>
      <c r="D207" s="581" t="s">
        <v>2430</v>
      </c>
    </row>
    <row r="208" customFormat="false" ht="13.5" hidden="false" customHeight="true" outlineLevel="0" collapsed="false">
      <c r="A208" s="694" t="s">
        <v>2431</v>
      </c>
      <c r="B208" s="694"/>
      <c r="C208" s="694"/>
      <c r="D208" s="581"/>
    </row>
    <row r="209" customFormat="false" ht="13.5" hidden="false" customHeight="true" outlineLevel="0" collapsed="false">
      <c r="A209" s="694" t="s">
        <v>2432</v>
      </c>
      <c r="B209" s="694"/>
      <c r="C209" s="694"/>
      <c r="D209" s="581"/>
    </row>
    <row r="210" customFormat="false" ht="26.85" hidden="false" customHeight="false" outlineLevel="0" collapsed="false">
      <c r="A210" s="694" t="s">
        <v>2433</v>
      </c>
      <c r="B210" s="694"/>
      <c r="C210" s="694"/>
      <c r="D210" s="581"/>
    </row>
    <row r="211" customFormat="false" ht="90.25" hidden="false" customHeight="false" outlineLevel="0" collapsed="false">
      <c r="A211" s="695" t="s">
        <v>2434</v>
      </c>
      <c r="B211" s="695"/>
      <c r="C211" s="695"/>
      <c r="D211" s="581"/>
    </row>
    <row r="212" customFormat="false" ht="12.75" hidden="false" customHeight="true" outlineLevel="0" collapsed="false">
      <c r="A212" s="695"/>
      <c r="B212" s="695"/>
      <c r="C212" s="695"/>
    </row>
    <row r="213" s="599" customFormat="true" ht="14.25" hidden="false" customHeight="true" outlineLevel="0" collapsed="false">
      <c r="A213" s="696" t="s">
        <v>2435</v>
      </c>
      <c r="B213" s="696"/>
      <c r="C213" s="565"/>
      <c r="D213" s="565"/>
      <c r="E213" s="566"/>
      <c r="F213" s="565"/>
      <c r="G213" s="565"/>
      <c r="H213" s="565"/>
      <c r="I213" s="565"/>
      <c r="J213" s="565"/>
      <c r="K213" s="565"/>
      <c r="L213" s="565"/>
      <c r="M213" s="565"/>
      <c r="N213" s="565"/>
      <c r="O213" s="565"/>
      <c r="P213" s="565"/>
      <c r="Q213" s="565"/>
      <c r="R213" s="565"/>
      <c r="S213" s="565"/>
      <c r="T213" s="565"/>
      <c r="U213" s="565"/>
      <c r="V213" s="565"/>
      <c r="W213" s="565"/>
      <c r="X213" s="565"/>
      <c r="Y213" s="565"/>
      <c r="Z213" s="567"/>
      <c r="AA213" s="567"/>
      <c r="AB213" s="565"/>
      <c r="AC213" s="565"/>
      <c r="AD213" s="565"/>
      <c r="AE213" s="565"/>
      <c r="AF213" s="565"/>
      <c r="AG213" s="565"/>
      <c r="AH213" s="565"/>
      <c r="AI213" s="565"/>
      <c r="AJ213" s="565"/>
      <c r="AK213" s="565"/>
      <c r="AL213" s="565"/>
      <c r="AM213" s="565"/>
      <c r="AN213" s="565"/>
      <c r="AO213" s="565"/>
      <c r="AP213" s="565"/>
      <c r="AQ213" s="565"/>
      <c r="AR213" s="565"/>
      <c r="AS213" s="565"/>
      <c r="BF213" s="697"/>
      <c r="BG213" s="697"/>
      <c r="IV213" s="698"/>
    </row>
    <row r="214" customFormat="false" ht="26.85" hidden="false" customHeight="false" outlineLevel="0" collapsed="false">
      <c r="A214" s="699"/>
      <c r="B214" s="599" t="s">
        <v>2436</v>
      </c>
      <c r="C214" s="599" t="s">
        <v>2437</v>
      </c>
      <c r="D214" s="700" t="s">
        <v>2438</v>
      </c>
      <c r="E214" s="599" t="s">
        <v>2439</v>
      </c>
      <c r="F214" s="599" t="s">
        <v>2440</v>
      </c>
      <c r="G214" s="599" t="s">
        <v>2440</v>
      </c>
      <c r="H214" s="701" t="s">
        <v>595</v>
      </c>
      <c r="I214" s="701" t="s">
        <v>2441</v>
      </c>
      <c r="J214" s="701" t="s">
        <v>2442</v>
      </c>
      <c r="K214" s="599" t="s">
        <v>2443</v>
      </c>
      <c r="L214" s="599" t="s">
        <v>548</v>
      </c>
      <c r="M214" s="698" t="s">
        <v>2444</v>
      </c>
      <c r="N214" s="599" t="s">
        <v>2445</v>
      </c>
      <c r="O214" s="599" t="s">
        <v>2446</v>
      </c>
      <c r="P214" s="599" t="s">
        <v>2447</v>
      </c>
      <c r="Q214" s="702" t="s">
        <v>2448</v>
      </c>
      <c r="R214" s="703" t="s">
        <v>2449</v>
      </c>
      <c r="S214" s="599" t="s">
        <v>2450</v>
      </c>
      <c r="T214" s="599" t="s">
        <v>2451</v>
      </c>
      <c r="U214" s="599" t="s">
        <v>2452</v>
      </c>
      <c r="V214" s="599" t="s">
        <v>2452</v>
      </c>
      <c r="W214" s="599" t="s">
        <v>2453</v>
      </c>
      <c r="X214" s="599" t="s">
        <v>2454</v>
      </c>
      <c r="Y214" s="599" t="s">
        <v>2455</v>
      </c>
      <c r="Z214" s="620" t="s">
        <v>2456</v>
      </c>
      <c r="AA214" s="620" t="s">
        <v>2457</v>
      </c>
      <c r="AB214" s="599" t="s">
        <v>2458</v>
      </c>
      <c r="AC214" s="599" t="s">
        <v>2459</v>
      </c>
      <c r="AD214" s="599" t="s">
        <v>2460</v>
      </c>
      <c r="AE214" s="599" t="s">
        <v>2461</v>
      </c>
      <c r="AF214" s="599" t="s">
        <v>2462</v>
      </c>
      <c r="AG214" s="599" t="s">
        <v>2463</v>
      </c>
      <c r="AH214" s="599"/>
      <c r="AI214" s="599"/>
      <c r="AJ214" s="599"/>
      <c r="AK214" s="599"/>
      <c r="AL214" s="599"/>
      <c r="AM214" s="599"/>
      <c r="AN214" s="599"/>
      <c r="AO214" s="599"/>
      <c r="AP214" s="599"/>
      <c r="AQ214" s="599"/>
      <c r="AR214" s="599"/>
      <c r="IU214" s="618"/>
    </row>
    <row r="215" customFormat="false" ht="15" hidden="false" customHeight="false" outlineLevel="0" collapsed="false">
      <c r="A215" s="704" t="n">
        <v>1</v>
      </c>
      <c r="B215" s="705" t="s">
        <v>2464</v>
      </c>
      <c r="C215" s="706" t="s">
        <v>2465</v>
      </c>
      <c r="D215" s="707" t="s">
        <v>2466</v>
      </c>
      <c r="E215" s="708" t="s">
        <v>2467</v>
      </c>
      <c r="F215" s="618" t="s">
        <v>1355</v>
      </c>
      <c r="G215" s="708" t="s">
        <v>1356</v>
      </c>
      <c r="H215" s="709" t="s">
        <v>158</v>
      </c>
      <c r="I215" s="709" t="s">
        <v>2468</v>
      </c>
      <c r="J215" s="709" t="s">
        <v>2469</v>
      </c>
      <c r="K215" s="565" t="s">
        <v>165</v>
      </c>
      <c r="L215" s="565" t="n">
        <f aca="false">12/4</f>
        <v>3</v>
      </c>
      <c r="M215" s="618" t="s">
        <v>2470</v>
      </c>
      <c r="N215" s="565" t="n">
        <v>0</v>
      </c>
      <c r="O215" s="565" t="s">
        <v>2471</v>
      </c>
      <c r="P215" s="565" t="s">
        <v>2472</v>
      </c>
      <c r="Q215" s="565" t="s">
        <v>158</v>
      </c>
      <c r="R215" s="618" t="n">
        <v>1</v>
      </c>
      <c r="S215" s="570" t="s">
        <v>166</v>
      </c>
      <c r="T215" s="570" t="n">
        <v>7</v>
      </c>
      <c r="U215" s="710" t="s">
        <v>2473</v>
      </c>
      <c r="V215" s="351" t="s">
        <v>2474</v>
      </c>
      <c r="W215" s="63" t="n">
        <v>0</v>
      </c>
      <c r="X215" s="711" t="n">
        <v>1</v>
      </c>
      <c r="Y215" s="565" t="s">
        <v>2475</v>
      </c>
      <c r="Z215" s="567" t="s">
        <v>2476</v>
      </c>
      <c r="AA215" s="712" t="s">
        <v>2477</v>
      </c>
      <c r="AB215" s="713" t="s">
        <v>2478</v>
      </c>
      <c r="AC215" s="565" t="s">
        <v>2479</v>
      </c>
      <c r="AD215" s="565" t="s">
        <v>2480</v>
      </c>
      <c r="AE215" s="565" t="s">
        <v>2481</v>
      </c>
      <c r="AF215" s="565" t="s">
        <v>2482</v>
      </c>
      <c r="IU215" s="618"/>
    </row>
    <row r="216" customFormat="false" ht="15" hidden="false" customHeight="false" outlineLevel="0" collapsed="false">
      <c r="A216" s="714" t="n">
        <v>2</v>
      </c>
      <c r="B216" s="715" t="s">
        <v>2483</v>
      </c>
      <c r="C216" s="708" t="s">
        <v>2484</v>
      </c>
      <c r="D216" s="707" t="s">
        <v>2485</v>
      </c>
      <c r="E216" s="708" t="s">
        <v>2486</v>
      </c>
      <c r="F216" s="618" t="s">
        <v>1390</v>
      </c>
      <c r="G216" s="708" t="s">
        <v>1391</v>
      </c>
      <c r="H216" s="709" t="s">
        <v>159</v>
      </c>
      <c r="I216" s="709" t="s">
        <v>2487</v>
      </c>
      <c r="J216" s="709" t="s">
        <v>2488</v>
      </c>
      <c r="K216" s="565" t="s">
        <v>165</v>
      </c>
      <c r="L216" s="565" t="n">
        <f aca="false">12/4</f>
        <v>3</v>
      </c>
      <c r="M216" s="618" t="s">
        <v>639</v>
      </c>
      <c r="N216" s="565" t="n">
        <f aca="false">N215+13+1/3</f>
        <v>13.3333333333333</v>
      </c>
      <c r="O216" s="565" t="s">
        <v>2489</v>
      </c>
      <c r="P216" s="565" t="s">
        <v>2490</v>
      </c>
      <c r="Q216" s="565" t="s">
        <v>159</v>
      </c>
      <c r="R216" s="618" t="n">
        <v>2</v>
      </c>
      <c r="S216" s="570" t="s">
        <v>163</v>
      </c>
      <c r="T216" s="570" t="n">
        <v>20</v>
      </c>
      <c r="U216" s="710" t="s">
        <v>2491</v>
      </c>
      <c r="V216" s="351" t="s">
        <v>2492</v>
      </c>
      <c r="W216" s="63" t="n">
        <v>0.5</v>
      </c>
      <c r="X216" s="711" t="n">
        <v>2</v>
      </c>
      <c r="Y216" s="565" t="s">
        <v>2493</v>
      </c>
      <c r="Z216" s="567" t="s">
        <v>2494</v>
      </c>
      <c r="AA216" s="712" t="s">
        <v>2495</v>
      </c>
      <c r="AB216" s="713" t="s">
        <v>2496</v>
      </c>
      <c r="AC216" s="565" t="s">
        <v>2497</v>
      </c>
      <c r="AD216" s="565" t="s">
        <v>2498</v>
      </c>
      <c r="AE216" s="565" t="s">
        <v>2499</v>
      </c>
      <c r="AF216" s="565" t="s">
        <v>2500</v>
      </c>
      <c r="IU216" s="618"/>
    </row>
    <row r="217" customFormat="false" ht="15" hidden="false" customHeight="false" outlineLevel="0" collapsed="false">
      <c r="A217" s="714" t="n">
        <v>3</v>
      </c>
      <c r="B217" s="715" t="s">
        <v>1979</v>
      </c>
      <c r="C217" s="708" t="s">
        <v>2501</v>
      </c>
      <c r="D217" s="707" t="s">
        <v>2502</v>
      </c>
      <c r="E217" s="708" t="s">
        <v>2503</v>
      </c>
      <c r="F217" s="618" t="s">
        <v>1420</v>
      </c>
      <c r="G217" s="708" t="s">
        <v>1421</v>
      </c>
      <c r="H217" s="709" t="s">
        <v>160</v>
      </c>
      <c r="I217" s="709" t="s">
        <v>2504</v>
      </c>
      <c r="J217" s="709" t="s">
        <v>2505</v>
      </c>
      <c r="K217" s="565" t="s">
        <v>163</v>
      </c>
      <c r="L217" s="565" t="n">
        <f aca="false">21/3</f>
        <v>7</v>
      </c>
      <c r="M217" s="618" t="s">
        <v>640</v>
      </c>
      <c r="N217" s="565" t="n">
        <f aca="false">N216+13+1/3</f>
        <v>26.6666666666667</v>
      </c>
      <c r="O217" s="565" t="s">
        <v>2506</v>
      </c>
      <c r="P217" s="565" t="s">
        <v>2507</v>
      </c>
      <c r="Q217" s="565" t="s">
        <v>160</v>
      </c>
      <c r="R217" s="618" t="n">
        <v>3</v>
      </c>
      <c r="S217" s="570" t="s">
        <v>158</v>
      </c>
      <c r="T217" s="570" t="n">
        <v>6</v>
      </c>
      <c r="U217" s="710" t="s">
        <v>2508</v>
      </c>
      <c r="V217" s="351" t="s">
        <v>2509</v>
      </c>
      <c r="W217" s="63" t="n">
        <v>0.67</v>
      </c>
      <c r="X217" s="711" t="n">
        <v>3</v>
      </c>
      <c r="Y217" s="565" t="s">
        <v>2510</v>
      </c>
      <c r="Z217" s="567" t="s">
        <v>2511</v>
      </c>
      <c r="AA217" s="712" t="s">
        <v>2512</v>
      </c>
      <c r="AB217" s="713" t="s">
        <v>2513</v>
      </c>
      <c r="AC217" s="565" t="s">
        <v>2514</v>
      </c>
      <c r="AD217" s="565" t="s">
        <v>2515</v>
      </c>
      <c r="AE217" s="565" t="s">
        <v>2516</v>
      </c>
      <c r="AF217" s="565" t="s">
        <v>2517</v>
      </c>
      <c r="AG217" s="565" t="s">
        <v>2366</v>
      </c>
      <c r="IU217" s="618"/>
    </row>
    <row r="218" customFormat="false" ht="15" hidden="false" customHeight="false" outlineLevel="0" collapsed="false">
      <c r="A218" s="714" t="n">
        <v>4</v>
      </c>
      <c r="B218" s="705" t="s">
        <v>2518</v>
      </c>
      <c r="C218" s="706" t="s">
        <v>2519</v>
      </c>
      <c r="D218" s="707" t="s">
        <v>2520</v>
      </c>
      <c r="E218" s="708" t="s">
        <v>2521</v>
      </c>
      <c r="F218" s="618" t="s">
        <v>1446</v>
      </c>
      <c r="G218" s="708" t="s">
        <v>1447</v>
      </c>
      <c r="H218" s="709" t="s">
        <v>161</v>
      </c>
      <c r="I218" s="709" t="s">
        <v>2522</v>
      </c>
      <c r="J218" s="709" t="s">
        <v>2523</v>
      </c>
      <c r="K218" s="565" t="s">
        <v>163</v>
      </c>
      <c r="L218" s="565" t="n">
        <f aca="false">21/3</f>
        <v>7</v>
      </c>
      <c r="M218" s="618" t="s">
        <v>641</v>
      </c>
      <c r="N218" s="565" t="n">
        <f aca="false">N217+13+1/3</f>
        <v>40</v>
      </c>
      <c r="O218" s="565" t="s">
        <v>2524</v>
      </c>
      <c r="P218" s="565" t="s">
        <v>2525</v>
      </c>
      <c r="Q218" s="565" t="s">
        <v>161</v>
      </c>
      <c r="R218" s="618" t="n">
        <v>4</v>
      </c>
      <c r="S218" s="570" t="s">
        <v>159</v>
      </c>
      <c r="T218" s="570" t="n">
        <v>10</v>
      </c>
      <c r="U218" s="710" t="s">
        <v>2526</v>
      </c>
      <c r="V218" s="351" t="s">
        <v>2527</v>
      </c>
      <c r="W218" s="63" t="n">
        <v>0.75</v>
      </c>
      <c r="X218" s="711" t="n">
        <v>4</v>
      </c>
      <c r="Y218" s="565" t="s">
        <v>2528</v>
      </c>
      <c r="Z218" s="567" t="s">
        <v>2529</v>
      </c>
      <c r="AA218" s="712" t="s">
        <v>2530</v>
      </c>
      <c r="AB218" s="713" t="s">
        <v>2531</v>
      </c>
      <c r="AC218" s="565" t="s">
        <v>2532</v>
      </c>
      <c r="AD218" s="565" t="s">
        <v>2533</v>
      </c>
      <c r="AE218" s="565" t="s">
        <v>2534</v>
      </c>
      <c r="AF218" s="565" t="s">
        <v>2535</v>
      </c>
      <c r="AG218" s="565" t="s">
        <v>2536</v>
      </c>
      <c r="IU218" s="618"/>
    </row>
    <row r="219" customFormat="false" ht="15" hidden="false" customHeight="false" outlineLevel="0" collapsed="false">
      <c r="A219" s="714" t="n">
        <v>5</v>
      </c>
      <c r="B219" s="715" t="s">
        <v>2537</v>
      </c>
      <c r="C219" s="708" t="s">
        <v>2538</v>
      </c>
      <c r="D219" s="707" t="s">
        <v>2539</v>
      </c>
      <c r="E219" s="708" t="s">
        <v>2540</v>
      </c>
      <c r="F219" s="618" t="s">
        <v>1474</v>
      </c>
      <c r="G219" s="708" t="s">
        <v>1475</v>
      </c>
      <c r="H219" s="709" t="s">
        <v>162</v>
      </c>
      <c r="I219" s="709" t="s">
        <v>2541</v>
      </c>
      <c r="J219" s="709" t="s">
        <v>2542</v>
      </c>
      <c r="K219" s="565" t="s">
        <v>163</v>
      </c>
      <c r="L219" s="565" t="n">
        <f aca="false">21/3</f>
        <v>7</v>
      </c>
      <c r="M219" s="618" t="s">
        <v>642</v>
      </c>
      <c r="N219" s="565" t="n">
        <f aca="false">N218+13+1/3</f>
        <v>53.3333333333333</v>
      </c>
      <c r="O219" s="565" t="s">
        <v>2543</v>
      </c>
      <c r="P219" s="565" t="s">
        <v>2544</v>
      </c>
      <c r="Q219" s="565" t="s">
        <v>162</v>
      </c>
      <c r="R219" s="565" t="n">
        <v>5</v>
      </c>
      <c r="S219" s="570" t="s">
        <v>160</v>
      </c>
      <c r="T219" s="570" t="n">
        <v>7</v>
      </c>
      <c r="U219" s="710" t="s">
        <v>2545</v>
      </c>
      <c r="V219" s="351" t="s">
        <v>2546</v>
      </c>
      <c r="W219" s="63" t="n">
        <v>1</v>
      </c>
      <c r="X219" s="711" t="n">
        <v>5</v>
      </c>
      <c r="Y219" s="565" t="s">
        <v>2547</v>
      </c>
      <c r="Z219" s="567" t="s">
        <v>2548</v>
      </c>
      <c r="AA219" s="712" t="s">
        <v>2549</v>
      </c>
      <c r="AB219" s="713" t="s">
        <v>2550</v>
      </c>
      <c r="AC219" s="565" t="s">
        <v>2551</v>
      </c>
      <c r="AD219" s="565" t="s">
        <v>2552</v>
      </c>
      <c r="AE219" s="565" t="s">
        <v>2553</v>
      </c>
      <c r="AF219" s="565" t="s">
        <v>991</v>
      </c>
      <c r="AG219" s="565" t="s">
        <v>2554</v>
      </c>
      <c r="IU219" s="618"/>
    </row>
    <row r="220" customFormat="false" ht="15" hidden="false" customHeight="false" outlineLevel="0" collapsed="false">
      <c r="A220" s="714" t="n">
        <v>6</v>
      </c>
      <c r="B220" s="715" t="s">
        <v>2555</v>
      </c>
      <c r="C220" s="708" t="s">
        <v>2556</v>
      </c>
      <c r="D220" s="707" t="s">
        <v>2557</v>
      </c>
      <c r="E220" s="708" t="s">
        <v>2558</v>
      </c>
      <c r="F220" s="618" t="s">
        <v>1497</v>
      </c>
      <c r="G220" s="708" t="s">
        <v>1498</v>
      </c>
      <c r="H220" s="709" t="s">
        <v>163</v>
      </c>
      <c r="I220" s="709" t="s">
        <v>2559</v>
      </c>
      <c r="J220" s="709" t="s">
        <v>2560</v>
      </c>
      <c r="K220" s="565" t="s">
        <v>158</v>
      </c>
      <c r="L220" s="565" t="n">
        <f aca="false">6/4</f>
        <v>1.5</v>
      </c>
      <c r="M220" s="618" t="s">
        <v>557</v>
      </c>
      <c r="N220" s="565" t="n">
        <f aca="false">N219+13+1/3</f>
        <v>66.6666666666667</v>
      </c>
      <c r="O220" s="565" t="s">
        <v>2561</v>
      </c>
      <c r="P220" s="565" t="s">
        <v>2562</v>
      </c>
      <c r="Q220" s="565" t="s">
        <v>163</v>
      </c>
      <c r="R220" s="565" t="n">
        <v>6</v>
      </c>
      <c r="S220" s="570" t="s">
        <v>165</v>
      </c>
      <c r="T220" s="570" t="n">
        <v>18</v>
      </c>
      <c r="U220" s="710" t="s">
        <v>2563</v>
      </c>
      <c r="V220" s="351" t="s">
        <v>2564</v>
      </c>
      <c r="W220" s="63" t="n">
        <v>1.11</v>
      </c>
      <c r="X220" s="711" t="n">
        <v>6</v>
      </c>
      <c r="Y220" s="565" t="s">
        <v>2565</v>
      </c>
      <c r="Z220" s="567" t="s">
        <v>2566</v>
      </c>
      <c r="AA220" s="712" t="s">
        <v>2567</v>
      </c>
      <c r="AB220" s="713" t="s">
        <v>2568</v>
      </c>
      <c r="AC220" s="565" t="s">
        <v>2569</v>
      </c>
      <c r="AD220" s="565" t="s">
        <v>2570</v>
      </c>
      <c r="AE220" s="565" t="s">
        <v>2571</v>
      </c>
      <c r="AF220" s="565" t="s">
        <v>927</v>
      </c>
      <c r="AG220" s="565" t="s">
        <v>2572</v>
      </c>
      <c r="IU220" s="618"/>
    </row>
    <row r="221" customFormat="false" ht="15" hidden="false" customHeight="false" outlineLevel="0" collapsed="false">
      <c r="A221" s="714" t="n">
        <v>7</v>
      </c>
      <c r="B221" s="715" t="s">
        <v>2573</v>
      </c>
      <c r="C221" s="708" t="s">
        <v>2574</v>
      </c>
      <c r="D221" s="707" t="s">
        <v>2575</v>
      </c>
      <c r="E221" s="708" t="s">
        <v>2576</v>
      </c>
      <c r="F221" s="618" t="s">
        <v>1521</v>
      </c>
      <c r="G221" s="708" t="s">
        <v>1522</v>
      </c>
      <c r="H221" s="709" t="s">
        <v>164</v>
      </c>
      <c r="I221" s="709" t="s">
        <v>2577</v>
      </c>
      <c r="J221" s="709" t="s">
        <v>2578</v>
      </c>
      <c r="K221" s="565" t="s">
        <v>158</v>
      </c>
      <c r="L221" s="565" t="n">
        <f aca="false">6/4</f>
        <v>1.5</v>
      </c>
      <c r="M221" s="618" t="s">
        <v>643</v>
      </c>
      <c r="N221" s="565" t="n">
        <f aca="false">N220+13+1/3</f>
        <v>80</v>
      </c>
      <c r="O221" s="565" t="s">
        <v>2579</v>
      </c>
      <c r="P221" s="565" t="s">
        <v>2580</v>
      </c>
      <c r="Q221" s="565" t="s">
        <v>164</v>
      </c>
      <c r="R221" s="565" t="n">
        <v>7</v>
      </c>
      <c r="S221" s="570" t="s">
        <v>162</v>
      </c>
      <c r="T221" s="570" t="n">
        <v>16</v>
      </c>
      <c r="U221" s="710" t="s">
        <v>2581</v>
      </c>
      <c r="V221" s="351" t="s">
        <v>2582</v>
      </c>
      <c r="W221" s="63" t="n">
        <v>1.25</v>
      </c>
      <c r="X221" s="711" t="n">
        <v>7</v>
      </c>
      <c r="Y221" s="565" t="s">
        <v>2583</v>
      </c>
      <c r="Z221" s="567" t="s">
        <v>2584</v>
      </c>
      <c r="AA221" s="712" t="s">
        <v>2585</v>
      </c>
      <c r="AB221" s="713" t="s">
        <v>2586</v>
      </c>
      <c r="AC221" s="565" t="s">
        <v>2587</v>
      </c>
      <c r="AD221" s="565" t="s">
        <v>2588</v>
      </c>
      <c r="AE221" s="565" t="s">
        <v>2589</v>
      </c>
      <c r="AF221" s="565" t="s">
        <v>2590</v>
      </c>
      <c r="IU221" s="618"/>
    </row>
    <row r="222" customFormat="false" ht="15" hidden="false" customHeight="false" outlineLevel="0" collapsed="false">
      <c r="A222" s="714" t="n">
        <v>8</v>
      </c>
      <c r="B222" s="705" t="s">
        <v>2591</v>
      </c>
      <c r="C222" s="706" t="s">
        <v>2592</v>
      </c>
      <c r="D222" s="707" t="s">
        <v>2593</v>
      </c>
      <c r="E222" s="708" t="s">
        <v>2594</v>
      </c>
      <c r="F222" s="618" t="s">
        <v>1541</v>
      </c>
      <c r="G222" s="708" t="s">
        <v>1542</v>
      </c>
      <c r="H222" s="709" t="s">
        <v>165</v>
      </c>
      <c r="I222" s="709" t="s">
        <v>2595</v>
      </c>
      <c r="J222" s="709" t="s">
        <v>2596</v>
      </c>
      <c r="K222" s="565" t="s">
        <v>158</v>
      </c>
      <c r="L222" s="565" t="n">
        <f aca="false">6/4</f>
        <v>1.5</v>
      </c>
      <c r="M222" s="618" t="s">
        <v>566</v>
      </c>
      <c r="N222" s="565" t="n">
        <f aca="false">N221+13+1/3</f>
        <v>93.3333333333333</v>
      </c>
      <c r="O222" s="565" t="s">
        <v>2597</v>
      </c>
      <c r="P222" s="565" t="s">
        <v>2598</v>
      </c>
      <c r="Q222" s="565" t="s">
        <v>165</v>
      </c>
      <c r="R222" s="565" t="n">
        <v>8</v>
      </c>
      <c r="S222" s="570" t="s">
        <v>164</v>
      </c>
      <c r="T222" s="570" t="n">
        <v>19</v>
      </c>
      <c r="U222" s="710" t="s">
        <v>2599</v>
      </c>
      <c r="V222" s="351" t="s">
        <v>2600</v>
      </c>
      <c r="W222" s="63" t="n">
        <v>1.33</v>
      </c>
      <c r="X222" s="711" t="n">
        <v>8</v>
      </c>
      <c r="Y222" s="565" t="s">
        <v>2601</v>
      </c>
      <c r="Z222" s="567" t="s">
        <v>2602</v>
      </c>
      <c r="AA222" s="712" t="s">
        <v>2603</v>
      </c>
      <c r="AB222" s="713" t="s">
        <v>2604</v>
      </c>
      <c r="AC222" s="565" t="s">
        <v>2605</v>
      </c>
      <c r="AD222" s="565" t="s">
        <v>2606</v>
      </c>
      <c r="AE222" s="565" t="s">
        <v>2607</v>
      </c>
      <c r="AF222" s="565" t="s">
        <v>2608</v>
      </c>
      <c r="AG222" s="565" t="s">
        <v>2609</v>
      </c>
      <c r="IU222" s="618"/>
    </row>
    <row r="223" customFormat="false" ht="15" hidden="false" customHeight="false" outlineLevel="0" collapsed="false">
      <c r="A223" s="714" t="n">
        <v>9</v>
      </c>
      <c r="B223" s="715" t="s">
        <v>2610</v>
      </c>
      <c r="C223" s="708" t="s">
        <v>2611</v>
      </c>
      <c r="D223" s="707" t="s">
        <v>2612</v>
      </c>
      <c r="E223" s="708" t="s">
        <v>2613</v>
      </c>
      <c r="F223" s="618" t="s">
        <v>1557</v>
      </c>
      <c r="G223" s="708" t="s">
        <v>1558</v>
      </c>
      <c r="H223" s="709" t="s">
        <v>166</v>
      </c>
      <c r="I223" s="709" t="s">
        <v>2614</v>
      </c>
      <c r="J223" s="709" t="s">
        <v>2615</v>
      </c>
      <c r="K223" s="565" t="s">
        <v>158</v>
      </c>
      <c r="L223" s="565" t="n">
        <f aca="false">6/4</f>
        <v>1.5</v>
      </c>
      <c r="M223" s="618" t="s">
        <v>644</v>
      </c>
      <c r="N223" s="565" t="n">
        <f aca="false">N222+13+1/3</f>
        <v>106.666666666667</v>
      </c>
      <c r="O223" s="565" t="s">
        <v>2616</v>
      </c>
      <c r="P223" s="565" t="s">
        <v>2617</v>
      </c>
      <c r="Q223" s="565" t="s">
        <v>166</v>
      </c>
      <c r="R223" s="565" t="n">
        <v>9</v>
      </c>
      <c r="S223" s="570" t="s">
        <v>161</v>
      </c>
      <c r="T223" s="570" t="n">
        <v>17</v>
      </c>
      <c r="U223" s="710" t="s">
        <v>2618</v>
      </c>
      <c r="V223" s="351" t="s">
        <v>2619</v>
      </c>
      <c r="W223" s="63" t="n">
        <v>1.5</v>
      </c>
      <c r="X223" s="711" t="n">
        <v>9</v>
      </c>
      <c r="Y223" s="565" t="s">
        <v>2620</v>
      </c>
      <c r="Z223" s="567" t="s">
        <v>2621</v>
      </c>
      <c r="AA223" s="712" t="s">
        <v>2622</v>
      </c>
      <c r="AB223" s="713" t="s">
        <v>2623</v>
      </c>
      <c r="AC223" s="565" t="s">
        <v>2624</v>
      </c>
      <c r="AD223" s="565" t="s">
        <v>2625</v>
      </c>
      <c r="AE223" s="565" t="s">
        <v>2626</v>
      </c>
      <c r="AF223" s="565" t="s">
        <v>2627</v>
      </c>
      <c r="AG223" s="565" t="s">
        <v>2628</v>
      </c>
      <c r="IU223" s="618"/>
    </row>
    <row r="224" customFormat="false" ht="15" hidden="false" customHeight="false" outlineLevel="0" collapsed="false">
      <c r="A224" s="714" t="n">
        <v>10</v>
      </c>
      <c r="B224" s="715" t="s">
        <v>2629</v>
      </c>
      <c r="C224" s="708" t="s">
        <v>2630</v>
      </c>
      <c r="D224" s="707" t="s">
        <v>2631</v>
      </c>
      <c r="E224" s="708" t="s">
        <v>2632</v>
      </c>
      <c r="F224" s="618" t="s">
        <v>1574</v>
      </c>
      <c r="G224" s="708" t="s">
        <v>1575</v>
      </c>
      <c r="H224" s="709"/>
      <c r="I224" s="709" t="s">
        <v>2633</v>
      </c>
      <c r="J224" s="709" t="s">
        <v>2634</v>
      </c>
      <c r="K224" s="565" t="s">
        <v>1471</v>
      </c>
      <c r="L224" s="565" t="n">
        <f aca="false">15/3</f>
        <v>5</v>
      </c>
      <c r="M224" s="618" t="s">
        <v>645</v>
      </c>
      <c r="N224" s="565" t="n">
        <f aca="false">N223+13+1/3</f>
        <v>120</v>
      </c>
      <c r="O224" s="565" t="s">
        <v>2635</v>
      </c>
      <c r="P224" s="565" t="s">
        <v>2636</v>
      </c>
      <c r="U224" s="710" t="s">
        <v>2637</v>
      </c>
      <c r="V224" s="351" t="s">
        <v>2638</v>
      </c>
      <c r="W224" s="63" t="n">
        <v>1.88</v>
      </c>
      <c r="X224" s="711" t="n">
        <v>10</v>
      </c>
      <c r="Y224" s="565" t="s">
        <v>2639</v>
      </c>
      <c r="Z224" s="567" t="s">
        <v>2640</v>
      </c>
      <c r="AA224" s="712" t="s">
        <v>2503</v>
      </c>
      <c r="AB224" s="713" t="s">
        <v>2641</v>
      </c>
      <c r="AC224" s="565" t="s">
        <v>2642</v>
      </c>
      <c r="AD224" s="565" t="s">
        <v>2643</v>
      </c>
      <c r="AE224" s="565" t="s">
        <v>2644</v>
      </c>
      <c r="AF224" s="565" t="s">
        <v>2645</v>
      </c>
      <c r="IU224" s="618"/>
    </row>
    <row r="225" customFormat="false" ht="15" hidden="false" customHeight="false" outlineLevel="0" collapsed="false">
      <c r="A225" s="714" t="n">
        <v>11</v>
      </c>
      <c r="B225" s="715" t="s">
        <v>2646</v>
      </c>
      <c r="C225" s="708" t="s">
        <v>2647</v>
      </c>
      <c r="D225" s="707" t="s">
        <v>2648</v>
      </c>
      <c r="E225" s="708" t="s">
        <v>2649</v>
      </c>
      <c r="F225" s="618" t="s">
        <v>1593</v>
      </c>
      <c r="G225" s="708" t="s">
        <v>1594</v>
      </c>
      <c r="H225" s="709"/>
      <c r="I225" s="709" t="s">
        <v>2650</v>
      </c>
      <c r="J225" s="709" t="s">
        <v>2651</v>
      </c>
      <c r="K225" s="565" t="s">
        <v>1471</v>
      </c>
      <c r="L225" s="565" t="n">
        <f aca="false">15/3</f>
        <v>5</v>
      </c>
      <c r="M225" s="618" t="s">
        <v>2652</v>
      </c>
      <c r="N225" s="565" t="n">
        <f aca="false">N224+13+1/3</f>
        <v>133.333333333333</v>
      </c>
      <c r="O225" s="565" t="s">
        <v>2653</v>
      </c>
      <c r="P225" s="565" t="s">
        <v>2654</v>
      </c>
      <c r="U225" s="710" t="s">
        <v>2655</v>
      </c>
      <c r="V225" s="351" t="s">
        <v>2656</v>
      </c>
      <c r="W225" s="63" t="n">
        <v>2</v>
      </c>
      <c r="X225" s="711" t="n">
        <v>11</v>
      </c>
      <c r="Y225" s="565" t="s">
        <v>2657</v>
      </c>
      <c r="Z225" s="567" t="s">
        <v>2658</v>
      </c>
      <c r="AA225" s="712" t="s">
        <v>2659</v>
      </c>
      <c r="AB225" s="713" t="s">
        <v>2660</v>
      </c>
      <c r="AC225" s="565" t="s">
        <v>2661</v>
      </c>
      <c r="AD225" s="565" t="s">
        <v>2662</v>
      </c>
      <c r="AE225" s="565" t="s">
        <v>2663</v>
      </c>
      <c r="AF225" s="565" t="s">
        <v>2664</v>
      </c>
      <c r="AG225" s="565" t="s">
        <v>2665</v>
      </c>
      <c r="IU225" s="618"/>
    </row>
    <row r="226" customFormat="false" ht="15" hidden="false" customHeight="false" outlineLevel="0" collapsed="false">
      <c r="A226" s="714" t="n">
        <v>12</v>
      </c>
      <c r="B226" s="705" t="s">
        <v>2666</v>
      </c>
      <c r="C226" s="706" t="s">
        <v>2667</v>
      </c>
      <c r="D226" s="707" t="s">
        <v>2668</v>
      </c>
      <c r="E226" s="708" t="s">
        <v>2669</v>
      </c>
      <c r="F226" s="618" t="s">
        <v>1614</v>
      </c>
      <c r="G226" s="708" t="s">
        <v>1615</v>
      </c>
      <c r="H226" s="709"/>
      <c r="I226" s="709" t="s">
        <v>2670</v>
      </c>
      <c r="J226" s="709" t="s">
        <v>2671</v>
      </c>
      <c r="K226" s="565" t="s">
        <v>1471</v>
      </c>
      <c r="L226" s="565" t="n">
        <f aca="false">15/3</f>
        <v>5</v>
      </c>
      <c r="M226" s="618" t="s">
        <v>2672</v>
      </c>
      <c r="N226" s="565" t="n">
        <f aca="false">N225+13+1/3</f>
        <v>146.666666666667</v>
      </c>
      <c r="O226" s="565" t="s">
        <v>2673</v>
      </c>
      <c r="P226" s="565" t="s">
        <v>1123</v>
      </c>
      <c r="U226" s="710" t="s">
        <v>2674</v>
      </c>
      <c r="V226" s="351" t="s">
        <v>2675</v>
      </c>
      <c r="W226" s="63" t="n">
        <v>2.22</v>
      </c>
      <c r="X226" s="711" t="n">
        <v>12</v>
      </c>
      <c r="Y226" s="565" t="s">
        <v>2676</v>
      </c>
      <c r="Z226" s="567" t="s">
        <v>2677</v>
      </c>
      <c r="AA226" s="712" t="s">
        <v>2678</v>
      </c>
      <c r="AB226" s="713" t="s">
        <v>2679</v>
      </c>
      <c r="AC226" s="565" t="s">
        <v>2680</v>
      </c>
      <c r="AD226" s="565" t="s">
        <v>2681</v>
      </c>
      <c r="AE226" s="565" t="s">
        <v>2682</v>
      </c>
      <c r="AF226" s="565" t="s">
        <v>1676</v>
      </c>
      <c r="AG226" s="565" t="s">
        <v>2683</v>
      </c>
      <c r="IU226" s="618"/>
    </row>
    <row r="227" customFormat="false" ht="15" hidden="false" customHeight="false" outlineLevel="0" collapsed="false">
      <c r="A227" s="714" t="n">
        <v>13</v>
      </c>
      <c r="B227" s="715" t="s">
        <v>2684</v>
      </c>
      <c r="C227" s="708" t="s">
        <v>2685</v>
      </c>
      <c r="D227" s="707" t="s">
        <v>2686</v>
      </c>
      <c r="E227" s="708" t="s">
        <v>2687</v>
      </c>
      <c r="F227" s="618" t="s">
        <v>1635</v>
      </c>
      <c r="G227" s="708" t="s">
        <v>1636</v>
      </c>
      <c r="K227" s="565" t="s">
        <v>160</v>
      </c>
      <c r="L227" s="565" t="n">
        <f aca="false">8/4</f>
        <v>2</v>
      </c>
      <c r="M227" s="618" t="s">
        <v>648</v>
      </c>
      <c r="N227" s="565" t="n">
        <f aca="false">N226+13+1/3</f>
        <v>160</v>
      </c>
      <c r="U227" s="710" t="s">
        <v>2688</v>
      </c>
      <c r="V227" s="351" t="s">
        <v>2689</v>
      </c>
      <c r="W227" s="63" t="n">
        <v>2.25</v>
      </c>
      <c r="X227" s="711" t="n">
        <v>13</v>
      </c>
      <c r="Y227" s="565" t="s">
        <v>2690</v>
      </c>
      <c r="Z227" s="567" t="s">
        <v>2691</v>
      </c>
      <c r="AA227" s="712" t="s">
        <v>2692</v>
      </c>
      <c r="IV227" s="618"/>
    </row>
    <row r="228" customFormat="false" ht="15" hidden="false" customHeight="false" outlineLevel="0" collapsed="false">
      <c r="A228" s="714" t="n">
        <v>14</v>
      </c>
      <c r="B228" s="715" t="s">
        <v>2693</v>
      </c>
      <c r="C228" s="708" t="s">
        <v>2694</v>
      </c>
      <c r="D228" s="707" t="s">
        <v>2695</v>
      </c>
      <c r="E228" s="708" t="s">
        <v>2696</v>
      </c>
      <c r="F228" s="618" t="s">
        <v>1653</v>
      </c>
      <c r="G228" s="708" t="s">
        <v>1654</v>
      </c>
      <c r="K228" s="565" t="s">
        <v>160</v>
      </c>
      <c r="L228" s="565" t="n">
        <f aca="false">8/4</f>
        <v>2</v>
      </c>
      <c r="M228" s="618" t="s">
        <v>649</v>
      </c>
      <c r="N228" s="565" t="n">
        <f aca="false">N227+13+1/3</f>
        <v>173.333333333333</v>
      </c>
      <c r="U228" s="710" t="s">
        <v>2697</v>
      </c>
      <c r="V228" s="351" t="s">
        <v>2698</v>
      </c>
      <c r="W228" s="63" t="n">
        <v>2.5</v>
      </c>
      <c r="X228" s="711" t="n">
        <v>14</v>
      </c>
      <c r="Y228" s="565" t="s">
        <v>2699</v>
      </c>
      <c r="Z228" s="567" t="s">
        <v>2700</v>
      </c>
      <c r="AA228" s="712" t="s">
        <v>2701</v>
      </c>
      <c r="IV228" s="618"/>
    </row>
    <row r="229" customFormat="false" ht="15" hidden="false" customHeight="false" outlineLevel="0" collapsed="false">
      <c r="A229" s="714" t="n">
        <v>15</v>
      </c>
      <c r="B229" s="715" t="s">
        <v>2702</v>
      </c>
      <c r="C229" s="708" t="s">
        <v>2703</v>
      </c>
      <c r="D229" s="707" t="s">
        <v>2704</v>
      </c>
      <c r="E229" s="708" t="s">
        <v>2701</v>
      </c>
      <c r="F229" s="618" t="s">
        <v>1669</v>
      </c>
      <c r="G229" s="708" t="s">
        <v>1670</v>
      </c>
      <c r="K229" s="565" t="s">
        <v>160</v>
      </c>
      <c r="L229" s="565" t="n">
        <f aca="false">8/4</f>
        <v>2</v>
      </c>
      <c r="M229" s="618" t="s">
        <v>592</v>
      </c>
      <c r="N229" s="565" t="n">
        <f aca="false">N228+13+1/3</f>
        <v>186.666666666667</v>
      </c>
      <c r="U229" s="710" t="s">
        <v>2705</v>
      </c>
      <c r="V229" s="351" t="s">
        <v>2706</v>
      </c>
      <c r="W229" s="63" t="n">
        <v>2.67</v>
      </c>
      <c r="X229" s="711" t="n">
        <v>15</v>
      </c>
      <c r="Y229" s="565" t="s">
        <v>2707</v>
      </c>
      <c r="Z229" s="567" t="s">
        <v>2708</v>
      </c>
      <c r="AA229" s="712" t="s">
        <v>2709</v>
      </c>
      <c r="IV229" s="618"/>
    </row>
    <row r="230" customFormat="false" ht="15" hidden="false" customHeight="false" outlineLevel="0" collapsed="false">
      <c r="A230" s="714" t="n">
        <v>16</v>
      </c>
      <c r="B230" s="715" t="s">
        <v>2710</v>
      </c>
      <c r="C230" s="708" t="s">
        <v>2711</v>
      </c>
      <c r="D230" s="707" t="s">
        <v>2712</v>
      </c>
      <c r="E230" s="708" t="s">
        <v>2713</v>
      </c>
      <c r="F230" s="618" t="s">
        <v>1685</v>
      </c>
      <c r="G230" s="708" t="s">
        <v>1686</v>
      </c>
      <c r="K230" s="565" t="s">
        <v>160</v>
      </c>
      <c r="L230" s="565" t="n">
        <f aca="false">8/4</f>
        <v>2</v>
      </c>
      <c r="M230" s="618" t="s">
        <v>650</v>
      </c>
      <c r="N230" s="565" t="n">
        <f aca="false">N229+13+1/3</f>
        <v>200</v>
      </c>
      <c r="U230" s="710" t="s">
        <v>2714</v>
      </c>
      <c r="V230" s="351" t="s">
        <v>2715</v>
      </c>
      <c r="W230" s="63" t="n">
        <v>3</v>
      </c>
      <c r="X230" s="711" t="n">
        <v>16</v>
      </c>
      <c r="Y230" s="565" t="s">
        <v>2716</v>
      </c>
      <c r="Z230" s="567" t="s">
        <v>2717</v>
      </c>
      <c r="AA230" s="712" t="s">
        <v>2718</v>
      </c>
      <c r="IV230" s="618"/>
    </row>
    <row r="231" customFormat="false" ht="15" hidden="false" customHeight="false" outlineLevel="0" collapsed="false">
      <c r="A231" s="714" t="n">
        <v>17</v>
      </c>
      <c r="B231" s="715" t="s">
        <v>2719</v>
      </c>
      <c r="C231" s="708" t="s">
        <v>2720</v>
      </c>
      <c r="D231" s="707" t="s">
        <v>2721</v>
      </c>
      <c r="E231" s="708" t="s">
        <v>2722</v>
      </c>
      <c r="F231" s="618" t="s">
        <v>1704</v>
      </c>
      <c r="G231" s="708" t="s">
        <v>1705</v>
      </c>
      <c r="K231" s="565" t="s">
        <v>161</v>
      </c>
      <c r="L231" s="565" t="n">
        <f aca="false">17/3</f>
        <v>5.66666666666667</v>
      </c>
      <c r="M231" s="618" t="s">
        <v>581</v>
      </c>
      <c r="N231" s="565" t="n">
        <f aca="false">N230+13+1/3</f>
        <v>213.333333333333</v>
      </c>
      <c r="U231" s="710" t="s">
        <v>2723</v>
      </c>
      <c r="V231" s="351" t="s">
        <v>2724</v>
      </c>
      <c r="W231" s="63" t="n">
        <v>3.33</v>
      </c>
      <c r="X231" s="711" t="n">
        <v>17</v>
      </c>
      <c r="Y231" s="565" t="s">
        <v>2725</v>
      </c>
      <c r="Z231" s="567" t="s">
        <v>2726</v>
      </c>
      <c r="AA231" s="712" t="s">
        <v>2727</v>
      </c>
      <c r="IV231" s="618"/>
    </row>
    <row r="232" customFormat="false" ht="15" hidden="false" customHeight="false" outlineLevel="0" collapsed="false">
      <c r="A232" s="714" t="n">
        <v>18</v>
      </c>
      <c r="B232" s="715" t="s">
        <v>1979</v>
      </c>
      <c r="C232" s="708" t="s">
        <v>2728</v>
      </c>
      <c r="D232" s="707" t="s">
        <v>2729</v>
      </c>
      <c r="E232" s="708" t="s">
        <v>2730</v>
      </c>
      <c r="F232" s="618" t="s">
        <v>1720</v>
      </c>
      <c r="G232" s="708" t="s">
        <v>1721</v>
      </c>
      <c r="K232" s="565" t="s">
        <v>161</v>
      </c>
      <c r="L232" s="565" t="n">
        <f aca="false">17/3</f>
        <v>5.66666666666667</v>
      </c>
      <c r="M232" s="618" t="s">
        <v>651</v>
      </c>
      <c r="N232" s="565" t="n">
        <f aca="false">N231+13+1/3</f>
        <v>226.666666666667</v>
      </c>
      <c r="U232" s="710" t="s">
        <v>2731</v>
      </c>
      <c r="V232" s="351" t="s">
        <v>2732</v>
      </c>
      <c r="W232" s="63" t="n">
        <v>3.5</v>
      </c>
      <c r="X232" s="711" t="n">
        <v>18</v>
      </c>
      <c r="Y232" s="565" t="s">
        <v>2733</v>
      </c>
      <c r="Z232" s="567" t="s">
        <v>2734</v>
      </c>
      <c r="AA232" s="712" t="s">
        <v>2735</v>
      </c>
      <c r="IV232" s="618"/>
    </row>
    <row r="233" customFormat="false" ht="15" hidden="false" customHeight="false" outlineLevel="0" collapsed="false">
      <c r="A233" s="714" t="n">
        <v>19</v>
      </c>
      <c r="B233" s="705" t="s">
        <v>2736</v>
      </c>
      <c r="C233" s="706" t="s">
        <v>2737</v>
      </c>
      <c r="D233" s="707" t="s">
        <v>2738</v>
      </c>
      <c r="E233" s="708" t="s">
        <v>2739</v>
      </c>
      <c r="F233" s="618" t="s">
        <v>1734</v>
      </c>
      <c r="G233" s="708" t="s">
        <v>1735</v>
      </c>
      <c r="K233" s="565" t="s">
        <v>161</v>
      </c>
      <c r="L233" s="565" t="n">
        <f aca="false">17/3</f>
        <v>5.66666666666667</v>
      </c>
      <c r="M233" s="618" t="s">
        <v>652</v>
      </c>
      <c r="N233" s="565" t="n">
        <f aca="false">N232+13+1/3</f>
        <v>240</v>
      </c>
      <c r="U233" s="710" t="s">
        <v>2740</v>
      </c>
      <c r="V233" s="351" t="s">
        <v>2741</v>
      </c>
      <c r="W233" s="63" t="n">
        <v>3.75</v>
      </c>
      <c r="X233" s="711" t="n">
        <v>19</v>
      </c>
      <c r="Y233" s="565" t="s">
        <v>2742</v>
      </c>
      <c r="Z233" s="567" t="s">
        <v>2743</v>
      </c>
      <c r="AA233" s="712" t="s">
        <v>2744</v>
      </c>
      <c r="IV233" s="618"/>
    </row>
    <row r="234" customFormat="false" ht="15" hidden="false" customHeight="false" outlineLevel="0" collapsed="false">
      <c r="A234" s="714" t="n">
        <v>20</v>
      </c>
      <c r="B234" s="716" t="s">
        <v>2745</v>
      </c>
      <c r="C234" s="587" t="s">
        <v>2746</v>
      </c>
      <c r="D234" s="707" t="s">
        <v>2747</v>
      </c>
      <c r="E234" s="708" t="s">
        <v>2748</v>
      </c>
      <c r="F234" s="618" t="s">
        <v>1754</v>
      </c>
      <c r="G234" s="708" t="s">
        <v>1755</v>
      </c>
      <c r="K234" s="565" t="s">
        <v>164</v>
      </c>
      <c r="L234" s="565" t="n">
        <f aca="false">10/4</f>
        <v>2.5</v>
      </c>
      <c r="M234" s="618" t="s">
        <v>653</v>
      </c>
      <c r="N234" s="565" t="n">
        <f aca="false">N233+13+1/3</f>
        <v>253.333333333333</v>
      </c>
      <c r="U234" s="710" t="s">
        <v>2749</v>
      </c>
      <c r="V234" s="351" t="s">
        <v>2750</v>
      </c>
      <c r="W234" s="63" t="n">
        <v>4</v>
      </c>
      <c r="X234" s="711" t="n">
        <v>20</v>
      </c>
      <c r="Y234" s="565" t="s">
        <v>2751</v>
      </c>
      <c r="Z234" s="567" t="s">
        <v>2752</v>
      </c>
      <c r="AA234" s="712" t="s">
        <v>2753</v>
      </c>
      <c r="IV234" s="618"/>
    </row>
    <row r="235" customFormat="false" ht="15" hidden="false" customHeight="false" outlineLevel="0" collapsed="false">
      <c r="A235" s="714" t="n">
        <v>21</v>
      </c>
      <c r="B235" s="716" t="s">
        <v>2754</v>
      </c>
      <c r="C235" s="708" t="s">
        <v>2755</v>
      </c>
      <c r="D235" s="707" t="s">
        <v>2756</v>
      </c>
      <c r="E235" s="708" t="s">
        <v>2757</v>
      </c>
      <c r="F235" s="618" t="s">
        <v>1774</v>
      </c>
      <c r="G235" s="708" t="s">
        <v>1775</v>
      </c>
      <c r="K235" s="565" t="s">
        <v>164</v>
      </c>
      <c r="L235" s="565" t="n">
        <f aca="false">10/4</f>
        <v>2.5</v>
      </c>
      <c r="M235" s="565" t="s">
        <v>654</v>
      </c>
      <c r="N235" s="565" t="n">
        <f aca="false">N234+13+1/3</f>
        <v>266.666666666667</v>
      </c>
      <c r="U235" s="710" t="s">
        <v>2758</v>
      </c>
      <c r="V235" s="351" t="s">
        <v>2759</v>
      </c>
      <c r="W235" s="63" t="n">
        <v>4.29</v>
      </c>
      <c r="X235" s="711" t="n">
        <v>21</v>
      </c>
      <c r="Y235" s="565" t="s">
        <v>2760</v>
      </c>
      <c r="Z235" s="567" t="s">
        <v>2761</v>
      </c>
      <c r="AA235" s="712" t="s">
        <v>2762</v>
      </c>
      <c r="IV235" s="618"/>
    </row>
    <row r="236" customFormat="false" ht="15" hidden="false" customHeight="false" outlineLevel="0" collapsed="false">
      <c r="A236" s="714" t="n">
        <v>22</v>
      </c>
      <c r="B236" s="716" t="s">
        <v>2763</v>
      </c>
      <c r="C236" s="587" t="s">
        <v>2764</v>
      </c>
      <c r="D236" s="707" t="s">
        <v>2765</v>
      </c>
      <c r="E236" s="708" t="s">
        <v>2766</v>
      </c>
      <c r="F236" s="618" t="s">
        <v>1787</v>
      </c>
      <c r="G236" s="708" t="s">
        <v>2767</v>
      </c>
      <c r="K236" s="565" t="s">
        <v>164</v>
      </c>
      <c r="L236" s="565" t="n">
        <f aca="false">10/4</f>
        <v>2.5</v>
      </c>
      <c r="M236" s="565" t="s">
        <v>2768</v>
      </c>
      <c r="N236" s="565" t="n">
        <f aca="false">N235+(13+1/3)*0.75</f>
        <v>276.666666666667</v>
      </c>
      <c r="U236" s="710" t="s">
        <v>2769</v>
      </c>
      <c r="V236" s="351" t="s">
        <v>2770</v>
      </c>
      <c r="W236" s="63" t="n">
        <v>4.44</v>
      </c>
      <c r="X236" s="711" t="n">
        <v>22</v>
      </c>
      <c r="Y236" s="565" t="s">
        <v>2771</v>
      </c>
      <c r="Z236" s="567" t="s">
        <v>2772</v>
      </c>
      <c r="AA236" s="712" t="s">
        <v>2773</v>
      </c>
      <c r="IV236" s="618"/>
    </row>
    <row r="237" customFormat="false" ht="15" hidden="false" customHeight="false" outlineLevel="0" collapsed="false">
      <c r="A237" s="714" t="n">
        <v>23</v>
      </c>
      <c r="B237" s="717" t="s">
        <v>2774</v>
      </c>
      <c r="C237" s="718" t="s">
        <v>2775</v>
      </c>
      <c r="D237" s="707" t="s">
        <v>2776</v>
      </c>
      <c r="E237" s="708" t="s">
        <v>2777</v>
      </c>
      <c r="F237" s="618" t="s">
        <v>1793</v>
      </c>
      <c r="G237" s="708" t="s">
        <v>1794</v>
      </c>
      <c r="K237" s="565" t="s">
        <v>164</v>
      </c>
      <c r="L237" s="565" t="n">
        <f aca="false">10/4</f>
        <v>2.5</v>
      </c>
      <c r="M237" s="565" t="s">
        <v>2778</v>
      </c>
      <c r="N237" s="565" t="n">
        <f aca="false">N235+(13+1/3)/15</f>
        <v>267.555555555556</v>
      </c>
      <c r="U237" s="710" t="s">
        <v>2779</v>
      </c>
      <c r="V237" s="351" t="s">
        <v>2780</v>
      </c>
      <c r="W237" s="63" t="n">
        <v>4.5</v>
      </c>
      <c r="X237" s="711" t="n">
        <v>23</v>
      </c>
      <c r="Y237" s="565" t="s">
        <v>2781</v>
      </c>
      <c r="Z237" s="567" t="s">
        <v>2782</v>
      </c>
      <c r="AA237" s="712" t="s">
        <v>2783</v>
      </c>
      <c r="IV237" s="618"/>
    </row>
    <row r="238" customFormat="false" ht="15" hidden="false" customHeight="false" outlineLevel="0" collapsed="false">
      <c r="A238" s="714" t="n">
        <v>24</v>
      </c>
      <c r="B238" s="716" t="s">
        <v>2784</v>
      </c>
      <c r="C238" s="587" t="s">
        <v>2785</v>
      </c>
      <c r="D238" s="707" t="s">
        <v>2786</v>
      </c>
      <c r="E238" s="708" t="s">
        <v>2787</v>
      </c>
      <c r="F238" s="618" t="s">
        <v>1812</v>
      </c>
      <c r="G238" s="708" t="s">
        <v>1813</v>
      </c>
      <c r="K238" s="565" t="s">
        <v>162</v>
      </c>
      <c r="L238" s="565" t="n">
        <f aca="false">19/3</f>
        <v>6.33333333333333</v>
      </c>
      <c r="M238" s="565" t="s">
        <v>657</v>
      </c>
      <c r="N238" s="565" t="n">
        <f aca="false">N235+(13+1/3)*2</f>
        <v>293.333333333333</v>
      </c>
      <c r="U238" s="710" t="s">
        <v>2788</v>
      </c>
      <c r="V238" s="351" t="s">
        <v>2789</v>
      </c>
      <c r="W238" s="63" t="n">
        <v>4.67</v>
      </c>
      <c r="X238" s="711" t="n">
        <v>24</v>
      </c>
      <c r="Y238" s="565" t="s">
        <v>2790</v>
      </c>
      <c r="Z238" s="567" t="s">
        <v>2791</v>
      </c>
      <c r="AA238" s="712" t="s">
        <v>2792</v>
      </c>
      <c r="IV238" s="618"/>
    </row>
    <row r="239" customFormat="false" ht="15" hidden="false" customHeight="false" outlineLevel="0" collapsed="false">
      <c r="A239" s="714" t="n">
        <v>25</v>
      </c>
      <c r="B239" s="717" t="s">
        <v>2793</v>
      </c>
      <c r="C239" s="706" t="s">
        <v>2794</v>
      </c>
      <c r="D239" s="707" t="s">
        <v>2795</v>
      </c>
      <c r="E239" s="708" t="s">
        <v>2796</v>
      </c>
      <c r="F239" s="618" t="s">
        <v>1832</v>
      </c>
      <c r="G239" s="708" t="s">
        <v>1833</v>
      </c>
      <c r="K239" s="565" t="s">
        <v>162</v>
      </c>
      <c r="L239" s="565" t="n">
        <f aca="false">19/3</f>
        <v>6.33333333333333</v>
      </c>
      <c r="M239" s="565" t="s">
        <v>658</v>
      </c>
      <c r="N239" s="565" t="n">
        <f aca="false">N238+13+1/3</f>
        <v>306.666666666667</v>
      </c>
      <c r="U239" s="710" t="s">
        <v>2797</v>
      </c>
      <c r="V239" s="351" t="s">
        <v>2798</v>
      </c>
      <c r="W239" s="63" t="n">
        <v>5</v>
      </c>
      <c r="X239" s="711" t="n">
        <v>25</v>
      </c>
      <c r="Y239" s="565" t="s">
        <v>2799</v>
      </c>
      <c r="Z239" s="567" t="s">
        <v>2800</v>
      </c>
      <c r="AA239" s="712" t="s">
        <v>2512</v>
      </c>
      <c r="IV239" s="618"/>
    </row>
    <row r="240" customFormat="false" ht="26.85" hidden="false" customHeight="false" outlineLevel="0" collapsed="false">
      <c r="A240" s="618" t="n">
        <v>26</v>
      </c>
      <c r="B240" s="717" t="s">
        <v>2801</v>
      </c>
      <c r="C240" s="706" t="s">
        <v>2802</v>
      </c>
      <c r="D240" s="707" t="s">
        <v>2803</v>
      </c>
      <c r="E240" s="708" t="s">
        <v>2804</v>
      </c>
      <c r="F240" s="618" t="s">
        <v>1848</v>
      </c>
      <c r="G240" s="708" t="s">
        <v>1849</v>
      </c>
      <c r="K240" s="565" t="s">
        <v>162</v>
      </c>
      <c r="L240" s="565" t="n">
        <f aca="false">19/3</f>
        <v>6.33333333333333</v>
      </c>
      <c r="M240" s="565" t="s">
        <v>659</v>
      </c>
      <c r="N240" s="565" t="n">
        <f aca="false">N239+13+1/3</f>
        <v>320</v>
      </c>
      <c r="U240" s="710" t="s">
        <v>2805</v>
      </c>
      <c r="V240" s="351" t="s">
        <v>2806</v>
      </c>
      <c r="W240" s="63" t="n">
        <v>5.25</v>
      </c>
      <c r="X240" s="711" t="n">
        <v>26</v>
      </c>
      <c r="Y240" s="565" t="s">
        <v>2807</v>
      </c>
      <c r="Z240" s="567" t="s">
        <v>2808</v>
      </c>
      <c r="AA240" s="712" t="s">
        <v>2809</v>
      </c>
      <c r="IV240" s="618"/>
    </row>
    <row r="241" customFormat="false" ht="15" hidden="false" customHeight="false" outlineLevel="0" collapsed="false">
      <c r="A241" s="618" t="n">
        <v>27</v>
      </c>
      <c r="B241" s="716" t="s">
        <v>2810</v>
      </c>
      <c r="C241" s="708" t="s">
        <v>2811</v>
      </c>
      <c r="D241" s="707" t="s">
        <v>2812</v>
      </c>
      <c r="E241" s="708" t="s">
        <v>2813</v>
      </c>
      <c r="F241" s="618" t="s">
        <v>1866</v>
      </c>
      <c r="G241" s="708" t="s">
        <v>1867</v>
      </c>
      <c r="K241" s="565" t="s">
        <v>165</v>
      </c>
      <c r="L241" s="565" t="n">
        <f aca="false">12/4</f>
        <v>3</v>
      </c>
      <c r="M241" s="565" t="s">
        <v>660</v>
      </c>
      <c r="N241" s="565" t="n">
        <f aca="false">N240+13+1/3</f>
        <v>333.333333333333</v>
      </c>
      <c r="U241" s="710" t="s">
        <v>2814</v>
      </c>
      <c r="V241" s="351" t="s">
        <v>2815</v>
      </c>
      <c r="W241" s="63" t="n">
        <v>5.33</v>
      </c>
      <c r="X241" s="711" t="n">
        <v>27</v>
      </c>
      <c r="Y241" s="565" t="s">
        <v>2816</v>
      </c>
      <c r="Z241" s="567" t="s">
        <v>2817</v>
      </c>
      <c r="AA241" s="712" t="s">
        <v>2818</v>
      </c>
      <c r="IV241" s="618"/>
    </row>
    <row r="242" customFormat="false" ht="15" hidden="false" customHeight="false" outlineLevel="0" collapsed="false">
      <c r="A242" s="618" t="n">
        <v>28</v>
      </c>
      <c r="B242" s="716" t="s">
        <v>1974</v>
      </c>
      <c r="C242" s="708" t="s">
        <v>2819</v>
      </c>
      <c r="D242" s="707"/>
      <c r="E242" s="565"/>
      <c r="F242" s="618" t="s">
        <v>1877</v>
      </c>
      <c r="G242" s="708" t="s">
        <v>1878</v>
      </c>
      <c r="K242" s="565" t="s">
        <v>165</v>
      </c>
      <c r="L242" s="565" t="n">
        <f aca="false">12/4</f>
        <v>3</v>
      </c>
      <c r="M242" s="565" t="s">
        <v>574</v>
      </c>
      <c r="N242" s="565" t="n">
        <f aca="false">N241+13+1/3</f>
        <v>346.666666666667</v>
      </c>
      <c r="U242" s="710" t="s">
        <v>2820</v>
      </c>
      <c r="V242" s="351" t="s">
        <v>2821</v>
      </c>
      <c r="W242" s="63" t="n">
        <v>5.5</v>
      </c>
      <c r="X242" s="711" t="n">
        <v>28</v>
      </c>
      <c r="Y242" s="565" t="s">
        <v>2822</v>
      </c>
      <c r="Z242" s="567" t="s">
        <v>2823</v>
      </c>
      <c r="AA242" s="712" t="s">
        <v>2824</v>
      </c>
      <c r="IV242" s="618"/>
    </row>
    <row r="243" customFormat="false" ht="15" hidden="false" customHeight="false" outlineLevel="0" collapsed="false">
      <c r="A243" s="618" t="n">
        <v>29</v>
      </c>
      <c r="B243" s="716" t="s">
        <v>2825</v>
      </c>
      <c r="C243" s="708" t="s">
        <v>2826</v>
      </c>
      <c r="D243" s="566"/>
      <c r="E243" s="565"/>
      <c r="F243" s="618"/>
      <c r="G243" s="618"/>
      <c r="U243" s="710" t="s">
        <v>2827</v>
      </c>
      <c r="V243" s="351" t="s">
        <v>2828</v>
      </c>
      <c r="W243" s="63" t="n">
        <v>5.56</v>
      </c>
      <c r="X243" s="711" t="n">
        <v>29</v>
      </c>
      <c r="Y243" s="565" t="s">
        <v>2829</v>
      </c>
      <c r="Z243" s="567" t="s">
        <v>2830</v>
      </c>
      <c r="AA243" s="712" t="s">
        <v>2831</v>
      </c>
      <c r="IV243" s="618"/>
    </row>
    <row r="244" customFormat="false" ht="15" hidden="false" customHeight="false" outlineLevel="0" collapsed="false">
      <c r="A244" s="618" t="n">
        <v>30</v>
      </c>
      <c r="B244" s="716" t="s">
        <v>2832</v>
      </c>
      <c r="C244" s="708" t="s">
        <v>2833</v>
      </c>
      <c r="D244" s="566"/>
      <c r="E244" s="565"/>
      <c r="U244" s="710" t="s">
        <v>2834</v>
      </c>
      <c r="V244" s="351" t="s">
        <v>2835</v>
      </c>
      <c r="W244" s="63" t="n">
        <v>5.63</v>
      </c>
      <c r="X244" s="711" t="n">
        <v>30</v>
      </c>
      <c r="Y244" s="565" t="s">
        <v>2836</v>
      </c>
      <c r="Z244" s="567" t="s">
        <v>2837</v>
      </c>
      <c r="AA244" s="712" t="s">
        <v>2838</v>
      </c>
      <c r="IV244" s="618"/>
    </row>
    <row r="245" customFormat="false" ht="15" hidden="false" customHeight="false" outlineLevel="0" collapsed="false">
      <c r="A245" s="618" t="n">
        <v>31</v>
      </c>
      <c r="B245" s="716" t="s">
        <v>2839</v>
      </c>
      <c r="C245" s="708" t="s">
        <v>2840</v>
      </c>
      <c r="D245" s="566"/>
      <c r="E245" s="565"/>
      <c r="U245" s="710" t="s">
        <v>2841</v>
      </c>
      <c r="V245" s="351" t="s">
        <v>2842</v>
      </c>
      <c r="W245" s="63" t="n">
        <v>6</v>
      </c>
      <c r="X245" s="711" t="n">
        <v>31</v>
      </c>
      <c r="Y245" s="565" t="s">
        <v>2843</v>
      </c>
      <c r="Z245" s="567" t="s">
        <v>2844</v>
      </c>
      <c r="AA245" s="712" t="s">
        <v>2845</v>
      </c>
      <c r="IV245" s="618"/>
    </row>
    <row r="246" customFormat="false" ht="15" hidden="false" customHeight="false" outlineLevel="0" collapsed="false">
      <c r="A246" s="618" t="n">
        <v>32</v>
      </c>
      <c r="B246" s="716" t="s">
        <v>2846</v>
      </c>
      <c r="C246" s="708" t="s">
        <v>2847</v>
      </c>
      <c r="D246" s="566"/>
      <c r="E246" s="565"/>
      <c r="U246" s="710" t="s">
        <v>2848</v>
      </c>
      <c r="V246" s="351" t="s">
        <v>2849</v>
      </c>
      <c r="W246" s="63" t="n">
        <v>6.25</v>
      </c>
      <c r="X246" s="711" t="n">
        <v>32</v>
      </c>
      <c r="Y246" s="565" t="s">
        <v>2850</v>
      </c>
      <c r="Z246" s="567" t="s">
        <v>2851</v>
      </c>
      <c r="AA246" s="712" t="s">
        <v>2709</v>
      </c>
      <c r="IV246" s="618"/>
    </row>
    <row r="247" customFormat="false" ht="15" hidden="false" customHeight="false" outlineLevel="0" collapsed="false">
      <c r="A247" s="618" t="n">
        <v>33</v>
      </c>
      <c r="B247" s="716" t="s">
        <v>2698</v>
      </c>
      <c r="C247" s="708" t="s">
        <v>2697</v>
      </c>
      <c r="D247" s="566"/>
      <c r="E247" s="565"/>
      <c r="U247" s="710" t="s">
        <v>2852</v>
      </c>
      <c r="V247" s="351" t="s">
        <v>2853</v>
      </c>
      <c r="W247" s="63" t="n">
        <v>6.5</v>
      </c>
      <c r="X247" s="711" t="n">
        <v>33</v>
      </c>
      <c r="Y247" s="565" t="s">
        <v>2854</v>
      </c>
      <c r="Z247" s="567" t="s">
        <v>2855</v>
      </c>
      <c r="AA247" s="712" t="s">
        <v>2856</v>
      </c>
      <c r="IV247" s="618"/>
    </row>
    <row r="248" customFormat="false" ht="15" hidden="false" customHeight="false" outlineLevel="0" collapsed="false">
      <c r="A248" s="618" t="n">
        <v>34</v>
      </c>
      <c r="B248" s="716" t="s">
        <v>2857</v>
      </c>
      <c r="C248" s="708" t="s">
        <v>2858</v>
      </c>
      <c r="D248" s="566"/>
      <c r="E248" s="565"/>
      <c r="U248" s="710" t="s">
        <v>2859</v>
      </c>
      <c r="V248" s="351" t="s">
        <v>2860</v>
      </c>
      <c r="W248" s="63" t="n">
        <v>6.67</v>
      </c>
      <c r="X248" s="711" t="n">
        <v>34</v>
      </c>
      <c r="Y248" s="565" t="s">
        <v>2861</v>
      </c>
      <c r="Z248" s="567" t="s">
        <v>2476</v>
      </c>
      <c r="AA248" s="712" t="s">
        <v>2862</v>
      </c>
      <c r="IV248" s="618"/>
    </row>
    <row r="249" customFormat="false" ht="15" hidden="false" customHeight="false" outlineLevel="0" collapsed="false">
      <c r="A249" s="618" t="n">
        <v>35</v>
      </c>
      <c r="B249" s="716" t="s">
        <v>2492</v>
      </c>
      <c r="C249" s="708" t="s">
        <v>2491</v>
      </c>
      <c r="D249" s="566"/>
      <c r="E249" s="565"/>
      <c r="U249" s="710" t="s">
        <v>2863</v>
      </c>
      <c r="V249" s="351" t="s">
        <v>2864</v>
      </c>
      <c r="W249" s="63" t="n">
        <v>6.75</v>
      </c>
      <c r="X249" s="711" t="n">
        <v>35</v>
      </c>
      <c r="Y249" s="565" t="s">
        <v>2865</v>
      </c>
      <c r="Z249" s="567" t="s">
        <v>2866</v>
      </c>
      <c r="AA249" s="712" t="s">
        <v>2486</v>
      </c>
      <c r="IV249" s="618"/>
    </row>
    <row r="250" customFormat="false" ht="15" hidden="false" customHeight="false" outlineLevel="0" collapsed="false">
      <c r="A250" s="618" t="n">
        <v>36</v>
      </c>
      <c r="B250" s="716" t="s">
        <v>2867</v>
      </c>
      <c r="C250" s="708" t="s">
        <v>2868</v>
      </c>
      <c r="D250" s="566"/>
      <c r="E250" s="565"/>
      <c r="U250" s="710" t="s">
        <v>2869</v>
      </c>
      <c r="V250" s="351" t="s">
        <v>2870</v>
      </c>
      <c r="W250" s="63" t="n">
        <v>7</v>
      </c>
      <c r="X250" s="711" t="n">
        <v>36</v>
      </c>
      <c r="Y250" s="565" t="s">
        <v>2871</v>
      </c>
      <c r="Z250" s="567" t="s">
        <v>2872</v>
      </c>
      <c r="AA250" s="712" t="s">
        <v>2873</v>
      </c>
      <c r="IV250" s="618"/>
    </row>
    <row r="251" customFormat="false" ht="15" hidden="false" customHeight="false" outlineLevel="0" collapsed="false">
      <c r="A251" s="618" t="n">
        <v>37</v>
      </c>
      <c r="B251" s="717" t="s">
        <v>2874</v>
      </c>
      <c r="C251" s="706" t="s">
        <v>2875</v>
      </c>
      <c r="D251" s="566"/>
      <c r="E251" s="565"/>
      <c r="U251" s="710" t="s">
        <v>2876</v>
      </c>
      <c r="V251" s="351" t="s">
        <v>2877</v>
      </c>
      <c r="W251" s="63" t="n">
        <v>7.33</v>
      </c>
      <c r="X251" s="711" t="n">
        <v>37</v>
      </c>
      <c r="Y251" s="565" t="s">
        <v>2878</v>
      </c>
      <c r="Z251" s="567" t="s">
        <v>2879</v>
      </c>
      <c r="AA251" s="712" t="s">
        <v>2880</v>
      </c>
      <c r="IV251" s="618"/>
    </row>
    <row r="252" customFormat="false" ht="15" hidden="false" customHeight="false" outlineLevel="0" collapsed="false">
      <c r="A252" s="618" t="n">
        <v>38</v>
      </c>
      <c r="B252" s="717" t="s">
        <v>2881</v>
      </c>
      <c r="C252" s="706" t="s">
        <v>2882</v>
      </c>
      <c r="D252" s="566"/>
      <c r="E252" s="565"/>
      <c r="U252" s="710" t="s">
        <v>2883</v>
      </c>
      <c r="V252" s="351" t="s">
        <v>2884</v>
      </c>
      <c r="W252" s="63" t="n">
        <v>7.5</v>
      </c>
      <c r="X252" s="711" t="n">
        <v>38</v>
      </c>
      <c r="Y252" s="565" t="s">
        <v>2725</v>
      </c>
      <c r="Z252" s="567" t="s">
        <v>2879</v>
      </c>
      <c r="AA252" s="712" t="s">
        <v>2727</v>
      </c>
      <c r="IV252" s="618"/>
    </row>
    <row r="253" customFormat="false" ht="15" hidden="false" customHeight="false" outlineLevel="0" collapsed="false">
      <c r="A253" s="618" t="n">
        <v>39</v>
      </c>
      <c r="B253" s="716" t="s">
        <v>2885</v>
      </c>
      <c r="C253" s="708" t="s">
        <v>2886</v>
      </c>
      <c r="D253" s="566"/>
      <c r="E253" s="565"/>
      <c r="U253" s="710" t="s">
        <v>2887</v>
      </c>
      <c r="V253" s="351" t="s">
        <v>2888</v>
      </c>
      <c r="W253" s="63" t="n">
        <v>7.78</v>
      </c>
      <c r="X253" s="711" t="n">
        <v>39</v>
      </c>
      <c r="Y253" s="565" t="s">
        <v>2889</v>
      </c>
      <c r="Z253" s="567" t="s">
        <v>2890</v>
      </c>
      <c r="AA253" s="712" t="s">
        <v>2891</v>
      </c>
      <c r="IV253" s="618"/>
    </row>
    <row r="254" customFormat="false" ht="15" hidden="false" customHeight="false" outlineLevel="0" collapsed="false">
      <c r="A254" s="618" t="n">
        <v>40</v>
      </c>
      <c r="B254" s="716" t="s">
        <v>2892</v>
      </c>
      <c r="C254" s="708" t="s">
        <v>2893</v>
      </c>
      <c r="D254" s="566"/>
      <c r="E254" s="565"/>
      <c r="U254" s="710" t="s">
        <v>2894</v>
      </c>
      <c r="V254" s="351" t="s">
        <v>2895</v>
      </c>
      <c r="W254" s="63" t="n">
        <v>8</v>
      </c>
      <c r="X254" s="711" t="n">
        <v>40</v>
      </c>
      <c r="Y254" s="565" t="s">
        <v>2896</v>
      </c>
      <c r="Z254" s="567" t="s">
        <v>2897</v>
      </c>
      <c r="AA254" s="712" t="s">
        <v>2898</v>
      </c>
      <c r="IV254" s="618"/>
    </row>
    <row r="255" customFormat="false" ht="15" hidden="false" customHeight="false" outlineLevel="0" collapsed="false">
      <c r="A255" s="618" t="n">
        <v>41</v>
      </c>
      <c r="D255" s="566"/>
      <c r="E255" s="565"/>
      <c r="U255" s="710" t="s">
        <v>2899</v>
      </c>
      <c r="V255" s="351" t="s">
        <v>2900</v>
      </c>
      <c r="W255" s="63" t="n">
        <v>8.25</v>
      </c>
      <c r="X255" s="711" t="n">
        <v>41</v>
      </c>
      <c r="Y255" s="565" t="s">
        <v>2901</v>
      </c>
      <c r="Z255" s="567" t="s">
        <v>2902</v>
      </c>
      <c r="AA255" s="712" t="s">
        <v>2903</v>
      </c>
      <c r="IV255" s="618"/>
    </row>
    <row r="256" customFormat="false" ht="15" hidden="false" customHeight="false" outlineLevel="0" collapsed="false">
      <c r="A256" s="618" t="n">
        <v>42</v>
      </c>
      <c r="D256" s="566"/>
      <c r="E256" s="565"/>
      <c r="U256" s="710" t="s">
        <v>2904</v>
      </c>
      <c r="V256" s="351" t="s">
        <v>2905</v>
      </c>
      <c r="W256" s="63" t="n">
        <v>8.5</v>
      </c>
      <c r="X256" s="711" t="n">
        <v>42</v>
      </c>
      <c r="Y256" s="565" t="s">
        <v>2906</v>
      </c>
      <c r="Z256" s="567" t="s">
        <v>2907</v>
      </c>
      <c r="AA256" s="712" t="s">
        <v>2908</v>
      </c>
      <c r="IV256" s="618"/>
    </row>
    <row r="257" customFormat="false" ht="15" hidden="false" customHeight="false" outlineLevel="0" collapsed="false">
      <c r="A257" s="618" t="n">
        <v>43</v>
      </c>
      <c r="D257" s="566"/>
      <c r="E257" s="565"/>
      <c r="U257" s="710" t="s">
        <v>2909</v>
      </c>
      <c r="V257" s="351" t="s">
        <v>2910</v>
      </c>
      <c r="W257" s="63" t="n">
        <v>8.57</v>
      </c>
      <c r="X257" s="711" t="n">
        <v>43</v>
      </c>
      <c r="Y257" s="565" t="s">
        <v>2911</v>
      </c>
      <c r="Z257" s="567" t="s">
        <v>2912</v>
      </c>
      <c r="AA257" s="712" t="s">
        <v>2913</v>
      </c>
      <c r="IV257" s="618"/>
    </row>
    <row r="258" customFormat="false" ht="15" hidden="false" customHeight="false" outlineLevel="0" collapsed="false">
      <c r="A258" s="618" t="n">
        <v>44</v>
      </c>
      <c r="D258" s="566"/>
      <c r="E258" s="565"/>
      <c r="U258" s="710" t="s">
        <v>2914</v>
      </c>
      <c r="V258" s="351" t="s">
        <v>2915</v>
      </c>
      <c r="W258" s="63" t="n">
        <v>8.67</v>
      </c>
      <c r="X258" s="711" t="n">
        <v>44</v>
      </c>
      <c r="Y258" s="565" t="s">
        <v>2707</v>
      </c>
      <c r="Z258" s="567" t="s">
        <v>2851</v>
      </c>
      <c r="AA258" s="712" t="s">
        <v>2709</v>
      </c>
      <c r="IV258" s="618"/>
    </row>
    <row r="259" customFormat="false" ht="15" hidden="false" customHeight="false" outlineLevel="0" collapsed="false">
      <c r="A259" s="618" t="n">
        <v>45</v>
      </c>
      <c r="D259" s="566"/>
      <c r="E259" s="565"/>
      <c r="U259" s="710" t="s">
        <v>2916</v>
      </c>
      <c r="V259" s="351" t="s">
        <v>2917</v>
      </c>
      <c r="W259" s="63" t="n">
        <v>8.75</v>
      </c>
      <c r="X259" s="711" t="n">
        <v>45</v>
      </c>
      <c r="Y259" s="565" t="s">
        <v>2918</v>
      </c>
      <c r="Z259" s="567" t="s">
        <v>2919</v>
      </c>
      <c r="AA259" s="712" t="s">
        <v>2920</v>
      </c>
      <c r="IV259" s="618"/>
    </row>
    <row r="260" customFormat="false" ht="15" hidden="false" customHeight="false" outlineLevel="0" collapsed="false">
      <c r="A260" s="618" t="n">
        <v>46</v>
      </c>
      <c r="D260" s="566"/>
      <c r="E260" s="565"/>
      <c r="U260" s="710" t="s">
        <v>2921</v>
      </c>
      <c r="V260" s="351" t="s">
        <v>2922</v>
      </c>
      <c r="W260" s="63" t="n">
        <v>8.89</v>
      </c>
      <c r="X260" s="711" t="n">
        <v>46</v>
      </c>
      <c r="Y260" s="565" t="s">
        <v>2751</v>
      </c>
      <c r="Z260" s="567" t="s">
        <v>2752</v>
      </c>
      <c r="AA260" s="712" t="s">
        <v>2753</v>
      </c>
      <c r="IV260" s="618"/>
    </row>
    <row r="261" customFormat="false" ht="15" hidden="false" customHeight="false" outlineLevel="0" collapsed="false">
      <c r="A261" s="618" t="n">
        <v>47</v>
      </c>
      <c r="D261" s="566"/>
      <c r="E261" s="565"/>
      <c r="U261" s="710" t="s">
        <v>2923</v>
      </c>
      <c r="V261" s="351" t="s">
        <v>2924</v>
      </c>
      <c r="W261" s="63" t="n">
        <v>9</v>
      </c>
      <c r="X261" s="711" t="n">
        <v>47</v>
      </c>
      <c r="Y261" s="565" t="s">
        <v>2925</v>
      </c>
      <c r="Z261" s="567" t="s">
        <v>2926</v>
      </c>
      <c r="AA261" s="712" t="s">
        <v>2927</v>
      </c>
      <c r="IV261" s="618"/>
    </row>
    <row r="262" customFormat="false" ht="15" hidden="false" customHeight="false" outlineLevel="0" collapsed="false">
      <c r="A262" s="618" t="n">
        <v>48</v>
      </c>
      <c r="D262" s="566"/>
      <c r="E262" s="565"/>
      <c r="U262" s="710" t="s">
        <v>2928</v>
      </c>
      <c r="V262" s="351" t="s">
        <v>2929</v>
      </c>
      <c r="W262" s="63" t="n">
        <v>9.33</v>
      </c>
      <c r="X262" s="711" t="n">
        <v>48</v>
      </c>
      <c r="Y262" s="565" t="s">
        <v>2930</v>
      </c>
      <c r="Z262" s="567" t="s">
        <v>2931</v>
      </c>
      <c r="AA262" s="712" t="s">
        <v>2932</v>
      </c>
      <c r="IV262" s="618"/>
    </row>
    <row r="263" customFormat="false" ht="15" hidden="false" customHeight="false" outlineLevel="0" collapsed="false">
      <c r="A263" s="618" t="n">
        <v>49</v>
      </c>
      <c r="D263" s="566"/>
      <c r="E263" s="565"/>
      <c r="U263" s="710" t="s">
        <v>2933</v>
      </c>
      <c r="V263" s="351" t="s">
        <v>2934</v>
      </c>
      <c r="W263" s="63" t="n">
        <v>9.38</v>
      </c>
      <c r="X263" s="711" t="n">
        <v>49</v>
      </c>
      <c r="Y263" s="565" t="s">
        <v>2935</v>
      </c>
      <c r="Z263" s="567" t="s">
        <v>2936</v>
      </c>
      <c r="AA263" s="712" t="s">
        <v>2540</v>
      </c>
      <c r="IV263" s="618"/>
    </row>
    <row r="264" customFormat="false" ht="15" hidden="false" customHeight="false" outlineLevel="0" collapsed="false">
      <c r="A264" s="618" t="n">
        <v>50</v>
      </c>
      <c r="D264" s="566"/>
      <c r="E264" s="565"/>
      <c r="U264" s="710" t="s">
        <v>2937</v>
      </c>
      <c r="V264" s="351" t="s">
        <v>2938</v>
      </c>
      <c r="W264" s="63" t="n">
        <v>9.5</v>
      </c>
      <c r="X264" s="711" t="n">
        <v>50</v>
      </c>
      <c r="Y264" s="565" t="s">
        <v>2939</v>
      </c>
      <c r="Z264" s="567" t="s">
        <v>2940</v>
      </c>
      <c r="AA264" s="712" t="s">
        <v>2941</v>
      </c>
      <c r="IV264" s="618"/>
    </row>
    <row r="265" customFormat="false" ht="15" hidden="false" customHeight="false" outlineLevel="0" collapsed="false">
      <c r="A265" s="618" t="n">
        <v>51</v>
      </c>
      <c r="D265" s="566"/>
      <c r="E265" s="565"/>
      <c r="U265" s="710" t="s">
        <v>2942</v>
      </c>
      <c r="V265" s="351" t="s">
        <v>2943</v>
      </c>
      <c r="W265" s="63" t="n">
        <v>9.75</v>
      </c>
      <c r="X265" s="711" t="n">
        <v>51</v>
      </c>
      <c r="Y265" s="565" t="s">
        <v>2944</v>
      </c>
      <c r="Z265" s="567" t="s">
        <v>2945</v>
      </c>
      <c r="AA265" s="712" t="s">
        <v>2946</v>
      </c>
      <c r="IV265" s="618"/>
    </row>
    <row r="266" customFormat="false" ht="15" hidden="false" customHeight="false" outlineLevel="0" collapsed="false">
      <c r="A266" s="618" t="n">
        <v>52</v>
      </c>
      <c r="D266" s="566"/>
      <c r="E266" s="565"/>
      <c r="U266" s="710" t="s">
        <v>2947</v>
      </c>
      <c r="V266" s="351" t="s">
        <v>2948</v>
      </c>
      <c r="W266" s="63" t="n">
        <v>10</v>
      </c>
      <c r="X266" s="711" t="n">
        <v>52</v>
      </c>
      <c r="Y266" s="565" t="s">
        <v>2949</v>
      </c>
      <c r="Z266" s="567" t="s">
        <v>2950</v>
      </c>
      <c r="AA266" s="712" t="s">
        <v>2951</v>
      </c>
      <c r="IV266" s="618"/>
    </row>
    <row r="267" customFormat="false" ht="15" hidden="false" customHeight="false" outlineLevel="0" collapsed="false">
      <c r="A267" s="618" t="n">
        <v>53</v>
      </c>
      <c r="D267" s="566"/>
      <c r="E267" s="565"/>
      <c r="U267" s="710" t="s">
        <v>2952</v>
      </c>
      <c r="V267" s="351" t="s">
        <v>2953</v>
      </c>
      <c r="W267" s="63" t="n">
        <v>10.5</v>
      </c>
      <c r="X267" s="711" t="n">
        <v>53</v>
      </c>
      <c r="Y267" s="565" t="s">
        <v>2954</v>
      </c>
      <c r="Z267" s="567" t="s">
        <v>2955</v>
      </c>
      <c r="AA267" s="712" t="s">
        <v>2956</v>
      </c>
      <c r="IV267" s="618"/>
    </row>
    <row r="268" customFormat="false" ht="15" hidden="false" customHeight="false" outlineLevel="0" collapsed="false">
      <c r="A268" s="618" t="n">
        <v>54</v>
      </c>
      <c r="D268" s="566"/>
      <c r="E268" s="565"/>
      <c r="U268" s="710" t="s">
        <v>2957</v>
      </c>
      <c r="V268" s="351" t="s">
        <v>2958</v>
      </c>
      <c r="W268" s="63" t="n">
        <v>10.67</v>
      </c>
      <c r="X268" s="711" t="n">
        <v>54</v>
      </c>
      <c r="Y268" s="565" t="s">
        <v>2918</v>
      </c>
      <c r="Z268" s="567" t="s">
        <v>2919</v>
      </c>
      <c r="AA268" s="712" t="s">
        <v>2920</v>
      </c>
      <c r="IV268" s="618"/>
    </row>
    <row r="269" customFormat="false" ht="15" hidden="false" customHeight="false" outlineLevel="0" collapsed="false">
      <c r="A269" s="618" t="n">
        <v>55</v>
      </c>
      <c r="D269" s="566"/>
      <c r="E269" s="565"/>
      <c r="U269" s="710" t="s">
        <v>2959</v>
      </c>
      <c r="V269" s="351" t="s">
        <v>2960</v>
      </c>
      <c r="W269" s="63" t="n">
        <v>11</v>
      </c>
      <c r="X269" s="711" t="n">
        <v>55</v>
      </c>
      <c r="Y269" s="565" t="s">
        <v>2961</v>
      </c>
      <c r="Z269" s="567" t="s">
        <v>2962</v>
      </c>
      <c r="AA269" s="712" t="s">
        <v>2963</v>
      </c>
      <c r="IV269" s="618"/>
    </row>
    <row r="270" customFormat="false" ht="15" hidden="false" customHeight="false" outlineLevel="0" collapsed="false">
      <c r="A270" s="618" t="n">
        <v>56</v>
      </c>
      <c r="D270" s="566"/>
      <c r="E270" s="565"/>
      <c r="U270" s="710" t="s">
        <v>2964</v>
      </c>
      <c r="V270" s="351" t="s">
        <v>2965</v>
      </c>
      <c r="W270" s="63" t="n">
        <v>11.11</v>
      </c>
      <c r="X270" s="711" t="n">
        <v>56</v>
      </c>
      <c r="Y270" s="565" t="s">
        <v>2966</v>
      </c>
      <c r="Z270" s="567" t="s">
        <v>2967</v>
      </c>
      <c r="AA270" s="712" t="s">
        <v>2968</v>
      </c>
      <c r="IV270" s="618"/>
    </row>
    <row r="271" customFormat="false" ht="15" hidden="false" customHeight="false" outlineLevel="0" collapsed="false">
      <c r="A271" s="618" t="n">
        <v>57</v>
      </c>
      <c r="D271" s="566"/>
      <c r="E271" s="565"/>
      <c r="U271" s="710" t="s">
        <v>2969</v>
      </c>
      <c r="V271" s="351" t="s">
        <v>2970</v>
      </c>
      <c r="W271" s="63" t="n">
        <v>11.25</v>
      </c>
      <c r="X271" s="711" t="n">
        <v>57</v>
      </c>
      <c r="Y271" s="565" t="s">
        <v>2971</v>
      </c>
      <c r="Z271" s="567" t="s">
        <v>2879</v>
      </c>
      <c r="AA271" s="712" t="s">
        <v>2727</v>
      </c>
      <c r="IV271" s="618"/>
    </row>
    <row r="272" customFormat="false" ht="15" hidden="false" customHeight="false" outlineLevel="0" collapsed="false">
      <c r="A272" s="618" t="n">
        <v>58</v>
      </c>
      <c r="D272" s="566"/>
      <c r="E272" s="565"/>
      <c r="U272" s="710" t="s">
        <v>2972</v>
      </c>
      <c r="V272" s="351" t="s">
        <v>2973</v>
      </c>
      <c r="W272" s="63" t="n">
        <v>11.33</v>
      </c>
      <c r="X272" s="711" t="n">
        <v>58</v>
      </c>
      <c r="Y272" s="565" t="s">
        <v>2974</v>
      </c>
      <c r="Z272" s="567" t="s">
        <v>2975</v>
      </c>
      <c r="AA272" s="712" t="s">
        <v>2976</v>
      </c>
      <c r="IV272" s="618"/>
    </row>
    <row r="273" customFormat="false" ht="15" hidden="false" customHeight="false" outlineLevel="0" collapsed="false">
      <c r="A273" s="618" t="n">
        <v>59</v>
      </c>
      <c r="D273" s="566"/>
      <c r="E273" s="565"/>
      <c r="U273" s="710" t="s">
        <v>2977</v>
      </c>
      <c r="V273" s="351" t="s">
        <v>2978</v>
      </c>
      <c r="W273" s="63" t="n">
        <v>11.5</v>
      </c>
      <c r="X273" s="711" t="n">
        <v>59</v>
      </c>
      <c r="Y273" s="565" t="s">
        <v>2979</v>
      </c>
      <c r="Z273" s="567" t="s">
        <v>2980</v>
      </c>
      <c r="AA273" s="712" t="s">
        <v>2981</v>
      </c>
      <c r="IV273" s="618"/>
    </row>
    <row r="274" customFormat="false" ht="15" hidden="false" customHeight="false" outlineLevel="0" collapsed="false">
      <c r="A274" s="618" t="n">
        <v>60</v>
      </c>
      <c r="D274" s="566"/>
      <c r="E274" s="565"/>
      <c r="U274" s="710" t="s">
        <v>2982</v>
      </c>
      <c r="V274" s="351" t="s">
        <v>2983</v>
      </c>
      <c r="W274" s="63" t="n">
        <v>12</v>
      </c>
      <c r="X274" s="711" t="n">
        <v>60</v>
      </c>
      <c r="Y274" s="565" t="s">
        <v>2984</v>
      </c>
      <c r="Z274" s="567" t="s">
        <v>2985</v>
      </c>
      <c r="AA274" s="712" t="s">
        <v>2986</v>
      </c>
      <c r="IV274" s="618"/>
    </row>
    <row r="275" customFormat="false" ht="15" hidden="false" customHeight="false" outlineLevel="0" collapsed="false">
      <c r="A275" s="618" t="n">
        <v>61</v>
      </c>
      <c r="D275" s="566"/>
      <c r="E275" s="565"/>
      <c r="U275" s="710" t="s">
        <v>2987</v>
      </c>
      <c r="V275" s="351" t="s">
        <v>2988</v>
      </c>
      <c r="W275" s="63" t="n">
        <v>12.22</v>
      </c>
      <c r="IV275" s="618"/>
    </row>
    <row r="276" customFormat="false" ht="15" hidden="false" customHeight="false" outlineLevel="0" collapsed="false">
      <c r="A276" s="618" t="n">
        <v>62</v>
      </c>
      <c r="D276" s="566"/>
      <c r="E276" s="565"/>
      <c r="U276" s="710" t="s">
        <v>2876</v>
      </c>
      <c r="V276" s="351" t="s">
        <v>2877</v>
      </c>
      <c r="W276" s="63" t="n">
        <v>12.5</v>
      </c>
      <c r="IV276" s="618"/>
    </row>
    <row r="277" customFormat="false" ht="15" hidden="false" customHeight="false" outlineLevel="0" collapsed="false">
      <c r="A277" s="618" t="n">
        <v>63</v>
      </c>
      <c r="D277" s="566"/>
      <c r="E277" s="565"/>
      <c r="U277" s="710" t="s">
        <v>2989</v>
      </c>
      <c r="V277" s="351" t="s">
        <v>2990</v>
      </c>
      <c r="W277" s="63" t="n">
        <v>12.67</v>
      </c>
      <c r="IV277" s="618"/>
    </row>
    <row r="278" customFormat="false" ht="15" hidden="false" customHeight="false" outlineLevel="0" collapsed="false">
      <c r="A278" s="618" t="n">
        <v>64</v>
      </c>
      <c r="D278" s="566"/>
      <c r="E278" s="565"/>
      <c r="U278" s="710" t="s">
        <v>2991</v>
      </c>
      <c r="V278" s="351" t="s">
        <v>2992</v>
      </c>
      <c r="W278" s="63" t="n">
        <v>12.75</v>
      </c>
      <c r="IV278" s="618"/>
    </row>
    <row r="279" customFormat="false" ht="15" hidden="false" customHeight="false" outlineLevel="0" collapsed="false">
      <c r="A279" s="618" t="n">
        <v>65</v>
      </c>
      <c r="D279" s="566"/>
      <c r="E279" s="565"/>
      <c r="U279" s="710" t="s">
        <v>2993</v>
      </c>
      <c r="V279" s="351" t="s">
        <v>2994</v>
      </c>
      <c r="W279" s="63" t="n">
        <v>12.86</v>
      </c>
      <c r="IV279" s="618"/>
    </row>
    <row r="280" customFormat="false" ht="15" hidden="false" customHeight="false" outlineLevel="0" collapsed="false">
      <c r="A280" s="618" t="n">
        <v>66</v>
      </c>
      <c r="D280" s="566"/>
      <c r="E280" s="565"/>
      <c r="U280" s="710" t="s">
        <v>2995</v>
      </c>
      <c r="V280" s="351" t="s">
        <v>2996</v>
      </c>
      <c r="W280" s="63" t="n">
        <v>13</v>
      </c>
      <c r="IV280" s="618"/>
    </row>
    <row r="281" customFormat="false" ht="15" hidden="false" customHeight="false" outlineLevel="0" collapsed="false">
      <c r="A281" s="618" t="n">
        <v>67</v>
      </c>
      <c r="D281" s="566"/>
      <c r="E281" s="565"/>
      <c r="U281" s="710" t="s">
        <v>2997</v>
      </c>
      <c r="V281" s="351" t="s">
        <v>2998</v>
      </c>
      <c r="W281" s="63" t="n">
        <v>13.13</v>
      </c>
      <c r="IV281" s="618"/>
    </row>
    <row r="282" customFormat="false" ht="15" hidden="false" customHeight="false" outlineLevel="0" collapsed="false">
      <c r="A282" s="618" t="n">
        <v>68</v>
      </c>
      <c r="D282" s="566"/>
      <c r="E282" s="565"/>
      <c r="U282" s="710" t="s">
        <v>2999</v>
      </c>
      <c r="V282" s="351" t="s">
        <v>3000</v>
      </c>
      <c r="W282" s="63" t="n">
        <v>13.33</v>
      </c>
      <c r="IV282" s="618"/>
    </row>
    <row r="283" customFormat="false" ht="15" hidden="false" customHeight="false" outlineLevel="0" collapsed="false">
      <c r="A283" s="618" t="n">
        <v>69</v>
      </c>
      <c r="D283" s="566"/>
      <c r="E283" s="565"/>
      <c r="U283" s="710" t="s">
        <v>3001</v>
      </c>
      <c r="V283" s="351" t="s">
        <v>3002</v>
      </c>
      <c r="W283" s="63" t="n">
        <v>13.5</v>
      </c>
      <c r="IV283" s="618"/>
    </row>
    <row r="284" customFormat="false" ht="15" hidden="false" customHeight="false" outlineLevel="0" collapsed="false">
      <c r="A284" s="618" t="n">
        <v>70</v>
      </c>
      <c r="D284" s="566"/>
      <c r="E284" s="565"/>
      <c r="U284" s="710" t="s">
        <v>3003</v>
      </c>
      <c r="V284" s="351" t="s">
        <v>3004</v>
      </c>
      <c r="W284" s="63" t="n">
        <v>13.75</v>
      </c>
      <c r="IV284" s="618"/>
    </row>
    <row r="285" customFormat="false" ht="15" hidden="false" customHeight="false" outlineLevel="0" collapsed="false">
      <c r="A285" s="618" t="n">
        <v>71</v>
      </c>
      <c r="D285" s="566"/>
      <c r="E285" s="565"/>
      <c r="U285" s="710" t="s">
        <v>3005</v>
      </c>
      <c r="V285" s="351" t="s">
        <v>3006</v>
      </c>
      <c r="W285" s="63" t="n">
        <v>14</v>
      </c>
      <c r="IV285" s="618"/>
    </row>
    <row r="286" customFormat="false" ht="15" hidden="false" customHeight="false" outlineLevel="0" collapsed="false">
      <c r="A286" s="618" t="n">
        <v>72</v>
      </c>
      <c r="D286" s="566"/>
      <c r="E286" s="565"/>
      <c r="U286" s="710" t="s">
        <v>3007</v>
      </c>
      <c r="V286" s="351" t="s">
        <v>3008</v>
      </c>
      <c r="W286" s="63" t="n">
        <v>14.25</v>
      </c>
      <c r="IV286" s="618"/>
    </row>
    <row r="287" customFormat="false" ht="15" hidden="false" customHeight="false" outlineLevel="0" collapsed="false">
      <c r="A287" s="618" t="n">
        <v>73</v>
      </c>
      <c r="D287" s="566"/>
      <c r="E287" s="565"/>
      <c r="U287" s="719" t="s">
        <v>3009</v>
      </c>
      <c r="V287" s="720" t="s">
        <v>3010</v>
      </c>
      <c r="W287" s="63" t="n">
        <v>14.44</v>
      </c>
      <c r="IV287" s="618"/>
    </row>
    <row r="288" customFormat="false" ht="15" hidden="false" customHeight="false" outlineLevel="0" collapsed="false">
      <c r="A288" s="618" t="n">
        <v>74</v>
      </c>
      <c r="D288" s="566"/>
      <c r="E288" s="565"/>
      <c r="U288" s="719" t="s">
        <v>3011</v>
      </c>
      <c r="V288" s="720" t="s">
        <v>3012</v>
      </c>
      <c r="W288" s="63" t="n">
        <v>14.5</v>
      </c>
      <c r="IV288" s="618"/>
    </row>
    <row r="289" customFormat="false" ht="15" hidden="false" customHeight="false" outlineLevel="0" collapsed="false">
      <c r="A289" s="618" t="n">
        <v>75</v>
      </c>
      <c r="D289" s="566"/>
      <c r="E289" s="565"/>
      <c r="U289" s="719" t="s">
        <v>3013</v>
      </c>
      <c r="V289" s="720" t="s">
        <v>3014</v>
      </c>
      <c r="W289" s="63" t="n">
        <v>14.67</v>
      </c>
      <c r="IV289" s="618"/>
    </row>
    <row r="290" customFormat="false" ht="15" hidden="false" customHeight="false" outlineLevel="0" collapsed="false">
      <c r="A290" s="618" t="n">
        <v>76</v>
      </c>
      <c r="D290" s="566"/>
      <c r="E290" s="565"/>
      <c r="U290" s="719" t="s">
        <v>3015</v>
      </c>
      <c r="V290" s="720" t="s">
        <v>3016</v>
      </c>
      <c r="W290" s="63" t="n">
        <v>15</v>
      </c>
      <c r="IV290" s="618"/>
    </row>
    <row r="291" customFormat="false" ht="15" hidden="false" customHeight="false" outlineLevel="0" collapsed="false">
      <c r="A291" s="618" t="n">
        <v>77</v>
      </c>
      <c r="D291" s="566"/>
      <c r="E291" s="565"/>
      <c r="U291" s="719" t="s">
        <v>2909</v>
      </c>
      <c r="V291" s="720" t="s">
        <v>2910</v>
      </c>
      <c r="W291" s="63" t="n">
        <v>15.33</v>
      </c>
      <c r="IV291" s="618"/>
    </row>
    <row r="292" customFormat="false" ht="15" hidden="false" customHeight="false" outlineLevel="0" collapsed="false">
      <c r="A292" s="618" t="n">
        <v>78</v>
      </c>
      <c r="D292" s="566"/>
      <c r="E292" s="565"/>
      <c r="U292" s="719" t="s">
        <v>3017</v>
      </c>
      <c r="V292" s="720" t="s">
        <v>3018</v>
      </c>
      <c r="W292" s="63" t="n">
        <v>15.5</v>
      </c>
      <c r="IV292" s="618"/>
    </row>
    <row r="293" customFormat="false" ht="15" hidden="false" customHeight="false" outlineLevel="0" collapsed="false">
      <c r="A293" s="618" t="n">
        <v>79</v>
      </c>
      <c r="D293" s="566"/>
      <c r="E293" s="565"/>
      <c r="U293" s="719" t="s">
        <v>3019</v>
      </c>
      <c r="V293" s="720" t="s">
        <v>3020</v>
      </c>
      <c r="W293" s="63" t="n">
        <v>15.56</v>
      </c>
      <c r="IV293" s="618"/>
    </row>
    <row r="294" customFormat="false" ht="15" hidden="false" customHeight="false" outlineLevel="0" collapsed="false">
      <c r="A294" s="618" t="n">
        <v>80</v>
      </c>
      <c r="D294" s="566"/>
      <c r="E294" s="565"/>
      <c r="U294" s="719" t="s">
        <v>3021</v>
      </c>
      <c r="V294" s="720" t="s">
        <v>3022</v>
      </c>
      <c r="W294" s="63" t="n">
        <v>15.75</v>
      </c>
      <c r="IV294" s="618"/>
    </row>
    <row r="295" customFormat="false" ht="15" hidden="false" customHeight="false" outlineLevel="0" collapsed="false">
      <c r="A295" s="618" t="n">
        <v>81</v>
      </c>
      <c r="D295" s="566"/>
      <c r="E295" s="565"/>
      <c r="U295" s="719" t="s">
        <v>3023</v>
      </c>
      <c r="V295" s="720" t="s">
        <v>3024</v>
      </c>
      <c r="W295" s="63" t="n">
        <v>16</v>
      </c>
      <c r="IV295" s="618"/>
    </row>
    <row r="296" customFormat="false" ht="15" hidden="false" customHeight="false" outlineLevel="0" collapsed="false">
      <c r="A296" s="618" t="n">
        <v>82</v>
      </c>
      <c r="D296" s="566"/>
      <c r="E296" s="565"/>
      <c r="U296" s="719" t="s">
        <v>3025</v>
      </c>
      <c r="V296" s="720" t="s">
        <v>3026</v>
      </c>
      <c r="W296" s="63" t="n">
        <v>16.25</v>
      </c>
      <c r="IV296" s="618"/>
    </row>
    <row r="297" customFormat="false" ht="15" hidden="false" customHeight="false" outlineLevel="0" collapsed="false">
      <c r="A297" s="618" t="n">
        <v>83</v>
      </c>
      <c r="D297" s="566"/>
      <c r="E297" s="565"/>
      <c r="U297" s="719" t="s">
        <v>3027</v>
      </c>
      <c r="V297" s="720" t="s">
        <v>3028</v>
      </c>
      <c r="W297" s="63" t="n">
        <v>16.5</v>
      </c>
      <c r="IV297" s="618"/>
    </row>
    <row r="298" customFormat="false" ht="15" hidden="false" customHeight="false" outlineLevel="0" collapsed="false">
      <c r="A298" s="618" t="n">
        <v>84</v>
      </c>
      <c r="D298" s="566"/>
      <c r="E298" s="565"/>
      <c r="U298" s="719" t="s">
        <v>3029</v>
      </c>
      <c r="V298" s="720" t="s">
        <v>3030</v>
      </c>
      <c r="W298" s="63" t="n">
        <v>16.67</v>
      </c>
      <c r="IV298" s="618"/>
    </row>
    <row r="299" customFormat="false" ht="15" hidden="false" customHeight="false" outlineLevel="0" collapsed="false">
      <c r="A299" s="618" t="n">
        <v>85</v>
      </c>
      <c r="D299" s="566"/>
      <c r="E299" s="565"/>
      <c r="U299" s="719" t="s">
        <v>3031</v>
      </c>
      <c r="V299" s="720" t="s">
        <v>3032</v>
      </c>
      <c r="W299" s="63" t="n">
        <v>16.88</v>
      </c>
      <c r="IV299" s="618"/>
    </row>
    <row r="300" customFormat="false" ht="15" hidden="false" customHeight="false" outlineLevel="0" collapsed="false">
      <c r="A300" s="618" t="n">
        <v>86</v>
      </c>
      <c r="D300" s="566"/>
      <c r="E300" s="565"/>
      <c r="U300" s="719" t="s">
        <v>3033</v>
      </c>
      <c r="V300" s="720" t="s">
        <v>3034</v>
      </c>
      <c r="W300" s="63" t="n">
        <v>17</v>
      </c>
      <c r="IV300" s="618"/>
    </row>
    <row r="301" customFormat="false" ht="15" hidden="false" customHeight="false" outlineLevel="0" collapsed="false">
      <c r="A301" s="618" t="n">
        <v>87</v>
      </c>
      <c r="D301" s="566"/>
      <c r="E301" s="565"/>
      <c r="U301" s="719" t="s">
        <v>3035</v>
      </c>
      <c r="V301" s="720" t="s">
        <v>3036</v>
      </c>
      <c r="W301" s="63" t="n">
        <v>17.14</v>
      </c>
      <c r="IV301" s="618"/>
    </row>
    <row r="302" customFormat="false" ht="15" hidden="false" customHeight="false" outlineLevel="0" collapsed="false">
      <c r="A302" s="618" t="n">
        <v>88</v>
      </c>
      <c r="D302" s="566"/>
      <c r="E302" s="565"/>
      <c r="U302" s="719" t="s">
        <v>3037</v>
      </c>
      <c r="V302" s="720" t="s">
        <v>3038</v>
      </c>
      <c r="W302" s="63" t="n">
        <v>17.25</v>
      </c>
      <c r="IV302" s="618"/>
    </row>
    <row r="303" customFormat="false" ht="15" hidden="false" customHeight="false" outlineLevel="0" collapsed="false">
      <c r="A303" s="618" t="n">
        <v>89</v>
      </c>
      <c r="D303" s="566"/>
      <c r="E303" s="565"/>
      <c r="U303" s="719" t="s">
        <v>3039</v>
      </c>
      <c r="V303" s="720" t="s">
        <v>3040</v>
      </c>
      <c r="W303" s="63" t="n">
        <v>17.33</v>
      </c>
      <c r="IV303" s="618"/>
    </row>
    <row r="304" customFormat="false" ht="15" hidden="false" customHeight="false" outlineLevel="0" collapsed="false">
      <c r="A304" s="618" t="n">
        <v>90</v>
      </c>
      <c r="D304" s="566"/>
      <c r="E304" s="565"/>
      <c r="U304" s="719" t="s">
        <v>3041</v>
      </c>
      <c r="V304" s="720" t="s">
        <v>3042</v>
      </c>
      <c r="W304" s="63" t="n">
        <v>17.5</v>
      </c>
      <c r="IV304" s="618"/>
    </row>
    <row r="305" customFormat="false" ht="15" hidden="false" customHeight="false" outlineLevel="0" collapsed="false">
      <c r="A305" s="618" t="n">
        <v>91</v>
      </c>
      <c r="D305" s="566"/>
      <c r="E305" s="565"/>
      <c r="U305" s="719" t="s">
        <v>3043</v>
      </c>
      <c r="V305" s="720" t="s">
        <v>3044</v>
      </c>
      <c r="W305" s="63" t="n">
        <v>17.78</v>
      </c>
      <c r="IV305" s="618"/>
    </row>
    <row r="306" customFormat="false" ht="15" hidden="false" customHeight="false" outlineLevel="0" collapsed="false">
      <c r="A306" s="618" t="n">
        <v>92</v>
      </c>
      <c r="D306" s="566"/>
      <c r="E306" s="565"/>
      <c r="U306" s="719" t="s">
        <v>3045</v>
      </c>
      <c r="V306" s="720" t="s">
        <v>3046</v>
      </c>
      <c r="W306" s="63" t="n">
        <v>18</v>
      </c>
      <c r="IV306" s="618"/>
    </row>
    <row r="307" customFormat="false" ht="15" hidden="false" customHeight="false" outlineLevel="0" collapsed="false">
      <c r="A307" s="618" t="n">
        <v>93</v>
      </c>
      <c r="D307" s="566"/>
      <c r="E307" s="565"/>
      <c r="U307" s="719" t="s">
        <v>3047</v>
      </c>
      <c r="V307" s="720" t="s">
        <v>3048</v>
      </c>
      <c r="W307" s="63" t="n">
        <v>18.5</v>
      </c>
      <c r="IV307" s="618"/>
    </row>
    <row r="308" customFormat="false" ht="15" hidden="false" customHeight="false" outlineLevel="0" collapsed="false">
      <c r="A308" s="618" t="n">
        <v>94</v>
      </c>
      <c r="D308" s="566"/>
      <c r="E308" s="565"/>
      <c r="U308" s="719" t="s">
        <v>3049</v>
      </c>
      <c r="V308" s="720" t="s">
        <v>3050</v>
      </c>
      <c r="W308" s="63" t="n">
        <v>18.67</v>
      </c>
      <c r="IV308" s="618"/>
    </row>
    <row r="309" customFormat="false" ht="15" hidden="false" customHeight="false" outlineLevel="0" collapsed="false">
      <c r="A309" s="618" t="n">
        <v>95</v>
      </c>
      <c r="D309" s="566"/>
      <c r="E309" s="565"/>
      <c r="U309" s="719" t="s">
        <v>3051</v>
      </c>
      <c r="V309" s="720" t="s">
        <v>3052</v>
      </c>
      <c r="W309" s="63" t="n">
        <v>18.75</v>
      </c>
      <c r="IV309" s="618"/>
    </row>
    <row r="310" customFormat="false" ht="15" hidden="false" customHeight="false" outlineLevel="0" collapsed="false">
      <c r="A310" s="618" t="n">
        <v>96</v>
      </c>
      <c r="D310" s="566"/>
      <c r="E310" s="565"/>
      <c r="U310" s="719" t="s">
        <v>3053</v>
      </c>
      <c r="V310" s="720" t="s">
        <v>3054</v>
      </c>
      <c r="W310" s="63" t="n">
        <v>18.89</v>
      </c>
      <c r="IV310" s="618"/>
    </row>
    <row r="311" customFormat="false" ht="15" hidden="false" customHeight="false" outlineLevel="0" collapsed="false">
      <c r="A311" s="618" t="n">
        <v>97</v>
      </c>
      <c r="D311" s="566"/>
      <c r="E311" s="565"/>
      <c r="U311" s="719" t="s">
        <v>3055</v>
      </c>
      <c r="V311" s="720" t="s">
        <v>3056</v>
      </c>
      <c r="W311" s="63" t="n">
        <v>19</v>
      </c>
      <c r="IV311" s="618"/>
    </row>
    <row r="312" customFormat="false" ht="15" hidden="false" customHeight="false" outlineLevel="0" collapsed="false">
      <c r="A312" s="618" t="n">
        <v>98</v>
      </c>
      <c r="D312" s="566"/>
      <c r="E312" s="565"/>
      <c r="U312" s="719" t="s">
        <v>3057</v>
      </c>
      <c r="V312" s="720" t="s">
        <v>3058</v>
      </c>
      <c r="W312" s="63" t="n">
        <v>19.33</v>
      </c>
      <c r="IV312" s="618"/>
    </row>
    <row r="313" customFormat="false" ht="15" hidden="false" customHeight="false" outlineLevel="0" collapsed="false">
      <c r="A313" s="618" t="n">
        <v>99</v>
      </c>
      <c r="D313" s="566"/>
      <c r="E313" s="565"/>
      <c r="U313" s="719" t="s">
        <v>3059</v>
      </c>
      <c r="V313" s="720" t="s">
        <v>3060</v>
      </c>
      <c r="W313" s="63" t="n">
        <v>19.5</v>
      </c>
      <c r="IV313" s="618"/>
    </row>
    <row r="314" customFormat="false" ht="15" hidden="false" customHeight="false" outlineLevel="0" collapsed="false">
      <c r="A314" s="618" t="n">
        <v>100</v>
      </c>
      <c r="D314" s="566"/>
      <c r="E314" s="565"/>
      <c r="U314" s="719" t="s">
        <v>3061</v>
      </c>
      <c r="V314" s="720" t="s">
        <v>3062</v>
      </c>
      <c r="W314" s="63" t="n">
        <v>20</v>
      </c>
      <c r="IV314" s="618"/>
    </row>
    <row r="315" customFormat="false" ht="15" hidden="false" customHeight="false" outlineLevel="0" collapsed="false">
      <c r="A315" s="618" t="n">
        <v>101</v>
      </c>
      <c r="D315" s="566"/>
      <c r="E315" s="565"/>
      <c r="U315" s="719" t="s">
        <v>3063</v>
      </c>
      <c r="V315" s="720" t="s">
        <v>3064</v>
      </c>
      <c r="W315" s="63" t="n">
        <v>20.25</v>
      </c>
      <c r="IV315" s="618"/>
    </row>
    <row r="316" customFormat="false" ht="15" hidden="false" customHeight="false" outlineLevel="0" collapsed="false">
      <c r="A316" s="618" t="n">
        <v>102</v>
      </c>
      <c r="D316" s="566"/>
      <c r="E316" s="565"/>
      <c r="U316" s="719" t="s">
        <v>3065</v>
      </c>
      <c r="V316" s="720" t="s">
        <v>3066</v>
      </c>
      <c r="W316" s="63" t="n">
        <v>20.5</v>
      </c>
      <c r="IV316" s="618"/>
    </row>
    <row r="317" customFormat="false" ht="15" hidden="false" customHeight="false" outlineLevel="0" collapsed="false">
      <c r="A317" s="618" t="n">
        <v>103</v>
      </c>
      <c r="D317" s="566"/>
      <c r="E317" s="565"/>
      <c r="U317" s="719" t="s">
        <v>3067</v>
      </c>
      <c r="V317" s="720" t="s">
        <v>3068</v>
      </c>
      <c r="W317" s="63" t="n">
        <v>20.63</v>
      </c>
      <c r="IV317" s="618"/>
    </row>
    <row r="318" customFormat="false" ht="15" hidden="false" customHeight="false" outlineLevel="0" collapsed="false">
      <c r="A318" s="618" t="n">
        <v>104</v>
      </c>
      <c r="D318" s="566"/>
      <c r="E318" s="565"/>
      <c r="U318" s="719" t="s">
        <v>3069</v>
      </c>
      <c r="V318" s="720" t="s">
        <v>3070</v>
      </c>
      <c r="W318" s="63" t="n">
        <v>20.67</v>
      </c>
      <c r="IV318" s="618"/>
    </row>
    <row r="319" customFormat="false" ht="15" hidden="false" customHeight="false" outlineLevel="0" collapsed="false">
      <c r="A319" s="618" t="n">
        <v>105</v>
      </c>
      <c r="D319" s="566"/>
      <c r="E319" s="565"/>
      <c r="U319" s="719" t="s">
        <v>3071</v>
      </c>
      <c r="V319" s="720" t="s">
        <v>3072</v>
      </c>
      <c r="W319" s="63" t="n">
        <v>21</v>
      </c>
      <c r="IV319" s="618"/>
    </row>
    <row r="320" customFormat="false" ht="15" hidden="false" customHeight="false" outlineLevel="0" collapsed="false">
      <c r="A320" s="618" t="n">
        <v>106</v>
      </c>
      <c r="D320" s="566"/>
      <c r="E320" s="565"/>
      <c r="U320" s="719" t="s">
        <v>3073</v>
      </c>
      <c r="V320" s="720" t="s">
        <v>3074</v>
      </c>
      <c r="W320" s="63" t="n">
        <v>21.11</v>
      </c>
      <c r="IV320" s="618"/>
    </row>
    <row r="321" customFormat="false" ht="15" hidden="false" customHeight="false" outlineLevel="0" collapsed="false">
      <c r="A321" s="618" t="n">
        <v>107</v>
      </c>
      <c r="D321" s="566"/>
      <c r="E321" s="565"/>
      <c r="U321" s="719" t="s">
        <v>3075</v>
      </c>
      <c r="V321" s="720" t="s">
        <v>3076</v>
      </c>
      <c r="W321" s="63" t="n">
        <v>21.25</v>
      </c>
      <c r="IV321" s="618"/>
    </row>
    <row r="322" customFormat="false" ht="15" hidden="false" customHeight="false" outlineLevel="0" collapsed="false">
      <c r="A322" s="618" t="n">
        <v>108</v>
      </c>
      <c r="D322" s="566"/>
      <c r="E322" s="565"/>
      <c r="U322" s="719" t="s">
        <v>3077</v>
      </c>
      <c r="V322" s="720" t="s">
        <v>3078</v>
      </c>
      <c r="W322" s="63" t="n">
        <v>21.33</v>
      </c>
      <c r="IV322" s="618"/>
    </row>
    <row r="323" customFormat="false" ht="15" hidden="false" customHeight="false" outlineLevel="0" collapsed="false">
      <c r="A323" s="618" t="n">
        <v>109</v>
      </c>
      <c r="D323" s="566"/>
      <c r="E323" s="565"/>
      <c r="U323" s="719" t="s">
        <v>3079</v>
      </c>
      <c r="V323" s="720" t="s">
        <v>3080</v>
      </c>
      <c r="W323" s="63" t="n">
        <v>21.43</v>
      </c>
      <c r="IV323" s="618"/>
    </row>
    <row r="324" customFormat="false" ht="15" hidden="false" customHeight="false" outlineLevel="0" collapsed="false">
      <c r="A324" s="618" t="n">
        <v>110</v>
      </c>
      <c r="D324" s="566"/>
      <c r="E324" s="565"/>
      <c r="U324" s="719" t="s">
        <v>3081</v>
      </c>
      <c r="V324" s="720" t="s">
        <v>3082</v>
      </c>
      <c r="W324" s="63" t="n">
        <v>21.5</v>
      </c>
      <c r="IV324" s="618"/>
    </row>
    <row r="325" customFormat="false" ht="15" hidden="false" customHeight="false" outlineLevel="0" collapsed="false">
      <c r="A325" s="618" t="n">
        <v>111</v>
      </c>
      <c r="D325" s="566"/>
      <c r="E325" s="565"/>
      <c r="U325" s="719" t="s">
        <v>3083</v>
      </c>
      <c r="V325" s="720" t="s">
        <v>3084</v>
      </c>
      <c r="W325" s="63" t="n">
        <v>21.75</v>
      </c>
      <c r="IV325" s="618"/>
    </row>
    <row r="326" customFormat="false" ht="15" hidden="false" customHeight="false" outlineLevel="0" collapsed="false">
      <c r="A326" s="618" t="n">
        <v>112</v>
      </c>
      <c r="D326" s="566"/>
      <c r="E326" s="565"/>
      <c r="U326" s="719" t="s">
        <v>2977</v>
      </c>
      <c r="V326" s="720" t="s">
        <v>2978</v>
      </c>
      <c r="W326" s="63" t="n">
        <v>22</v>
      </c>
      <c r="IV326" s="618"/>
    </row>
    <row r="327" customFormat="false" ht="15" hidden="false" customHeight="false" outlineLevel="0" collapsed="false">
      <c r="A327" s="618" t="n">
        <v>113</v>
      </c>
      <c r="D327" s="566"/>
      <c r="E327" s="565"/>
      <c r="U327" s="719" t="s">
        <v>3085</v>
      </c>
      <c r="V327" s="720" t="s">
        <v>3086</v>
      </c>
      <c r="W327" s="63" t="n">
        <v>22.22</v>
      </c>
      <c r="IV327" s="618"/>
    </row>
    <row r="328" customFormat="false" ht="15" hidden="false" customHeight="false" outlineLevel="0" collapsed="false">
      <c r="A328" s="618" t="n">
        <v>114</v>
      </c>
      <c r="D328" s="566"/>
      <c r="E328" s="565"/>
      <c r="U328" s="719" t="s">
        <v>3087</v>
      </c>
      <c r="V328" s="720" t="s">
        <v>3088</v>
      </c>
      <c r="W328" s="63" t="n">
        <v>22.5</v>
      </c>
      <c r="IV328" s="618"/>
    </row>
    <row r="329" customFormat="false" ht="15" hidden="false" customHeight="false" outlineLevel="0" collapsed="false">
      <c r="A329" s="618" t="n">
        <v>115</v>
      </c>
      <c r="D329" s="566"/>
      <c r="E329" s="565"/>
      <c r="U329" s="719" t="s">
        <v>3089</v>
      </c>
      <c r="V329" s="720" t="s">
        <v>3090</v>
      </c>
      <c r="W329" s="63" t="n">
        <v>22.67</v>
      </c>
      <c r="IV329" s="618"/>
    </row>
    <row r="330" customFormat="false" ht="15" hidden="false" customHeight="false" outlineLevel="0" collapsed="false">
      <c r="A330" s="618" t="n">
        <v>116</v>
      </c>
      <c r="D330" s="566"/>
      <c r="E330" s="565"/>
      <c r="U330" s="719" t="s">
        <v>3091</v>
      </c>
      <c r="V330" s="720" t="s">
        <v>3092</v>
      </c>
      <c r="W330" s="63" t="n">
        <v>23</v>
      </c>
      <c r="IV330" s="618"/>
    </row>
    <row r="331" customFormat="false" ht="15" hidden="false" customHeight="false" outlineLevel="0" collapsed="false">
      <c r="A331" s="618" t="n">
        <v>117</v>
      </c>
      <c r="D331" s="566"/>
      <c r="E331" s="565"/>
      <c r="U331" s="719" t="s">
        <v>3093</v>
      </c>
      <c r="V331" s="720" t="s">
        <v>3094</v>
      </c>
      <c r="W331" s="63" t="n">
        <v>23.25</v>
      </c>
      <c r="IV331" s="618"/>
    </row>
    <row r="332" customFormat="false" ht="15" hidden="false" customHeight="false" outlineLevel="0" collapsed="false">
      <c r="A332" s="618" t="n">
        <v>118</v>
      </c>
      <c r="D332" s="566"/>
      <c r="E332" s="565"/>
      <c r="U332" s="719" t="s">
        <v>3095</v>
      </c>
      <c r="V332" s="720" t="s">
        <v>3096</v>
      </c>
      <c r="W332" s="63" t="n">
        <v>23.33</v>
      </c>
      <c r="IV332" s="618"/>
    </row>
    <row r="333" customFormat="false" ht="15" hidden="false" customHeight="false" outlineLevel="0" collapsed="false">
      <c r="A333" s="618" t="n">
        <v>119</v>
      </c>
      <c r="D333" s="566"/>
      <c r="E333" s="565"/>
      <c r="U333" s="719" t="s">
        <v>3097</v>
      </c>
      <c r="V333" s="720" t="s">
        <v>2699</v>
      </c>
      <c r="W333" s="63" t="n">
        <v>23.5</v>
      </c>
      <c r="IV333" s="618"/>
    </row>
    <row r="334" customFormat="false" ht="15" hidden="false" customHeight="false" outlineLevel="0" collapsed="false">
      <c r="A334" s="618" t="n">
        <v>120</v>
      </c>
      <c r="D334" s="566"/>
      <c r="E334" s="565"/>
      <c r="U334" s="719" t="s">
        <v>3098</v>
      </c>
      <c r="V334" s="720" t="s">
        <v>3099</v>
      </c>
      <c r="W334" s="63" t="n">
        <v>23.75</v>
      </c>
      <c r="IV334" s="618"/>
    </row>
    <row r="335" customFormat="false" ht="15" hidden="false" customHeight="false" outlineLevel="0" collapsed="false">
      <c r="A335" s="618" t="n">
        <v>121</v>
      </c>
      <c r="D335" s="566"/>
      <c r="E335" s="565"/>
      <c r="U335" s="719" t="s">
        <v>3100</v>
      </c>
      <c r="V335" s="720" t="s">
        <v>3101</v>
      </c>
      <c r="W335" s="63" t="n">
        <v>24</v>
      </c>
      <c r="IV335" s="618"/>
    </row>
    <row r="336" customFormat="false" ht="15" hidden="false" customHeight="false" outlineLevel="0" collapsed="false">
      <c r="A336" s="618" t="n">
        <v>122</v>
      </c>
      <c r="D336" s="566"/>
      <c r="E336" s="565"/>
      <c r="U336" s="719" t="s">
        <v>3102</v>
      </c>
      <c r="V336" s="720" t="s">
        <v>3103</v>
      </c>
      <c r="W336" s="63" t="n">
        <v>24.38</v>
      </c>
      <c r="IV336" s="618"/>
    </row>
    <row r="337" customFormat="false" ht="15" hidden="false" customHeight="false" outlineLevel="0" collapsed="false">
      <c r="A337" s="618" t="n">
        <v>123</v>
      </c>
      <c r="D337" s="566"/>
      <c r="E337" s="565"/>
      <c r="U337" s="719" t="s">
        <v>3104</v>
      </c>
      <c r="V337" s="720" t="s">
        <v>3105</v>
      </c>
      <c r="W337" s="63" t="n">
        <v>24.44</v>
      </c>
      <c r="IV337" s="618"/>
    </row>
    <row r="338" customFormat="false" ht="15" hidden="false" customHeight="false" outlineLevel="0" collapsed="false">
      <c r="A338" s="618" t="n">
        <v>124</v>
      </c>
      <c r="D338" s="566"/>
      <c r="E338" s="565"/>
      <c r="U338" s="719" t="s">
        <v>3106</v>
      </c>
      <c r="V338" s="720" t="s">
        <v>3107</v>
      </c>
      <c r="W338" s="63" t="n">
        <v>24.5</v>
      </c>
      <c r="IV338" s="618"/>
    </row>
    <row r="339" customFormat="false" ht="15" hidden="false" customHeight="false" outlineLevel="0" collapsed="false">
      <c r="A339" s="618" t="n">
        <v>125</v>
      </c>
      <c r="D339" s="566"/>
      <c r="E339" s="565"/>
      <c r="U339" s="719" t="s">
        <v>3108</v>
      </c>
      <c r="V339" s="720" t="s">
        <v>3109</v>
      </c>
      <c r="W339" s="63" t="n">
        <v>24.67</v>
      </c>
      <c r="IV339" s="618"/>
    </row>
    <row r="340" customFormat="false" ht="15" hidden="false" customHeight="false" outlineLevel="0" collapsed="false">
      <c r="A340" s="618" t="n">
        <v>126</v>
      </c>
      <c r="D340" s="566"/>
      <c r="E340" s="565"/>
      <c r="U340" s="719" t="s">
        <v>3110</v>
      </c>
      <c r="V340" s="720" t="s">
        <v>3111</v>
      </c>
      <c r="W340" s="63" t="n">
        <v>24.75</v>
      </c>
      <c r="IV340" s="618"/>
    </row>
    <row r="341" customFormat="false" ht="15" hidden="false" customHeight="false" outlineLevel="0" collapsed="false">
      <c r="A341" s="618" t="n">
        <v>127</v>
      </c>
      <c r="D341" s="566"/>
      <c r="E341" s="565"/>
      <c r="U341" s="719" t="s">
        <v>2703</v>
      </c>
      <c r="V341" s="720" t="s">
        <v>2702</v>
      </c>
      <c r="W341" s="63" t="n">
        <v>25</v>
      </c>
      <c r="IV341" s="618"/>
    </row>
    <row r="342" customFormat="false" ht="15" hidden="false" customHeight="false" outlineLevel="0" collapsed="false">
      <c r="A342" s="618" t="n">
        <v>128</v>
      </c>
      <c r="D342" s="566"/>
      <c r="E342" s="565"/>
      <c r="U342" s="719" t="s">
        <v>3025</v>
      </c>
      <c r="V342" s="720" t="s">
        <v>3026</v>
      </c>
      <c r="W342" s="63" t="n">
        <v>25.33</v>
      </c>
      <c r="IV342" s="618"/>
    </row>
    <row r="343" customFormat="false" ht="15" hidden="false" customHeight="false" outlineLevel="0" collapsed="false">
      <c r="A343" s="618" t="n">
        <v>129</v>
      </c>
      <c r="D343" s="566"/>
      <c r="E343" s="565"/>
      <c r="U343" s="719" t="s">
        <v>3112</v>
      </c>
      <c r="V343" s="720" t="s">
        <v>3113</v>
      </c>
      <c r="W343" s="63" t="n">
        <v>25.5</v>
      </c>
      <c r="IV343" s="618"/>
    </row>
    <row r="344" customFormat="false" ht="15" hidden="false" customHeight="false" outlineLevel="0" collapsed="false">
      <c r="A344" s="618" t="n">
        <v>130</v>
      </c>
      <c r="D344" s="566"/>
      <c r="E344" s="565"/>
      <c r="U344" s="719" t="s">
        <v>3114</v>
      </c>
      <c r="V344" s="720" t="s">
        <v>3115</v>
      </c>
      <c r="W344" s="63" t="n">
        <v>25.56</v>
      </c>
      <c r="IV344" s="618"/>
    </row>
    <row r="345" customFormat="false" ht="15" hidden="false" customHeight="false" outlineLevel="0" collapsed="false">
      <c r="A345" s="618" t="n">
        <v>131</v>
      </c>
      <c r="D345" s="566"/>
      <c r="E345" s="565"/>
      <c r="U345" s="719" t="s">
        <v>3116</v>
      </c>
      <c r="V345" s="720" t="s">
        <v>3117</v>
      </c>
      <c r="W345" s="63" t="n">
        <v>25.71</v>
      </c>
      <c r="IV345" s="618"/>
    </row>
    <row r="346" customFormat="false" ht="15" hidden="false" customHeight="false" outlineLevel="0" collapsed="false">
      <c r="A346" s="618" t="n">
        <v>132</v>
      </c>
      <c r="D346" s="566"/>
      <c r="E346" s="565"/>
      <c r="U346" s="719" t="s">
        <v>3118</v>
      </c>
      <c r="V346" s="720" t="s">
        <v>3119</v>
      </c>
      <c r="W346" s="63" t="n">
        <v>26</v>
      </c>
      <c r="IV346" s="618"/>
    </row>
    <row r="347" customFormat="false" ht="15" hidden="false" customHeight="false" outlineLevel="0" collapsed="false">
      <c r="A347" s="618" t="n">
        <v>133</v>
      </c>
      <c r="D347" s="566"/>
      <c r="E347" s="565"/>
      <c r="U347" s="719" t="s">
        <v>3120</v>
      </c>
      <c r="V347" s="720" t="s">
        <v>3121</v>
      </c>
      <c r="W347" s="63" t="n">
        <v>26.25</v>
      </c>
      <c r="IV347" s="618"/>
    </row>
    <row r="348" customFormat="false" ht="15" hidden="false" customHeight="false" outlineLevel="0" collapsed="false">
      <c r="A348" s="618" t="n">
        <v>134</v>
      </c>
      <c r="D348" s="566"/>
      <c r="E348" s="565"/>
      <c r="U348" s="719" t="s">
        <v>3122</v>
      </c>
      <c r="V348" s="720" t="s">
        <v>3123</v>
      </c>
      <c r="W348" s="63" t="n">
        <v>26.5</v>
      </c>
      <c r="IV348" s="618"/>
    </row>
    <row r="349" customFormat="false" ht="15" hidden="false" customHeight="false" outlineLevel="0" collapsed="false">
      <c r="A349" s="618" t="n">
        <v>135</v>
      </c>
      <c r="D349" s="566"/>
      <c r="E349" s="565"/>
      <c r="U349" s="719" t="s">
        <v>3124</v>
      </c>
      <c r="V349" s="720" t="s">
        <v>3125</v>
      </c>
      <c r="W349" s="63" t="n">
        <v>26.67</v>
      </c>
      <c r="IV349" s="618"/>
    </row>
    <row r="350" customFormat="false" ht="15" hidden="false" customHeight="false" outlineLevel="0" collapsed="false">
      <c r="A350" s="618" t="n">
        <v>136</v>
      </c>
      <c r="D350" s="566"/>
      <c r="E350" s="565"/>
      <c r="U350" s="719" t="s">
        <v>3126</v>
      </c>
      <c r="V350" s="720" t="s">
        <v>3127</v>
      </c>
      <c r="W350" s="63" t="n">
        <v>27</v>
      </c>
      <c r="IV350" s="618"/>
    </row>
    <row r="351" customFormat="false" ht="15" hidden="false" customHeight="false" outlineLevel="0" collapsed="false">
      <c r="A351" s="618" t="n">
        <v>137</v>
      </c>
      <c r="D351" s="566"/>
      <c r="E351" s="565"/>
      <c r="U351" s="719" t="s">
        <v>3128</v>
      </c>
      <c r="V351" s="720" t="s">
        <v>3129</v>
      </c>
      <c r="W351" s="63" t="n">
        <v>27.33</v>
      </c>
      <c r="IV351" s="618"/>
    </row>
    <row r="352" customFormat="false" ht="15" hidden="false" customHeight="false" outlineLevel="0" collapsed="false">
      <c r="A352" s="618" t="n">
        <v>138</v>
      </c>
      <c r="D352" s="566"/>
      <c r="E352" s="565"/>
      <c r="U352" s="719" t="s">
        <v>3073</v>
      </c>
      <c r="V352" s="720" t="s">
        <v>3074</v>
      </c>
      <c r="W352" s="63" t="n">
        <v>27.5</v>
      </c>
      <c r="IV352" s="618"/>
    </row>
    <row r="353" customFormat="false" ht="15" hidden="false" customHeight="false" outlineLevel="0" collapsed="false">
      <c r="A353" s="618" t="n">
        <v>139</v>
      </c>
      <c r="D353" s="566"/>
      <c r="E353" s="565"/>
      <c r="U353" s="719" t="s">
        <v>3130</v>
      </c>
      <c r="V353" s="720" t="s">
        <v>3131</v>
      </c>
      <c r="W353" s="63" t="n">
        <v>27.75</v>
      </c>
      <c r="IV353" s="618"/>
    </row>
    <row r="354" customFormat="false" ht="15" hidden="false" customHeight="false" outlineLevel="0" collapsed="false">
      <c r="A354" s="618" t="n">
        <v>140</v>
      </c>
      <c r="D354" s="566"/>
      <c r="E354" s="565"/>
      <c r="U354" s="719" t="s">
        <v>3132</v>
      </c>
      <c r="V354" s="720" t="s">
        <v>3133</v>
      </c>
      <c r="W354" s="63" t="n">
        <v>27.78</v>
      </c>
      <c r="IV354" s="618"/>
    </row>
    <row r="355" customFormat="false" ht="15" hidden="false" customHeight="false" outlineLevel="0" collapsed="false">
      <c r="A355" s="618" t="n">
        <v>141</v>
      </c>
      <c r="D355" s="566"/>
      <c r="E355" s="565"/>
      <c r="U355" s="719" t="s">
        <v>3134</v>
      </c>
      <c r="V355" s="720" t="s">
        <v>3135</v>
      </c>
      <c r="W355" s="63" t="n">
        <v>28</v>
      </c>
      <c r="IV355" s="618"/>
    </row>
    <row r="356" customFormat="false" ht="15" hidden="false" customHeight="false" outlineLevel="0" collapsed="false">
      <c r="A356" s="618" t="n">
        <v>142</v>
      </c>
      <c r="D356" s="566"/>
      <c r="E356" s="565"/>
      <c r="U356" s="719" t="s">
        <v>3136</v>
      </c>
      <c r="V356" s="720" t="s">
        <v>3137</v>
      </c>
      <c r="W356" s="63" t="n">
        <v>28.13</v>
      </c>
      <c r="IV356" s="618"/>
    </row>
    <row r="357" customFormat="false" ht="15" hidden="false" customHeight="false" outlineLevel="0" collapsed="false">
      <c r="A357" s="618" t="n">
        <v>143</v>
      </c>
      <c r="D357" s="566"/>
      <c r="E357" s="565"/>
      <c r="U357" s="719" t="s">
        <v>3138</v>
      </c>
      <c r="V357" s="720" t="s">
        <v>3139</v>
      </c>
      <c r="W357" s="63" t="n">
        <v>28.5</v>
      </c>
      <c r="IV357" s="618"/>
    </row>
    <row r="358" customFormat="false" ht="15" hidden="false" customHeight="false" outlineLevel="0" collapsed="false">
      <c r="A358" s="618" t="n">
        <v>144</v>
      </c>
      <c r="D358" s="566"/>
      <c r="E358" s="565"/>
      <c r="U358" s="719" t="s">
        <v>3140</v>
      </c>
      <c r="V358" s="720" t="s">
        <v>3141</v>
      </c>
      <c r="W358" s="63" t="n">
        <v>28.67</v>
      </c>
      <c r="IV358" s="618"/>
    </row>
    <row r="359" customFormat="false" ht="15" hidden="false" customHeight="false" outlineLevel="0" collapsed="false">
      <c r="A359" s="618" t="n">
        <v>145</v>
      </c>
      <c r="D359" s="566"/>
      <c r="E359" s="565"/>
      <c r="U359" s="719" t="s">
        <v>3142</v>
      </c>
      <c r="V359" s="720" t="s">
        <v>3143</v>
      </c>
      <c r="W359" s="63" t="n">
        <v>28.75</v>
      </c>
      <c r="IV359" s="618"/>
    </row>
    <row r="360" customFormat="false" ht="15" hidden="false" customHeight="false" outlineLevel="0" collapsed="false">
      <c r="A360" s="618" t="n">
        <v>146</v>
      </c>
      <c r="D360" s="566"/>
      <c r="E360" s="565"/>
      <c r="U360" s="719" t="s">
        <v>3144</v>
      </c>
      <c r="V360" s="720" t="s">
        <v>3145</v>
      </c>
      <c r="W360" s="63" t="n">
        <v>28.89</v>
      </c>
      <c r="IV360" s="618"/>
    </row>
    <row r="361" customFormat="false" ht="15" hidden="false" customHeight="false" outlineLevel="0" collapsed="false">
      <c r="A361" s="618" t="n">
        <v>147</v>
      </c>
      <c r="D361" s="566"/>
      <c r="E361" s="565"/>
      <c r="U361" s="719" t="s">
        <v>3146</v>
      </c>
      <c r="V361" s="720" t="s">
        <v>3147</v>
      </c>
      <c r="W361" s="63" t="n">
        <v>29</v>
      </c>
      <c r="IV361" s="618"/>
    </row>
    <row r="362" customFormat="false" ht="15" hidden="false" customHeight="false" outlineLevel="0" collapsed="false">
      <c r="A362" s="618" t="n">
        <v>148</v>
      </c>
      <c r="D362" s="566"/>
      <c r="E362" s="565"/>
      <c r="U362" s="719" t="s">
        <v>3148</v>
      </c>
      <c r="V362" s="720" t="s">
        <v>3149</v>
      </c>
      <c r="W362" s="63" t="n">
        <v>29.25</v>
      </c>
      <c r="IV362" s="618"/>
    </row>
    <row r="363" customFormat="false" ht="15" hidden="false" customHeight="false" outlineLevel="0" collapsed="false">
      <c r="A363" s="618" t="n">
        <v>149</v>
      </c>
      <c r="D363" s="566"/>
      <c r="E363" s="565"/>
      <c r="U363" s="719" t="s">
        <v>3150</v>
      </c>
      <c r="V363" s="720" t="s">
        <v>3151</v>
      </c>
      <c r="W363" s="63" t="n">
        <v>29.33</v>
      </c>
      <c r="IV363" s="618"/>
    </row>
    <row r="364" customFormat="false" ht="15" hidden="false" customHeight="false" outlineLevel="0" collapsed="false">
      <c r="A364" s="618" t="n">
        <v>150</v>
      </c>
      <c r="D364" s="566"/>
      <c r="E364" s="565"/>
      <c r="U364" s="719" t="s">
        <v>3152</v>
      </c>
      <c r="V364" s="720" t="s">
        <v>3153</v>
      </c>
      <c r="W364" s="63" t="n">
        <v>29.5</v>
      </c>
      <c r="IV364" s="618"/>
    </row>
    <row r="365" customFormat="false" ht="15" hidden="false" customHeight="false" outlineLevel="0" collapsed="false">
      <c r="A365" s="618"/>
      <c r="D365" s="566"/>
      <c r="E365" s="565"/>
      <c r="IV365" s="618"/>
    </row>
    <row r="366" customFormat="false" ht="15" hidden="false" customHeight="false" outlineLevel="0" collapsed="false">
      <c r="A366" s="618"/>
      <c r="D366" s="566"/>
      <c r="E366" s="565"/>
    </row>
    <row r="367" customFormat="false" ht="15" hidden="false" customHeight="false" outlineLevel="0" collapsed="false">
      <c r="A367" s="618"/>
    </row>
    <row r="368" s="721" customFormat="true" ht="15" hidden="false" customHeight="false" outlineLevel="0" collapsed="false">
      <c r="A368" s="565"/>
      <c r="B368" s="565"/>
      <c r="C368" s="565"/>
      <c r="D368" s="565"/>
      <c r="E368" s="566"/>
      <c r="F368" s="565"/>
      <c r="G368" s="565"/>
      <c r="H368" s="565"/>
      <c r="I368" s="565"/>
      <c r="J368" s="565"/>
      <c r="K368" s="565"/>
      <c r="L368" s="565"/>
      <c r="M368" s="565"/>
      <c r="N368" s="565"/>
      <c r="O368" s="565"/>
      <c r="P368" s="565"/>
      <c r="Q368" s="565"/>
      <c r="R368" s="565"/>
      <c r="S368" s="565"/>
      <c r="T368" s="565"/>
      <c r="U368" s="565"/>
      <c r="V368" s="565"/>
      <c r="W368" s="565"/>
      <c r="X368" s="565"/>
      <c r="Y368" s="565"/>
      <c r="Z368" s="567"/>
      <c r="AA368" s="567"/>
      <c r="AB368" s="565"/>
      <c r="AC368" s="565"/>
      <c r="AD368" s="565"/>
      <c r="AE368" s="565"/>
      <c r="AF368" s="565"/>
      <c r="AG368" s="565"/>
      <c r="AH368" s="565"/>
      <c r="AI368" s="565"/>
      <c r="AJ368" s="565"/>
      <c r="AK368" s="565"/>
      <c r="AL368" s="565"/>
      <c r="AM368" s="565"/>
      <c r="AN368" s="565"/>
      <c r="AO368" s="565"/>
      <c r="AP368" s="565"/>
      <c r="AQ368" s="565"/>
      <c r="AR368" s="565"/>
      <c r="AS368" s="565"/>
      <c r="BF368" s="722"/>
      <c r="BG368" s="722"/>
    </row>
    <row r="369" s="721" customFormat="true" ht="15" hidden="false" customHeight="false" outlineLevel="0" collapsed="false">
      <c r="A369" s="723" t="s">
        <v>3154</v>
      </c>
      <c r="B369" s="724" t="s">
        <v>3155</v>
      </c>
      <c r="C369" s="724" t="s">
        <v>2111</v>
      </c>
      <c r="D369" s="724"/>
      <c r="E369" s="724" t="s">
        <v>3156</v>
      </c>
      <c r="F369" s="724" t="s">
        <v>3157</v>
      </c>
      <c r="G369" s="724" t="s">
        <v>319</v>
      </c>
      <c r="H369" s="723"/>
      <c r="Z369" s="725"/>
      <c r="AA369" s="725"/>
      <c r="BF369" s="722"/>
      <c r="BG369" s="722"/>
    </row>
    <row r="370" s="721" customFormat="true" ht="28.35" hidden="false" customHeight="false" outlineLevel="0" collapsed="false">
      <c r="A370" s="723" t="s">
        <v>3158</v>
      </c>
      <c r="B370" s="724" t="n">
        <v>2</v>
      </c>
      <c r="C370" s="724" t="n">
        <v>3</v>
      </c>
      <c r="D370" s="724" t="s">
        <v>3159</v>
      </c>
      <c r="E370" s="724" t="n">
        <v>4</v>
      </c>
      <c r="F370" s="724" t="n">
        <v>5</v>
      </c>
      <c r="G370" s="726" t="s">
        <v>3160</v>
      </c>
      <c r="H370" s="727" t="s">
        <v>3161</v>
      </c>
      <c r="Z370" s="725"/>
      <c r="AA370" s="725"/>
      <c r="BF370" s="722"/>
      <c r="BG370" s="722"/>
    </row>
    <row r="371" s="721" customFormat="true" ht="15" hidden="false" customHeight="false" outlineLevel="0" collapsed="false">
      <c r="A371" s="728" t="s">
        <v>896</v>
      </c>
      <c r="B371" s="729" t="s">
        <v>896</v>
      </c>
      <c r="C371" s="729" t="s">
        <v>3162</v>
      </c>
      <c r="D371" s="729" t="s">
        <v>3163</v>
      </c>
      <c r="E371" s="729" t="s">
        <v>1758</v>
      </c>
      <c r="F371" s="729" t="s">
        <v>3164</v>
      </c>
      <c r="G371" s="729" t="s">
        <v>896</v>
      </c>
      <c r="H371" s="730" t="s">
        <v>961</v>
      </c>
      <c r="Z371" s="725"/>
      <c r="AA371" s="725"/>
      <c r="BF371" s="722"/>
      <c r="BG371" s="722"/>
    </row>
    <row r="372" s="721" customFormat="true" ht="15" hidden="false" customHeight="false" outlineLevel="0" collapsed="false">
      <c r="A372" s="728" t="s">
        <v>908</v>
      </c>
      <c r="B372" s="729" t="s">
        <v>951</v>
      </c>
      <c r="C372" s="729" t="s">
        <v>3165</v>
      </c>
      <c r="D372" s="729" t="s">
        <v>3166</v>
      </c>
      <c r="E372" s="729" t="s">
        <v>1689</v>
      </c>
      <c r="F372" s="729" t="s">
        <v>3167</v>
      </c>
      <c r="G372" s="729" t="s">
        <v>908</v>
      </c>
      <c r="H372" s="730" t="s">
        <v>969</v>
      </c>
      <c r="Z372" s="725"/>
      <c r="AA372" s="725"/>
      <c r="BF372" s="722"/>
      <c r="BG372" s="722"/>
    </row>
    <row r="373" s="721" customFormat="true" ht="15" hidden="false" customHeight="false" outlineLevel="0" collapsed="false">
      <c r="A373" s="728" t="s">
        <v>920</v>
      </c>
      <c r="B373" s="729" t="s">
        <v>997</v>
      </c>
      <c r="C373" s="729" t="s">
        <v>3168</v>
      </c>
      <c r="D373" s="729" t="s">
        <v>859</v>
      </c>
      <c r="E373" s="729" t="s">
        <v>1817</v>
      </c>
      <c r="F373" s="729" t="s">
        <v>3169</v>
      </c>
      <c r="G373" s="729" t="s">
        <v>931</v>
      </c>
      <c r="H373" s="730" t="s">
        <v>987</v>
      </c>
      <c r="Z373" s="725"/>
      <c r="AA373" s="725"/>
      <c r="BF373" s="722"/>
      <c r="BG373" s="722"/>
    </row>
    <row r="374" s="721" customFormat="true" ht="15" hidden="false" customHeight="false" outlineLevel="0" collapsed="false">
      <c r="A374" s="728" t="s">
        <v>931</v>
      </c>
      <c r="B374" s="729" t="s">
        <v>943</v>
      </c>
      <c r="C374" s="729" t="s">
        <v>3168</v>
      </c>
      <c r="D374" s="729" t="s">
        <v>3163</v>
      </c>
      <c r="E374" s="729" t="s">
        <v>1453</v>
      </c>
      <c r="F374" s="729" t="s">
        <v>3170</v>
      </c>
      <c r="G374" s="729" t="s">
        <v>961</v>
      </c>
      <c r="H374" s="730" t="s">
        <v>896</v>
      </c>
      <c r="Z374" s="725"/>
      <c r="AA374" s="725"/>
      <c r="BF374" s="722"/>
      <c r="BG374" s="722"/>
    </row>
    <row r="375" s="721" customFormat="true" ht="15" hidden="false" customHeight="false" outlineLevel="0" collapsed="false">
      <c r="A375" s="728" t="s">
        <v>943</v>
      </c>
      <c r="B375" s="729" t="s">
        <v>987</v>
      </c>
      <c r="C375" s="729" t="s">
        <v>3171</v>
      </c>
      <c r="D375" s="729" t="s">
        <v>859</v>
      </c>
      <c r="E375" s="729" t="s">
        <v>1689</v>
      </c>
      <c r="F375" s="729" t="s">
        <v>3172</v>
      </c>
      <c r="G375" s="729" t="s">
        <v>987</v>
      </c>
      <c r="H375" s="730" t="s">
        <v>931</v>
      </c>
      <c r="Z375" s="725"/>
      <c r="AA375" s="725"/>
      <c r="BF375" s="722"/>
      <c r="BG375" s="722"/>
    </row>
    <row r="376" s="721" customFormat="true" ht="15" hidden="false" customHeight="false" outlineLevel="0" collapsed="false">
      <c r="A376" s="728" t="s">
        <v>951</v>
      </c>
      <c r="B376" s="729" t="s">
        <v>920</v>
      </c>
      <c r="C376" s="729" t="s">
        <v>3165</v>
      </c>
      <c r="D376" s="729" t="s">
        <v>3173</v>
      </c>
      <c r="E376" s="729" t="s">
        <v>1689</v>
      </c>
      <c r="F376" s="729" t="s">
        <v>3174</v>
      </c>
      <c r="G376" s="729" t="s">
        <v>1006</v>
      </c>
      <c r="H376" s="730" t="s">
        <v>951</v>
      </c>
      <c r="Z376" s="725"/>
      <c r="AA376" s="725"/>
      <c r="BF376" s="722"/>
      <c r="BG376" s="722"/>
    </row>
    <row r="377" s="721" customFormat="true" ht="15" hidden="false" customHeight="false" outlineLevel="0" collapsed="false">
      <c r="A377" s="728" t="s">
        <v>961</v>
      </c>
      <c r="B377" s="729" t="s">
        <v>3175</v>
      </c>
      <c r="C377" s="729" t="s">
        <v>3176</v>
      </c>
      <c r="D377" s="729" t="s">
        <v>3177</v>
      </c>
      <c r="E377" s="729" t="s">
        <v>1545</v>
      </c>
      <c r="F377" s="729" t="s">
        <v>3178</v>
      </c>
      <c r="G377" s="729" t="s">
        <v>951</v>
      </c>
      <c r="H377" s="730" t="s">
        <v>1006</v>
      </c>
      <c r="Z377" s="725"/>
      <c r="AA377" s="725"/>
      <c r="BF377" s="722"/>
      <c r="BG377" s="722"/>
    </row>
    <row r="378" s="721" customFormat="true" ht="15" hidden="false" customHeight="false" outlineLevel="0" collapsed="false">
      <c r="A378" s="728" t="s">
        <v>969</v>
      </c>
      <c r="B378" s="729" t="s">
        <v>908</v>
      </c>
      <c r="C378" s="729" t="s">
        <v>3162</v>
      </c>
      <c r="D378" s="729" t="s">
        <v>859</v>
      </c>
      <c r="E378" s="729" t="s">
        <v>1620</v>
      </c>
      <c r="F378" s="729" t="s">
        <v>574</v>
      </c>
      <c r="G378" s="729" t="s">
        <v>969</v>
      </c>
      <c r="H378" s="730" t="s">
        <v>908</v>
      </c>
      <c r="Z378" s="725"/>
      <c r="AA378" s="725"/>
      <c r="BF378" s="722"/>
      <c r="BG378" s="722"/>
    </row>
    <row r="379" s="721" customFormat="true" ht="15" hidden="false" customHeight="false" outlineLevel="0" collapsed="false">
      <c r="A379" s="728" t="s">
        <v>3175</v>
      </c>
      <c r="B379" s="729" t="s">
        <v>1006</v>
      </c>
      <c r="C379" s="729" t="s">
        <v>3171</v>
      </c>
      <c r="D379" s="729" t="s">
        <v>830</v>
      </c>
      <c r="E379" s="729" t="s">
        <v>1620</v>
      </c>
      <c r="F379" s="729" t="s">
        <v>3179</v>
      </c>
      <c r="G379" s="729" t="s">
        <v>3175</v>
      </c>
      <c r="H379" s="730" t="s">
        <v>920</v>
      </c>
      <c r="Z379" s="725"/>
      <c r="AA379" s="725"/>
      <c r="BF379" s="722"/>
      <c r="BG379" s="722"/>
    </row>
    <row r="380" s="721" customFormat="true" ht="15" hidden="false" customHeight="false" outlineLevel="0" collapsed="false">
      <c r="A380" s="728" t="s">
        <v>987</v>
      </c>
      <c r="B380" s="729" t="s">
        <v>943</v>
      </c>
      <c r="C380" s="729" t="s">
        <v>3176</v>
      </c>
      <c r="D380" s="729" t="s">
        <v>3177</v>
      </c>
      <c r="E380" s="729" t="s">
        <v>1366</v>
      </c>
      <c r="F380" s="729" t="s">
        <v>641</v>
      </c>
      <c r="G380" s="729" t="s">
        <v>997</v>
      </c>
      <c r="H380" s="730" t="s">
        <v>943</v>
      </c>
      <c r="Z380" s="725"/>
      <c r="AA380" s="725"/>
      <c r="BF380" s="722"/>
      <c r="BG380" s="722"/>
    </row>
    <row r="381" s="721" customFormat="true" ht="15" hidden="false" customHeight="false" outlineLevel="0" collapsed="false">
      <c r="A381" s="728" t="s">
        <v>997</v>
      </c>
      <c r="B381" s="729" t="s">
        <v>3175</v>
      </c>
      <c r="C381" s="729" t="s">
        <v>3171</v>
      </c>
      <c r="D381" s="729" t="s">
        <v>3166</v>
      </c>
      <c r="E381" s="729" t="s">
        <v>1545</v>
      </c>
      <c r="F381" s="729" t="s">
        <v>557</v>
      </c>
      <c r="G381" s="729" t="s">
        <v>920</v>
      </c>
      <c r="H381" s="730" t="s">
        <v>3175</v>
      </c>
      <c r="Z381" s="725"/>
      <c r="AA381" s="725"/>
      <c r="BF381" s="722"/>
      <c r="BG381" s="722"/>
    </row>
    <row r="382" s="592" customFormat="true" ht="15" hidden="false" customHeight="false" outlineLevel="0" collapsed="false">
      <c r="A382" s="731" t="s">
        <v>1006</v>
      </c>
      <c r="B382" s="732" t="s">
        <v>997</v>
      </c>
      <c r="C382" s="732" t="s">
        <v>3165</v>
      </c>
      <c r="D382" s="732" t="s">
        <v>3177</v>
      </c>
      <c r="E382" s="732" t="s">
        <v>1620</v>
      </c>
      <c r="F382" s="732" t="s">
        <v>3180</v>
      </c>
      <c r="G382" s="732" t="s">
        <v>943</v>
      </c>
      <c r="H382" s="733" t="s">
        <v>997</v>
      </c>
      <c r="I382" s="721"/>
      <c r="J382" s="721"/>
      <c r="K382" s="721"/>
      <c r="L382" s="721"/>
      <c r="M382" s="721"/>
      <c r="N382" s="721"/>
      <c r="O382" s="721"/>
      <c r="P382" s="721"/>
      <c r="Q382" s="721"/>
      <c r="R382" s="721"/>
      <c r="S382" s="721"/>
      <c r="T382" s="721"/>
      <c r="U382" s="721"/>
      <c r="V382" s="721"/>
      <c r="W382" s="721"/>
      <c r="X382" s="721"/>
      <c r="Y382" s="721"/>
      <c r="Z382" s="725"/>
      <c r="AA382" s="725"/>
      <c r="AB382" s="721"/>
      <c r="AC382" s="721"/>
      <c r="AD382" s="721"/>
      <c r="AE382" s="721"/>
      <c r="AF382" s="721"/>
      <c r="AG382" s="721"/>
      <c r="AH382" s="721"/>
      <c r="AI382" s="721"/>
      <c r="AJ382" s="721"/>
      <c r="AK382" s="721"/>
      <c r="AL382" s="721"/>
      <c r="AM382" s="721"/>
      <c r="AN382" s="721"/>
      <c r="AO382" s="721"/>
      <c r="AP382" s="721"/>
      <c r="AQ382" s="721"/>
      <c r="AR382" s="721"/>
      <c r="AS382" s="721"/>
      <c r="BF382" s="722"/>
      <c r="BG382" s="722"/>
    </row>
    <row r="383" customFormat="false" ht="15" hidden="false" customHeight="false" outlineLevel="0" collapsed="false">
      <c r="A383" s="592"/>
      <c r="B383" s="592"/>
      <c r="C383" s="592"/>
      <c r="D383" s="592"/>
      <c r="E383" s="734"/>
      <c r="F383" s="592"/>
      <c r="G383" s="592"/>
      <c r="H383" s="592"/>
      <c r="I383" s="592"/>
      <c r="J383" s="592"/>
      <c r="K383" s="592"/>
      <c r="L383" s="592"/>
      <c r="M383" s="592"/>
      <c r="N383" s="592"/>
      <c r="O383" s="592"/>
      <c r="P383" s="592"/>
      <c r="Q383" s="592"/>
      <c r="R383" s="592"/>
      <c r="S383" s="592"/>
      <c r="T383" s="592"/>
      <c r="U383" s="592"/>
      <c r="V383" s="592"/>
      <c r="W383" s="592"/>
      <c r="X383" s="592"/>
      <c r="Y383" s="592"/>
      <c r="Z383" s="725"/>
      <c r="AA383" s="725"/>
      <c r="AB383" s="592"/>
      <c r="AC383" s="592"/>
      <c r="AD383" s="592"/>
      <c r="AE383" s="592"/>
      <c r="AF383" s="592"/>
      <c r="AG383" s="592"/>
      <c r="AH383" s="592"/>
      <c r="AI383" s="592"/>
      <c r="AJ383" s="592"/>
      <c r="AK383" s="592"/>
      <c r="AL383" s="592"/>
      <c r="AM383" s="592"/>
      <c r="AN383" s="592"/>
      <c r="AO383" s="592"/>
      <c r="AP383" s="592"/>
      <c r="AQ383" s="592"/>
      <c r="AR383" s="592"/>
      <c r="AS383" s="592"/>
    </row>
    <row r="384" customFormat="false" ht="15" hidden="true" customHeight="false" outlineLevel="0" collapsed="false">
      <c r="A384" s="735" t="s">
        <v>3181</v>
      </c>
      <c r="B384" s="736" t="s">
        <v>3182</v>
      </c>
      <c r="C384" s="736" t="s">
        <v>3183</v>
      </c>
      <c r="D384" s="736" t="s">
        <v>3184</v>
      </c>
      <c r="E384" s="736" t="s">
        <v>3185</v>
      </c>
      <c r="F384" s="736" t="s">
        <v>3186</v>
      </c>
      <c r="G384" s="736" t="s">
        <v>3187</v>
      </c>
      <c r="H384" s="736" t="s">
        <v>3188</v>
      </c>
      <c r="I384" s="736" t="s">
        <v>3189</v>
      </c>
      <c r="J384" s="736" t="s">
        <v>3190</v>
      </c>
      <c r="K384" s="736" t="s">
        <v>3191</v>
      </c>
      <c r="L384" s="736" t="s">
        <v>3192</v>
      </c>
      <c r="M384" s="737" t="s">
        <v>3193</v>
      </c>
    </row>
    <row r="385" customFormat="false" ht="15" hidden="false" customHeight="false" outlineLevel="0" collapsed="false">
      <c r="A385" s="738" t="s">
        <v>3194</v>
      </c>
      <c r="B385" s="739" t="s">
        <v>3195</v>
      </c>
      <c r="C385" s="739" t="s">
        <v>3196</v>
      </c>
      <c r="D385" s="739" t="s">
        <v>3197</v>
      </c>
      <c r="E385" s="739" t="s">
        <v>3198</v>
      </c>
      <c r="F385" s="739" t="s">
        <v>3199</v>
      </c>
      <c r="G385" s="739" t="s">
        <v>3200</v>
      </c>
      <c r="H385" s="739" t="s">
        <v>3201</v>
      </c>
      <c r="I385" s="739" t="s">
        <v>3202</v>
      </c>
      <c r="J385" s="739" t="s">
        <v>3203</v>
      </c>
      <c r="K385" s="739" t="s">
        <v>3204</v>
      </c>
      <c r="L385" s="739" t="s">
        <v>3205</v>
      </c>
      <c r="M385" s="740" t="s">
        <v>3206</v>
      </c>
    </row>
    <row r="386" customFormat="false" ht="16.4" hidden="true" customHeight="false" outlineLevel="0" collapsed="false">
      <c r="A386" s="741" t="s">
        <v>3207</v>
      </c>
      <c r="B386" s="742" t="s">
        <v>3208</v>
      </c>
      <c r="C386" s="742" t="s">
        <v>3209</v>
      </c>
      <c r="D386" s="742" t="s">
        <v>3210</v>
      </c>
      <c r="E386" s="742" t="s">
        <v>3211</v>
      </c>
      <c r="F386" s="742" t="s">
        <v>3212</v>
      </c>
      <c r="G386" s="742" t="s">
        <v>3213</v>
      </c>
      <c r="H386" s="742" t="s">
        <v>3214</v>
      </c>
      <c r="I386" s="742" t="s">
        <v>3215</v>
      </c>
      <c r="J386" s="742" t="s">
        <v>3216</v>
      </c>
      <c r="K386" s="742" t="s">
        <v>3217</v>
      </c>
      <c r="L386" s="742" t="s">
        <v>3218</v>
      </c>
      <c r="M386" s="743" t="s">
        <v>3219</v>
      </c>
    </row>
    <row r="387" customFormat="false" ht="15" hidden="false" customHeight="false" outlineLevel="0" collapsed="false">
      <c r="A387" s="744" t="s">
        <v>3220</v>
      </c>
      <c r="B387" s="745" t="s">
        <v>3221</v>
      </c>
      <c r="C387" s="745" t="s">
        <v>3222</v>
      </c>
      <c r="D387" s="745" t="s">
        <v>3223</v>
      </c>
      <c r="E387" s="745" t="s">
        <v>3224</v>
      </c>
      <c r="F387" s="745" t="s">
        <v>3225</v>
      </c>
      <c r="G387" s="745" t="s">
        <v>3226</v>
      </c>
      <c r="H387" s="745" t="s">
        <v>3227</v>
      </c>
      <c r="I387" s="745" t="s">
        <v>3228</v>
      </c>
      <c r="J387" s="745" t="s">
        <v>3229</v>
      </c>
      <c r="K387" s="745" t="s">
        <v>3230</v>
      </c>
      <c r="L387" s="745" t="s">
        <v>3231</v>
      </c>
      <c r="M387" s="746" t="s">
        <v>3232</v>
      </c>
    </row>
    <row r="388" customFormat="false" ht="16.4" hidden="true" customHeight="false" outlineLevel="0" collapsed="false">
      <c r="A388" s="741" t="s">
        <v>3233</v>
      </c>
      <c r="B388" s="747" t="n">
        <v>40549</v>
      </c>
      <c r="C388" s="747" t="n">
        <v>42134</v>
      </c>
      <c r="D388" s="747" t="n">
        <v>40946</v>
      </c>
      <c r="E388" s="747" t="n">
        <v>40946</v>
      </c>
      <c r="F388" s="747" t="n">
        <v>41341</v>
      </c>
      <c r="G388" s="747" t="n">
        <v>42134</v>
      </c>
      <c r="H388" s="747" t="n">
        <v>41738</v>
      </c>
      <c r="I388" s="747" t="n">
        <v>40549</v>
      </c>
      <c r="J388" s="747" t="n">
        <v>41341</v>
      </c>
      <c r="K388" s="747" t="n">
        <v>41738</v>
      </c>
      <c r="L388" s="747" t="n">
        <v>41341</v>
      </c>
      <c r="M388" s="748" t="n">
        <v>42134</v>
      </c>
    </row>
    <row r="389" customFormat="false" ht="15" hidden="false" customHeight="false" outlineLevel="0" collapsed="false">
      <c r="A389" s="744" t="s">
        <v>3234</v>
      </c>
      <c r="B389" s="749" t="s">
        <v>3162</v>
      </c>
      <c r="C389" s="749" t="s">
        <v>3235</v>
      </c>
      <c r="D389" s="749" t="s">
        <v>3168</v>
      </c>
      <c r="E389" s="749" t="s">
        <v>3168</v>
      </c>
      <c r="F389" s="749" t="s">
        <v>3171</v>
      </c>
      <c r="G389" s="749" t="s">
        <v>3235</v>
      </c>
      <c r="H389" s="749" t="s">
        <v>3236</v>
      </c>
      <c r="I389" s="749" t="s">
        <v>3162</v>
      </c>
      <c r="J389" s="749" t="s">
        <v>3171</v>
      </c>
      <c r="K389" s="749" t="s">
        <v>3236</v>
      </c>
      <c r="L389" s="749" t="s">
        <v>3171</v>
      </c>
      <c r="M389" s="750" t="s">
        <v>3235</v>
      </c>
    </row>
    <row r="390" customFormat="false" ht="16.4" hidden="true" customHeight="false" outlineLevel="0" collapsed="false">
      <c r="A390" s="741" t="s">
        <v>3237</v>
      </c>
      <c r="B390" s="742" t="s">
        <v>3238</v>
      </c>
      <c r="C390" s="742" t="s">
        <v>3239</v>
      </c>
      <c r="D390" s="742" t="s">
        <v>3240</v>
      </c>
      <c r="E390" s="742" t="s">
        <v>3241</v>
      </c>
      <c r="F390" s="742" t="s">
        <v>3239</v>
      </c>
      <c r="G390" s="742" t="s">
        <v>3239</v>
      </c>
      <c r="H390" s="742" t="s">
        <v>3242</v>
      </c>
      <c r="I390" s="742" t="s">
        <v>3243</v>
      </c>
      <c r="J390" s="742" t="s">
        <v>3243</v>
      </c>
      <c r="K390" s="742" t="s">
        <v>3244</v>
      </c>
      <c r="L390" s="742" t="s">
        <v>3242</v>
      </c>
      <c r="M390" s="743" t="s">
        <v>3243</v>
      </c>
    </row>
    <row r="391" customFormat="false" ht="28.35" hidden="false" customHeight="false" outlineLevel="0" collapsed="false">
      <c r="A391" s="744" t="s">
        <v>3245</v>
      </c>
      <c r="B391" s="745" t="s">
        <v>3246</v>
      </c>
      <c r="C391" s="745" t="s">
        <v>3247</v>
      </c>
      <c r="D391" s="745" t="s">
        <v>3248</v>
      </c>
      <c r="E391" s="745" t="s">
        <v>3249</v>
      </c>
      <c r="F391" s="745" t="s">
        <v>3247</v>
      </c>
      <c r="G391" s="745" t="s">
        <v>3247</v>
      </c>
      <c r="H391" s="745" t="s">
        <v>3250</v>
      </c>
      <c r="I391" s="745" t="s">
        <v>3251</v>
      </c>
      <c r="J391" s="745" t="s">
        <v>3251</v>
      </c>
      <c r="K391" s="745" t="s">
        <v>3252</v>
      </c>
      <c r="L391" s="745" t="s">
        <v>3250</v>
      </c>
      <c r="M391" s="746" t="s">
        <v>3251</v>
      </c>
    </row>
    <row r="392" customFormat="false" ht="16.4" hidden="true" customHeight="false" outlineLevel="0" collapsed="false">
      <c r="A392" s="741" t="s">
        <v>3253</v>
      </c>
      <c r="B392" s="742" t="s">
        <v>3254</v>
      </c>
      <c r="C392" s="742" t="s">
        <v>3255</v>
      </c>
      <c r="D392" s="742" t="s">
        <v>3256</v>
      </c>
      <c r="E392" s="742" t="s">
        <v>3257</v>
      </c>
      <c r="F392" s="742" t="s">
        <v>3258</v>
      </c>
      <c r="G392" s="742" t="s">
        <v>3259</v>
      </c>
      <c r="H392" s="742" t="s">
        <v>3260</v>
      </c>
      <c r="I392" s="742" t="s">
        <v>3261</v>
      </c>
      <c r="J392" s="742" t="s">
        <v>3262</v>
      </c>
      <c r="K392" s="742" t="s">
        <v>3263</v>
      </c>
      <c r="L392" s="742" t="s">
        <v>3264</v>
      </c>
      <c r="M392" s="743" t="s">
        <v>3265</v>
      </c>
    </row>
    <row r="393" customFormat="false" ht="15" hidden="false" customHeight="false" outlineLevel="0" collapsed="false">
      <c r="A393" s="744" t="s">
        <v>3266</v>
      </c>
      <c r="B393" s="745" t="s">
        <v>3267</v>
      </c>
      <c r="C393" s="745" t="s">
        <v>3268</v>
      </c>
      <c r="D393" s="745" t="s">
        <v>3269</v>
      </c>
      <c r="E393" s="745" t="s">
        <v>3270</v>
      </c>
      <c r="F393" s="745" t="s">
        <v>3271</v>
      </c>
      <c r="G393" s="745" t="s">
        <v>3272</v>
      </c>
      <c r="H393" s="745" t="s">
        <v>3273</v>
      </c>
      <c r="I393" s="745" t="s">
        <v>3274</v>
      </c>
      <c r="J393" s="745" t="s">
        <v>3275</v>
      </c>
      <c r="K393" s="745" t="s">
        <v>3276</v>
      </c>
      <c r="L393" s="745" t="s">
        <v>3277</v>
      </c>
      <c r="M393" s="746" t="s">
        <v>3278</v>
      </c>
    </row>
    <row r="394" customFormat="false" ht="16.4" hidden="true" customHeight="false" outlineLevel="0" collapsed="false">
      <c r="A394" s="741" t="s">
        <v>3279</v>
      </c>
      <c r="B394" s="742" t="s">
        <v>3280</v>
      </c>
      <c r="C394" s="742" t="s">
        <v>3281</v>
      </c>
      <c r="D394" s="742" t="s">
        <v>3282</v>
      </c>
      <c r="E394" s="742" t="s">
        <v>3283</v>
      </c>
      <c r="F394" s="742" t="s">
        <v>3284</v>
      </c>
      <c r="G394" s="742" t="s">
        <v>3281</v>
      </c>
      <c r="H394" s="742" t="s">
        <v>3281</v>
      </c>
      <c r="I394" s="742" t="s">
        <v>3285</v>
      </c>
      <c r="J394" s="742" t="s">
        <v>3286</v>
      </c>
      <c r="K394" s="742" t="s">
        <v>3287</v>
      </c>
      <c r="L394" s="742" t="s">
        <v>3288</v>
      </c>
      <c r="M394" s="743" t="s">
        <v>3286</v>
      </c>
    </row>
    <row r="395" customFormat="false" ht="15" hidden="false" customHeight="false" outlineLevel="0" collapsed="false">
      <c r="A395" s="744" t="s">
        <v>3289</v>
      </c>
      <c r="B395" s="745" t="s">
        <v>3290</v>
      </c>
      <c r="C395" s="745" t="s">
        <v>3291</v>
      </c>
      <c r="D395" s="745" t="s">
        <v>3292</v>
      </c>
      <c r="E395" s="745" t="s">
        <v>3293</v>
      </c>
      <c r="F395" s="745" t="s">
        <v>3294</v>
      </c>
      <c r="G395" s="745" t="s">
        <v>3291</v>
      </c>
      <c r="H395" s="745" t="s">
        <v>3291</v>
      </c>
      <c r="I395" s="745" t="s">
        <v>3295</v>
      </c>
      <c r="J395" s="745" t="s">
        <v>3296</v>
      </c>
      <c r="K395" s="745" t="s">
        <v>3297</v>
      </c>
      <c r="L395" s="745" t="s">
        <v>3298</v>
      </c>
      <c r="M395" s="746" t="s">
        <v>3296</v>
      </c>
    </row>
    <row r="396" customFormat="false" ht="16.4" hidden="true" customHeight="false" outlineLevel="0" collapsed="false">
      <c r="A396" s="741" t="s">
        <v>3299</v>
      </c>
      <c r="B396" s="742" t="s">
        <v>2114</v>
      </c>
      <c r="C396" s="742" t="s">
        <v>3300</v>
      </c>
      <c r="D396" s="742" t="s">
        <v>2122</v>
      </c>
      <c r="E396" s="742" t="s">
        <v>3301</v>
      </c>
      <c r="F396" s="742" t="s">
        <v>2114</v>
      </c>
      <c r="G396" s="742" t="s">
        <v>2122</v>
      </c>
      <c r="H396" s="742" t="s">
        <v>2126</v>
      </c>
      <c r="I396" s="742" t="s">
        <v>3302</v>
      </c>
      <c r="J396" s="742" t="s">
        <v>2126</v>
      </c>
      <c r="K396" s="742" t="s">
        <v>3300</v>
      </c>
      <c r="L396" s="742" t="s">
        <v>2156</v>
      </c>
      <c r="M396" s="743" t="s">
        <v>3303</v>
      </c>
    </row>
    <row r="397" customFormat="false" ht="15" hidden="false" customHeight="false" outlineLevel="0" collapsed="false">
      <c r="A397" s="744" t="s">
        <v>3304</v>
      </c>
      <c r="B397" s="745" t="s">
        <v>2115</v>
      </c>
      <c r="C397" s="745" t="s">
        <v>3305</v>
      </c>
      <c r="D397" s="745" t="s">
        <v>2123</v>
      </c>
      <c r="E397" s="745" t="s">
        <v>3306</v>
      </c>
      <c r="F397" s="745" t="s">
        <v>2115</v>
      </c>
      <c r="G397" s="745" t="s">
        <v>2123</v>
      </c>
      <c r="H397" s="745" t="s">
        <v>2127</v>
      </c>
      <c r="I397" s="745" t="s">
        <v>3307</v>
      </c>
      <c r="J397" s="745" t="s">
        <v>2127</v>
      </c>
      <c r="K397" s="745" t="s">
        <v>3305</v>
      </c>
      <c r="L397" s="745" t="s">
        <v>2157</v>
      </c>
      <c r="M397" s="746" t="s">
        <v>3308</v>
      </c>
    </row>
    <row r="398" customFormat="false" ht="15" hidden="true" customHeight="false" outlineLevel="0" collapsed="false">
      <c r="A398" s="741" t="s">
        <v>3309</v>
      </c>
      <c r="B398" s="751" t="n">
        <v>1</v>
      </c>
      <c r="C398" s="751" t="n">
        <v>4</v>
      </c>
      <c r="D398" s="751" t="n">
        <v>3</v>
      </c>
      <c r="E398" s="751" t="n">
        <v>5</v>
      </c>
      <c r="F398" s="751" t="n">
        <v>5</v>
      </c>
      <c r="G398" s="751" t="n">
        <v>5</v>
      </c>
      <c r="H398" s="751" t="n">
        <v>4</v>
      </c>
      <c r="I398" s="751" t="n">
        <v>1</v>
      </c>
      <c r="J398" s="751" t="n">
        <v>1</v>
      </c>
      <c r="K398" s="751" t="n">
        <v>4</v>
      </c>
      <c r="L398" s="751" t="n">
        <v>3</v>
      </c>
      <c r="M398" s="752" t="n">
        <v>4</v>
      </c>
    </row>
    <row r="399" customFormat="false" ht="15" hidden="false" customHeight="false" outlineLevel="0" collapsed="false">
      <c r="A399" s="744" t="s">
        <v>3310</v>
      </c>
      <c r="B399" s="753" t="n">
        <v>1</v>
      </c>
      <c r="C399" s="753" t="n">
        <v>4</v>
      </c>
      <c r="D399" s="753" t="n">
        <v>3</v>
      </c>
      <c r="E399" s="753" t="n">
        <v>5</v>
      </c>
      <c r="F399" s="753" t="n">
        <v>5</v>
      </c>
      <c r="G399" s="753" t="n">
        <v>5</v>
      </c>
      <c r="H399" s="753" t="n">
        <v>4</v>
      </c>
      <c r="I399" s="753" t="n">
        <v>1</v>
      </c>
      <c r="J399" s="753" t="n">
        <v>1</v>
      </c>
      <c r="K399" s="753" t="n">
        <v>4</v>
      </c>
      <c r="L399" s="753" t="n">
        <v>3</v>
      </c>
      <c r="M399" s="754" t="n">
        <v>4</v>
      </c>
    </row>
    <row r="400" customFormat="false" ht="16.4" hidden="true" customHeight="false" outlineLevel="0" collapsed="false">
      <c r="A400" s="741" t="s">
        <v>3311</v>
      </c>
      <c r="B400" s="742" t="s">
        <v>3312</v>
      </c>
      <c r="C400" s="742" t="s">
        <v>3313</v>
      </c>
      <c r="D400" s="742" t="s">
        <v>3192</v>
      </c>
      <c r="E400" s="742" t="s">
        <v>3314</v>
      </c>
      <c r="F400" s="742" t="s">
        <v>3191</v>
      </c>
      <c r="G400" s="742" t="s">
        <v>3184</v>
      </c>
      <c r="H400" s="742" t="s">
        <v>3190</v>
      </c>
      <c r="I400" s="742" t="s">
        <v>3315</v>
      </c>
      <c r="J400" s="742" t="s">
        <v>3193</v>
      </c>
      <c r="K400" s="742" t="s">
        <v>3314</v>
      </c>
      <c r="L400" s="742" t="s">
        <v>3190</v>
      </c>
      <c r="M400" s="743" t="s">
        <v>3316</v>
      </c>
    </row>
    <row r="401" customFormat="false" ht="28.35" hidden="false" customHeight="false" outlineLevel="0" collapsed="false">
      <c r="A401" s="744" t="s">
        <v>3317</v>
      </c>
      <c r="B401" s="745" t="s">
        <v>3318</v>
      </c>
      <c r="C401" s="745" t="s">
        <v>3319</v>
      </c>
      <c r="D401" s="745" t="s">
        <v>3205</v>
      </c>
      <c r="E401" s="745" t="s">
        <v>3320</v>
      </c>
      <c r="F401" s="745" t="s">
        <v>3204</v>
      </c>
      <c r="G401" s="745" t="s">
        <v>3197</v>
      </c>
      <c r="H401" s="745" t="s">
        <v>3203</v>
      </c>
      <c r="I401" s="745" t="s">
        <v>3321</v>
      </c>
      <c r="J401" s="745" t="s">
        <v>3206</v>
      </c>
      <c r="K401" s="745" t="s">
        <v>3320</v>
      </c>
      <c r="L401" s="745" t="s">
        <v>3203</v>
      </c>
      <c r="M401" s="746" t="s">
        <v>3322</v>
      </c>
    </row>
    <row r="402" customFormat="false" ht="16.4" hidden="true" customHeight="false" outlineLevel="0" collapsed="false">
      <c r="A402" s="741" t="s">
        <v>3323</v>
      </c>
      <c r="B402" s="742" t="s">
        <v>3312</v>
      </c>
      <c r="C402" s="742" t="s">
        <v>3190</v>
      </c>
      <c r="D402" s="742" t="s">
        <v>3190</v>
      </c>
      <c r="E402" s="742" t="s">
        <v>3193</v>
      </c>
      <c r="F402" s="742" t="s">
        <v>3189</v>
      </c>
      <c r="G402" s="742" t="s">
        <v>3189</v>
      </c>
      <c r="H402" s="742" t="s">
        <v>3193</v>
      </c>
      <c r="I402" s="742" t="s">
        <v>3190</v>
      </c>
      <c r="J402" s="742" t="s">
        <v>3313</v>
      </c>
      <c r="K402" s="742" t="s">
        <v>3189</v>
      </c>
      <c r="L402" s="742" t="s">
        <v>3184</v>
      </c>
      <c r="M402" s="743" t="s">
        <v>3316</v>
      </c>
    </row>
    <row r="403" customFormat="false" ht="28.35" hidden="false" customHeight="false" outlineLevel="0" collapsed="false">
      <c r="A403" s="755" t="s">
        <v>3324</v>
      </c>
      <c r="B403" s="756" t="s">
        <v>3318</v>
      </c>
      <c r="C403" s="756" t="s">
        <v>3203</v>
      </c>
      <c r="D403" s="756" t="s">
        <v>3203</v>
      </c>
      <c r="E403" s="756" t="s">
        <v>3206</v>
      </c>
      <c r="F403" s="756" t="s">
        <v>3202</v>
      </c>
      <c r="G403" s="756" t="s">
        <v>3202</v>
      </c>
      <c r="H403" s="756" t="s">
        <v>3206</v>
      </c>
      <c r="I403" s="756" t="s">
        <v>3203</v>
      </c>
      <c r="J403" s="756" t="s">
        <v>3319</v>
      </c>
      <c r="K403" s="756" t="s">
        <v>3202</v>
      </c>
      <c r="L403" s="756" t="s">
        <v>3197</v>
      </c>
      <c r="M403" s="757" t="s">
        <v>3322</v>
      </c>
    </row>
    <row r="405" customFormat="false" ht="28.35" hidden="false" customHeight="false" outlineLevel="0" collapsed="false">
      <c r="A405" s="758" t="s">
        <v>3181</v>
      </c>
      <c r="B405" s="759" t="s">
        <v>3194</v>
      </c>
      <c r="C405" s="760" t="s">
        <v>3207</v>
      </c>
      <c r="D405" s="759" t="s">
        <v>3220</v>
      </c>
      <c r="E405" s="760" t="s">
        <v>3233</v>
      </c>
      <c r="F405" s="759" t="s">
        <v>3234</v>
      </c>
      <c r="G405" s="760" t="s">
        <v>3237</v>
      </c>
      <c r="H405" s="759" t="s">
        <v>3245</v>
      </c>
      <c r="I405" s="760" t="s">
        <v>3253</v>
      </c>
      <c r="J405" s="759" t="s">
        <v>3266</v>
      </c>
      <c r="K405" s="760" t="s">
        <v>3279</v>
      </c>
      <c r="L405" s="759" t="s">
        <v>3289</v>
      </c>
      <c r="M405" s="760" t="s">
        <v>3299</v>
      </c>
      <c r="N405" s="759" t="s">
        <v>3304</v>
      </c>
      <c r="O405" s="760" t="s">
        <v>3309</v>
      </c>
      <c r="P405" s="759" t="s">
        <v>3310</v>
      </c>
      <c r="Q405" s="760" t="s">
        <v>3311</v>
      </c>
      <c r="R405" s="759" t="s">
        <v>3317</v>
      </c>
      <c r="S405" s="760" t="s">
        <v>3323</v>
      </c>
      <c r="T405" s="761" t="s">
        <v>3324</v>
      </c>
      <c r="Z405" s="565"/>
      <c r="AA405" s="565"/>
    </row>
    <row r="406" customFormat="false" ht="15" hidden="false" customHeight="false" outlineLevel="0" collapsed="false">
      <c r="A406" s="736" t="s">
        <v>3182</v>
      </c>
      <c r="B406" s="745" t="s">
        <v>3195</v>
      </c>
      <c r="C406" s="742" t="s">
        <v>3208</v>
      </c>
      <c r="D406" s="745" t="s">
        <v>3221</v>
      </c>
      <c r="E406" s="747" t="n">
        <v>40549</v>
      </c>
      <c r="F406" s="762" t="n">
        <v>40549</v>
      </c>
      <c r="G406" s="742" t="s">
        <v>3238</v>
      </c>
      <c r="H406" s="745" t="s">
        <v>3246</v>
      </c>
      <c r="I406" s="742" t="s">
        <v>3254</v>
      </c>
      <c r="J406" s="745" t="s">
        <v>3267</v>
      </c>
      <c r="K406" s="742" t="s">
        <v>3280</v>
      </c>
      <c r="L406" s="745" t="s">
        <v>3290</v>
      </c>
      <c r="M406" s="742" t="s">
        <v>2114</v>
      </c>
      <c r="N406" s="745" t="s">
        <v>2115</v>
      </c>
      <c r="O406" s="751" t="n">
        <v>1</v>
      </c>
      <c r="P406" s="753" t="n">
        <v>1</v>
      </c>
      <c r="Q406" s="742" t="s">
        <v>3312</v>
      </c>
      <c r="R406" s="745" t="s">
        <v>3318</v>
      </c>
      <c r="S406" s="742" t="s">
        <v>3312</v>
      </c>
      <c r="T406" s="756" t="s">
        <v>3318</v>
      </c>
      <c r="Z406" s="565"/>
      <c r="AA406" s="565"/>
    </row>
    <row r="407" customFormat="false" ht="15" hidden="false" customHeight="false" outlineLevel="0" collapsed="false">
      <c r="A407" s="736" t="s">
        <v>3183</v>
      </c>
      <c r="B407" s="745" t="s">
        <v>3196</v>
      </c>
      <c r="C407" s="742" t="s">
        <v>3209</v>
      </c>
      <c r="D407" s="745" t="s">
        <v>3222</v>
      </c>
      <c r="E407" s="747" t="n">
        <v>42134</v>
      </c>
      <c r="F407" s="762" t="n">
        <v>42134</v>
      </c>
      <c r="G407" s="742" t="s">
        <v>3239</v>
      </c>
      <c r="H407" s="745" t="s">
        <v>3247</v>
      </c>
      <c r="I407" s="742" t="s">
        <v>3255</v>
      </c>
      <c r="J407" s="745" t="s">
        <v>3268</v>
      </c>
      <c r="K407" s="742" t="s">
        <v>3281</v>
      </c>
      <c r="L407" s="745" t="s">
        <v>3291</v>
      </c>
      <c r="M407" s="742" t="s">
        <v>3300</v>
      </c>
      <c r="N407" s="745" t="s">
        <v>3305</v>
      </c>
      <c r="O407" s="751" t="n">
        <v>4</v>
      </c>
      <c r="P407" s="753" t="n">
        <v>4</v>
      </c>
      <c r="Q407" s="742" t="s">
        <v>3313</v>
      </c>
      <c r="R407" s="745" t="s">
        <v>3319</v>
      </c>
      <c r="S407" s="742" t="s">
        <v>3190</v>
      </c>
      <c r="T407" s="756" t="s">
        <v>3203</v>
      </c>
      <c r="Z407" s="565"/>
      <c r="AA407" s="565"/>
    </row>
    <row r="408" customFormat="false" ht="15" hidden="false" customHeight="false" outlineLevel="0" collapsed="false">
      <c r="A408" s="736" t="s">
        <v>3184</v>
      </c>
      <c r="B408" s="745" t="s">
        <v>3197</v>
      </c>
      <c r="C408" s="742" t="s">
        <v>3210</v>
      </c>
      <c r="D408" s="745" t="s">
        <v>3223</v>
      </c>
      <c r="E408" s="747" t="n">
        <v>40946</v>
      </c>
      <c r="F408" s="762" t="n">
        <v>40946</v>
      </c>
      <c r="G408" s="742" t="s">
        <v>3240</v>
      </c>
      <c r="H408" s="745" t="s">
        <v>3248</v>
      </c>
      <c r="I408" s="742" t="s">
        <v>3256</v>
      </c>
      <c r="J408" s="745" t="s">
        <v>3269</v>
      </c>
      <c r="K408" s="742" t="s">
        <v>3282</v>
      </c>
      <c r="L408" s="745" t="s">
        <v>3292</v>
      </c>
      <c r="M408" s="742" t="s">
        <v>2122</v>
      </c>
      <c r="N408" s="745" t="s">
        <v>2123</v>
      </c>
      <c r="O408" s="751" t="n">
        <v>3</v>
      </c>
      <c r="P408" s="753" t="n">
        <v>3</v>
      </c>
      <c r="Q408" s="742" t="s">
        <v>3192</v>
      </c>
      <c r="R408" s="745" t="s">
        <v>3205</v>
      </c>
      <c r="S408" s="742" t="s">
        <v>3190</v>
      </c>
      <c r="T408" s="756" t="s">
        <v>3203</v>
      </c>
      <c r="Z408" s="565"/>
      <c r="AA408" s="565"/>
    </row>
    <row r="409" customFormat="false" ht="15" hidden="false" customHeight="false" outlineLevel="0" collapsed="false">
      <c r="A409" s="736" t="s">
        <v>3185</v>
      </c>
      <c r="B409" s="745" t="s">
        <v>3198</v>
      </c>
      <c r="C409" s="742" t="s">
        <v>3211</v>
      </c>
      <c r="D409" s="745" t="s">
        <v>3224</v>
      </c>
      <c r="E409" s="747" t="n">
        <v>40946</v>
      </c>
      <c r="F409" s="762" t="n">
        <v>40946</v>
      </c>
      <c r="G409" s="742" t="s">
        <v>3241</v>
      </c>
      <c r="H409" s="745" t="s">
        <v>3249</v>
      </c>
      <c r="I409" s="742" t="s">
        <v>3257</v>
      </c>
      <c r="J409" s="745" t="s">
        <v>3270</v>
      </c>
      <c r="K409" s="742" t="s">
        <v>3283</v>
      </c>
      <c r="L409" s="745" t="s">
        <v>3293</v>
      </c>
      <c r="M409" s="742" t="s">
        <v>3301</v>
      </c>
      <c r="N409" s="745" t="s">
        <v>3306</v>
      </c>
      <c r="O409" s="751" t="n">
        <v>5</v>
      </c>
      <c r="P409" s="753" t="n">
        <v>5</v>
      </c>
      <c r="Q409" s="742" t="s">
        <v>3314</v>
      </c>
      <c r="R409" s="745" t="s">
        <v>3320</v>
      </c>
      <c r="S409" s="742" t="s">
        <v>3193</v>
      </c>
      <c r="T409" s="756" t="s">
        <v>3206</v>
      </c>
      <c r="Z409" s="565"/>
      <c r="AA409" s="565"/>
    </row>
    <row r="410" customFormat="false" ht="15" hidden="false" customHeight="false" outlineLevel="0" collapsed="false">
      <c r="A410" s="736" t="s">
        <v>3186</v>
      </c>
      <c r="B410" s="745" t="s">
        <v>3199</v>
      </c>
      <c r="C410" s="742" t="s">
        <v>3212</v>
      </c>
      <c r="D410" s="745" t="s">
        <v>3225</v>
      </c>
      <c r="E410" s="747" t="n">
        <v>41341</v>
      </c>
      <c r="F410" s="762" t="n">
        <v>41341</v>
      </c>
      <c r="G410" s="742" t="s">
        <v>3239</v>
      </c>
      <c r="H410" s="745" t="s">
        <v>3247</v>
      </c>
      <c r="I410" s="742" t="s">
        <v>3258</v>
      </c>
      <c r="J410" s="745" t="s">
        <v>3271</v>
      </c>
      <c r="K410" s="742" t="s">
        <v>3284</v>
      </c>
      <c r="L410" s="745" t="s">
        <v>3294</v>
      </c>
      <c r="M410" s="742" t="s">
        <v>2114</v>
      </c>
      <c r="N410" s="745" t="s">
        <v>2115</v>
      </c>
      <c r="O410" s="751" t="n">
        <v>5</v>
      </c>
      <c r="P410" s="753" t="n">
        <v>5</v>
      </c>
      <c r="Q410" s="742" t="s">
        <v>3191</v>
      </c>
      <c r="R410" s="745" t="s">
        <v>3204</v>
      </c>
      <c r="S410" s="742" t="s">
        <v>3189</v>
      </c>
      <c r="T410" s="756" t="s">
        <v>3202</v>
      </c>
      <c r="Z410" s="565"/>
      <c r="AA410" s="565"/>
    </row>
    <row r="411" customFormat="false" ht="15" hidden="false" customHeight="false" outlineLevel="0" collapsed="false">
      <c r="A411" s="736" t="s">
        <v>3187</v>
      </c>
      <c r="B411" s="745" t="s">
        <v>3200</v>
      </c>
      <c r="C411" s="742" t="s">
        <v>3213</v>
      </c>
      <c r="D411" s="745" t="s">
        <v>3226</v>
      </c>
      <c r="E411" s="747" t="n">
        <v>42134</v>
      </c>
      <c r="F411" s="762" t="n">
        <v>42134</v>
      </c>
      <c r="G411" s="742" t="s">
        <v>3239</v>
      </c>
      <c r="H411" s="745" t="s">
        <v>3247</v>
      </c>
      <c r="I411" s="742" t="s">
        <v>3259</v>
      </c>
      <c r="J411" s="745" t="s">
        <v>3272</v>
      </c>
      <c r="K411" s="742" t="s">
        <v>3281</v>
      </c>
      <c r="L411" s="745" t="s">
        <v>3291</v>
      </c>
      <c r="M411" s="742" t="s">
        <v>2122</v>
      </c>
      <c r="N411" s="745" t="s">
        <v>2123</v>
      </c>
      <c r="O411" s="751" t="n">
        <v>5</v>
      </c>
      <c r="P411" s="753" t="n">
        <v>5</v>
      </c>
      <c r="Q411" s="742" t="s">
        <v>3184</v>
      </c>
      <c r="R411" s="745" t="s">
        <v>3197</v>
      </c>
      <c r="S411" s="742" t="s">
        <v>3189</v>
      </c>
      <c r="T411" s="756" t="s">
        <v>3202</v>
      </c>
      <c r="Z411" s="565"/>
      <c r="AA411" s="565"/>
    </row>
    <row r="412" customFormat="false" ht="15" hidden="false" customHeight="false" outlineLevel="0" collapsed="false">
      <c r="A412" s="736" t="s">
        <v>3188</v>
      </c>
      <c r="B412" s="745" t="s">
        <v>3201</v>
      </c>
      <c r="C412" s="742" t="s">
        <v>3214</v>
      </c>
      <c r="D412" s="745" t="s">
        <v>3227</v>
      </c>
      <c r="E412" s="747" t="n">
        <v>41738</v>
      </c>
      <c r="F412" s="762" t="n">
        <v>41738</v>
      </c>
      <c r="G412" s="742" t="s">
        <v>3242</v>
      </c>
      <c r="H412" s="745" t="s">
        <v>3250</v>
      </c>
      <c r="I412" s="742" t="s">
        <v>3260</v>
      </c>
      <c r="J412" s="745" t="s">
        <v>3273</v>
      </c>
      <c r="K412" s="742" t="s">
        <v>3281</v>
      </c>
      <c r="L412" s="745" t="s">
        <v>3291</v>
      </c>
      <c r="M412" s="742" t="s">
        <v>2126</v>
      </c>
      <c r="N412" s="745" t="s">
        <v>2127</v>
      </c>
      <c r="O412" s="751" t="n">
        <v>4</v>
      </c>
      <c r="P412" s="753" t="n">
        <v>4</v>
      </c>
      <c r="Q412" s="742" t="s">
        <v>3190</v>
      </c>
      <c r="R412" s="745" t="s">
        <v>3203</v>
      </c>
      <c r="S412" s="742" t="s">
        <v>3193</v>
      </c>
      <c r="T412" s="756" t="s">
        <v>3206</v>
      </c>
      <c r="Z412" s="565"/>
      <c r="AA412" s="565"/>
    </row>
    <row r="413" customFormat="false" ht="15" hidden="false" customHeight="false" outlineLevel="0" collapsed="false">
      <c r="A413" s="736" t="s">
        <v>3189</v>
      </c>
      <c r="B413" s="745" t="s">
        <v>3202</v>
      </c>
      <c r="C413" s="742" t="s">
        <v>3215</v>
      </c>
      <c r="D413" s="745" t="s">
        <v>3228</v>
      </c>
      <c r="E413" s="747" t="n">
        <v>40549</v>
      </c>
      <c r="F413" s="762" t="n">
        <v>40549</v>
      </c>
      <c r="G413" s="742" t="s">
        <v>3243</v>
      </c>
      <c r="H413" s="745" t="s">
        <v>3251</v>
      </c>
      <c r="I413" s="742" t="s">
        <v>3261</v>
      </c>
      <c r="J413" s="745" t="s">
        <v>3274</v>
      </c>
      <c r="K413" s="742" t="s">
        <v>3285</v>
      </c>
      <c r="L413" s="745" t="s">
        <v>3295</v>
      </c>
      <c r="M413" s="742" t="s">
        <v>3302</v>
      </c>
      <c r="N413" s="745" t="s">
        <v>3307</v>
      </c>
      <c r="O413" s="751" t="n">
        <v>1</v>
      </c>
      <c r="P413" s="753" t="n">
        <v>1</v>
      </c>
      <c r="Q413" s="742" t="s">
        <v>3315</v>
      </c>
      <c r="R413" s="745" t="s">
        <v>3321</v>
      </c>
      <c r="S413" s="742" t="s">
        <v>3190</v>
      </c>
      <c r="T413" s="756" t="s">
        <v>3203</v>
      </c>
      <c r="Z413" s="565"/>
      <c r="AA413" s="565"/>
    </row>
    <row r="414" customFormat="false" ht="15" hidden="false" customHeight="false" outlineLevel="0" collapsed="false">
      <c r="A414" s="736" t="s">
        <v>3190</v>
      </c>
      <c r="B414" s="745" t="s">
        <v>3203</v>
      </c>
      <c r="C414" s="742" t="s">
        <v>3216</v>
      </c>
      <c r="D414" s="745" t="s">
        <v>3229</v>
      </c>
      <c r="E414" s="747" t="n">
        <v>41341</v>
      </c>
      <c r="F414" s="762" t="n">
        <v>41341</v>
      </c>
      <c r="G414" s="742" t="s">
        <v>3243</v>
      </c>
      <c r="H414" s="745" t="s">
        <v>3251</v>
      </c>
      <c r="I414" s="742" t="s">
        <v>3262</v>
      </c>
      <c r="J414" s="745" t="s">
        <v>3275</v>
      </c>
      <c r="K414" s="742" t="s">
        <v>3286</v>
      </c>
      <c r="L414" s="745" t="s">
        <v>3296</v>
      </c>
      <c r="M414" s="742" t="s">
        <v>2126</v>
      </c>
      <c r="N414" s="745" t="s">
        <v>2127</v>
      </c>
      <c r="O414" s="751" t="n">
        <v>1</v>
      </c>
      <c r="P414" s="753" t="n">
        <v>1</v>
      </c>
      <c r="Q414" s="742" t="s">
        <v>3193</v>
      </c>
      <c r="R414" s="745" t="s">
        <v>3206</v>
      </c>
      <c r="S414" s="742" t="s">
        <v>3313</v>
      </c>
      <c r="T414" s="756" t="s">
        <v>3319</v>
      </c>
      <c r="Z414" s="565"/>
      <c r="AA414" s="565"/>
    </row>
    <row r="415" customFormat="false" ht="15" hidden="false" customHeight="false" outlineLevel="0" collapsed="false">
      <c r="A415" s="736" t="s">
        <v>3191</v>
      </c>
      <c r="B415" s="745" t="s">
        <v>3204</v>
      </c>
      <c r="C415" s="742" t="s">
        <v>3217</v>
      </c>
      <c r="D415" s="745" t="s">
        <v>3230</v>
      </c>
      <c r="E415" s="747" t="n">
        <v>41738</v>
      </c>
      <c r="F415" s="762" t="n">
        <v>41738</v>
      </c>
      <c r="G415" s="742" t="s">
        <v>3244</v>
      </c>
      <c r="H415" s="745" t="s">
        <v>3252</v>
      </c>
      <c r="I415" s="742" t="s">
        <v>3263</v>
      </c>
      <c r="J415" s="745" t="s">
        <v>3276</v>
      </c>
      <c r="K415" s="742" t="s">
        <v>3287</v>
      </c>
      <c r="L415" s="745" t="s">
        <v>3297</v>
      </c>
      <c r="M415" s="742" t="s">
        <v>3300</v>
      </c>
      <c r="N415" s="745" t="s">
        <v>3305</v>
      </c>
      <c r="O415" s="751" t="n">
        <v>4</v>
      </c>
      <c r="P415" s="753" t="n">
        <v>4</v>
      </c>
      <c r="Q415" s="742" t="s">
        <v>3314</v>
      </c>
      <c r="R415" s="745" t="s">
        <v>3320</v>
      </c>
      <c r="S415" s="742" t="s">
        <v>3189</v>
      </c>
      <c r="T415" s="756" t="s">
        <v>3202</v>
      </c>
      <c r="Z415" s="565"/>
      <c r="AA415" s="565"/>
    </row>
    <row r="416" customFormat="false" ht="15" hidden="false" customHeight="false" outlineLevel="0" collapsed="false">
      <c r="A416" s="736" t="s">
        <v>3192</v>
      </c>
      <c r="B416" s="745" t="s">
        <v>3205</v>
      </c>
      <c r="C416" s="742" t="s">
        <v>3218</v>
      </c>
      <c r="D416" s="745" t="s">
        <v>3231</v>
      </c>
      <c r="E416" s="747" t="n">
        <v>41341</v>
      </c>
      <c r="F416" s="762" t="n">
        <v>41341</v>
      </c>
      <c r="G416" s="742" t="s">
        <v>3242</v>
      </c>
      <c r="H416" s="745" t="s">
        <v>3250</v>
      </c>
      <c r="I416" s="742" t="s">
        <v>3264</v>
      </c>
      <c r="J416" s="745" t="s">
        <v>3277</v>
      </c>
      <c r="K416" s="742" t="s">
        <v>3288</v>
      </c>
      <c r="L416" s="745" t="s">
        <v>3298</v>
      </c>
      <c r="M416" s="742" t="s">
        <v>2156</v>
      </c>
      <c r="N416" s="745" t="s">
        <v>2157</v>
      </c>
      <c r="O416" s="751" t="n">
        <v>3</v>
      </c>
      <c r="P416" s="753" t="n">
        <v>3</v>
      </c>
      <c r="Q416" s="742" t="s">
        <v>3190</v>
      </c>
      <c r="R416" s="745" t="s">
        <v>3203</v>
      </c>
      <c r="S416" s="742" t="s">
        <v>3184</v>
      </c>
      <c r="T416" s="756" t="s">
        <v>3197</v>
      </c>
      <c r="Z416" s="565"/>
      <c r="AA416" s="565"/>
    </row>
    <row r="417" customFormat="false" ht="15" hidden="false" customHeight="false" outlineLevel="0" collapsed="false">
      <c r="A417" s="737" t="s">
        <v>3193</v>
      </c>
      <c r="B417" s="746" t="s">
        <v>3206</v>
      </c>
      <c r="C417" s="743" t="s">
        <v>3219</v>
      </c>
      <c r="D417" s="746" t="s">
        <v>3232</v>
      </c>
      <c r="E417" s="748" t="n">
        <v>42134</v>
      </c>
      <c r="F417" s="763" t="n">
        <v>42134</v>
      </c>
      <c r="G417" s="743" t="s">
        <v>3243</v>
      </c>
      <c r="H417" s="746" t="s">
        <v>3251</v>
      </c>
      <c r="I417" s="743" t="s">
        <v>3265</v>
      </c>
      <c r="J417" s="746" t="s">
        <v>3278</v>
      </c>
      <c r="K417" s="743" t="s">
        <v>3286</v>
      </c>
      <c r="L417" s="746" t="s">
        <v>3296</v>
      </c>
      <c r="M417" s="743" t="s">
        <v>3303</v>
      </c>
      <c r="N417" s="746" t="s">
        <v>3308</v>
      </c>
      <c r="O417" s="752" t="n">
        <v>4</v>
      </c>
      <c r="P417" s="754" t="n">
        <v>4</v>
      </c>
      <c r="Q417" s="743" t="s">
        <v>3316</v>
      </c>
      <c r="R417" s="746" t="s">
        <v>3322</v>
      </c>
      <c r="S417" s="743" t="s">
        <v>3316</v>
      </c>
      <c r="T417" s="757" t="s">
        <v>3322</v>
      </c>
      <c r="Z417" s="565"/>
      <c r="AA417" s="565"/>
    </row>
    <row r="419" customFormat="false" ht="15" hidden="false" customHeight="false" outlineLevel="0" collapsed="false">
      <c r="B419" s="618"/>
      <c r="C419" s="618"/>
      <c r="D419" s="618"/>
      <c r="E419" s="707"/>
      <c r="F419" s="618"/>
      <c r="IU419" s="618"/>
      <c r="IV419" s="618"/>
    </row>
    <row r="420" customFormat="false" ht="26.85" hidden="false" customHeight="false" outlineLevel="0" collapsed="false">
      <c r="A420" s="764" t="s">
        <v>3325</v>
      </c>
      <c r="B420" s="764" t="s">
        <v>3326</v>
      </c>
      <c r="C420" s="764" t="s">
        <v>3327</v>
      </c>
      <c r="D420" s="764" t="s">
        <v>3328</v>
      </c>
      <c r="E420" s="565"/>
      <c r="IU420" s="618"/>
      <c r="IV420" s="618"/>
    </row>
    <row r="421" customFormat="false" ht="15" hidden="false" customHeight="false" outlineLevel="0" collapsed="false">
      <c r="A421" s="765" t="s">
        <v>3329</v>
      </c>
      <c r="B421" s="717" t="s">
        <v>3330</v>
      </c>
      <c r="C421" s="717"/>
      <c r="D421" s="717"/>
      <c r="E421" s="565"/>
      <c r="IU421" s="618"/>
      <c r="IV421" s="618"/>
    </row>
    <row r="422" customFormat="false" ht="15" hidden="false" customHeight="false" outlineLevel="0" collapsed="false">
      <c r="A422" s="765"/>
      <c r="B422" s="716" t="s">
        <v>3331</v>
      </c>
      <c r="C422" s="766" t="s">
        <v>3332</v>
      </c>
      <c r="D422" s="767" t="s">
        <v>3333</v>
      </c>
      <c r="E422" s="565"/>
      <c r="IU422" s="618"/>
      <c r="IV422" s="618"/>
    </row>
    <row r="423" customFormat="false" ht="15" hidden="false" customHeight="false" outlineLevel="0" collapsed="false">
      <c r="A423" s="765"/>
      <c r="B423" s="716" t="s">
        <v>3334</v>
      </c>
      <c r="C423" s="766" t="s">
        <v>3335</v>
      </c>
      <c r="D423" s="768" t="s">
        <v>3336</v>
      </c>
      <c r="E423" s="565"/>
      <c r="IU423" s="618"/>
      <c r="IV423" s="618"/>
    </row>
    <row r="424" customFormat="false" ht="15" hidden="false" customHeight="false" outlineLevel="0" collapsed="false">
      <c r="A424" s="765"/>
      <c r="B424" s="716" t="s">
        <v>3337</v>
      </c>
      <c r="C424" s="766" t="s">
        <v>3338</v>
      </c>
      <c r="D424" s="768" t="s">
        <v>3339</v>
      </c>
      <c r="E424" s="565"/>
      <c r="IU424" s="618"/>
      <c r="IV424" s="618"/>
    </row>
    <row r="425" customFormat="false" ht="15" hidden="false" customHeight="false" outlineLevel="0" collapsed="false">
      <c r="A425" s="765"/>
      <c r="B425" s="716" t="s">
        <v>3340</v>
      </c>
      <c r="C425" s="766" t="s">
        <v>3341</v>
      </c>
      <c r="D425" s="767"/>
      <c r="E425" s="565"/>
      <c r="IU425" s="618"/>
      <c r="IV425" s="618"/>
    </row>
    <row r="426" customFormat="false" ht="15" hidden="false" customHeight="false" outlineLevel="0" collapsed="false">
      <c r="A426" s="765"/>
      <c r="B426" s="716" t="s">
        <v>3342</v>
      </c>
      <c r="C426" s="766" t="s">
        <v>3343</v>
      </c>
      <c r="D426" s="768" t="s">
        <v>3344</v>
      </c>
      <c r="E426" s="565"/>
      <c r="IU426" s="618"/>
      <c r="IV426" s="618"/>
    </row>
    <row r="427" customFormat="false" ht="15" hidden="false" customHeight="false" outlineLevel="0" collapsed="false">
      <c r="A427" s="765"/>
      <c r="B427" s="716" t="s">
        <v>3345</v>
      </c>
      <c r="C427" s="766" t="s">
        <v>3346</v>
      </c>
      <c r="D427" s="767"/>
      <c r="E427" s="565"/>
      <c r="IU427" s="618"/>
      <c r="IV427" s="618"/>
    </row>
    <row r="428" customFormat="false" ht="15" hidden="false" customHeight="false" outlineLevel="0" collapsed="false">
      <c r="A428" s="765"/>
      <c r="B428" s="716" t="s">
        <v>3347</v>
      </c>
      <c r="C428" s="766" t="s">
        <v>3348</v>
      </c>
      <c r="D428" s="716" t="s">
        <v>3349</v>
      </c>
      <c r="E428" s="565"/>
      <c r="IU428" s="618"/>
      <c r="IV428" s="618"/>
    </row>
    <row r="429" customFormat="false" ht="15" hidden="false" customHeight="false" outlineLevel="0" collapsed="false">
      <c r="A429" s="765"/>
      <c r="B429" s="716" t="s">
        <v>3350</v>
      </c>
      <c r="C429" s="766" t="s">
        <v>3351</v>
      </c>
      <c r="D429" s="767"/>
      <c r="E429" s="565"/>
      <c r="IU429" s="618"/>
      <c r="IV429" s="618"/>
    </row>
    <row r="430" customFormat="false" ht="15" hidden="false" customHeight="false" outlineLevel="0" collapsed="false">
      <c r="A430" s="765"/>
      <c r="B430" s="716" t="s">
        <v>3352</v>
      </c>
      <c r="C430" s="766" t="s">
        <v>3353</v>
      </c>
      <c r="D430" s="716" t="s">
        <v>3354</v>
      </c>
      <c r="E430" s="565"/>
      <c r="IU430" s="618"/>
      <c r="IV430" s="618"/>
    </row>
    <row r="431" customFormat="false" ht="15" hidden="false" customHeight="false" outlineLevel="0" collapsed="false">
      <c r="A431" s="765"/>
      <c r="B431" s="716" t="s">
        <v>3355</v>
      </c>
      <c r="C431" s="766" t="s">
        <v>3356</v>
      </c>
      <c r="D431" s="767"/>
      <c r="E431" s="565"/>
      <c r="IU431" s="618"/>
      <c r="IV431" s="618"/>
    </row>
    <row r="432" customFormat="false" ht="15" hidden="false" customHeight="false" outlineLevel="0" collapsed="false">
      <c r="A432" s="765"/>
      <c r="B432" s="717" t="s">
        <v>3357</v>
      </c>
      <c r="C432" s="717"/>
      <c r="D432" s="767"/>
      <c r="E432" s="565"/>
      <c r="IU432" s="618"/>
      <c r="IV432" s="618"/>
    </row>
    <row r="433" customFormat="false" ht="15" hidden="false" customHeight="false" outlineLevel="0" collapsed="false">
      <c r="A433" s="765"/>
      <c r="B433" s="716" t="s">
        <v>3337</v>
      </c>
      <c r="C433" s="766" t="s">
        <v>3358</v>
      </c>
      <c r="D433" s="716" t="s">
        <v>3359</v>
      </c>
      <c r="E433" s="565"/>
      <c r="IU433" s="618"/>
      <c r="IV433" s="618"/>
    </row>
    <row r="434" customFormat="false" ht="15" hidden="false" customHeight="false" outlineLevel="0" collapsed="false">
      <c r="A434" s="765"/>
      <c r="B434" s="716" t="s">
        <v>3340</v>
      </c>
      <c r="C434" s="766" t="s">
        <v>3360</v>
      </c>
      <c r="D434" s="767"/>
      <c r="E434" s="565"/>
      <c r="IU434" s="618"/>
      <c r="IV434" s="618"/>
    </row>
    <row r="435" customFormat="false" ht="15" hidden="false" customHeight="false" outlineLevel="0" collapsed="false">
      <c r="A435" s="765"/>
      <c r="B435" s="716" t="s">
        <v>3342</v>
      </c>
      <c r="C435" s="766" t="s">
        <v>3361</v>
      </c>
      <c r="D435" s="716" t="s">
        <v>3362</v>
      </c>
      <c r="E435" s="565"/>
      <c r="IU435" s="618"/>
      <c r="IV435" s="618"/>
    </row>
    <row r="436" customFormat="false" ht="15" hidden="false" customHeight="false" outlineLevel="0" collapsed="false">
      <c r="A436" s="765"/>
      <c r="B436" s="716" t="s">
        <v>3345</v>
      </c>
      <c r="C436" s="766" t="s">
        <v>3363</v>
      </c>
      <c r="D436" s="768" t="s">
        <v>3364</v>
      </c>
      <c r="E436" s="565"/>
      <c r="IU436" s="618"/>
      <c r="IV436" s="618"/>
    </row>
    <row r="437" customFormat="false" ht="15" hidden="false" customHeight="false" outlineLevel="0" collapsed="false">
      <c r="A437" s="765"/>
      <c r="B437" s="717" t="s">
        <v>3365</v>
      </c>
      <c r="C437" s="717"/>
      <c r="D437" s="767"/>
      <c r="E437" s="565"/>
      <c r="IU437" s="618"/>
      <c r="IV437" s="618"/>
    </row>
    <row r="438" customFormat="false" ht="15" hidden="false" customHeight="false" outlineLevel="0" collapsed="false">
      <c r="A438" s="765"/>
      <c r="B438" s="716" t="s">
        <v>3366</v>
      </c>
      <c r="C438" s="766" t="s">
        <v>3367</v>
      </c>
      <c r="D438" s="716" t="s">
        <v>3368</v>
      </c>
      <c r="E438" s="565"/>
      <c r="IU438" s="618"/>
      <c r="IV438" s="618"/>
    </row>
    <row r="439" customFormat="false" ht="15" hidden="false" customHeight="false" outlineLevel="0" collapsed="false">
      <c r="A439" s="765"/>
      <c r="B439" s="716" t="s">
        <v>3369</v>
      </c>
      <c r="C439" s="766" t="s">
        <v>3370</v>
      </c>
      <c r="D439" s="716" t="s">
        <v>3371</v>
      </c>
      <c r="E439" s="565"/>
      <c r="IV439" s="618"/>
    </row>
    <row r="440" customFormat="false" ht="15" hidden="false" customHeight="false" outlineLevel="0" collapsed="false">
      <c r="A440" s="769" t="s">
        <v>3372</v>
      </c>
      <c r="B440" s="717" t="s">
        <v>3373</v>
      </c>
      <c r="C440" s="717"/>
      <c r="D440" s="717"/>
      <c r="E440" s="770"/>
      <c r="IU440" s="618"/>
      <c r="IV440" s="618"/>
    </row>
    <row r="441" customFormat="false" ht="15" hidden="false" customHeight="false" outlineLevel="0" collapsed="false">
      <c r="A441" s="771"/>
      <c r="B441" s="716" t="s">
        <v>3374</v>
      </c>
      <c r="C441" s="766" t="s">
        <v>3375</v>
      </c>
      <c r="D441" s="768" t="s">
        <v>3376</v>
      </c>
      <c r="E441" s="565"/>
      <c r="IU441" s="618"/>
      <c r="IV441" s="618"/>
    </row>
    <row r="442" customFormat="false" ht="15" hidden="false" customHeight="false" outlineLevel="0" collapsed="false">
      <c r="A442" s="771"/>
      <c r="B442" s="716" t="s">
        <v>3377</v>
      </c>
      <c r="C442" s="766" t="s">
        <v>3378</v>
      </c>
      <c r="D442" s="716" t="s">
        <v>3379</v>
      </c>
      <c r="E442" s="565"/>
      <c r="IU442" s="618"/>
      <c r="IV442" s="618"/>
    </row>
    <row r="443" customFormat="false" ht="15" hidden="false" customHeight="false" outlineLevel="0" collapsed="false">
      <c r="A443" s="771"/>
      <c r="B443" s="716" t="s">
        <v>3380</v>
      </c>
      <c r="C443" s="766" t="s">
        <v>3381</v>
      </c>
      <c r="D443" s="716" t="s">
        <v>3382</v>
      </c>
      <c r="E443" s="565"/>
      <c r="IU443" s="618"/>
      <c r="IV443" s="618"/>
    </row>
    <row r="444" customFormat="false" ht="15" hidden="false" customHeight="false" outlineLevel="0" collapsed="false">
      <c r="A444" s="771"/>
      <c r="B444" s="716" t="s">
        <v>3383</v>
      </c>
      <c r="C444" s="766" t="s">
        <v>3384</v>
      </c>
      <c r="D444" s="767" t="s">
        <v>3385</v>
      </c>
      <c r="E444" s="565"/>
      <c r="IU444" s="618"/>
      <c r="IV444" s="618"/>
    </row>
    <row r="445" customFormat="false" ht="15" hidden="false" customHeight="false" outlineLevel="0" collapsed="false">
      <c r="A445" s="771"/>
      <c r="B445" s="716" t="s">
        <v>3386</v>
      </c>
      <c r="C445" s="766" t="s">
        <v>3387</v>
      </c>
      <c r="D445" s="768" t="s">
        <v>3388</v>
      </c>
      <c r="E445" s="565"/>
    </row>
    <row r="446" customFormat="false" ht="15" hidden="false" customHeight="false" outlineLevel="0" collapsed="false">
      <c r="A446" s="772" t="s">
        <v>3389</v>
      </c>
      <c r="B446" s="717" t="s">
        <v>3390</v>
      </c>
      <c r="C446" s="717"/>
      <c r="D446" s="717"/>
      <c r="E446" s="773"/>
      <c r="F446" s="770"/>
    </row>
    <row r="447" customFormat="false" ht="15" hidden="false" customHeight="false" outlineLevel="0" collapsed="false">
      <c r="A447" s="772"/>
      <c r="B447" s="716" t="s">
        <v>3374</v>
      </c>
      <c r="C447" s="766" t="s">
        <v>3391</v>
      </c>
      <c r="D447" s="716" t="s">
        <v>3392</v>
      </c>
      <c r="E447" s="773"/>
      <c r="F447" s="770"/>
    </row>
    <row r="448" customFormat="false" ht="15" hidden="false" customHeight="false" outlineLevel="0" collapsed="false">
      <c r="A448" s="772"/>
      <c r="B448" s="716" t="s">
        <v>3377</v>
      </c>
      <c r="C448" s="766" t="s">
        <v>3393</v>
      </c>
      <c r="D448" s="768" t="s">
        <v>3394</v>
      </c>
      <c r="E448" s="773"/>
      <c r="F448" s="770"/>
    </row>
    <row r="449" customFormat="false" ht="15" hidden="false" customHeight="false" outlineLevel="0" collapsed="false">
      <c r="A449" s="772"/>
      <c r="B449" s="716" t="s">
        <v>3380</v>
      </c>
      <c r="C449" s="766" t="s">
        <v>3395</v>
      </c>
      <c r="D449" s="716" t="s">
        <v>3396</v>
      </c>
      <c r="E449" s="773"/>
      <c r="F449" s="770"/>
    </row>
    <row r="450" customFormat="false" ht="15" hidden="false" customHeight="false" outlineLevel="0" collapsed="false">
      <c r="A450" s="772"/>
      <c r="B450" s="716" t="s">
        <v>3383</v>
      </c>
      <c r="C450" s="766" t="s">
        <v>3397</v>
      </c>
      <c r="D450" s="716" t="s">
        <v>3398</v>
      </c>
      <c r="E450" s="773"/>
      <c r="F450" s="770"/>
    </row>
    <row r="451" customFormat="false" ht="15" hidden="false" customHeight="false" outlineLevel="0" collapsed="false">
      <c r="A451" s="772"/>
      <c r="B451" s="716" t="s">
        <v>3386</v>
      </c>
      <c r="C451" s="766" t="s">
        <v>3399</v>
      </c>
      <c r="D451" s="716" t="s">
        <v>3400</v>
      </c>
      <c r="E451" s="773"/>
      <c r="F451" s="770"/>
    </row>
    <row r="452" customFormat="false" ht="15" hidden="false" customHeight="false" outlineLevel="0" collapsed="false">
      <c r="A452" s="774" t="s">
        <v>3401</v>
      </c>
      <c r="B452" s="717" t="s">
        <v>3402</v>
      </c>
      <c r="C452" s="717"/>
      <c r="D452" s="717"/>
      <c r="E452" s="773"/>
      <c r="F452" s="770"/>
    </row>
    <row r="453" customFormat="false" ht="15" hidden="false" customHeight="false" outlineLevel="0" collapsed="false">
      <c r="A453" s="774"/>
      <c r="B453" s="716" t="s">
        <v>3374</v>
      </c>
      <c r="C453" s="766" t="s">
        <v>3403</v>
      </c>
      <c r="D453" s="768" t="s">
        <v>3404</v>
      </c>
      <c r="E453" s="773"/>
      <c r="F453" s="618"/>
    </row>
    <row r="454" customFormat="false" ht="15" hidden="false" customHeight="false" outlineLevel="0" collapsed="false">
      <c r="A454" s="774"/>
      <c r="B454" s="716" t="s">
        <v>3377</v>
      </c>
      <c r="C454" s="766" t="s">
        <v>3405</v>
      </c>
      <c r="D454" s="716" t="s">
        <v>3406</v>
      </c>
      <c r="E454" s="773"/>
      <c r="F454" s="618"/>
    </row>
    <row r="455" customFormat="false" ht="15" hidden="false" customHeight="false" outlineLevel="0" collapsed="false">
      <c r="A455" s="774"/>
      <c r="B455" s="716" t="s">
        <v>3380</v>
      </c>
      <c r="C455" s="766" t="s">
        <v>3407</v>
      </c>
      <c r="D455" s="716" t="s">
        <v>3408</v>
      </c>
      <c r="E455" s="773"/>
      <c r="F455" s="618"/>
    </row>
    <row r="456" customFormat="false" ht="15" hidden="false" customHeight="false" outlineLevel="0" collapsed="false">
      <c r="A456" s="774"/>
      <c r="B456" s="716" t="s">
        <v>3383</v>
      </c>
      <c r="C456" s="766" t="s">
        <v>3409</v>
      </c>
      <c r="D456" s="716" t="s">
        <v>3410</v>
      </c>
      <c r="E456" s="773"/>
      <c r="F456" s="618"/>
    </row>
    <row r="457" customFormat="false" ht="15" hidden="false" customHeight="false" outlineLevel="0" collapsed="false">
      <c r="A457" s="774"/>
      <c r="B457" s="716" t="s">
        <v>3386</v>
      </c>
      <c r="C457" s="766" t="s">
        <v>3411</v>
      </c>
      <c r="D457" s="716" t="s">
        <v>3412</v>
      </c>
      <c r="E457" s="773"/>
      <c r="F457" s="618"/>
    </row>
    <row r="458" customFormat="false" ht="15" hidden="false" customHeight="false" outlineLevel="0" collapsed="false">
      <c r="A458" s="775" t="s">
        <v>3413</v>
      </c>
      <c r="B458" s="717" t="s">
        <v>3414</v>
      </c>
      <c r="C458" s="717"/>
      <c r="D458" s="717"/>
      <c r="E458" s="773"/>
      <c r="F458" s="618"/>
    </row>
    <row r="459" customFormat="false" ht="15" hidden="false" customHeight="false" outlineLevel="0" collapsed="false">
      <c r="A459" s="775"/>
      <c r="B459" s="716" t="s">
        <v>3374</v>
      </c>
      <c r="C459" s="766" t="s">
        <v>3415</v>
      </c>
      <c r="D459" s="716" t="s">
        <v>3416</v>
      </c>
      <c r="E459" s="773"/>
      <c r="F459" s="618"/>
    </row>
    <row r="460" customFormat="false" ht="15" hidden="false" customHeight="false" outlineLevel="0" collapsed="false">
      <c r="A460" s="775"/>
      <c r="B460" s="716" t="s">
        <v>3377</v>
      </c>
      <c r="C460" s="766" t="s">
        <v>3417</v>
      </c>
      <c r="D460" s="716" t="s">
        <v>3418</v>
      </c>
      <c r="E460" s="773"/>
      <c r="F460" s="618"/>
    </row>
    <row r="461" customFormat="false" ht="15" hidden="false" customHeight="false" outlineLevel="0" collapsed="false">
      <c r="A461" s="775"/>
      <c r="B461" s="716" t="s">
        <v>3380</v>
      </c>
      <c r="C461" s="766" t="s">
        <v>3419</v>
      </c>
      <c r="D461" s="768" t="s">
        <v>3420</v>
      </c>
      <c r="E461" s="773"/>
      <c r="F461" s="618"/>
    </row>
    <row r="462" customFormat="false" ht="15" hidden="false" customHeight="false" outlineLevel="0" collapsed="false">
      <c r="A462" s="775"/>
      <c r="B462" s="716" t="s">
        <v>3383</v>
      </c>
      <c r="C462" s="766" t="s">
        <v>3421</v>
      </c>
      <c r="D462" s="716" t="s">
        <v>3422</v>
      </c>
      <c r="E462" s="773"/>
      <c r="F462" s="618"/>
    </row>
    <row r="463" customFormat="false" ht="15" hidden="false" customHeight="false" outlineLevel="0" collapsed="false">
      <c r="A463" s="775"/>
      <c r="B463" s="716" t="s">
        <v>3386</v>
      </c>
      <c r="C463" s="766" t="s">
        <v>3423</v>
      </c>
      <c r="D463" s="716" t="s">
        <v>3424</v>
      </c>
      <c r="E463" s="773"/>
      <c r="F463" s="618"/>
    </row>
    <row r="464" customFormat="false" ht="15" hidden="false" customHeight="false" outlineLevel="0" collapsed="false">
      <c r="A464" s="764" t="s">
        <v>3425</v>
      </c>
      <c r="B464" s="717" t="s">
        <v>3426</v>
      </c>
      <c r="C464" s="717"/>
      <c r="D464" s="717"/>
      <c r="E464" s="773"/>
      <c r="F464" s="618"/>
    </row>
    <row r="465" customFormat="false" ht="15" hidden="false" customHeight="false" outlineLevel="0" collapsed="false">
      <c r="A465" s="776"/>
      <c r="B465" s="716" t="s">
        <v>3374</v>
      </c>
      <c r="C465" s="766" t="s">
        <v>3427</v>
      </c>
      <c r="D465" s="716" t="s">
        <v>3428</v>
      </c>
      <c r="E465" s="773"/>
      <c r="F465" s="618"/>
    </row>
    <row r="466" customFormat="false" ht="15" hidden="false" customHeight="false" outlineLevel="0" collapsed="false">
      <c r="A466" s="776"/>
      <c r="B466" s="716" t="s">
        <v>3377</v>
      </c>
      <c r="C466" s="766" t="s">
        <v>3429</v>
      </c>
      <c r="D466" s="768" t="s">
        <v>3430</v>
      </c>
      <c r="E466" s="773"/>
      <c r="F466" s="618"/>
    </row>
    <row r="467" customFormat="false" ht="15" hidden="false" customHeight="false" outlineLevel="0" collapsed="false">
      <c r="A467" s="776"/>
      <c r="B467" s="716" t="s">
        <v>3380</v>
      </c>
      <c r="C467" s="766" t="s">
        <v>3431</v>
      </c>
      <c r="D467" s="716" t="s">
        <v>3432</v>
      </c>
      <c r="E467" s="773"/>
      <c r="F467" s="618"/>
    </row>
    <row r="468" customFormat="false" ht="15" hidden="false" customHeight="false" outlineLevel="0" collapsed="false">
      <c r="A468" s="776"/>
      <c r="B468" s="716" t="s">
        <v>3383</v>
      </c>
      <c r="C468" s="766" t="s">
        <v>3433</v>
      </c>
      <c r="D468" s="768" t="s">
        <v>3434</v>
      </c>
      <c r="E468" s="773"/>
      <c r="F468" s="618"/>
    </row>
    <row r="469" customFormat="false" ht="15" hidden="false" customHeight="false" outlineLevel="0" collapsed="false">
      <c r="A469" s="776"/>
      <c r="B469" s="716" t="s">
        <v>3386</v>
      </c>
      <c r="C469" s="766" t="s">
        <v>3435</v>
      </c>
      <c r="D469" s="716" t="s">
        <v>3436</v>
      </c>
      <c r="E469" s="773"/>
      <c r="F469" s="618"/>
    </row>
    <row r="470" customFormat="false" ht="15" hidden="false" customHeight="false" outlineLevel="0" collapsed="false">
      <c r="A470" s="716" t="s">
        <v>3437</v>
      </c>
      <c r="B470" s="717" t="s">
        <v>3438</v>
      </c>
      <c r="C470" s="717"/>
      <c r="D470" s="717"/>
      <c r="E470" s="707"/>
      <c r="F470" s="618"/>
    </row>
    <row r="471" customFormat="false" ht="15" hidden="false" customHeight="false" outlineLevel="0" collapsed="false">
      <c r="A471" s="716"/>
      <c r="B471" s="716" t="s">
        <v>3439</v>
      </c>
      <c r="C471" s="766" t="s">
        <v>3440</v>
      </c>
      <c r="D471" s="716" t="s">
        <v>3441</v>
      </c>
      <c r="E471" s="773"/>
      <c r="F471" s="618"/>
    </row>
    <row r="472" customFormat="false" ht="15" hidden="false" customHeight="false" outlineLevel="0" collapsed="false">
      <c r="A472" s="716"/>
      <c r="B472" s="716" t="s">
        <v>3442</v>
      </c>
      <c r="C472" s="766" t="s">
        <v>3443</v>
      </c>
      <c r="D472" s="716" t="s">
        <v>3444</v>
      </c>
      <c r="E472" s="773"/>
      <c r="F472" s="618"/>
    </row>
    <row r="473" customFormat="false" ht="15" hidden="false" customHeight="false" outlineLevel="0" collapsed="false">
      <c r="A473" s="716"/>
      <c r="B473" s="716" t="s">
        <v>3445</v>
      </c>
      <c r="C473" s="766" t="s">
        <v>3446</v>
      </c>
      <c r="D473" s="768" t="s">
        <v>3447</v>
      </c>
      <c r="E473" s="773"/>
      <c r="F473" s="618"/>
    </row>
    <row r="474" customFormat="false" ht="15" hidden="false" customHeight="false" outlineLevel="0" collapsed="false">
      <c r="A474" s="716"/>
      <c r="B474" s="716" t="s">
        <v>3448</v>
      </c>
      <c r="C474" s="766" t="s">
        <v>3449</v>
      </c>
      <c r="D474" s="716" t="s">
        <v>3450</v>
      </c>
      <c r="E474" s="773"/>
      <c r="F474" s="618"/>
    </row>
    <row r="475" customFormat="false" ht="15" hidden="false" customHeight="false" outlineLevel="0" collapsed="false">
      <c r="A475" s="716"/>
      <c r="B475" s="716" t="s">
        <v>3451</v>
      </c>
      <c r="C475" s="716"/>
      <c r="D475" s="716"/>
      <c r="E475" s="618"/>
      <c r="F475" s="618"/>
    </row>
    <row r="476" customFormat="false" ht="15" hidden="false" customHeight="false" outlineLevel="0" collapsed="false">
      <c r="A476" s="716"/>
      <c r="B476" s="716" t="s">
        <v>3439</v>
      </c>
      <c r="C476" s="766" t="s">
        <v>3452</v>
      </c>
      <c r="D476" s="716" t="s">
        <v>3453</v>
      </c>
      <c r="E476" s="773"/>
      <c r="F476" s="618"/>
    </row>
    <row r="477" customFormat="false" ht="15" hidden="false" customHeight="false" outlineLevel="0" collapsed="false">
      <c r="A477" s="716"/>
      <c r="B477" s="716" t="s">
        <v>3442</v>
      </c>
      <c r="C477" s="766" t="s">
        <v>3454</v>
      </c>
      <c r="D477" s="716" t="s">
        <v>3455</v>
      </c>
      <c r="E477" s="773"/>
      <c r="F477" s="618"/>
    </row>
    <row r="478" customFormat="false" ht="15" hidden="false" customHeight="false" outlineLevel="0" collapsed="false">
      <c r="A478" s="716"/>
      <c r="B478" s="716" t="s">
        <v>3445</v>
      </c>
      <c r="C478" s="766" t="s">
        <v>3456</v>
      </c>
      <c r="D478" s="716" t="s">
        <v>3457</v>
      </c>
      <c r="E478" s="773"/>
      <c r="F478" s="618"/>
    </row>
    <row r="479" customFormat="false" ht="15" hidden="false" customHeight="false" outlineLevel="0" collapsed="false">
      <c r="A479" s="716"/>
      <c r="B479" s="717" t="s">
        <v>3458</v>
      </c>
      <c r="C479" s="717"/>
      <c r="D479" s="717"/>
      <c r="E479" s="773"/>
      <c r="F479" s="618"/>
    </row>
    <row r="480" customFormat="false" ht="15" hidden="false" customHeight="false" outlineLevel="0" collapsed="false">
      <c r="A480" s="716"/>
      <c r="B480" s="777"/>
      <c r="C480" s="766" t="s">
        <v>3459</v>
      </c>
      <c r="D480" s="716" t="s">
        <v>3460</v>
      </c>
      <c r="E480" s="773"/>
      <c r="F480" s="618"/>
    </row>
    <row r="481" customFormat="false" ht="15" hidden="false" customHeight="false" outlineLevel="0" collapsed="false">
      <c r="A481" s="716"/>
      <c r="B481" s="777"/>
      <c r="C481" s="766" t="s">
        <v>3461</v>
      </c>
      <c r="D481" s="716" t="s">
        <v>3462</v>
      </c>
      <c r="E481" s="773"/>
      <c r="F481" s="618"/>
    </row>
    <row r="483" customFormat="false" ht="15" hidden="false" customHeight="false" outlineLevel="0" collapsed="false">
      <c r="A483" s="778" t="s">
        <v>595</v>
      </c>
      <c r="B483" s="565" t="s">
        <v>3463</v>
      </c>
    </row>
    <row r="484" customFormat="false" ht="15" hidden="false" customHeight="false" outlineLevel="0" collapsed="false">
      <c r="A484" s="779" t="s">
        <v>158</v>
      </c>
      <c r="B484" s="779" t="s">
        <v>158</v>
      </c>
    </row>
    <row r="485" customFormat="false" ht="15" hidden="false" customHeight="false" outlineLevel="0" collapsed="false">
      <c r="A485" s="652" t="s">
        <v>159</v>
      </c>
      <c r="B485" s="652" t="s">
        <v>159</v>
      </c>
    </row>
    <row r="486" customFormat="false" ht="15" hidden="false" customHeight="false" outlineLevel="0" collapsed="false">
      <c r="A486" s="652" t="s">
        <v>160</v>
      </c>
      <c r="B486" s="652" t="s">
        <v>160</v>
      </c>
    </row>
    <row r="487" customFormat="false" ht="15" hidden="false" customHeight="false" outlineLevel="0" collapsed="false">
      <c r="A487" s="652" t="s">
        <v>161</v>
      </c>
      <c r="B487" s="652" t="s">
        <v>161</v>
      </c>
    </row>
    <row r="488" customFormat="false" ht="15" hidden="false" customHeight="false" outlineLevel="0" collapsed="false">
      <c r="A488" s="652" t="s">
        <v>162</v>
      </c>
      <c r="B488" s="652" t="s">
        <v>162</v>
      </c>
    </row>
    <row r="489" customFormat="false" ht="15" hidden="false" customHeight="false" outlineLevel="0" collapsed="false">
      <c r="A489" s="652" t="s">
        <v>163</v>
      </c>
      <c r="B489" s="652" t="s">
        <v>163</v>
      </c>
    </row>
    <row r="490" customFormat="false" ht="15" hidden="false" customHeight="false" outlineLevel="0" collapsed="false">
      <c r="A490" s="652" t="s">
        <v>164</v>
      </c>
      <c r="B490" s="652" t="s">
        <v>164</v>
      </c>
    </row>
    <row r="491" customFormat="false" ht="15" hidden="false" customHeight="false" outlineLevel="0" collapsed="false">
      <c r="A491" s="780" t="s">
        <v>165</v>
      </c>
      <c r="B491" s="780" t="s">
        <v>165</v>
      </c>
    </row>
    <row r="492" customFormat="false" ht="15" hidden="false" customHeight="false" outlineLevel="0" collapsed="false">
      <c r="A492" s="781" t="s">
        <v>166</v>
      </c>
    </row>
    <row r="494" customFormat="false" ht="15" hidden="false" customHeight="false" outlineLevel="0" collapsed="false">
      <c r="A494" s="565" t="s">
        <v>166</v>
      </c>
      <c r="B494" s="565" t="s">
        <v>163</v>
      </c>
      <c r="C494" s="565" t="s">
        <v>158</v>
      </c>
      <c r="D494" s="565" t="s">
        <v>159</v>
      </c>
      <c r="E494" s="566" t="s">
        <v>160</v>
      </c>
      <c r="F494" s="565" t="s">
        <v>165</v>
      </c>
      <c r="G494" s="565" t="s">
        <v>162</v>
      </c>
      <c r="H494" s="565" t="s">
        <v>164</v>
      </c>
      <c r="I494" s="565" t="s">
        <v>161</v>
      </c>
      <c r="J494" s="565" t="s">
        <v>3464</v>
      </c>
      <c r="K494" s="565" t="s">
        <v>3465</v>
      </c>
      <c r="L494" s="565" t="s">
        <v>3466</v>
      </c>
      <c r="M494" s="565" t="s">
        <v>3467</v>
      </c>
      <c r="N494" s="565" t="s">
        <v>3468</v>
      </c>
      <c r="O494" s="565" t="s">
        <v>3469</v>
      </c>
      <c r="P494" s="565" t="s">
        <v>3470</v>
      </c>
      <c r="Q494" s="565" t="s">
        <v>3471</v>
      </c>
      <c r="R494" s="565" t="s">
        <v>3472</v>
      </c>
    </row>
    <row r="495" customFormat="false" ht="15" hidden="false" customHeight="false" outlineLevel="0" collapsed="false">
      <c r="A495" s="565" t="n">
        <v>0</v>
      </c>
      <c r="B495" s="565" t="n">
        <v>0</v>
      </c>
      <c r="C495" s="565" t="n">
        <v>0</v>
      </c>
      <c r="D495" s="565" t="n">
        <v>0</v>
      </c>
      <c r="E495" s="566" t="n">
        <v>0</v>
      </c>
      <c r="F495" s="565" t="n">
        <v>0</v>
      </c>
      <c r="G495" s="565" t="n">
        <v>0</v>
      </c>
      <c r="H495" s="565" t="n">
        <v>0</v>
      </c>
      <c r="I495" s="565" t="n">
        <v>0</v>
      </c>
      <c r="K495" s="565" t="n">
        <v>1</v>
      </c>
      <c r="N495" s="565" t="n">
        <f aca="false">1-0</f>
        <v>1</v>
      </c>
      <c r="P495" s="565" t="n">
        <f aca="false">1-0</f>
        <v>1</v>
      </c>
      <c r="Q495" s="565" t="n">
        <f aca="false">1-0</f>
        <v>1</v>
      </c>
      <c r="R495" s="565" t="n">
        <f aca="false">1-0</f>
        <v>1</v>
      </c>
    </row>
    <row r="496" customFormat="false" ht="15" hidden="false" customHeight="false" outlineLevel="0" collapsed="false">
      <c r="A496" s="574" t="n">
        <v>0.0583333333333333</v>
      </c>
      <c r="B496" s="574" t="n">
        <v>0.166666666666667</v>
      </c>
      <c r="C496" s="574" t="n">
        <v>0.05</v>
      </c>
      <c r="D496" s="574" t="n">
        <v>0.0833333333333333</v>
      </c>
      <c r="E496" s="691" t="n">
        <v>0.0583333333333333</v>
      </c>
      <c r="F496" s="574" t="n">
        <v>0.15</v>
      </c>
      <c r="G496" s="574" t="n">
        <v>0.133333333333333</v>
      </c>
      <c r="H496" s="574" t="n">
        <v>0.158333333333333</v>
      </c>
      <c r="I496" s="574" t="n">
        <v>0.141666666666667</v>
      </c>
      <c r="J496" s="574"/>
      <c r="K496" s="574" t="n">
        <f aca="false">1-0.166666666666667</f>
        <v>0.833333333333333</v>
      </c>
      <c r="L496" s="574"/>
      <c r="M496" s="574"/>
      <c r="N496" s="574" t="n">
        <f aca="false">1-0.0583333333333333</f>
        <v>0.941666666666667</v>
      </c>
      <c r="O496" s="574"/>
      <c r="P496" s="574" t="n">
        <f aca="false">1-0.133333333333333</f>
        <v>0.866666666666667</v>
      </c>
      <c r="Q496" s="574" t="n">
        <f aca="false">1-0.158333333333333</f>
        <v>0.841666666666667</v>
      </c>
      <c r="R496" s="574" t="n">
        <f aca="false">1-0.141666666666667</f>
        <v>0.858333333333333</v>
      </c>
    </row>
    <row r="497" customFormat="false" ht="15" hidden="false" customHeight="false" outlineLevel="0" collapsed="false">
      <c r="A497" s="574" t="n">
        <v>0.225</v>
      </c>
      <c r="B497" s="574" t="n">
        <v>0.216666666666667</v>
      </c>
      <c r="C497" s="574" t="n">
        <v>0.133333333333333</v>
      </c>
      <c r="D497" s="574" t="n">
        <v>0.141666666666667</v>
      </c>
      <c r="E497" s="691" t="n">
        <v>0.208333333333333</v>
      </c>
      <c r="F497" s="574" t="n">
        <v>0.283333333333333</v>
      </c>
      <c r="G497" s="574" t="n">
        <v>0.291666666666667</v>
      </c>
      <c r="H497" s="574" t="n">
        <v>0.3</v>
      </c>
      <c r="I497" s="574" t="n">
        <v>0.2</v>
      </c>
      <c r="J497" s="574"/>
      <c r="K497" s="574" t="n">
        <f aca="false">1-0.216666666666667</f>
        <v>0.783333333333333</v>
      </c>
      <c r="L497" s="574"/>
      <c r="M497" s="574"/>
      <c r="N497" s="574" t="n">
        <f aca="false">1-0.208333333333333</f>
        <v>0.791666666666667</v>
      </c>
      <c r="O497" s="574"/>
      <c r="P497" s="574" t="n">
        <f aca="false">1-0.291666666666667</f>
        <v>0.708333333333333</v>
      </c>
      <c r="Q497" s="574" t="n">
        <f aca="false">1-0.3</f>
        <v>0.7</v>
      </c>
      <c r="R497" s="574" t="n">
        <f aca="false">1-0.2</f>
        <v>0.8</v>
      </c>
    </row>
    <row r="498" customFormat="false" ht="15" hidden="false" customHeight="false" outlineLevel="0" collapsed="false">
      <c r="A498" s="574" t="n">
        <v>0.275</v>
      </c>
      <c r="B498" s="574" t="n">
        <v>0.3</v>
      </c>
      <c r="C498" s="574" t="n">
        <v>0.191666666666667</v>
      </c>
      <c r="D498" s="574" t="n">
        <v>0.291666666666667</v>
      </c>
      <c r="E498" s="691" t="n">
        <v>0.341666666666667</v>
      </c>
      <c r="F498" s="574" t="n">
        <v>0.441666666666667</v>
      </c>
      <c r="G498" s="574" t="n">
        <v>0.433333333333333</v>
      </c>
      <c r="H498" s="574" t="n">
        <v>0.358333333333333</v>
      </c>
      <c r="I498" s="574" t="n">
        <v>0.366666666666667</v>
      </c>
      <c r="J498" s="574"/>
      <c r="K498" s="574" t="n">
        <f aca="false">1-0.3</f>
        <v>0.7</v>
      </c>
      <c r="L498" s="574"/>
      <c r="M498" s="574"/>
      <c r="N498" s="574" t="n">
        <f aca="false">1-0.341666666666667</f>
        <v>0.658333333333333</v>
      </c>
      <c r="O498" s="574"/>
      <c r="P498" s="574" t="n">
        <f aca="false">1-0.433333333333333</f>
        <v>0.566666666666667</v>
      </c>
      <c r="Q498" s="574" t="n">
        <f aca="false">1-0.358333333333333</f>
        <v>0.641666666666667</v>
      </c>
      <c r="R498" s="574" t="n">
        <f aca="false">1-0.366666666666667</f>
        <v>0.633333333333333</v>
      </c>
    </row>
    <row r="499" customFormat="false" ht="15" hidden="false" customHeight="false" outlineLevel="0" collapsed="false">
      <c r="A499" s="574" t="n">
        <v>0.358333333333333</v>
      </c>
      <c r="B499" s="574" t="n">
        <v>0.358333333333333</v>
      </c>
      <c r="C499" s="574" t="n">
        <v>0.341666666666667</v>
      </c>
      <c r="D499" s="574" t="n">
        <v>0.425</v>
      </c>
      <c r="E499" s="691" t="n">
        <v>0.5</v>
      </c>
      <c r="F499" s="574" t="n">
        <v>0.583333333333333</v>
      </c>
      <c r="G499" s="574" t="n">
        <v>0.491666666666667</v>
      </c>
      <c r="H499" s="574" t="n">
        <v>0.525</v>
      </c>
      <c r="I499" s="574" t="n">
        <v>0.416666666666667</v>
      </c>
      <c r="J499" s="574"/>
      <c r="K499" s="574" t="n">
        <f aca="false">1-0.358333333333333</f>
        <v>0.641666666666667</v>
      </c>
      <c r="L499" s="574"/>
      <c r="M499" s="574"/>
      <c r="N499" s="574" t="n">
        <f aca="false">1-0.5</f>
        <v>0.5</v>
      </c>
      <c r="O499" s="574"/>
      <c r="P499" s="574" t="n">
        <f aca="false">1-0.491666666666667</f>
        <v>0.508333333333333</v>
      </c>
      <c r="Q499" s="574" t="n">
        <f aca="false">1-0.525</f>
        <v>0.475</v>
      </c>
      <c r="R499" s="574" t="n">
        <f aca="false">1-0.416666666666667</f>
        <v>0.583333333333333</v>
      </c>
    </row>
    <row r="500" customFormat="false" ht="15" hidden="false" customHeight="false" outlineLevel="0" collapsed="false">
      <c r="A500" s="574" t="n">
        <v>0.416666666666667</v>
      </c>
      <c r="B500" s="574" t="n">
        <v>0.508333333333333</v>
      </c>
      <c r="C500" s="574" t="n">
        <v>0.475</v>
      </c>
      <c r="D500" s="574" t="n">
        <v>0.583333333333333</v>
      </c>
      <c r="E500" s="691" t="n">
        <v>0.641666666666667</v>
      </c>
      <c r="F500" s="574" t="n">
        <v>0.641666666666667</v>
      </c>
      <c r="G500" s="574" t="n">
        <v>0.658333333333333</v>
      </c>
      <c r="H500" s="574" t="n">
        <v>0.575</v>
      </c>
      <c r="I500" s="574" t="n">
        <v>0.5</v>
      </c>
      <c r="J500" s="574"/>
      <c r="K500" s="574" t="n">
        <f aca="false">1-0.508333333333333</f>
        <v>0.491666666666667</v>
      </c>
      <c r="L500" s="574"/>
      <c r="M500" s="574"/>
      <c r="N500" s="574" t="n">
        <f aca="false">1-0.641666666666667</f>
        <v>0.358333333333333</v>
      </c>
      <c r="O500" s="574"/>
      <c r="P500" s="574" t="n">
        <f aca="false">1-0.658333333333333</f>
        <v>0.341666666666667</v>
      </c>
      <c r="Q500" s="574" t="n">
        <f aca="false">1-0.575</f>
        <v>0.425</v>
      </c>
      <c r="R500" s="574" t="n">
        <f aca="false">1-0.5</f>
        <v>0.5</v>
      </c>
    </row>
    <row r="501" customFormat="false" ht="15" hidden="false" customHeight="false" outlineLevel="0" collapsed="false">
      <c r="A501" s="574" t="n">
        <v>0.566666666666667</v>
      </c>
      <c r="B501" s="574" t="n">
        <v>0.641666666666667</v>
      </c>
      <c r="C501" s="574" t="n">
        <v>0.633333333333333</v>
      </c>
      <c r="D501" s="574" t="n">
        <v>0.725</v>
      </c>
      <c r="E501" s="691" t="n">
        <v>0.7</v>
      </c>
      <c r="F501" s="574" t="n">
        <v>0.808333333333333</v>
      </c>
      <c r="G501" s="574" t="n">
        <v>0.708333333333333</v>
      </c>
      <c r="H501" s="574" t="n">
        <v>0.658333333333333</v>
      </c>
      <c r="I501" s="574" t="n">
        <v>0.558333333333333</v>
      </c>
      <c r="J501" s="574"/>
      <c r="K501" s="574" t="n">
        <f aca="false">1-0.641666666666667</f>
        <v>0.358333333333333</v>
      </c>
      <c r="L501" s="574"/>
      <c r="M501" s="574"/>
      <c r="N501" s="574" t="n">
        <f aca="false">1-0.7</f>
        <v>0.3</v>
      </c>
      <c r="O501" s="574"/>
      <c r="P501" s="574" t="n">
        <f aca="false">1-0.708333333333333</f>
        <v>0.291666666666667</v>
      </c>
      <c r="Q501" s="574" t="n">
        <f aca="false">1-0.658333333333333</f>
        <v>0.341666666666667</v>
      </c>
      <c r="R501" s="574" t="n">
        <f aca="false">1-0.558333333333333</f>
        <v>0.441666666666667</v>
      </c>
    </row>
    <row r="502" customFormat="false" ht="15" hidden="false" customHeight="false" outlineLevel="0" collapsed="false">
      <c r="A502" s="574" t="n">
        <v>0.7</v>
      </c>
      <c r="B502" s="574" t="n">
        <v>0.8</v>
      </c>
      <c r="C502" s="574" t="n">
        <v>0.775</v>
      </c>
      <c r="D502" s="574" t="n">
        <v>0.783333333333333</v>
      </c>
      <c r="E502" s="691" t="n">
        <v>0.866666666666667</v>
      </c>
      <c r="F502" s="574" t="n">
        <v>0.858333333333333</v>
      </c>
      <c r="G502" s="574" t="n">
        <v>0.791666666666667</v>
      </c>
      <c r="H502" s="574" t="n">
        <v>0.716666666666667</v>
      </c>
      <c r="I502" s="574" t="n">
        <v>0.708333333333333</v>
      </c>
      <c r="J502" s="574"/>
      <c r="K502" s="574" t="n">
        <f aca="false">1-0.8</f>
        <v>0.2</v>
      </c>
      <c r="L502" s="574"/>
      <c r="M502" s="574"/>
      <c r="N502" s="574" t="n">
        <f aca="false">1-0.866666666666667</f>
        <v>0.133333333333333</v>
      </c>
      <c r="O502" s="574"/>
      <c r="P502" s="574" t="n">
        <f aca="false">1-0.791666666666667</f>
        <v>0.208333333333333</v>
      </c>
      <c r="Q502" s="574" t="n">
        <f aca="false">1-0.716666666666667</f>
        <v>0.283333333333333</v>
      </c>
      <c r="R502" s="574" t="n">
        <f aca="false">1-0.708333333333333</f>
        <v>0.291666666666667</v>
      </c>
    </row>
    <row r="503" customFormat="false" ht="15" hidden="false" customHeight="false" outlineLevel="0" collapsed="false">
      <c r="A503" s="574" t="n">
        <v>0.858333333333333</v>
      </c>
      <c r="B503" s="574" t="n">
        <v>0.941666666666667</v>
      </c>
      <c r="C503" s="574" t="n">
        <v>0.833333333333333</v>
      </c>
      <c r="D503" s="574" t="n">
        <v>0.95</v>
      </c>
      <c r="E503" s="691" t="n">
        <v>0.916666666666667</v>
      </c>
      <c r="F503" s="574" t="n">
        <v>0.941666666666667</v>
      </c>
      <c r="G503" s="574" t="n">
        <v>0.85</v>
      </c>
      <c r="H503" s="574" t="n">
        <v>0.866666666666667</v>
      </c>
      <c r="I503" s="574" t="n">
        <v>0.841666666666667</v>
      </c>
      <c r="J503" s="574"/>
      <c r="K503" s="574" t="n">
        <f aca="false">1-0.941666666666667</f>
        <v>0.058333333333333</v>
      </c>
      <c r="L503" s="574"/>
      <c r="M503" s="574"/>
      <c r="N503" s="574" t="n">
        <f aca="false">1-0.916666666666667</f>
        <v>0.083333333333333</v>
      </c>
      <c r="O503" s="574"/>
      <c r="P503" s="574" t="n">
        <f aca="false">1-0.85</f>
        <v>0.15</v>
      </c>
      <c r="Q503" s="574" t="n">
        <f aca="false">1-0.866666666666667</f>
        <v>0.133333333333333</v>
      </c>
      <c r="R503" s="574" t="n">
        <f aca="false">1-0.841666666666667</f>
        <v>0.158333333333333</v>
      </c>
    </row>
    <row r="504" customFormat="false" ht="15" hidden="false" customHeight="false" outlineLevel="0" collapsed="false">
      <c r="A504" s="574" t="n">
        <v>1</v>
      </c>
      <c r="B504" s="574" t="n">
        <v>1</v>
      </c>
      <c r="C504" s="574" t="n">
        <v>1</v>
      </c>
      <c r="D504" s="574" t="n">
        <v>1</v>
      </c>
      <c r="E504" s="691" t="n">
        <v>1</v>
      </c>
      <c r="F504" s="574" t="n">
        <v>1</v>
      </c>
      <c r="G504" s="574" t="n">
        <v>1</v>
      </c>
      <c r="H504" s="574" t="n">
        <v>1</v>
      </c>
      <c r="I504" s="574" t="n">
        <v>1</v>
      </c>
      <c r="J504" s="574"/>
      <c r="K504" s="574" t="n">
        <f aca="false">1-1</f>
        <v>0</v>
      </c>
      <c r="L504" s="574"/>
      <c r="M504" s="574"/>
      <c r="N504" s="574" t="n">
        <f aca="false">1-1</f>
        <v>0</v>
      </c>
      <c r="O504" s="574"/>
      <c r="P504" s="574" t="n">
        <f aca="false">1-1</f>
        <v>0</v>
      </c>
      <c r="Q504" s="574" t="n">
        <f aca="false">1-1</f>
        <v>0</v>
      </c>
      <c r="R504" s="574" t="n">
        <f aca="false">1-1</f>
        <v>0</v>
      </c>
    </row>
    <row r="507" customFormat="false" ht="15" hidden="false" customHeight="false" outlineLevel="0" collapsed="false">
      <c r="A507" s="782" t="s">
        <v>3473</v>
      </c>
      <c r="B507" s="782"/>
      <c r="C507" s="782"/>
      <c r="E507" s="565" t="n">
        <f aca="false">30/8</f>
        <v>3.75</v>
      </c>
      <c r="F507" s="566"/>
    </row>
    <row r="508" customFormat="false" ht="15" hidden="false" customHeight="false" outlineLevel="0" collapsed="false">
      <c r="A508" s="618" t="s">
        <v>124</v>
      </c>
      <c r="B508" s="618" t="s">
        <v>3156</v>
      </c>
      <c r="C508" s="618" t="s">
        <v>3474</v>
      </c>
      <c r="E508" s="618" t="s">
        <v>124</v>
      </c>
      <c r="F508" s="566"/>
    </row>
    <row r="509" customFormat="false" ht="15" hidden="false" customHeight="false" outlineLevel="0" collapsed="false">
      <c r="A509" s="618" t="s">
        <v>1758</v>
      </c>
      <c r="B509" s="618" t="n">
        <v>26</v>
      </c>
      <c r="C509" s="618" t="n">
        <f aca="false">B513</f>
        <v>10</v>
      </c>
      <c r="E509" s="618" t="s">
        <v>1758</v>
      </c>
      <c r="F509" s="566"/>
    </row>
    <row r="510" customFormat="false" ht="15" hidden="false" customHeight="false" outlineLevel="0" collapsed="false">
      <c r="A510" s="618" t="s">
        <v>1817</v>
      </c>
      <c r="B510" s="618" t="n">
        <f aca="false">B509-4</f>
        <v>22</v>
      </c>
      <c r="C510" s="618" t="n">
        <f aca="false">B514</f>
        <v>6</v>
      </c>
      <c r="E510" s="618" t="s">
        <v>1817</v>
      </c>
      <c r="F510" s="566"/>
    </row>
    <row r="511" customFormat="false" ht="15" hidden="false" customHeight="false" outlineLevel="0" collapsed="false">
      <c r="A511" s="618" t="s">
        <v>1366</v>
      </c>
      <c r="B511" s="618" t="n">
        <f aca="false">B510-4</f>
        <v>18</v>
      </c>
      <c r="C511" s="618" t="n">
        <f aca="false">B515</f>
        <v>2</v>
      </c>
      <c r="E511" s="618" t="s">
        <v>1366</v>
      </c>
      <c r="F511" s="566"/>
    </row>
    <row r="512" customFormat="false" ht="15" hidden="false" customHeight="false" outlineLevel="0" collapsed="false">
      <c r="A512" s="618" t="s">
        <v>1453</v>
      </c>
      <c r="B512" s="618" t="n">
        <f aca="false">B511-4</f>
        <v>14</v>
      </c>
      <c r="C512" s="618" t="n">
        <f aca="false">B509</f>
        <v>26</v>
      </c>
      <c r="E512" s="618" t="s">
        <v>1453</v>
      </c>
      <c r="F512" s="566"/>
    </row>
    <row r="513" customFormat="false" ht="15" hidden="false" customHeight="false" outlineLevel="0" collapsed="false">
      <c r="A513" s="618" t="s">
        <v>1545</v>
      </c>
      <c r="B513" s="618" t="n">
        <f aca="false">B512-4</f>
        <v>10</v>
      </c>
      <c r="C513" s="618" t="n">
        <f aca="false">B510</f>
        <v>22</v>
      </c>
      <c r="E513" s="618" t="s">
        <v>1545</v>
      </c>
      <c r="F513" s="566"/>
    </row>
    <row r="514" customFormat="false" ht="15" hidden="false" customHeight="false" outlineLevel="0" collapsed="false">
      <c r="A514" s="618" t="s">
        <v>1620</v>
      </c>
      <c r="B514" s="618" t="n">
        <f aca="false">B513-4</f>
        <v>6</v>
      </c>
      <c r="C514" s="618" t="n">
        <f aca="false">B511</f>
        <v>18</v>
      </c>
      <c r="E514" s="618" t="s">
        <v>1620</v>
      </c>
      <c r="F514" s="566"/>
    </row>
    <row r="515" customFormat="false" ht="15" hidden="false" customHeight="false" outlineLevel="0" collapsed="false">
      <c r="A515" s="618" t="s">
        <v>1689</v>
      </c>
      <c r="B515" s="618" t="n">
        <f aca="false">B514-4</f>
        <v>2</v>
      </c>
      <c r="C515" s="618" t="n">
        <f aca="false">B512</f>
        <v>14</v>
      </c>
      <c r="E515" s="618" t="s">
        <v>1689</v>
      </c>
      <c r="F515" s="566"/>
    </row>
    <row r="517" customFormat="false" ht="15" hidden="false" customHeight="false" outlineLevel="0" collapsed="false">
      <c r="D517" s="618"/>
    </row>
    <row r="519" customFormat="false" ht="15" hidden="false" customHeight="false" outlineLevel="0" collapsed="false">
      <c r="A519" s="783" t="s">
        <v>3475</v>
      </c>
      <c r="B519" s="783"/>
      <c r="C519" s="783"/>
      <c r="D519" s="783"/>
      <c r="E519" s="783"/>
    </row>
    <row r="520" customFormat="false" ht="28.35" hidden="false" customHeight="false" outlineLevel="0" collapsed="false">
      <c r="A520" s="784" t="s">
        <v>138</v>
      </c>
      <c r="B520" s="785" t="s">
        <v>3476</v>
      </c>
      <c r="C520" s="785" t="s">
        <v>3477</v>
      </c>
      <c r="D520" s="786" t="s">
        <v>1742</v>
      </c>
      <c r="E520" s="787" t="s">
        <v>3478</v>
      </c>
      <c r="F520" s="788" t="s">
        <v>3479</v>
      </c>
      <c r="G520" s="788" t="s">
        <v>3480</v>
      </c>
      <c r="H520" s="788" t="s">
        <v>3481</v>
      </c>
      <c r="I520" s="788" t="s">
        <v>3482</v>
      </c>
      <c r="J520" s="788" t="s">
        <v>3483</v>
      </c>
      <c r="K520" s="788" t="s">
        <v>3484</v>
      </c>
      <c r="L520" s="788" t="s">
        <v>3485</v>
      </c>
      <c r="M520" s="565" t="s">
        <v>3486</v>
      </c>
    </row>
    <row r="521" customFormat="false" ht="28.35" hidden="false" customHeight="false" outlineLevel="0" collapsed="false">
      <c r="A521" s="789" t="s">
        <v>158</v>
      </c>
      <c r="B521" s="783" t="s">
        <v>3487</v>
      </c>
      <c r="C521" s="783" t="s">
        <v>943</v>
      </c>
      <c r="D521" s="783" t="s">
        <v>162</v>
      </c>
      <c r="E521" s="790" t="s">
        <v>1930</v>
      </c>
      <c r="F521" s="785" t="s">
        <v>162</v>
      </c>
      <c r="G521" s="785"/>
      <c r="H521" s="785"/>
      <c r="I521" s="785"/>
      <c r="J521" s="785"/>
      <c r="K521" s="785"/>
      <c r="L521" s="785"/>
      <c r="M521" s="565" t="s">
        <v>3488</v>
      </c>
    </row>
    <row r="522" customFormat="false" ht="55.2" hidden="false" customHeight="false" outlineLevel="0" collapsed="false">
      <c r="A522" s="789" t="s">
        <v>3155</v>
      </c>
      <c r="B522" s="791" t="s">
        <v>3489</v>
      </c>
      <c r="C522" s="783" t="s">
        <v>931</v>
      </c>
      <c r="D522" s="791" t="s">
        <v>3490</v>
      </c>
      <c r="E522" s="792" t="s">
        <v>3491</v>
      </c>
      <c r="F522" s="791" t="s">
        <v>800</v>
      </c>
      <c r="G522" s="791" t="s">
        <v>162</v>
      </c>
      <c r="H522" s="791"/>
      <c r="I522" s="791"/>
      <c r="J522" s="791"/>
      <c r="K522" s="791"/>
      <c r="L522" s="791"/>
      <c r="M522" s="565" t="s">
        <v>3492</v>
      </c>
    </row>
    <row r="523" customFormat="false" ht="55.2" hidden="false" customHeight="false" outlineLevel="0" collapsed="false">
      <c r="A523" s="789" t="s">
        <v>160</v>
      </c>
      <c r="B523" s="791" t="s">
        <v>3493</v>
      </c>
      <c r="C523" s="791" t="s">
        <v>3494</v>
      </c>
      <c r="D523" s="791" t="s">
        <v>3495</v>
      </c>
      <c r="E523" s="792" t="s">
        <v>3496</v>
      </c>
      <c r="F523" s="791" t="s">
        <v>800</v>
      </c>
      <c r="G523" s="791" t="s">
        <v>163</v>
      </c>
      <c r="H523" s="791"/>
      <c r="I523" s="791"/>
      <c r="J523" s="791"/>
      <c r="K523" s="791"/>
      <c r="L523" s="791"/>
      <c r="M523" s="565" t="s">
        <v>3497</v>
      </c>
    </row>
    <row r="524" customFormat="false" ht="41.75" hidden="false" customHeight="false" outlineLevel="0" collapsed="false">
      <c r="A524" s="789" t="s">
        <v>161</v>
      </c>
      <c r="B524" s="791" t="s">
        <v>3498</v>
      </c>
      <c r="C524" s="791" t="s">
        <v>3499</v>
      </c>
      <c r="D524" s="791" t="s">
        <v>3500</v>
      </c>
      <c r="E524" s="792" t="s">
        <v>3501</v>
      </c>
      <c r="F524" s="791" t="s">
        <v>159</v>
      </c>
      <c r="G524" s="791" t="s">
        <v>160</v>
      </c>
      <c r="H524" s="791" t="s">
        <v>162</v>
      </c>
      <c r="I524" s="791" t="s">
        <v>163</v>
      </c>
      <c r="J524" s="791" t="s">
        <v>164</v>
      </c>
      <c r="K524" s="791" t="s">
        <v>165</v>
      </c>
      <c r="L524" s="791" t="s">
        <v>166</v>
      </c>
      <c r="M524" s="565" t="s">
        <v>3502</v>
      </c>
    </row>
    <row r="525" customFormat="false" ht="55.2" hidden="false" customHeight="false" outlineLevel="0" collapsed="false">
      <c r="A525" s="789" t="s">
        <v>3503</v>
      </c>
      <c r="B525" s="791" t="s">
        <v>3504</v>
      </c>
      <c r="C525" s="791" t="s">
        <v>3505</v>
      </c>
      <c r="D525" s="791" t="s">
        <v>3506</v>
      </c>
      <c r="E525" s="792" t="s">
        <v>3507</v>
      </c>
      <c r="F525" s="791" t="s">
        <v>158</v>
      </c>
      <c r="G525" s="791" t="s">
        <v>159</v>
      </c>
      <c r="H525" s="791" t="s">
        <v>800</v>
      </c>
      <c r="I525" s="791" t="s">
        <v>163</v>
      </c>
      <c r="J525" s="791" t="s">
        <v>164</v>
      </c>
      <c r="K525" s="791" t="s">
        <v>165</v>
      </c>
      <c r="L525" s="791" t="s">
        <v>166</v>
      </c>
      <c r="M525" s="565" t="s">
        <v>3508</v>
      </c>
    </row>
    <row r="526" customFormat="false" ht="55.2" hidden="false" customHeight="false" outlineLevel="0" collapsed="false">
      <c r="A526" s="789" t="s">
        <v>3509</v>
      </c>
      <c r="B526" s="791" t="s">
        <v>3510</v>
      </c>
      <c r="C526" s="791" t="s">
        <v>3511</v>
      </c>
      <c r="D526" s="791" t="s">
        <v>3512</v>
      </c>
      <c r="E526" s="792" t="s">
        <v>3513</v>
      </c>
      <c r="F526" s="791" t="s">
        <v>160</v>
      </c>
      <c r="G526" s="791" t="s">
        <v>800</v>
      </c>
      <c r="H526" s="791" t="s">
        <v>162</v>
      </c>
      <c r="I526" s="791" t="s">
        <v>164</v>
      </c>
      <c r="J526" s="791" t="s">
        <v>165</v>
      </c>
      <c r="K526" s="791" t="s">
        <v>166</v>
      </c>
      <c r="L526" s="791"/>
      <c r="M526" s="565" t="s">
        <v>3514</v>
      </c>
    </row>
    <row r="527" customFormat="false" ht="82.05" hidden="false" customHeight="false" outlineLevel="0" collapsed="false">
      <c r="A527" s="789" t="s">
        <v>164</v>
      </c>
      <c r="B527" s="791" t="s">
        <v>3515</v>
      </c>
      <c r="C527" s="791" t="s">
        <v>3516</v>
      </c>
      <c r="D527" s="791" t="s">
        <v>3517</v>
      </c>
      <c r="E527" s="792" t="s">
        <v>3518</v>
      </c>
      <c r="F527" s="791" t="s">
        <v>800</v>
      </c>
      <c r="G527" s="791" t="s">
        <v>162</v>
      </c>
      <c r="H527" s="791" t="s">
        <v>163</v>
      </c>
      <c r="I527" s="791"/>
      <c r="J527" s="791"/>
      <c r="K527" s="791"/>
      <c r="L527" s="791"/>
      <c r="M527" s="565" t="s">
        <v>3519</v>
      </c>
    </row>
    <row r="528" customFormat="false" ht="82.05" hidden="false" customHeight="false" outlineLevel="0" collapsed="false">
      <c r="A528" s="789" t="s">
        <v>165</v>
      </c>
      <c r="B528" s="791" t="s">
        <v>3520</v>
      </c>
      <c r="C528" s="783" t="s">
        <v>997</v>
      </c>
      <c r="D528" s="791" t="s">
        <v>3521</v>
      </c>
      <c r="E528" s="792" t="s">
        <v>3522</v>
      </c>
      <c r="F528" s="791" t="s">
        <v>800</v>
      </c>
      <c r="G528" s="791" t="s">
        <v>162</v>
      </c>
      <c r="H528" s="791" t="s">
        <v>163</v>
      </c>
      <c r="I528" s="791" t="s">
        <v>164</v>
      </c>
      <c r="J528" s="791"/>
      <c r="K528" s="791"/>
      <c r="L528" s="791"/>
    </row>
    <row r="529" customFormat="false" ht="41.75" hidden="false" customHeight="false" outlineLevel="0" collapsed="false">
      <c r="A529" s="793" t="s">
        <v>166</v>
      </c>
      <c r="B529" s="794" t="s">
        <v>3175</v>
      </c>
      <c r="C529" s="794" t="s">
        <v>969</v>
      </c>
      <c r="D529" s="794" t="s">
        <v>3523</v>
      </c>
      <c r="E529" s="795" t="s">
        <v>3524</v>
      </c>
      <c r="F529" s="796" t="s">
        <v>158</v>
      </c>
      <c r="G529" s="796" t="s">
        <v>159</v>
      </c>
      <c r="H529" s="796"/>
      <c r="I529" s="796"/>
      <c r="J529" s="796"/>
      <c r="K529" s="796"/>
      <c r="L529" s="796"/>
    </row>
    <row r="530" customFormat="false" ht="15" hidden="false" customHeight="false" outlineLevel="0" collapsed="false">
      <c r="A530" s="599"/>
    </row>
    <row r="532" customFormat="false" ht="18" hidden="false" customHeight="true" outlineLevel="0" collapsed="false">
      <c r="A532" s="797"/>
      <c r="B532" s="798" t="s">
        <v>3525</v>
      </c>
      <c r="C532" s="798"/>
      <c r="D532" s="798"/>
      <c r="E532" s="798"/>
    </row>
    <row r="533" customFormat="false" ht="15" hidden="false" customHeight="false" outlineLevel="0" collapsed="false">
      <c r="A533" s="799" t="s">
        <v>3526</v>
      </c>
      <c r="B533" s="799" t="s">
        <v>3527</v>
      </c>
      <c r="C533" s="799" t="s">
        <v>3528</v>
      </c>
      <c r="D533" s="799" t="s">
        <v>3529</v>
      </c>
      <c r="E533" s="799" t="s">
        <v>3530</v>
      </c>
      <c r="F533" s="800" t="s">
        <v>3531</v>
      </c>
      <c r="G533" s="800" t="s">
        <v>3532</v>
      </c>
      <c r="H533" s="801" t="s">
        <v>243</v>
      </c>
      <c r="I533" s="801" t="s">
        <v>3533</v>
      </c>
      <c r="J533" s="801" t="s">
        <v>3534</v>
      </c>
      <c r="K533" s="801" t="s">
        <v>3535</v>
      </c>
    </row>
    <row r="534" customFormat="false" ht="15" hidden="false" customHeight="false" outlineLevel="0" collapsed="false">
      <c r="A534" s="802" t="s">
        <v>142</v>
      </c>
      <c r="B534" s="802" t="n">
        <v>6</v>
      </c>
      <c r="C534" s="802" t="n">
        <v>5</v>
      </c>
      <c r="D534" s="802" t="n">
        <v>3</v>
      </c>
      <c r="E534" s="802" t="n">
        <v>3.5</v>
      </c>
      <c r="F534" s="802" t="n">
        <v>1</v>
      </c>
      <c r="G534" s="802" t="n">
        <f aca="false">MOD(120+F534-1,12)+1</f>
        <v>1</v>
      </c>
      <c r="H534" s="800" t="n">
        <v>1</v>
      </c>
      <c r="I534" s="800"/>
      <c r="J534" s="800"/>
      <c r="K534" s="800"/>
    </row>
    <row r="535" customFormat="false" ht="15" hidden="false" customHeight="false" outlineLevel="0" collapsed="false">
      <c r="A535" s="802" t="s">
        <v>348</v>
      </c>
      <c r="B535" s="802" t="n">
        <v>2</v>
      </c>
      <c r="C535" s="802" t="n">
        <v>2</v>
      </c>
      <c r="D535" s="802" t="n">
        <v>1.5</v>
      </c>
      <c r="E535" s="802" t="n">
        <v>1</v>
      </c>
      <c r="F535" s="802" t="n">
        <v>2</v>
      </c>
      <c r="G535" s="802" t="n">
        <f aca="false">MOD(120+F535-1,12)+1</f>
        <v>2</v>
      </c>
      <c r="H535" s="800" t="n">
        <v>2</v>
      </c>
      <c r="I535" s="803" t="s">
        <v>3536</v>
      </c>
      <c r="J535" s="800" t="s">
        <v>3537</v>
      </c>
      <c r="K535" s="800" t="s">
        <v>3538</v>
      </c>
    </row>
    <row r="536" customFormat="false" ht="15" hidden="false" customHeight="false" outlineLevel="0" collapsed="false">
      <c r="A536" s="802" t="s">
        <v>145</v>
      </c>
      <c r="B536" s="802" t="n">
        <v>4</v>
      </c>
      <c r="C536" s="802" t="n">
        <v>3</v>
      </c>
      <c r="D536" s="802" t="n">
        <v>1.5</v>
      </c>
      <c r="E536" s="802" t="n">
        <v>1</v>
      </c>
      <c r="F536" s="802" t="n">
        <v>3</v>
      </c>
      <c r="G536" s="802" t="n">
        <f aca="false">MOD(120+F536-1,12)+1</f>
        <v>3</v>
      </c>
      <c r="H536" s="800" t="n">
        <v>3</v>
      </c>
      <c r="I536" s="800" t="s">
        <v>3539</v>
      </c>
      <c r="J536" s="800" t="s">
        <v>3540</v>
      </c>
      <c r="K536" s="800" t="s">
        <v>3541</v>
      </c>
    </row>
    <row r="537" customFormat="false" ht="15" hidden="false" customHeight="false" outlineLevel="0" collapsed="false">
      <c r="A537" s="802" t="s">
        <v>151</v>
      </c>
      <c r="B537" s="802" t="n">
        <v>5</v>
      </c>
      <c r="C537" s="802" t="n">
        <v>2.5</v>
      </c>
      <c r="D537" s="802" t="n">
        <v>1.5</v>
      </c>
      <c r="E537" s="802" t="n">
        <v>3</v>
      </c>
      <c r="F537" s="802" t="n">
        <v>9</v>
      </c>
      <c r="G537" s="802" t="n">
        <f aca="false">MOD(120+F537-1,12)+1</f>
        <v>9</v>
      </c>
      <c r="H537" s="800" t="n">
        <v>4</v>
      </c>
      <c r="I537" s="800" t="s">
        <v>3542</v>
      </c>
      <c r="J537" s="800" t="s">
        <v>3543</v>
      </c>
      <c r="K537" s="800" t="s">
        <v>3544</v>
      </c>
    </row>
    <row r="538" customFormat="false" ht="15" hidden="false" customHeight="false" outlineLevel="0" collapsed="false">
      <c r="A538" s="802" t="s">
        <v>155</v>
      </c>
      <c r="B538" s="802" t="n">
        <v>2</v>
      </c>
      <c r="C538" s="802" t="n">
        <v>4.5</v>
      </c>
      <c r="D538" s="802" t="n">
        <v>1.5</v>
      </c>
      <c r="E538" s="802" t="n">
        <v>0.5</v>
      </c>
      <c r="F538" s="802" t="n">
        <v>12</v>
      </c>
      <c r="G538" s="802" t="n">
        <f aca="false">MOD(120+F538-1,12)+1</f>
        <v>12</v>
      </c>
      <c r="H538" s="800" t="n">
        <v>5</v>
      </c>
      <c r="I538" s="800" t="s">
        <v>3545</v>
      </c>
      <c r="J538" s="800" t="s">
        <v>3546</v>
      </c>
      <c r="K538" s="800" t="s">
        <v>3547</v>
      </c>
    </row>
    <row r="539" customFormat="false" ht="15" hidden="false" customHeight="false" outlineLevel="0" collapsed="false">
      <c r="A539" s="802" t="s">
        <v>349</v>
      </c>
      <c r="B539" s="802" t="n">
        <v>1</v>
      </c>
      <c r="C539" s="802" t="n">
        <v>2</v>
      </c>
      <c r="D539" s="802" t="n">
        <v>1.5</v>
      </c>
      <c r="E539" s="802" t="n">
        <v>1</v>
      </c>
      <c r="F539" s="802" t="n">
        <v>30</v>
      </c>
      <c r="G539" s="802" t="n">
        <f aca="false">MOD(120+F539-1,12)+1</f>
        <v>6</v>
      </c>
      <c r="H539" s="800" t="n">
        <v>6</v>
      </c>
      <c r="I539" s="800" t="s">
        <v>3548</v>
      </c>
      <c r="J539" s="800" t="s">
        <v>3549</v>
      </c>
      <c r="K539" s="800" t="s">
        <v>3550</v>
      </c>
    </row>
    <row r="540" customFormat="false" ht="15" hidden="false" customHeight="false" outlineLevel="0" collapsed="false">
      <c r="A540" s="802" t="s">
        <v>149</v>
      </c>
      <c r="B540" s="802"/>
      <c r="C540" s="802" t="n">
        <v>1</v>
      </c>
      <c r="D540" s="802" t="n">
        <v>1.5</v>
      </c>
      <c r="E540" s="802" t="n">
        <v>0.5</v>
      </c>
      <c r="F540" s="802" t="n">
        <v>7</v>
      </c>
      <c r="G540" s="802" t="n">
        <f aca="false">MOD(120+F540-1,12)+1</f>
        <v>7</v>
      </c>
      <c r="H540" s="800" t="n">
        <v>7</v>
      </c>
      <c r="I540" s="800" t="s">
        <v>3551</v>
      </c>
      <c r="J540" s="800" t="s">
        <v>3552</v>
      </c>
      <c r="K540" s="800" t="s">
        <v>3553</v>
      </c>
    </row>
    <row r="541" customFormat="false" ht="15" hidden="false" customHeight="false" outlineLevel="0" collapsed="false">
      <c r="A541" s="802" t="s">
        <v>153</v>
      </c>
      <c r="B541" s="802"/>
      <c r="C541" s="802"/>
      <c r="D541" s="802" t="n">
        <v>1.5</v>
      </c>
      <c r="E541" s="802" t="n">
        <v>0.5</v>
      </c>
      <c r="F541" s="802" t="n">
        <v>10</v>
      </c>
      <c r="G541" s="802" t="n">
        <f aca="false">MOD(120+F541-1,12)+1</f>
        <v>10</v>
      </c>
      <c r="H541" s="800" t="n">
        <v>8</v>
      </c>
      <c r="I541" s="800"/>
      <c r="J541" s="800" t="s">
        <v>3554</v>
      </c>
      <c r="K541" s="800" t="s">
        <v>3555</v>
      </c>
    </row>
    <row r="542" customFormat="false" ht="15" hidden="false" customHeight="false" outlineLevel="0" collapsed="false">
      <c r="A542" s="802" t="s">
        <v>3556</v>
      </c>
      <c r="B542" s="802"/>
      <c r="C542" s="802"/>
      <c r="D542" s="802" t="n">
        <v>1.5</v>
      </c>
      <c r="E542" s="802" t="n">
        <v>2</v>
      </c>
      <c r="F542" s="802" t="n">
        <v>16</v>
      </c>
      <c r="G542" s="802" t="n">
        <f aca="false">MOD(120+F542-1,12)+1</f>
        <v>4</v>
      </c>
      <c r="H542" s="800" t="n">
        <v>9</v>
      </c>
      <c r="I542" s="800"/>
      <c r="J542" s="800" t="s">
        <v>3557</v>
      </c>
      <c r="K542" s="800" t="s">
        <v>3558</v>
      </c>
    </row>
    <row r="543" customFormat="false" ht="15" hidden="false" customHeight="false" outlineLevel="0" collapsed="false">
      <c r="A543" s="802" t="s">
        <v>3559</v>
      </c>
      <c r="B543" s="802"/>
      <c r="C543" s="802"/>
      <c r="D543" s="802" t="n">
        <v>5</v>
      </c>
      <c r="E543" s="802" t="n">
        <v>4</v>
      </c>
      <c r="F543" s="802" t="n">
        <v>60</v>
      </c>
      <c r="G543" s="802" t="n">
        <f aca="false">MOD(120+F543-1,12)+1</f>
        <v>12</v>
      </c>
      <c r="H543" s="800" t="n">
        <v>10</v>
      </c>
      <c r="I543" s="800"/>
      <c r="J543" s="800" t="s">
        <v>3560</v>
      </c>
      <c r="K543" s="800" t="s">
        <v>3561</v>
      </c>
    </row>
    <row r="544" customFormat="false" ht="15" hidden="false" customHeight="false" outlineLevel="0" collapsed="false">
      <c r="A544" s="802" t="s">
        <v>3562</v>
      </c>
      <c r="B544" s="802"/>
      <c r="C544" s="802"/>
      <c r="D544" s="802"/>
      <c r="E544" s="802" t="n">
        <v>0.5</v>
      </c>
      <c r="F544" s="802" t="n">
        <v>20</v>
      </c>
      <c r="G544" s="802" t="n">
        <f aca="false">MOD(120+F544-1,12)+1</f>
        <v>8</v>
      </c>
      <c r="H544" s="800" t="n">
        <v>11</v>
      </c>
      <c r="I544" s="800"/>
      <c r="J544" s="800"/>
      <c r="K544" s="800" t="s">
        <v>3563</v>
      </c>
    </row>
    <row r="545" customFormat="false" ht="15" hidden="false" customHeight="false" outlineLevel="0" collapsed="false">
      <c r="A545" s="802" t="s">
        <v>3564</v>
      </c>
      <c r="B545" s="802"/>
      <c r="C545" s="802"/>
      <c r="D545" s="802"/>
      <c r="E545" s="802" t="n">
        <v>0.5</v>
      </c>
      <c r="F545" s="802" t="n">
        <v>24</v>
      </c>
      <c r="G545" s="802" t="n">
        <f aca="false">MOD(120+F545-1,12)+1</f>
        <v>12</v>
      </c>
      <c r="H545" s="800" t="n">
        <v>12</v>
      </c>
      <c r="I545" s="800"/>
      <c r="J545" s="800"/>
      <c r="K545" s="800" t="s">
        <v>3565</v>
      </c>
    </row>
    <row r="546" customFormat="false" ht="15" hidden="false" customHeight="false" outlineLevel="0" collapsed="false">
      <c r="A546" s="802" t="s">
        <v>3566</v>
      </c>
      <c r="B546" s="802"/>
      <c r="C546" s="802"/>
      <c r="D546" s="802"/>
      <c r="E546" s="802" t="n">
        <v>0.5</v>
      </c>
      <c r="F546" s="802" t="n">
        <v>27</v>
      </c>
      <c r="G546" s="802" t="n">
        <f aca="false">MOD(120+F546-1,12)+1</f>
        <v>3</v>
      </c>
      <c r="H546" s="800" t="n">
        <v>13</v>
      </c>
      <c r="I546" s="800"/>
      <c r="J546" s="800"/>
      <c r="K546" s="800" t="s">
        <v>3567</v>
      </c>
    </row>
    <row r="547" customFormat="false" ht="15" hidden="false" customHeight="false" outlineLevel="0" collapsed="false">
      <c r="A547" s="802" t="s">
        <v>147</v>
      </c>
      <c r="B547" s="802"/>
      <c r="C547" s="802"/>
      <c r="D547" s="802"/>
      <c r="E547" s="802" t="n">
        <v>0.5</v>
      </c>
      <c r="F547" s="802" t="n">
        <v>4</v>
      </c>
      <c r="G547" s="802" t="n">
        <f aca="false">MOD(120+F547-1,12)+1</f>
        <v>4</v>
      </c>
      <c r="H547" s="800" t="n">
        <v>14</v>
      </c>
      <c r="I547" s="800"/>
      <c r="J547" s="800"/>
      <c r="K547" s="800" t="s">
        <v>3568</v>
      </c>
    </row>
    <row r="548" customFormat="false" ht="15" hidden="false" customHeight="false" outlineLevel="0" collapsed="false">
      <c r="A548" s="802" t="s">
        <v>3569</v>
      </c>
      <c r="B548" s="802"/>
      <c r="C548" s="802"/>
      <c r="D548" s="802"/>
      <c r="E548" s="802" t="n">
        <v>0.5</v>
      </c>
      <c r="F548" s="802" t="n">
        <v>40</v>
      </c>
      <c r="G548" s="802" t="n">
        <f aca="false">MOD(120+F548-1,12)+1</f>
        <v>4</v>
      </c>
      <c r="H548" s="800" t="n">
        <v>15</v>
      </c>
      <c r="I548" s="800"/>
      <c r="J548" s="800"/>
      <c r="K548" s="800" t="s">
        <v>3570</v>
      </c>
    </row>
    <row r="549" customFormat="false" ht="15" hidden="false" customHeight="false" outlineLevel="0" collapsed="false">
      <c r="A549" s="802" t="s">
        <v>3571</v>
      </c>
      <c r="B549" s="802"/>
      <c r="C549" s="802"/>
      <c r="D549" s="802"/>
      <c r="E549" s="802" t="n">
        <v>0.5</v>
      </c>
      <c r="F549" s="802" t="n">
        <v>45</v>
      </c>
      <c r="G549" s="802" t="n">
        <f aca="false">MOD(120+F549-1,12)+1</f>
        <v>9</v>
      </c>
      <c r="H549" s="800" t="n">
        <v>16</v>
      </c>
      <c r="I549" s="800"/>
      <c r="J549" s="800"/>
      <c r="K549" s="800" t="s">
        <v>3572</v>
      </c>
    </row>
    <row r="550" customFormat="false" ht="15" hidden="false" customHeight="false" outlineLevel="0" collapsed="false">
      <c r="A550" s="804" t="s">
        <v>320</v>
      </c>
      <c r="B550" s="804" t="n">
        <f aca="false">SUBTOTAL(109,vargavishwa[Shadvarga Vimshopaka])</f>
        <v>20</v>
      </c>
      <c r="C550" s="804" t="n">
        <f aca="false">SUBTOTAL(109,vargavishwa[Saptavarga Vimshopaka])</f>
        <v>20</v>
      </c>
      <c r="D550" s="804" t="n">
        <f aca="false">SUBTOTAL(109,vargavishwa[DasaVarga Vimshopaka])</f>
        <v>20</v>
      </c>
      <c r="E550" s="802" t="n">
        <f aca="false">SUBTOTAL(109,vargavishwa[ShodasaVarga Vimshopaka])</f>
        <v>20</v>
      </c>
      <c r="F550" s="800" t="n">
        <f aca="false">SUBTOTAL(103,vargavishwa[Divisor])</f>
        <v>16</v>
      </c>
      <c r="G550" s="800" t="n">
        <f aca="false">SUBTOTAL(103,vargavishwa[House Equivalent])</f>
        <v>16</v>
      </c>
      <c r="H550" s="802"/>
      <c r="I550" s="802" t="s">
        <v>3573</v>
      </c>
      <c r="J550" s="802" t="s">
        <v>3573</v>
      </c>
      <c r="K550" s="802" t="s">
        <v>3573</v>
      </c>
    </row>
    <row r="551" customFormat="false" ht="15" hidden="false" customHeight="false" outlineLevel="0" collapsed="false">
      <c r="B551" s="805"/>
      <c r="C551" s="805"/>
      <c r="D551" s="805"/>
      <c r="E551" s="805"/>
    </row>
    <row r="553" customFormat="false" ht="17.25" hidden="false" customHeight="true" outlineLevel="0" collapsed="false">
      <c r="A553" s="806"/>
      <c r="B553" s="807" t="s">
        <v>3574</v>
      </c>
      <c r="C553" s="807"/>
      <c r="D553" s="807" t="s">
        <v>3575</v>
      </c>
      <c r="E553" s="807"/>
      <c r="F553" s="807" t="s">
        <v>3576</v>
      </c>
      <c r="G553" s="807"/>
      <c r="H553" s="808" t="s">
        <v>3577</v>
      </c>
      <c r="I553" s="808"/>
      <c r="J553" s="565" t="s">
        <v>3578</v>
      </c>
    </row>
    <row r="554" customFormat="false" ht="16.4" hidden="false" customHeight="false" outlineLevel="0" collapsed="false">
      <c r="A554" s="809"/>
      <c r="B554" s="810" t="s">
        <v>301</v>
      </c>
      <c r="C554" s="810" t="s">
        <v>811</v>
      </c>
      <c r="D554" s="810" t="s">
        <v>301</v>
      </c>
      <c r="E554" s="810" t="s">
        <v>811</v>
      </c>
      <c r="F554" s="810" t="s">
        <v>301</v>
      </c>
      <c r="G554" s="810" t="s">
        <v>811</v>
      </c>
      <c r="H554" s="810" t="s">
        <v>301</v>
      </c>
      <c r="I554" s="811" t="s">
        <v>811</v>
      </c>
    </row>
    <row r="555" customFormat="false" ht="16.4" hidden="false" customHeight="false" outlineLevel="0" collapsed="false">
      <c r="A555" s="809" t="s">
        <v>158</v>
      </c>
      <c r="B555" s="812" t="s">
        <v>164</v>
      </c>
      <c r="C555" s="812" t="n">
        <v>6</v>
      </c>
      <c r="D555" s="810" t="s">
        <v>160</v>
      </c>
      <c r="E555" s="810" t="n">
        <v>7</v>
      </c>
      <c r="F555" s="810" t="s">
        <v>162</v>
      </c>
      <c r="G555" s="810" t="n">
        <v>9</v>
      </c>
      <c r="H555" s="810" t="s">
        <v>163</v>
      </c>
      <c r="I555" s="811" t="n">
        <v>11</v>
      </c>
      <c r="J555" s="565" t="s">
        <v>3579</v>
      </c>
    </row>
    <row r="556" customFormat="false" ht="16.4" hidden="false" customHeight="false" outlineLevel="0" collapsed="false">
      <c r="A556" s="809" t="s">
        <v>159</v>
      </c>
      <c r="B556" s="810" t="s">
        <v>163</v>
      </c>
      <c r="C556" s="810" t="n">
        <v>7</v>
      </c>
      <c r="D556" s="810" t="s">
        <v>160</v>
      </c>
      <c r="E556" s="810" t="n">
        <v>9</v>
      </c>
      <c r="F556" s="810" t="s">
        <v>164</v>
      </c>
      <c r="G556" s="810" t="n">
        <v>11</v>
      </c>
      <c r="H556" s="810" t="s">
        <v>158</v>
      </c>
      <c r="I556" s="811" t="n">
        <v>3</v>
      </c>
      <c r="J556" s="565" t="s">
        <v>3580</v>
      </c>
    </row>
    <row r="557" customFormat="false" ht="16.4" hidden="false" customHeight="false" outlineLevel="0" collapsed="false">
      <c r="A557" s="809" t="s">
        <v>160</v>
      </c>
      <c r="B557" s="810" t="s">
        <v>158</v>
      </c>
      <c r="C557" s="810" t="n">
        <v>2</v>
      </c>
      <c r="D557" s="810" t="s">
        <v>159</v>
      </c>
      <c r="E557" s="810" t="n">
        <v>6</v>
      </c>
      <c r="F557" s="810" t="s">
        <v>164</v>
      </c>
      <c r="G557" s="810" t="n">
        <v>11</v>
      </c>
      <c r="H557" s="812" t="s">
        <v>161</v>
      </c>
      <c r="I557" s="813" t="n">
        <v>12</v>
      </c>
      <c r="J557" s="565" t="s">
        <v>3581</v>
      </c>
    </row>
    <row r="558" customFormat="false" ht="16.4" hidden="false" customHeight="false" outlineLevel="0" collapsed="false">
      <c r="A558" s="809" t="s">
        <v>161</v>
      </c>
      <c r="B558" s="810" t="s">
        <v>159</v>
      </c>
      <c r="C558" s="810" t="n">
        <v>2</v>
      </c>
      <c r="D558" s="810" t="s">
        <v>162</v>
      </c>
      <c r="E558" s="810" t="n">
        <v>4</v>
      </c>
      <c r="F558" s="810" t="s">
        <v>163</v>
      </c>
      <c r="G558" s="810" t="n">
        <v>5</v>
      </c>
      <c r="H558" s="812" t="s">
        <v>160</v>
      </c>
      <c r="I558" s="813" t="n">
        <v>3</v>
      </c>
      <c r="J558" s="565" t="s">
        <v>3582</v>
      </c>
    </row>
    <row r="559" customFormat="false" ht="16.4" hidden="false" customHeight="false" outlineLevel="0" collapsed="false">
      <c r="A559" s="809" t="s">
        <v>162</v>
      </c>
      <c r="B559" s="812" t="s">
        <v>164</v>
      </c>
      <c r="C559" s="812" t="n">
        <v>6</v>
      </c>
      <c r="D559" s="810" t="s">
        <v>160</v>
      </c>
      <c r="E559" s="810" t="n">
        <v>5</v>
      </c>
      <c r="F559" s="810" t="s">
        <v>159</v>
      </c>
      <c r="G559" s="810" t="n">
        <v>7</v>
      </c>
      <c r="H559" s="810" t="s">
        <v>158</v>
      </c>
      <c r="I559" s="811" t="n">
        <v>12</v>
      </c>
      <c r="J559" s="565" t="s">
        <v>3583</v>
      </c>
    </row>
    <row r="560" customFormat="false" ht="16.4" hidden="false" customHeight="false" outlineLevel="0" collapsed="false">
      <c r="A560" s="809" t="s">
        <v>163</v>
      </c>
      <c r="B560" s="810" t="s">
        <v>159</v>
      </c>
      <c r="C560" s="810" t="n">
        <v>2</v>
      </c>
      <c r="D560" s="810" t="s">
        <v>161</v>
      </c>
      <c r="E560" s="810" t="n">
        <v>6</v>
      </c>
      <c r="F560" s="814" t="s">
        <v>158</v>
      </c>
      <c r="G560" s="814" t="n">
        <v>12</v>
      </c>
      <c r="H560" s="815" t="s">
        <v>164</v>
      </c>
      <c r="I560" s="816" t="n">
        <v>4</v>
      </c>
      <c r="J560" s="565" t="s">
        <v>3584</v>
      </c>
    </row>
    <row r="561" customFormat="false" ht="16.4" hidden="false" customHeight="false" outlineLevel="0" collapsed="false">
      <c r="A561" s="817" t="s">
        <v>164</v>
      </c>
      <c r="B561" s="818" t="s">
        <v>163</v>
      </c>
      <c r="C561" s="818" t="n">
        <v>3</v>
      </c>
      <c r="D561" s="818" t="s">
        <v>159</v>
      </c>
      <c r="E561" s="818" t="n">
        <v>11</v>
      </c>
      <c r="F561" s="819" t="s">
        <v>162</v>
      </c>
      <c r="G561" s="819" t="n">
        <v>6</v>
      </c>
      <c r="H561" s="818" t="s">
        <v>160</v>
      </c>
      <c r="I561" s="820" t="n">
        <v>7</v>
      </c>
    </row>
    <row r="563" customFormat="false" ht="15" hidden="false" customHeight="false" outlineLevel="0" collapsed="false">
      <c r="A563" s="821" t="s">
        <v>3585</v>
      </c>
    </row>
    <row r="564" customFormat="false" ht="15" hidden="false" customHeight="false" outlineLevel="0" collapsed="false">
      <c r="A564" s="821" t="s">
        <v>3586</v>
      </c>
    </row>
    <row r="565" customFormat="false" ht="15" hidden="false" customHeight="false" outlineLevel="0" collapsed="false">
      <c r="A565" s="821" t="s">
        <v>3587</v>
      </c>
    </row>
    <row r="566" customFormat="false" ht="15" hidden="false" customHeight="false" outlineLevel="0" collapsed="false">
      <c r="A566" s="821" t="s">
        <v>3588</v>
      </c>
    </row>
    <row r="567" customFormat="false" ht="15" hidden="false" customHeight="false" outlineLevel="0" collapsed="false">
      <c r="A567" s="821" t="s">
        <v>3589</v>
      </c>
    </row>
    <row r="568" customFormat="false" ht="15" hidden="false" customHeight="false" outlineLevel="0" collapsed="false">
      <c r="A568" s="821" t="s">
        <v>3590</v>
      </c>
    </row>
    <row r="569" customFormat="false" ht="15" hidden="false" customHeight="false" outlineLevel="0" collapsed="false">
      <c r="A569" s="821" t="s">
        <v>3591</v>
      </c>
    </row>
    <row r="570" customFormat="false" ht="15" hidden="false" customHeight="false" outlineLevel="0" collapsed="false">
      <c r="A570" s="821" t="s">
        <v>3592</v>
      </c>
    </row>
    <row r="571" customFormat="false" ht="15" hidden="false" customHeight="false" outlineLevel="0" collapsed="false">
      <c r="A571" s="821" t="s">
        <v>3593</v>
      </c>
    </row>
    <row r="572" customFormat="false" ht="15" hidden="false" customHeight="false" outlineLevel="0" collapsed="false">
      <c r="A572" s="821" t="s">
        <v>3594</v>
      </c>
    </row>
    <row r="573" customFormat="false" ht="15" hidden="true" customHeight="false" outlineLevel="0" collapsed="false"/>
    <row r="574" customFormat="false" ht="15" hidden="false" customHeight="false" outlineLevel="0" collapsed="false">
      <c r="A574" s="821" t="s">
        <v>3595</v>
      </c>
    </row>
    <row r="575" customFormat="false" ht="15" hidden="false" customHeight="false" outlineLevel="0" collapsed="false">
      <c r="A575" s="821" t="s">
        <v>3596</v>
      </c>
    </row>
    <row r="576" customFormat="false" ht="15" hidden="false" customHeight="false" outlineLevel="0" collapsed="false">
      <c r="A576" s="821" t="s">
        <v>3597</v>
      </c>
    </row>
    <row r="577" customFormat="false" ht="15" hidden="false" customHeight="false" outlineLevel="0" collapsed="false">
      <c r="A577" s="821" t="s">
        <v>3598</v>
      </c>
    </row>
    <row r="578" customFormat="false" ht="15" hidden="false" customHeight="false" outlineLevel="0" collapsed="false">
      <c r="A578" s="821" t="s">
        <v>3599</v>
      </c>
    </row>
    <row r="579" customFormat="false" ht="15" hidden="false" customHeight="false" outlineLevel="0" collapsed="false">
      <c r="A579" s="821" t="s">
        <v>3600</v>
      </c>
    </row>
    <row r="580" customFormat="false" ht="15" hidden="false" customHeight="false" outlineLevel="0" collapsed="false">
      <c r="A580" s="821" t="s">
        <v>3601</v>
      </c>
    </row>
    <row r="581" customFormat="false" ht="15" hidden="false" customHeight="false" outlineLevel="0" collapsed="false">
      <c r="A581" s="821" t="s">
        <v>3602</v>
      </c>
    </row>
    <row r="582" customFormat="false" ht="15" hidden="false" customHeight="false" outlineLevel="0" collapsed="false">
      <c r="A582" s="821" t="s">
        <v>3603</v>
      </c>
    </row>
    <row r="583" customFormat="false" ht="15" hidden="false" customHeight="false" outlineLevel="0" collapsed="false">
      <c r="A583" s="821" t="s">
        <v>3604</v>
      </c>
    </row>
    <row r="586" customFormat="false" ht="15" hidden="false" customHeight="false" outlineLevel="0" collapsed="false">
      <c r="A586" s="822" t="s">
        <v>301</v>
      </c>
      <c r="B586" s="822" t="s">
        <v>178</v>
      </c>
      <c r="C586" s="823" t="s">
        <v>3605</v>
      </c>
      <c r="D586" s="823" t="s">
        <v>3606</v>
      </c>
      <c r="E586" s="824" t="s">
        <v>2297</v>
      </c>
    </row>
    <row r="587" customFormat="false" ht="15" hidden="false" customHeight="false" outlineLevel="0" collapsed="false">
      <c r="A587" s="822" t="s">
        <v>3329</v>
      </c>
      <c r="B587" s="825" t="n">
        <v>1</v>
      </c>
      <c r="C587" s="825" t="s">
        <v>3607</v>
      </c>
      <c r="D587" s="823" t="s">
        <v>3608</v>
      </c>
      <c r="E587" s="826" t="n">
        <v>1</v>
      </c>
    </row>
    <row r="588" customFormat="false" ht="15" hidden="false" customHeight="false" outlineLevel="0" collapsed="false">
      <c r="A588" s="822" t="s">
        <v>3437</v>
      </c>
      <c r="B588" s="825" t="n">
        <v>2</v>
      </c>
      <c r="C588" s="825" t="s">
        <v>3609</v>
      </c>
      <c r="D588" s="823" t="s">
        <v>3610</v>
      </c>
      <c r="E588" s="826" t="n">
        <v>2</v>
      </c>
    </row>
    <row r="589" customFormat="false" ht="15" hidden="false" customHeight="false" outlineLevel="0" collapsed="false">
      <c r="A589" s="822" t="s">
        <v>3372</v>
      </c>
      <c r="B589" s="825" t="n">
        <v>9</v>
      </c>
      <c r="C589" s="825" t="s">
        <v>3611</v>
      </c>
      <c r="D589" s="823" t="s">
        <v>3612</v>
      </c>
      <c r="E589" s="826" t="n">
        <v>4</v>
      </c>
    </row>
    <row r="590" customFormat="false" ht="15" hidden="false" customHeight="false" outlineLevel="0" collapsed="false">
      <c r="A590" s="822" t="s">
        <v>3401</v>
      </c>
      <c r="B590" s="825" t="n">
        <v>5</v>
      </c>
      <c r="C590" s="825" t="s">
        <v>3613</v>
      </c>
      <c r="D590" s="823" t="s">
        <v>3614</v>
      </c>
      <c r="E590" s="826" t="n">
        <v>5</v>
      </c>
    </row>
    <row r="591" customFormat="false" ht="15" hidden="false" customHeight="false" outlineLevel="0" collapsed="false">
      <c r="A591" s="822" t="s">
        <v>3413</v>
      </c>
      <c r="B591" s="825" t="n">
        <v>3</v>
      </c>
      <c r="C591" s="825" t="s">
        <v>3615</v>
      </c>
      <c r="D591" s="823" t="s">
        <v>3616</v>
      </c>
      <c r="E591" s="826" t="n">
        <v>6</v>
      </c>
    </row>
    <row r="592" customFormat="false" ht="15" hidden="false" customHeight="false" outlineLevel="0" collapsed="false">
      <c r="A592" s="822" t="s">
        <v>3389</v>
      </c>
      <c r="B592" s="825" t="n">
        <v>6</v>
      </c>
      <c r="C592" s="825" t="s">
        <v>3617</v>
      </c>
      <c r="D592" s="823" t="s">
        <v>3618</v>
      </c>
      <c r="E592" s="826" t="n">
        <v>3</v>
      </c>
    </row>
    <row r="593" customFormat="false" ht="15" hidden="false" customHeight="false" outlineLevel="0" collapsed="false">
      <c r="A593" s="822" t="s">
        <v>3425</v>
      </c>
      <c r="B593" s="825" t="n">
        <v>8</v>
      </c>
      <c r="C593" s="825" t="s">
        <v>3619</v>
      </c>
      <c r="D593" s="823" t="s">
        <v>3620</v>
      </c>
      <c r="E593" s="826" t="n">
        <v>7</v>
      </c>
    </row>
    <row r="594" customFormat="false" ht="15" hidden="false" customHeight="false" outlineLevel="0" collapsed="false">
      <c r="A594" s="822" t="s">
        <v>3621</v>
      </c>
      <c r="B594" s="825" t="n">
        <v>4</v>
      </c>
      <c r="C594" s="827" t="s">
        <v>3622</v>
      </c>
      <c r="D594" s="828"/>
      <c r="E594" s="826" t="n">
        <v>8</v>
      </c>
    </row>
    <row r="595" customFormat="false" ht="15" hidden="false" customHeight="false" outlineLevel="0" collapsed="false">
      <c r="A595" s="829" t="s">
        <v>3623</v>
      </c>
      <c r="B595" s="830" t="n">
        <v>7</v>
      </c>
      <c r="C595" s="831" t="s">
        <v>3624</v>
      </c>
      <c r="D595" s="63"/>
      <c r="E595" s="826" t="n">
        <v>9</v>
      </c>
    </row>
    <row r="597" customFormat="false" ht="15" hidden="false" customHeight="false" outlineLevel="0" collapsed="false">
      <c r="D597" s="566"/>
      <c r="E597" s="565"/>
      <c r="X597" s="567"/>
      <c r="Y597" s="567"/>
      <c r="Z597" s="565"/>
      <c r="AA597" s="565"/>
    </row>
    <row r="598" customFormat="false" ht="14.25" hidden="false" customHeight="true" outlineLevel="0" collapsed="false"/>
    <row r="599" customFormat="false" ht="14.25" hidden="false" customHeight="true" outlineLevel="0" collapsed="false">
      <c r="A599" s="832" t="s">
        <v>178</v>
      </c>
      <c r="B599" s="833" t="s">
        <v>3625</v>
      </c>
      <c r="C599" s="834" t="s">
        <v>2018</v>
      </c>
      <c r="D599" s="832" t="s">
        <v>3626</v>
      </c>
      <c r="E599" s="832" t="s">
        <v>3627</v>
      </c>
      <c r="F599" s="832" t="s">
        <v>3628</v>
      </c>
      <c r="G599" s="565" t="s">
        <v>3629</v>
      </c>
      <c r="H599" s="565" t="s">
        <v>3630</v>
      </c>
      <c r="Z599" s="565"/>
      <c r="AB599" s="567"/>
    </row>
    <row r="600" customFormat="false" ht="14.25" hidden="false" customHeight="true" outlineLevel="0" collapsed="false">
      <c r="A600" s="835" t="s">
        <v>3631</v>
      </c>
      <c r="B600" s="836" t="s">
        <v>3632</v>
      </c>
      <c r="C600" s="837" t="s">
        <v>3633</v>
      </c>
      <c r="D600" s="836" t="s">
        <v>3634</v>
      </c>
      <c r="E600" s="836" t="s">
        <v>3635</v>
      </c>
      <c r="F600" s="836" t="s">
        <v>3636</v>
      </c>
      <c r="G600" s="838" t="n">
        <v>35</v>
      </c>
      <c r="H600" s="565" t="n">
        <f aca="false">MOD(A600,12)+1</f>
        <v>2</v>
      </c>
      <c r="Z600" s="565"/>
      <c r="AB600" s="567"/>
    </row>
    <row r="601" customFormat="false" ht="14.25" hidden="false" customHeight="true" outlineLevel="0" collapsed="false">
      <c r="A601" s="835" t="s">
        <v>3637</v>
      </c>
      <c r="B601" s="836" t="s">
        <v>3638</v>
      </c>
      <c r="C601" s="837" t="s">
        <v>3639</v>
      </c>
      <c r="D601" s="836" t="s">
        <v>3640</v>
      </c>
      <c r="E601" s="836" t="s">
        <v>3641</v>
      </c>
      <c r="F601" s="836" t="s">
        <v>3642</v>
      </c>
      <c r="G601" s="838" t="n">
        <v>36</v>
      </c>
      <c r="H601" s="565" t="n">
        <f aca="false">MOD(A601,12)+1</f>
        <v>3</v>
      </c>
      <c r="Z601" s="565"/>
      <c r="AB601" s="567"/>
    </row>
    <row r="602" customFormat="false" ht="14.25" hidden="false" customHeight="true" outlineLevel="0" collapsed="false">
      <c r="A602" s="835" t="s">
        <v>3643</v>
      </c>
      <c r="B602" s="836" t="s">
        <v>3644</v>
      </c>
      <c r="C602" s="837" t="s">
        <v>3645</v>
      </c>
      <c r="D602" s="836" t="s">
        <v>3646</v>
      </c>
      <c r="E602" s="836" t="s">
        <v>3647</v>
      </c>
      <c r="F602" s="836" t="s">
        <v>3648</v>
      </c>
      <c r="G602" s="838" t="n">
        <v>37</v>
      </c>
      <c r="H602" s="565" t="n">
        <f aca="false">MOD(A602,12)+1</f>
        <v>4</v>
      </c>
      <c r="Z602" s="565"/>
      <c r="AB602" s="567"/>
    </row>
    <row r="603" customFormat="false" ht="14.25" hidden="false" customHeight="true" outlineLevel="0" collapsed="false">
      <c r="A603" s="835" t="s">
        <v>3649</v>
      </c>
      <c r="B603" s="836" t="s">
        <v>3650</v>
      </c>
      <c r="C603" s="837" t="s">
        <v>3651</v>
      </c>
      <c r="D603" s="836" t="s">
        <v>3652</v>
      </c>
      <c r="E603" s="836" t="s">
        <v>3653</v>
      </c>
      <c r="F603" s="836" t="s">
        <v>3654</v>
      </c>
      <c r="G603" s="838" t="n">
        <v>38</v>
      </c>
      <c r="H603" s="565" t="n">
        <f aca="false">MOD(A603,12)+1</f>
        <v>5</v>
      </c>
      <c r="Z603" s="565"/>
      <c r="AB603" s="567"/>
    </row>
    <row r="604" customFormat="false" ht="14.25" hidden="false" customHeight="true" outlineLevel="0" collapsed="false">
      <c r="A604" s="835" t="s">
        <v>3655</v>
      </c>
      <c r="B604" s="836" t="s">
        <v>3656</v>
      </c>
      <c r="C604" s="837" t="s">
        <v>3657</v>
      </c>
      <c r="D604" s="836" t="s">
        <v>3658</v>
      </c>
      <c r="E604" s="836" t="s">
        <v>3659</v>
      </c>
      <c r="F604" s="836" t="s">
        <v>3660</v>
      </c>
      <c r="G604" s="838" t="n">
        <v>39</v>
      </c>
      <c r="H604" s="565" t="n">
        <f aca="false">MOD(A604,12)+1</f>
        <v>6</v>
      </c>
      <c r="Z604" s="565"/>
      <c r="AB604" s="567"/>
    </row>
    <row r="605" customFormat="false" ht="14.25" hidden="false" customHeight="true" outlineLevel="0" collapsed="false">
      <c r="A605" s="835" t="s">
        <v>3661</v>
      </c>
      <c r="B605" s="836" t="s">
        <v>3662</v>
      </c>
      <c r="C605" s="837" t="s">
        <v>3663</v>
      </c>
      <c r="D605" s="836" t="s">
        <v>3664</v>
      </c>
      <c r="E605" s="836" t="s">
        <v>3665</v>
      </c>
      <c r="F605" s="836" t="s">
        <v>3666</v>
      </c>
      <c r="G605" s="838" t="n">
        <v>40</v>
      </c>
      <c r="H605" s="565" t="n">
        <f aca="false">MOD(A605,12)+1</f>
        <v>7</v>
      </c>
      <c r="Z605" s="565"/>
      <c r="AB605" s="567"/>
    </row>
    <row r="606" customFormat="false" ht="14.25" hidden="false" customHeight="true" outlineLevel="0" collapsed="false">
      <c r="A606" s="835" t="s">
        <v>3667</v>
      </c>
      <c r="B606" s="836" t="s">
        <v>3668</v>
      </c>
      <c r="C606" s="837" t="s">
        <v>3669</v>
      </c>
      <c r="D606" s="836" t="s">
        <v>3670</v>
      </c>
      <c r="E606" s="836" t="s">
        <v>3671</v>
      </c>
      <c r="F606" s="836" t="s">
        <v>3672</v>
      </c>
      <c r="G606" s="666" t="n">
        <v>41</v>
      </c>
      <c r="H606" s="565" t="n">
        <f aca="false">MOD(A606,12)+1</f>
        <v>8</v>
      </c>
      <c r="Z606" s="565"/>
      <c r="AB606" s="567"/>
    </row>
    <row r="607" customFormat="false" ht="14.25" hidden="false" customHeight="true" outlineLevel="0" collapsed="false">
      <c r="A607" s="835" t="s">
        <v>3673</v>
      </c>
      <c r="B607" s="836" t="s">
        <v>3674</v>
      </c>
      <c r="C607" s="837" t="s">
        <v>3675</v>
      </c>
      <c r="D607" s="836" t="s">
        <v>3676</v>
      </c>
      <c r="E607" s="836" t="s">
        <v>3677</v>
      </c>
      <c r="F607" s="836" t="s">
        <v>3678</v>
      </c>
      <c r="G607" s="666" t="n">
        <v>42</v>
      </c>
      <c r="H607" s="565" t="n">
        <f aca="false">MOD(A607,12)+1</f>
        <v>9</v>
      </c>
      <c r="Z607" s="565"/>
      <c r="AB607" s="567"/>
    </row>
    <row r="608" customFormat="false" ht="14.25" hidden="false" customHeight="true" outlineLevel="0" collapsed="false">
      <c r="A608" s="835" t="s">
        <v>3679</v>
      </c>
      <c r="B608" s="836" t="s">
        <v>3680</v>
      </c>
      <c r="C608" s="837" t="s">
        <v>3681</v>
      </c>
      <c r="D608" s="836" t="s">
        <v>3682</v>
      </c>
      <c r="E608" s="836" t="s">
        <v>3683</v>
      </c>
      <c r="F608" s="836" t="s">
        <v>3684</v>
      </c>
      <c r="G608" s="666" t="n">
        <v>43</v>
      </c>
      <c r="H608" s="565" t="n">
        <f aca="false">MOD(A608,12)+1</f>
        <v>10</v>
      </c>
      <c r="Z608" s="565"/>
      <c r="AB608" s="567"/>
    </row>
    <row r="609" customFormat="false" ht="14.25" hidden="false" customHeight="true" outlineLevel="0" collapsed="false">
      <c r="A609" s="835" t="n">
        <v>10</v>
      </c>
      <c r="B609" s="836" t="s">
        <v>3685</v>
      </c>
      <c r="C609" s="837" t="s">
        <v>3686</v>
      </c>
      <c r="D609" s="836" t="s">
        <v>3687</v>
      </c>
      <c r="E609" s="836" t="s">
        <v>3688</v>
      </c>
      <c r="F609" s="836" t="s">
        <v>3689</v>
      </c>
      <c r="G609" s="666" t="n">
        <v>44</v>
      </c>
      <c r="H609" s="565" t="n">
        <f aca="false">MOD(A609,12)+1</f>
        <v>11</v>
      </c>
      <c r="Z609" s="565"/>
      <c r="AB609" s="567"/>
    </row>
    <row r="610" customFormat="false" ht="14.25" hidden="false" customHeight="true" outlineLevel="0" collapsed="false">
      <c r="A610" s="835" t="n">
        <v>11</v>
      </c>
      <c r="B610" s="836" t="s">
        <v>3690</v>
      </c>
      <c r="C610" s="837" t="s">
        <v>3691</v>
      </c>
      <c r="D610" s="836" t="s">
        <v>3692</v>
      </c>
      <c r="E610" s="836" t="s">
        <v>3693</v>
      </c>
      <c r="F610" s="836" t="s">
        <v>3694</v>
      </c>
      <c r="G610" s="666" t="n">
        <v>45</v>
      </c>
      <c r="H610" s="565" t="n">
        <f aca="false">MOD(A610,12)+1</f>
        <v>12</v>
      </c>
      <c r="Z610" s="565"/>
      <c r="AB610" s="567"/>
    </row>
    <row r="611" customFormat="false" ht="14.25" hidden="false" customHeight="true" outlineLevel="0" collapsed="false">
      <c r="A611" s="835" t="n">
        <v>12</v>
      </c>
      <c r="B611" s="836" t="s">
        <v>3695</v>
      </c>
      <c r="C611" s="837" t="s">
        <v>3696</v>
      </c>
      <c r="D611" s="836" t="s">
        <v>3697</v>
      </c>
      <c r="E611" s="836" t="s">
        <v>3698</v>
      </c>
      <c r="F611" s="836" t="s">
        <v>3699</v>
      </c>
      <c r="G611" s="666" t="n">
        <v>46</v>
      </c>
      <c r="H611" s="565" t="n">
        <f aca="false">MOD(A611,12)+1</f>
        <v>1</v>
      </c>
      <c r="Z611" s="565"/>
      <c r="AB611" s="567"/>
    </row>
    <row r="612" customFormat="false" ht="14.25" hidden="false" customHeight="true" outlineLevel="0" collapsed="false">
      <c r="A612" s="835" t="n">
        <v>13</v>
      </c>
      <c r="B612" s="836" t="s">
        <v>3700</v>
      </c>
      <c r="C612" s="839" t="s">
        <v>3701</v>
      </c>
      <c r="D612" s="836" t="s">
        <v>3702</v>
      </c>
      <c r="E612" s="836" t="s">
        <v>3703</v>
      </c>
      <c r="F612" s="836" t="s">
        <v>3704</v>
      </c>
      <c r="G612" s="666" t="n">
        <v>47</v>
      </c>
      <c r="H612" s="565" t="n">
        <f aca="false">MOD(A612,12)+1</f>
        <v>2</v>
      </c>
      <c r="Z612" s="565"/>
      <c r="AB612" s="567"/>
    </row>
    <row r="613" customFormat="false" ht="14.25" hidden="false" customHeight="true" outlineLevel="0" collapsed="false">
      <c r="A613" s="835" t="n">
        <v>14</v>
      </c>
      <c r="B613" s="836" t="s">
        <v>3705</v>
      </c>
      <c r="C613" s="837" t="s">
        <v>3706</v>
      </c>
      <c r="D613" s="836" t="s">
        <v>3707</v>
      </c>
      <c r="E613" s="836" t="s">
        <v>3708</v>
      </c>
      <c r="F613" s="836" t="s">
        <v>3709</v>
      </c>
      <c r="G613" s="666" t="n">
        <v>48</v>
      </c>
      <c r="H613" s="565" t="n">
        <f aca="false">MOD(A613,12)+1</f>
        <v>3</v>
      </c>
      <c r="Z613" s="565"/>
      <c r="AB613" s="567"/>
    </row>
    <row r="614" customFormat="false" ht="14.25" hidden="false" customHeight="true" outlineLevel="0" collapsed="false">
      <c r="A614" s="835" t="n">
        <v>15</v>
      </c>
      <c r="B614" s="836" t="s">
        <v>3710</v>
      </c>
      <c r="C614" s="837" t="s">
        <v>3711</v>
      </c>
      <c r="D614" s="836" t="s">
        <v>3712</v>
      </c>
      <c r="E614" s="836" t="s">
        <v>3713</v>
      </c>
      <c r="F614" s="836" t="s">
        <v>3714</v>
      </c>
      <c r="G614" s="666" t="n">
        <v>49</v>
      </c>
      <c r="H614" s="565" t="n">
        <f aca="false">MOD(A614,12)+1</f>
        <v>4</v>
      </c>
      <c r="Z614" s="565"/>
      <c r="AB614" s="567"/>
    </row>
    <row r="615" customFormat="false" ht="14.25" hidden="false" customHeight="true" outlineLevel="0" collapsed="false">
      <c r="A615" s="835" t="n">
        <v>16</v>
      </c>
      <c r="B615" s="836" t="s">
        <v>3715</v>
      </c>
      <c r="C615" s="837" t="s">
        <v>3716</v>
      </c>
      <c r="D615" s="836" t="s">
        <v>3717</v>
      </c>
      <c r="E615" s="836" t="s">
        <v>3718</v>
      </c>
      <c r="F615" s="836" t="s">
        <v>3719</v>
      </c>
      <c r="G615" s="666" t="n">
        <v>50</v>
      </c>
      <c r="H615" s="565" t="n">
        <f aca="false">MOD(A615,12)+1</f>
        <v>5</v>
      </c>
      <c r="Z615" s="565"/>
      <c r="AB615" s="567"/>
    </row>
    <row r="616" customFormat="false" ht="14.25" hidden="false" customHeight="true" outlineLevel="0" collapsed="false">
      <c r="A616" s="835" t="n">
        <v>17</v>
      </c>
      <c r="B616" s="836" t="s">
        <v>3720</v>
      </c>
      <c r="C616" s="837" t="s">
        <v>3721</v>
      </c>
      <c r="D616" s="836" t="s">
        <v>3722</v>
      </c>
      <c r="E616" s="836" t="s">
        <v>3723</v>
      </c>
      <c r="F616" s="836" t="s">
        <v>3724</v>
      </c>
      <c r="G616" s="666" t="n">
        <v>51</v>
      </c>
      <c r="H616" s="565" t="n">
        <f aca="false">MOD(A616,12)+1</f>
        <v>6</v>
      </c>
      <c r="Z616" s="565"/>
      <c r="AB616" s="567"/>
    </row>
    <row r="617" customFormat="false" ht="14.25" hidden="false" customHeight="true" outlineLevel="0" collapsed="false">
      <c r="A617" s="835" t="n">
        <v>18</v>
      </c>
      <c r="B617" s="836" t="s">
        <v>3725</v>
      </c>
      <c r="C617" s="840" t="s">
        <v>3726</v>
      </c>
      <c r="D617" s="836" t="s">
        <v>3727</v>
      </c>
      <c r="E617" s="836" t="s">
        <v>3728</v>
      </c>
      <c r="F617" s="836" t="s">
        <v>3729</v>
      </c>
      <c r="G617" s="666" t="n">
        <v>52</v>
      </c>
      <c r="H617" s="565" t="n">
        <f aca="false">MOD(A617,12)+1</f>
        <v>7</v>
      </c>
      <c r="Z617" s="565"/>
      <c r="AB617" s="567"/>
    </row>
    <row r="618" customFormat="false" ht="14.25" hidden="false" customHeight="true" outlineLevel="0" collapsed="false">
      <c r="A618" s="835" t="n">
        <v>19</v>
      </c>
      <c r="B618" s="836" t="s">
        <v>3730</v>
      </c>
      <c r="C618" s="837" t="s">
        <v>3731</v>
      </c>
      <c r="D618" s="836" t="s">
        <v>3732</v>
      </c>
      <c r="E618" s="836" t="s">
        <v>3733</v>
      </c>
      <c r="F618" s="836" t="s">
        <v>3734</v>
      </c>
      <c r="G618" s="666" t="n">
        <v>53</v>
      </c>
      <c r="H618" s="565" t="n">
        <f aca="false">MOD(A618,12)+1</f>
        <v>8</v>
      </c>
      <c r="Z618" s="565"/>
      <c r="AB618" s="567"/>
    </row>
    <row r="619" customFormat="false" ht="14.25" hidden="false" customHeight="true" outlineLevel="0" collapsed="false">
      <c r="A619" s="835" t="n">
        <v>20</v>
      </c>
      <c r="B619" s="836" t="s">
        <v>3735</v>
      </c>
      <c r="C619" s="837" t="s">
        <v>3736</v>
      </c>
      <c r="D619" s="836" t="s">
        <v>3737</v>
      </c>
      <c r="E619" s="836" t="s">
        <v>3738</v>
      </c>
      <c r="F619" s="836" t="s">
        <v>3739</v>
      </c>
      <c r="G619" s="666" t="n">
        <v>54</v>
      </c>
      <c r="H619" s="565" t="n">
        <f aca="false">MOD(A619,12)+1</f>
        <v>9</v>
      </c>
      <c r="Z619" s="565"/>
      <c r="AB619" s="567"/>
    </row>
    <row r="620" customFormat="false" ht="14.25" hidden="false" customHeight="true" outlineLevel="0" collapsed="false">
      <c r="A620" s="835" t="n">
        <v>21</v>
      </c>
      <c r="B620" s="841" t="s">
        <v>3740</v>
      </c>
      <c r="C620" s="842" t="s">
        <v>3741</v>
      </c>
      <c r="D620" s="841" t="s">
        <v>3742</v>
      </c>
      <c r="E620" s="841" t="s">
        <v>3743</v>
      </c>
      <c r="F620" s="841" t="s">
        <v>3744</v>
      </c>
      <c r="G620" s="666" t="n">
        <v>55</v>
      </c>
      <c r="H620" s="565" t="n">
        <f aca="false">MOD(A620,12)+1</f>
        <v>10</v>
      </c>
      <c r="Z620" s="565"/>
      <c r="AB620" s="567"/>
    </row>
    <row r="621" customFormat="false" ht="14.25" hidden="false" customHeight="true" outlineLevel="0" collapsed="false">
      <c r="A621" s="835" t="n">
        <v>22</v>
      </c>
      <c r="B621" s="841" t="s">
        <v>3745</v>
      </c>
      <c r="C621" s="842" t="s">
        <v>3746</v>
      </c>
      <c r="D621" s="841" t="s">
        <v>3747</v>
      </c>
      <c r="E621" s="841" t="s">
        <v>3748</v>
      </c>
      <c r="F621" s="841" t="s">
        <v>3749</v>
      </c>
      <c r="G621" s="666" t="n">
        <v>56</v>
      </c>
      <c r="H621" s="565" t="n">
        <f aca="false">MOD(A621,12)+1</f>
        <v>11</v>
      </c>
      <c r="Z621" s="565"/>
      <c r="AB621" s="567"/>
    </row>
    <row r="622" customFormat="false" ht="14.25" hidden="false" customHeight="true" outlineLevel="0" collapsed="false">
      <c r="A622" s="835" t="n">
        <v>23</v>
      </c>
      <c r="B622" s="841" t="s">
        <v>3750</v>
      </c>
      <c r="C622" s="842" t="s">
        <v>3751</v>
      </c>
      <c r="D622" s="841" t="s">
        <v>3752</v>
      </c>
      <c r="E622" s="841" t="s">
        <v>3753</v>
      </c>
      <c r="F622" s="841" t="s">
        <v>3754</v>
      </c>
      <c r="G622" s="666" t="n">
        <v>57</v>
      </c>
      <c r="H622" s="565" t="n">
        <f aca="false">MOD(A622,12)+1</f>
        <v>12</v>
      </c>
      <c r="Z622" s="565"/>
      <c r="AB622" s="567"/>
    </row>
    <row r="623" customFormat="false" ht="14.25" hidden="false" customHeight="true" outlineLevel="0" collapsed="false">
      <c r="A623" s="835" t="n">
        <v>24</v>
      </c>
      <c r="B623" s="841" t="s">
        <v>3755</v>
      </c>
      <c r="C623" s="842" t="s">
        <v>3756</v>
      </c>
      <c r="D623" s="841" t="s">
        <v>3757</v>
      </c>
      <c r="E623" s="841" t="s">
        <v>3758</v>
      </c>
      <c r="F623" s="841" t="s">
        <v>3759</v>
      </c>
      <c r="G623" s="666" t="n">
        <v>58</v>
      </c>
      <c r="H623" s="565" t="n">
        <f aca="false">MOD(A623,12)+1</f>
        <v>1</v>
      </c>
      <c r="Z623" s="565"/>
      <c r="AB623" s="567"/>
    </row>
    <row r="624" customFormat="false" ht="14.25" hidden="false" customHeight="true" outlineLevel="0" collapsed="false">
      <c r="A624" s="835" t="n">
        <v>25</v>
      </c>
      <c r="B624" s="841" t="s">
        <v>3760</v>
      </c>
      <c r="C624" s="843" t="s">
        <v>3761</v>
      </c>
      <c r="D624" s="841" t="s">
        <v>3762</v>
      </c>
      <c r="E624" s="841" t="s">
        <v>3763</v>
      </c>
      <c r="F624" s="841" t="s">
        <v>3764</v>
      </c>
      <c r="G624" s="666" t="n">
        <v>59</v>
      </c>
      <c r="H624" s="565" t="n">
        <f aca="false">MOD(A624,12)+1</f>
        <v>2</v>
      </c>
      <c r="Z624" s="565"/>
      <c r="AB624" s="567"/>
    </row>
    <row r="625" customFormat="false" ht="14.25" hidden="false" customHeight="true" outlineLevel="0" collapsed="false">
      <c r="A625" s="835" t="n">
        <v>26</v>
      </c>
      <c r="B625" s="841" t="s">
        <v>3765</v>
      </c>
      <c r="C625" s="842" t="s">
        <v>3766</v>
      </c>
      <c r="D625" s="841" t="s">
        <v>3767</v>
      </c>
      <c r="E625" s="841" t="s">
        <v>3768</v>
      </c>
      <c r="F625" s="841" t="s">
        <v>3769</v>
      </c>
      <c r="G625" s="666" t="n">
        <v>60</v>
      </c>
      <c r="H625" s="565" t="n">
        <f aca="false">MOD(A625,12)+1</f>
        <v>3</v>
      </c>
      <c r="Z625" s="565"/>
      <c r="AB625" s="567"/>
    </row>
    <row r="626" customFormat="false" ht="14.25" hidden="false" customHeight="true" outlineLevel="0" collapsed="false">
      <c r="A626" s="835" t="n">
        <v>27</v>
      </c>
      <c r="B626" s="841" t="s">
        <v>3770</v>
      </c>
      <c r="C626" s="842" t="s">
        <v>3771</v>
      </c>
      <c r="D626" s="844" t="s">
        <v>3772</v>
      </c>
      <c r="E626" s="841" t="s">
        <v>3773</v>
      </c>
      <c r="F626" s="841" t="s">
        <v>3774</v>
      </c>
      <c r="G626" s="845" t="s">
        <v>3775</v>
      </c>
      <c r="H626" s="565" t="n">
        <f aca="false">MOD(A626,12)+1</f>
        <v>4</v>
      </c>
      <c r="Z626" s="565"/>
      <c r="AB626" s="567"/>
    </row>
    <row r="627" customFormat="false" ht="14.25" hidden="false" customHeight="true" outlineLevel="0" collapsed="false">
      <c r="A627" s="835" t="n">
        <v>28</v>
      </c>
      <c r="B627" s="841" t="s">
        <v>3171</v>
      </c>
      <c r="C627" s="842" t="s">
        <v>3776</v>
      </c>
      <c r="D627" s="841" t="s">
        <v>3777</v>
      </c>
      <c r="E627" s="841" t="s">
        <v>3778</v>
      </c>
      <c r="F627" s="841" t="s">
        <v>3779</v>
      </c>
      <c r="G627" s="845" t="n">
        <v>2</v>
      </c>
      <c r="H627" s="565" t="n">
        <f aca="false">MOD(A627,12)+1</f>
        <v>5</v>
      </c>
      <c r="Z627" s="565"/>
      <c r="AB627" s="567"/>
    </row>
    <row r="628" customFormat="false" ht="14.25" hidden="false" customHeight="true" outlineLevel="0" collapsed="false">
      <c r="A628" s="835" t="n">
        <v>29</v>
      </c>
      <c r="B628" s="841" t="s">
        <v>2001</v>
      </c>
      <c r="C628" s="842" t="s">
        <v>3780</v>
      </c>
      <c r="D628" s="841" t="s">
        <v>3781</v>
      </c>
      <c r="E628" s="841" t="s">
        <v>3782</v>
      </c>
      <c r="F628" s="841" t="s">
        <v>3783</v>
      </c>
      <c r="G628" s="845" t="n">
        <v>3</v>
      </c>
      <c r="H628" s="565" t="n">
        <f aca="false">MOD(A628,12)+1</f>
        <v>6</v>
      </c>
      <c r="Z628" s="565"/>
      <c r="AB628" s="567"/>
    </row>
    <row r="629" customFormat="false" ht="14.25" hidden="false" customHeight="true" outlineLevel="0" collapsed="false">
      <c r="A629" s="835" t="n">
        <v>30</v>
      </c>
      <c r="B629" s="841" t="s">
        <v>3784</v>
      </c>
      <c r="C629" s="842" t="s">
        <v>3785</v>
      </c>
      <c r="D629" s="841" t="s">
        <v>3786</v>
      </c>
      <c r="E629" s="841" t="s">
        <v>3787</v>
      </c>
      <c r="F629" s="841" t="s">
        <v>3788</v>
      </c>
      <c r="G629" s="845" t="n">
        <v>4</v>
      </c>
      <c r="H629" s="565" t="n">
        <f aca="false">MOD(A629,12)+1</f>
        <v>7</v>
      </c>
      <c r="Z629" s="565"/>
      <c r="AB629" s="567"/>
    </row>
    <row r="630" customFormat="false" ht="14.25" hidden="false" customHeight="true" outlineLevel="0" collapsed="false">
      <c r="A630" s="835" t="n">
        <v>31</v>
      </c>
      <c r="B630" s="841" t="s">
        <v>3789</v>
      </c>
      <c r="C630" s="842" t="s">
        <v>3790</v>
      </c>
      <c r="D630" s="841" t="s">
        <v>3791</v>
      </c>
      <c r="E630" s="841" t="s">
        <v>3792</v>
      </c>
      <c r="F630" s="841" t="s">
        <v>3793</v>
      </c>
      <c r="G630" s="845" t="n">
        <v>5</v>
      </c>
      <c r="H630" s="565" t="n">
        <f aca="false">MOD(A630,12)+1</f>
        <v>8</v>
      </c>
      <c r="Z630" s="565"/>
      <c r="AB630" s="567"/>
    </row>
    <row r="631" customFormat="false" ht="14.25" hidden="false" customHeight="true" outlineLevel="0" collapsed="false">
      <c r="A631" s="835" t="n">
        <v>32</v>
      </c>
      <c r="B631" s="841" t="s">
        <v>3794</v>
      </c>
      <c r="C631" s="842" t="s">
        <v>3795</v>
      </c>
      <c r="D631" s="841" t="s">
        <v>3796</v>
      </c>
      <c r="E631" s="841" t="s">
        <v>3797</v>
      </c>
      <c r="F631" s="841" t="s">
        <v>3798</v>
      </c>
      <c r="G631" s="845" t="n">
        <v>6</v>
      </c>
      <c r="H631" s="565" t="n">
        <f aca="false">MOD(A631,12)+1</f>
        <v>9</v>
      </c>
      <c r="Z631" s="565"/>
      <c r="AB631" s="567"/>
    </row>
    <row r="632" customFormat="false" ht="14.25" hidden="false" customHeight="true" outlineLevel="0" collapsed="false">
      <c r="A632" s="835" t="n">
        <v>33</v>
      </c>
      <c r="B632" s="841" t="s">
        <v>3799</v>
      </c>
      <c r="C632" s="842" t="s">
        <v>3800</v>
      </c>
      <c r="D632" s="841" t="s">
        <v>3801</v>
      </c>
      <c r="E632" s="841" t="s">
        <v>3802</v>
      </c>
      <c r="F632" s="841" t="s">
        <v>3803</v>
      </c>
      <c r="G632" s="845" t="n">
        <v>7</v>
      </c>
      <c r="H632" s="565" t="n">
        <f aca="false">MOD(A632,12)+1</f>
        <v>10</v>
      </c>
      <c r="Z632" s="565"/>
      <c r="AB632" s="567"/>
    </row>
    <row r="633" customFormat="false" ht="14.25" hidden="false" customHeight="true" outlineLevel="0" collapsed="false">
      <c r="A633" s="835" t="n">
        <v>34</v>
      </c>
      <c r="B633" s="841" t="s">
        <v>3804</v>
      </c>
      <c r="C633" s="843" t="s">
        <v>3805</v>
      </c>
      <c r="D633" s="841" t="s">
        <v>3806</v>
      </c>
      <c r="E633" s="841" t="s">
        <v>3807</v>
      </c>
      <c r="F633" s="841" t="s">
        <v>3808</v>
      </c>
      <c r="G633" s="845" t="n">
        <v>8</v>
      </c>
      <c r="H633" s="565" t="n">
        <f aca="false">MOD(A633,12)+1</f>
        <v>11</v>
      </c>
      <c r="Z633" s="565"/>
      <c r="AB633" s="567"/>
    </row>
    <row r="634" customFormat="false" ht="14.25" hidden="false" customHeight="true" outlineLevel="0" collapsed="false">
      <c r="A634" s="835" t="n">
        <v>35</v>
      </c>
      <c r="B634" s="841" t="s">
        <v>3809</v>
      </c>
      <c r="C634" s="842" t="s">
        <v>3810</v>
      </c>
      <c r="D634" s="841" t="s">
        <v>3811</v>
      </c>
      <c r="E634" s="841" t="s">
        <v>3812</v>
      </c>
      <c r="F634" s="841" t="s">
        <v>3813</v>
      </c>
      <c r="G634" s="845" t="n">
        <v>9</v>
      </c>
      <c r="H634" s="565" t="n">
        <f aca="false">MOD(A634,12)+1</f>
        <v>12</v>
      </c>
      <c r="Z634" s="565"/>
      <c r="AB634" s="567"/>
    </row>
    <row r="635" customFormat="false" ht="14.25" hidden="false" customHeight="true" outlineLevel="0" collapsed="false">
      <c r="A635" s="835" t="n">
        <v>36</v>
      </c>
      <c r="B635" s="841" t="s">
        <v>3814</v>
      </c>
      <c r="C635" s="842" t="s">
        <v>3815</v>
      </c>
      <c r="D635" s="841" t="s">
        <v>3816</v>
      </c>
      <c r="E635" s="841" t="s">
        <v>3817</v>
      </c>
      <c r="F635" s="841" t="s">
        <v>3818</v>
      </c>
      <c r="G635" s="845" t="n">
        <v>10</v>
      </c>
      <c r="H635" s="565" t="n">
        <f aca="false">MOD(A635,12)+1</f>
        <v>1</v>
      </c>
      <c r="Z635" s="565"/>
      <c r="AB635" s="567"/>
    </row>
    <row r="636" customFormat="false" ht="14.25" hidden="false" customHeight="true" outlineLevel="0" collapsed="false">
      <c r="A636" s="835" t="n">
        <v>37</v>
      </c>
      <c r="B636" s="841" t="s">
        <v>3819</v>
      </c>
      <c r="C636" s="842" t="s">
        <v>3820</v>
      </c>
      <c r="D636" s="841" t="s">
        <v>3821</v>
      </c>
      <c r="E636" s="841" t="s">
        <v>3822</v>
      </c>
      <c r="F636" s="841" t="s">
        <v>3823</v>
      </c>
      <c r="G636" s="845" t="n">
        <v>11</v>
      </c>
      <c r="H636" s="565" t="n">
        <f aca="false">MOD(A636,12)+1</f>
        <v>2</v>
      </c>
      <c r="Z636" s="565"/>
      <c r="AB636" s="567"/>
    </row>
    <row r="637" customFormat="false" ht="14.25" hidden="false" customHeight="true" outlineLevel="0" collapsed="false">
      <c r="A637" s="835" t="n">
        <v>38</v>
      </c>
      <c r="B637" s="841" t="s">
        <v>3824</v>
      </c>
      <c r="C637" s="842" t="s">
        <v>3825</v>
      </c>
      <c r="D637" s="841" t="s">
        <v>3826</v>
      </c>
      <c r="E637" s="841" t="s">
        <v>3827</v>
      </c>
      <c r="F637" s="841" t="s">
        <v>3828</v>
      </c>
      <c r="G637" s="845" t="n">
        <v>12</v>
      </c>
      <c r="H637" s="565" t="n">
        <f aca="false">MOD(A637,12)+1</f>
        <v>3</v>
      </c>
      <c r="Z637" s="565"/>
      <c r="AB637" s="567"/>
    </row>
    <row r="638" customFormat="false" ht="14.25" hidden="false" customHeight="true" outlineLevel="0" collapsed="false">
      <c r="A638" s="835" t="n">
        <v>39</v>
      </c>
      <c r="B638" s="841" t="s">
        <v>3829</v>
      </c>
      <c r="C638" s="842" t="s">
        <v>3830</v>
      </c>
      <c r="D638" s="841" t="s">
        <v>3831</v>
      </c>
      <c r="E638" s="841" t="s">
        <v>3832</v>
      </c>
      <c r="F638" s="841" t="s">
        <v>3833</v>
      </c>
      <c r="G638" s="845" t="n">
        <v>13</v>
      </c>
      <c r="H638" s="565" t="n">
        <f aca="false">MOD(A638,12)+1</f>
        <v>4</v>
      </c>
      <c r="Z638" s="565"/>
      <c r="AB638" s="567"/>
    </row>
    <row r="639" customFormat="false" ht="14.25" hidden="false" customHeight="true" outlineLevel="0" collapsed="false">
      <c r="A639" s="835" t="n">
        <v>40</v>
      </c>
      <c r="B639" s="841" t="s">
        <v>3834</v>
      </c>
      <c r="C639" s="842" t="s">
        <v>3835</v>
      </c>
      <c r="D639" s="841" t="s">
        <v>3836</v>
      </c>
      <c r="E639" s="841" t="s">
        <v>3837</v>
      </c>
      <c r="F639" s="841" t="s">
        <v>3838</v>
      </c>
      <c r="G639" s="845" t="n">
        <v>14</v>
      </c>
      <c r="H639" s="565" t="n">
        <f aca="false">MOD(A639,12)+1</f>
        <v>5</v>
      </c>
      <c r="Z639" s="565"/>
      <c r="AB639" s="567"/>
    </row>
    <row r="640" customFormat="false" ht="14.25" hidden="false" customHeight="true" outlineLevel="0" collapsed="false">
      <c r="A640" s="835" t="n">
        <v>41</v>
      </c>
      <c r="B640" s="846" t="s">
        <v>3839</v>
      </c>
      <c r="C640" s="847" t="s">
        <v>3840</v>
      </c>
      <c r="D640" s="846" t="s">
        <v>3841</v>
      </c>
      <c r="E640" s="846" t="s">
        <v>3842</v>
      </c>
      <c r="F640" s="846" t="s">
        <v>3843</v>
      </c>
      <c r="G640" s="845" t="n">
        <v>15</v>
      </c>
      <c r="H640" s="565" t="n">
        <f aca="false">MOD(A640,12)+1</f>
        <v>6</v>
      </c>
      <c r="Z640" s="565"/>
      <c r="AB640" s="567"/>
    </row>
    <row r="641" customFormat="false" ht="14.25" hidden="false" customHeight="true" outlineLevel="0" collapsed="false">
      <c r="A641" s="835" t="n">
        <v>42</v>
      </c>
      <c r="B641" s="846" t="s">
        <v>3844</v>
      </c>
      <c r="C641" s="847" t="s">
        <v>3845</v>
      </c>
      <c r="D641" s="846" t="s">
        <v>3846</v>
      </c>
      <c r="E641" s="846" t="s">
        <v>3847</v>
      </c>
      <c r="F641" s="846" t="s">
        <v>3848</v>
      </c>
      <c r="G641" s="845" t="n">
        <v>16</v>
      </c>
      <c r="H641" s="565" t="n">
        <f aca="false">MOD(A641,12)+1</f>
        <v>7</v>
      </c>
      <c r="Z641" s="565"/>
      <c r="AB641" s="567"/>
    </row>
    <row r="642" customFormat="false" ht="14.25" hidden="false" customHeight="true" outlineLevel="0" collapsed="false">
      <c r="A642" s="835" t="n">
        <v>43</v>
      </c>
      <c r="B642" s="846" t="s">
        <v>3849</v>
      </c>
      <c r="C642" s="847" t="s">
        <v>3850</v>
      </c>
      <c r="D642" s="846" t="s">
        <v>3851</v>
      </c>
      <c r="E642" s="846" t="s">
        <v>3852</v>
      </c>
      <c r="F642" s="846" t="s">
        <v>3853</v>
      </c>
      <c r="G642" s="845" t="n">
        <v>17</v>
      </c>
      <c r="H642" s="565" t="n">
        <f aca="false">MOD(A642,12)+1</f>
        <v>8</v>
      </c>
    </row>
    <row r="643" customFormat="false" ht="14.25" hidden="false" customHeight="true" outlineLevel="0" collapsed="false">
      <c r="A643" s="835" t="n">
        <v>44</v>
      </c>
      <c r="B643" s="846" t="s">
        <v>3854</v>
      </c>
      <c r="C643" s="847" t="s">
        <v>3855</v>
      </c>
      <c r="D643" s="846" t="s">
        <v>3856</v>
      </c>
      <c r="E643" s="846" t="s">
        <v>3857</v>
      </c>
      <c r="F643" s="846" t="s">
        <v>3858</v>
      </c>
      <c r="G643" s="845" t="n">
        <v>18</v>
      </c>
      <c r="H643" s="565" t="n">
        <f aca="false">MOD(A643,12)+1</f>
        <v>9</v>
      </c>
    </row>
    <row r="644" customFormat="false" ht="14.25" hidden="false" customHeight="true" outlineLevel="0" collapsed="false">
      <c r="A644" s="835" t="n">
        <v>45</v>
      </c>
      <c r="B644" s="846" t="s">
        <v>3859</v>
      </c>
      <c r="C644" s="847" t="s">
        <v>3860</v>
      </c>
      <c r="D644" s="846" t="s">
        <v>3861</v>
      </c>
      <c r="E644" s="846" t="s">
        <v>3862</v>
      </c>
      <c r="F644" s="846" t="s">
        <v>3863</v>
      </c>
      <c r="G644" s="845" t="n">
        <v>19</v>
      </c>
      <c r="H644" s="565" t="n">
        <f aca="false">MOD(A644,12)+1</f>
        <v>10</v>
      </c>
      <c r="Z644" s="565"/>
      <c r="AB644" s="567"/>
    </row>
    <row r="645" customFormat="false" ht="14.25" hidden="false" customHeight="true" outlineLevel="0" collapsed="false">
      <c r="A645" s="835" t="n">
        <v>46</v>
      </c>
      <c r="B645" s="846" t="s">
        <v>3864</v>
      </c>
      <c r="C645" s="847" t="s">
        <v>3865</v>
      </c>
      <c r="D645" s="846" t="s">
        <v>3866</v>
      </c>
      <c r="E645" s="846" t="s">
        <v>3867</v>
      </c>
      <c r="F645" s="846" t="s">
        <v>3868</v>
      </c>
      <c r="G645" s="845" t="n">
        <v>20</v>
      </c>
      <c r="H645" s="565" t="n">
        <f aca="false">MOD(A645,12)+1</f>
        <v>11</v>
      </c>
      <c r="Z645" s="565"/>
      <c r="AB645" s="567"/>
    </row>
    <row r="646" customFormat="false" ht="14.25" hidden="false" customHeight="true" outlineLevel="0" collapsed="false">
      <c r="A646" s="835" t="n">
        <v>47</v>
      </c>
      <c r="B646" s="846" t="s">
        <v>3869</v>
      </c>
      <c r="C646" s="847" t="s">
        <v>3870</v>
      </c>
      <c r="D646" s="846" t="s">
        <v>3871</v>
      </c>
      <c r="E646" s="846" t="s">
        <v>3872</v>
      </c>
      <c r="F646" s="846" t="s">
        <v>3873</v>
      </c>
      <c r="G646" s="838" t="n">
        <v>21</v>
      </c>
      <c r="H646" s="565" t="n">
        <f aca="false">MOD(A646,12)+1</f>
        <v>12</v>
      </c>
      <c r="Z646" s="565"/>
      <c r="AB646" s="567"/>
    </row>
    <row r="647" customFormat="false" ht="14.25" hidden="false" customHeight="true" outlineLevel="0" collapsed="false">
      <c r="A647" s="835" t="n">
        <v>48</v>
      </c>
      <c r="B647" s="846" t="s">
        <v>3874</v>
      </c>
      <c r="C647" s="847" t="s">
        <v>3875</v>
      </c>
      <c r="D647" s="846" t="s">
        <v>3876</v>
      </c>
      <c r="E647" s="846" t="s">
        <v>3877</v>
      </c>
      <c r="F647" s="846" t="s">
        <v>3878</v>
      </c>
      <c r="G647" s="838" t="n">
        <v>22</v>
      </c>
      <c r="H647" s="565" t="n">
        <f aca="false">MOD(A647,12)+1</f>
        <v>1</v>
      </c>
      <c r="Z647" s="565"/>
      <c r="AB647" s="567"/>
    </row>
    <row r="648" customFormat="false" ht="14.25" hidden="false" customHeight="true" outlineLevel="0" collapsed="false">
      <c r="A648" s="835" t="n">
        <v>49</v>
      </c>
      <c r="B648" s="846" t="s">
        <v>3879</v>
      </c>
      <c r="C648" s="847" t="s">
        <v>3880</v>
      </c>
      <c r="D648" s="846" t="s">
        <v>3881</v>
      </c>
      <c r="E648" s="846" t="s">
        <v>3882</v>
      </c>
      <c r="F648" s="846" t="s">
        <v>3883</v>
      </c>
      <c r="G648" s="838" t="n">
        <v>23</v>
      </c>
      <c r="H648" s="565" t="n">
        <f aca="false">MOD(A648,12)+1</f>
        <v>2</v>
      </c>
      <c r="Z648" s="565"/>
      <c r="AB648" s="567"/>
    </row>
    <row r="649" customFormat="false" ht="14.25" hidden="false" customHeight="true" outlineLevel="0" collapsed="false">
      <c r="A649" s="835" t="n">
        <v>50</v>
      </c>
      <c r="B649" s="846" t="s">
        <v>3884</v>
      </c>
      <c r="C649" s="847" t="s">
        <v>3885</v>
      </c>
      <c r="D649" s="846" t="s">
        <v>3886</v>
      </c>
      <c r="E649" s="846" t="s">
        <v>3887</v>
      </c>
      <c r="F649" s="846" t="s">
        <v>3888</v>
      </c>
      <c r="G649" s="838" t="n">
        <v>24</v>
      </c>
      <c r="H649" s="565" t="n">
        <f aca="false">MOD(A649,12)+1</f>
        <v>3</v>
      </c>
      <c r="Z649" s="565"/>
      <c r="AB649" s="567"/>
    </row>
    <row r="650" customFormat="false" ht="14.25" hidden="false" customHeight="true" outlineLevel="0" collapsed="false">
      <c r="A650" s="835" t="n">
        <v>51</v>
      </c>
      <c r="B650" s="846" t="s">
        <v>3889</v>
      </c>
      <c r="C650" s="847" t="s">
        <v>3890</v>
      </c>
      <c r="D650" s="846" t="s">
        <v>3891</v>
      </c>
      <c r="E650" s="846" t="s">
        <v>3892</v>
      </c>
      <c r="F650" s="846" t="s">
        <v>3893</v>
      </c>
      <c r="G650" s="838" t="n">
        <v>25</v>
      </c>
      <c r="H650" s="565" t="n">
        <f aca="false">MOD(A650,12)+1</f>
        <v>4</v>
      </c>
      <c r="Z650" s="565"/>
      <c r="AB650" s="567"/>
    </row>
    <row r="651" customFormat="false" ht="14.25" hidden="false" customHeight="true" outlineLevel="0" collapsed="false">
      <c r="A651" s="835" t="n">
        <v>52</v>
      </c>
      <c r="B651" s="846" t="s">
        <v>3894</v>
      </c>
      <c r="C651" s="847" t="s">
        <v>3895</v>
      </c>
      <c r="D651" s="846" t="s">
        <v>3896</v>
      </c>
      <c r="E651" s="846" t="s">
        <v>3897</v>
      </c>
      <c r="F651" s="846" t="s">
        <v>3898</v>
      </c>
      <c r="G651" s="838" t="n">
        <v>26</v>
      </c>
      <c r="H651" s="565" t="n">
        <f aca="false">MOD(A651,12)+1</f>
        <v>5</v>
      </c>
      <c r="Z651" s="565"/>
      <c r="AB651" s="567"/>
    </row>
    <row r="652" customFormat="false" ht="14.25" hidden="false" customHeight="true" outlineLevel="0" collapsed="false">
      <c r="A652" s="835" t="n">
        <v>53</v>
      </c>
      <c r="B652" s="846" t="s">
        <v>3899</v>
      </c>
      <c r="C652" s="848" t="s">
        <v>3900</v>
      </c>
      <c r="D652" s="846" t="s">
        <v>3901</v>
      </c>
      <c r="E652" s="846" t="s">
        <v>3902</v>
      </c>
      <c r="F652" s="846" t="s">
        <v>3903</v>
      </c>
      <c r="G652" s="838" t="n">
        <v>27</v>
      </c>
      <c r="H652" s="565" t="n">
        <f aca="false">MOD(A652,12)+1</f>
        <v>6</v>
      </c>
      <c r="Z652" s="565"/>
      <c r="AB652" s="567"/>
    </row>
    <row r="653" customFormat="false" ht="14.25" hidden="false" customHeight="true" outlineLevel="0" collapsed="false">
      <c r="A653" s="835" t="n">
        <v>54</v>
      </c>
      <c r="B653" s="846" t="s">
        <v>3904</v>
      </c>
      <c r="C653" s="847" t="s">
        <v>3905</v>
      </c>
      <c r="D653" s="846" t="s">
        <v>3906</v>
      </c>
      <c r="E653" s="846" t="s">
        <v>3907</v>
      </c>
      <c r="F653" s="846" t="s">
        <v>3908</v>
      </c>
      <c r="G653" s="838" t="n">
        <v>28</v>
      </c>
      <c r="H653" s="565" t="n">
        <f aca="false">MOD(A653,12)+1</f>
        <v>7</v>
      </c>
      <c r="Z653" s="565"/>
      <c r="AB653" s="567"/>
    </row>
    <row r="654" customFormat="false" ht="14.25" hidden="false" customHeight="true" outlineLevel="0" collapsed="false">
      <c r="A654" s="835" t="n">
        <v>55</v>
      </c>
      <c r="B654" s="846" t="s">
        <v>3909</v>
      </c>
      <c r="C654" s="847" t="s">
        <v>3910</v>
      </c>
      <c r="D654" s="846" t="s">
        <v>3911</v>
      </c>
      <c r="E654" s="846" t="s">
        <v>3912</v>
      </c>
      <c r="F654" s="846" t="s">
        <v>3913</v>
      </c>
      <c r="G654" s="838" t="n">
        <v>29</v>
      </c>
      <c r="H654" s="565" t="n">
        <f aca="false">MOD(A654,12)+1</f>
        <v>8</v>
      </c>
      <c r="Z654" s="565"/>
      <c r="AB654" s="567"/>
    </row>
    <row r="655" customFormat="false" ht="14.25" hidden="false" customHeight="true" outlineLevel="0" collapsed="false">
      <c r="A655" s="835" t="n">
        <v>56</v>
      </c>
      <c r="B655" s="846" t="s">
        <v>3914</v>
      </c>
      <c r="C655" s="847" t="s">
        <v>3915</v>
      </c>
      <c r="D655" s="846" t="s">
        <v>3916</v>
      </c>
      <c r="E655" s="846" t="s">
        <v>3917</v>
      </c>
      <c r="F655" s="846" t="s">
        <v>3918</v>
      </c>
      <c r="G655" s="838" t="n">
        <v>30</v>
      </c>
      <c r="H655" s="565" t="n">
        <f aca="false">MOD(A655,12)+1</f>
        <v>9</v>
      </c>
      <c r="Z655" s="565"/>
      <c r="AB655" s="567"/>
    </row>
    <row r="656" customFormat="false" ht="14.25" hidden="false" customHeight="true" outlineLevel="0" collapsed="false">
      <c r="A656" s="835" t="n">
        <v>57</v>
      </c>
      <c r="B656" s="846" t="s">
        <v>3919</v>
      </c>
      <c r="C656" s="847" t="s">
        <v>3920</v>
      </c>
      <c r="D656" s="846" t="s">
        <v>3921</v>
      </c>
      <c r="E656" s="846" t="s">
        <v>3922</v>
      </c>
      <c r="F656" s="846" t="s">
        <v>3923</v>
      </c>
      <c r="G656" s="838" t="n">
        <v>31</v>
      </c>
      <c r="H656" s="565" t="n">
        <f aca="false">MOD(A656,12)+1</f>
        <v>10</v>
      </c>
      <c r="Z656" s="565"/>
      <c r="AB656" s="567"/>
    </row>
    <row r="657" customFormat="false" ht="14.25" hidden="false" customHeight="true" outlineLevel="0" collapsed="false">
      <c r="A657" s="835" t="n">
        <v>58</v>
      </c>
      <c r="B657" s="846" t="s">
        <v>3924</v>
      </c>
      <c r="C657" s="847" t="s">
        <v>3925</v>
      </c>
      <c r="D657" s="846" t="s">
        <v>3926</v>
      </c>
      <c r="E657" s="846" t="s">
        <v>3927</v>
      </c>
      <c r="F657" s="846" t="s">
        <v>3928</v>
      </c>
      <c r="G657" s="838" t="n">
        <v>32</v>
      </c>
      <c r="H657" s="565" t="n">
        <f aca="false">MOD(A657,12)+1</f>
        <v>11</v>
      </c>
      <c r="Z657" s="565"/>
      <c r="AB657" s="567"/>
    </row>
    <row r="658" customFormat="false" ht="14.25" hidden="false" customHeight="true" outlineLevel="0" collapsed="false">
      <c r="A658" s="835" t="n">
        <v>59</v>
      </c>
      <c r="B658" s="846" t="s">
        <v>3929</v>
      </c>
      <c r="C658" s="847" t="s">
        <v>3930</v>
      </c>
      <c r="D658" s="846" t="s">
        <v>3931</v>
      </c>
      <c r="E658" s="846" t="s">
        <v>3932</v>
      </c>
      <c r="F658" s="846" t="s">
        <v>3933</v>
      </c>
      <c r="G658" s="838" t="n">
        <v>33</v>
      </c>
      <c r="H658" s="565" t="n">
        <f aca="false">MOD(A658,12)+1</f>
        <v>12</v>
      </c>
      <c r="Z658" s="565"/>
      <c r="AB658" s="567"/>
    </row>
    <row r="659" customFormat="false" ht="22.25" hidden="false" customHeight="false" outlineLevel="0" collapsed="false">
      <c r="A659" s="835" t="n">
        <v>60</v>
      </c>
      <c r="B659" s="846" t="s">
        <v>3934</v>
      </c>
      <c r="C659" s="847" t="s">
        <v>3935</v>
      </c>
      <c r="D659" s="846" t="s">
        <v>3936</v>
      </c>
      <c r="E659" s="846" t="s">
        <v>3937</v>
      </c>
      <c r="F659" s="846" t="s">
        <v>3938</v>
      </c>
      <c r="G659" s="838" t="n">
        <v>34</v>
      </c>
      <c r="H659" s="565" t="n">
        <f aca="false">MOD(A659,12)+1</f>
        <v>1</v>
      </c>
      <c r="Z659" s="565"/>
      <c r="AB659" s="567"/>
    </row>
    <row r="661" customFormat="false" ht="15" hidden="false" customHeight="false" outlineLevel="0" collapsed="false">
      <c r="A661" s="565" t="s">
        <v>3939</v>
      </c>
      <c r="B661" s="565" t="s">
        <v>301</v>
      </c>
      <c r="C661" s="565" t="s">
        <v>3940</v>
      </c>
      <c r="D661" s="565" t="s">
        <v>3941</v>
      </c>
      <c r="E661" s="566" t="s">
        <v>3942</v>
      </c>
      <c r="F661" s="565" t="s">
        <v>3943</v>
      </c>
    </row>
    <row r="662" customFormat="false" ht="15" hidden="false" customHeight="false" outlineLevel="0" collapsed="false">
      <c r="A662" s="565" t="n">
        <v>1</v>
      </c>
      <c r="B662" s="565" t="s">
        <v>158</v>
      </c>
      <c r="C662" s="565" t="s">
        <v>165</v>
      </c>
      <c r="D662" s="565" t="n">
        <v>4</v>
      </c>
      <c r="E662" s="566" t="s">
        <v>166</v>
      </c>
      <c r="F662" s="565" t="n">
        <v>7</v>
      </c>
    </row>
    <row r="663" customFormat="false" ht="15" hidden="false" customHeight="false" outlineLevel="0" collapsed="false">
      <c r="A663" s="565" t="n">
        <v>2</v>
      </c>
      <c r="B663" s="565" t="s">
        <v>159</v>
      </c>
      <c r="C663" s="565" t="s">
        <v>161</v>
      </c>
      <c r="D663" s="565" t="n">
        <v>5</v>
      </c>
      <c r="E663" s="566" t="s">
        <v>164</v>
      </c>
      <c r="F663" s="565" t="n">
        <v>8</v>
      </c>
    </row>
    <row r="664" customFormat="false" ht="15" hidden="false" customHeight="false" outlineLevel="0" collapsed="false">
      <c r="A664" s="565" t="n">
        <v>3</v>
      </c>
      <c r="B664" s="565" t="s">
        <v>162</v>
      </c>
      <c r="C664" s="565" t="s">
        <v>163</v>
      </c>
      <c r="D664" s="565" t="n">
        <v>6</v>
      </c>
      <c r="E664" s="566" t="s">
        <v>160</v>
      </c>
      <c r="F664" s="565" t="n">
        <v>9</v>
      </c>
    </row>
    <row r="665" customFormat="false" ht="15" hidden="false" customHeight="false" outlineLevel="0" collapsed="false">
      <c r="A665" s="565" t="n">
        <v>4</v>
      </c>
      <c r="B665" s="565" t="s">
        <v>165</v>
      </c>
      <c r="C665" s="565" t="s">
        <v>166</v>
      </c>
      <c r="D665" s="565" t="n">
        <v>7</v>
      </c>
      <c r="E665" s="566" t="s">
        <v>158</v>
      </c>
      <c r="F665" s="565" t="n">
        <v>1</v>
      </c>
    </row>
    <row r="666" customFormat="false" ht="15" hidden="false" customHeight="false" outlineLevel="0" collapsed="false">
      <c r="A666" s="565" t="n">
        <v>5</v>
      </c>
      <c r="B666" s="565" t="s">
        <v>161</v>
      </c>
      <c r="C666" s="565" t="s">
        <v>164</v>
      </c>
      <c r="D666" s="565" t="n">
        <v>8</v>
      </c>
      <c r="E666" s="566" t="s">
        <v>159</v>
      </c>
      <c r="F666" s="565" t="n">
        <v>2</v>
      </c>
    </row>
    <row r="667" customFormat="false" ht="15" hidden="false" customHeight="false" outlineLevel="0" collapsed="false">
      <c r="A667" s="565" t="n">
        <v>6</v>
      </c>
      <c r="B667" s="565" t="s">
        <v>163</v>
      </c>
      <c r="C667" s="565" t="s">
        <v>160</v>
      </c>
      <c r="D667" s="565" t="n">
        <v>9</v>
      </c>
      <c r="E667" s="566" t="s">
        <v>162</v>
      </c>
      <c r="F667" s="565" t="n">
        <v>3</v>
      </c>
    </row>
    <row r="668" customFormat="false" ht="15" hidden="false" customHeight="false" outlineLevel="0" collapsed="false">
      <c r="A668" s="565" t="n">
        <v>7</v>
      </c>
      <c r="B668" s="565" t="s">
        <v>166</v>
      </c>
      <c r="C668" s="565" t="s">
        <v>158</v>
      </c>
      <c r="D668" s="565" t="n">
        <v>1</v>
      </c>
      <c r="E668" s="566" t="s">
        <v>165</v>
      </c>
      <c r="F668" s="565" t="n">
        <v>4</v>
      </c>
    </row>
    <row r="669" customFormat="false" ht="15" hidden="false" customHeight="false" outlineLevel="0" collapsed="false">
      <c r="A669" s="565" t="n">
        <v>8</v>
      </c>
      <c r="B669" s="565" t="s">
        <v>164</v>
      </c>
      <c r="C669" s="565" t="s">
        <v>159</v>
      </c>
      <c r="D669" s="565" t="n">
        <v>2</v>
      </c>
      <c r="E669" s="566" t="s">
        <v>161</v>
      </c>
      <c r="F669" s="565" t="n">
        <v>5</v>
      </c>
    </row>
    <row r="670" customFormat="false" ht="15" hidden="false" customHeight="false" outlineLevel="0" collapsed="false">
      <c r="A670" s="565" t="n">
        <v>9</v>
      </c>
      <c r="B670" s="565" t="s">
        <v>160</v>
      </c>
      <c r="C670" s="565" t="s">
        <v>162</v>
      </c>
      <c r="D670" s="565" t="n">
        <v>3</v>
      </c>
      <c r="E670" s="566" t="s">
        <v>163</v>
      </c>
      <c r="F670" s="565" t="n">
        <v>6</v>
      </c>
    </row>
    <row r="671" s="849" customFormat="true" ht="15" hidden="false" customHeight="false" outlineLevel="0" collapsed="false">
      <c r="A671" s="565"/>
      <c r="B671" s="565"/>
      <c r="C671" s="565"/>
      <c r="D671" s="565"/>
      <c r="E671" s="566"/>
      <c r="F671" s="565"/>
      <c r="G671" s="565"/>
      <c r="H671" s="565"/>
      <c r="I671" s="565"/>
      <c r="J671" s="565"/>
      <c r="K671" s="565"/>
      <c r="L671" s="565"/>
      <c r="M671" s="565"/>
      <c r="N671" s="565"/>
      <c r="O671" s="565"/>
      <c r="P671" s="565"/>
      <c r="Q671" s="565"/>
      <c r="R671" s="565"/>
      <c r="S671" s="565"/>
      <c r="T671" s="565"/>
      <c r="U671" s="565"/>
      <c r="V671" s="565"/>
      <c r="W671" s="565"/>
      <c r="X671" s="565"/>
      <c r="Y671" s="565"/>
      <c r="Z671" s="567"/>
      <c r="AA671" s="567"/>
      <c r="AB671" s="565"/>
      <c r="AC671" s="565"/>
      <c r="AD671" s="565"/>
      <c r="AE671" s="565"/>
      <c r="AF671" s="565"/>
      <c r="AG671" s="565"/>
      <c r="AH671" s="565"/>
      <c r="AI671" s="565"/>
      <c r="AJ671" s="565"/>
      <c r="AK671" s="565"/>
      <c r="AL671" s="565"/>
      <c r="AM671" s="565"/>
      <c r="AN671" s="565"/>
      <c r="AO671" s="565"/>
      <c r="AP671" s="565"/>
      <c r="AQ671" s="565"/>
      <c r="AR671" s="565"/>
      <c r="AS671" s="565"/>
      <c r="BF671" s="850"/>
      <c r="BG671" s="850"/>
    </row>
    <row r="672" s="849" customFormat="true" ht="15" hidden="false" customHeight="false" outlineLevel="0" collapsed="false">
      <c r="A672" s="851" t="s">
        <v>3944</v>
      </c>
      <c r="B672" s="852"/>
      <c r="C672" s="852"/>
      <c r="D672" s="852"/>
      <c r="E672" s="852"/>
      <c r="F672" s="852"/>
      <c r="G672" s="852"/>
      <c r="H672" s="852"/>
      <c r="I672" s="852"/>
      <c r="J672" s="852"/>
      <c r="BF672" s="850"/>
      <c r="BG672" s="850"/>
    </row>
    <row r="673" s="849" customFormat="true" ht="15" hidden="false" customHeight="false" outlineLevel="0" collapsed="false">
      <c r="A673" s="853" t="s">
        <v>3945</v>
      </c>
      <c r="B673" s="853" t="s">
        <v>3946</v>
      </c>
      <c r="C673" s="853" t="s">
        <v>3947</v>
      </c>
      <c r="D673" s="854" t="s">
        <v>3948</v>
      </c>
      <c r="E673" s="853" t="s">
        <v>3949</v>
      </c>
      <c r="F673" s="853" t="s">
        <v>3950</v>
      </c>
      <c r="G673" s="853" t="s">
        <v>3951</v>
      </c>
      <c r="H673" s="854" t="s">
        <v>3952</v>
      </c>
      <c r="I673" s="853" t="s">
        <v>3953</v>
      </c>
      <c r="J673" s="855" t="s">
        <v>3954</v>
      </c>
      <c r="BF673" s="850"/>
      <c r="BG673" s="850"/>
    </row>
    <row r="674" s="849" customFormat="true" ht="15" hidden="false" customHeight="false" outlineLevel="0" collapsed="false">
      <c r="A674" s="856" t="s">
        <v>3955</v>
      </c>
      <c r="B674" s="856" t="s">
        <v>3956</v>
      </c>
      <c r="C674" s="857" t="s">
        <v>3957</v>
      </c>
      <c r="D674" s="857" t="s">
        <v>3958</v>
      </c>
      <c r="E674" s="857" t="s">
        <v>3959</v>
      </c>
      <c r="F674" s="857" t="s">
        <v>3960</v>
      </c>
      <c r="G674" s="857" t="s">
        <v>3961</v>
      </c>
      <c r="H674" s="857" t="s">
        <v>3962</v>
      </c>
      <c r="I674" s="858" t="s">
        <v>3963</v>
      </c>
      <c r="J674" s="859" t="s">
        <v>3964</v>
      </c>
      <c r="BF674" s="850"/>
      <c r="BG674" s="850"/>
    </row>
    <row r="675" s="849" customFormat="true" ht="15" hidden="false" customHeight="false" outlineLevel="0" collapsed="false">
      <c r="A675" s="856" t="s">
        <v>3965</v>
      </c>
      <c r="B675" s="856" t="s">
        <v>3966</v>
      </c>
      <c r="C675" s="860" t="s">
        <v>3961</v>
      </c>
      <c r="D675" s="860" t="s">
        <v>3962</v>
      </c>
      <c r="E675" s="861" t="s">
        <v>3963</v>
      </c>
      <c r="F675" s="862" t="s">
        <v>3964</v>
      </c>
      <c r="G675" s="860" t="s">
        <v>3957</v>
      </c>
      <c r="H675" s="860" t="s">
        <v>3958</v>
      </c>
      <c r="I675" s="860" t="s">
        <v>3959</v>
      </c>
      <c r="J675" s="863" t="s">
        <v>3960</v>
      </c>
      <c r="BF675" s="850"/>
      <c r="BG675" s="850"/>
    </row>
    <row r="676" s="849" customFormat="true" ht="15" hidden="false" customHeight="false" outlineLevel="0" collapsed="false">
      <c r="A676" s="856" t="s">
        <v>3967</v>
      </c>
      <c r="B676" s="856" t="s">
        <v>3956</v>
      </c>
      <c r="C676" s="857" t="s">
        <v>3958</v>
      </c>
      <c r="D676" s="864" t="s">
        <v>3964</v>
      </c>
      <c r="E676" s="857" t="s">
        <v>3959</v>
      </c>
      <c r="F676" s="857" t="s">
        <v>3960</v>
      </c>
      <c r="G676" s="857" t="s">
        <v>3961</v>
      </c>
      <c r="H676" s="857" t="s">
        <v>3962</v>
      </c>
      <c r="I676" s="858" t="s">
        <v>3963</v>
      </c>
      <c r="J676" s="865" t="s">
        <v>3957</v>
      </c>
      <c r="BF676" s="850"/>
      <c r="BG676" s="850"/>
    </row>
    <row r="677" s="849" customFormat="true" ht="15" hidden="false" customHeight="false" outlineLevel="0" collapsed="false">
      <c r="A677" s="856" t="s">
        <v>3965</v>
      </c>
      <c r="B677" s="856" t="s">
        <v>3966</v>
      </c>
      <c r="C677" s="860" t="s">
        <v>3962</v>
      </c>
      <c r="D677" s="861" t="s">
        <v>3963</v>
      </c>
      <c r="E677" s="860" t="s">
        <v>3957</v>
      </c>
      <c r="F677" s="860" t="s">
        <v>3958</v>
      </c>
      <c r="G677" s="862" t="s">
        <v>3964</v>
      </c>
      <c r="H677" s="860" t="s">
        <v>3959</v>
      </c>
      <c r="I677" s="860" t="s">
        <v>3960</v>
      </c>
      <c r="J677" s="866" t="s">
        <v>3961</v>
      </c>
      <c r="BF677" s="850"/>
      <c r="BG677" s="850"/>
    </row>
    <row r="678" s="849" customFormat="true" ht="15" hidden="false" customHeight="false" outlineLevel="0" collapsed="false">
      <c r="A678" s="856" t="s">
        <v>3968</v>
      </c>
      <c r="B678" s="856" t="s">
        <v>3956</v>
      </c>
      <c r="C678" s="857" t="s">
        <v>3959</v>
      </c>
      <c r="D678" s="857" t="s">
        <v>3960</v>
      </c>
      <c r="E678" s="857" t="s">
        <v>3961</v>
      </c>
      <c r="F678" s="857" t="s">
        <v>3962</v>
      </c>
      <c r="G678" s="858" t="s">
        <v>3963</v>
      </c>
      <c r="H678" s="857" t="s">
        <v>3957</v>
      </c>
      <c r="I678" s="864" t="s">
        <v>3964</v>
      </c>
      <c r="J678" s="865" t="s">
        <v>3958</v>
      </c>
      <c r="BF678" s="850"/>
      <c r="BG678" s="850"/>
    </row>
    <row r="679" s="849" customFormat="true" ht="15" hidden="false" customHeight="false" outlineLevel="0" collapsed="false">
      <c r="A679" s="856" t="s">
        <v>3965</v>
      </c>
      <c r="B679" s="856" t="s">
        <v>3966</v>
      </c>
      <c r="C679" s="861" t="s">
        <v>3963</v>
      </c>
      <c r="D679" s="860" t="s">
        <v>3957</v>
      </c>
      <c r="E679" s="862" t="s">
        <v>3964</v>
      </c>
      <c r="F679" s="860" t="s">
        <v>3958</v>
      </c>
      <c r="G679" s="860" t="s">
        <v>3959</v>
      </c>
      <c r="H679" s="860" t="s">
        <v>3960</v>
      </c>
      <c r="I679" s="860" t="s">
        <v>3961</v>
      </c>
      <c r="J679" s="863" t="s">
        <v>3962</v>
      </c>
      <c r="BF679" s="850"/>
      <c r="BG679" s="850"/>
    </row>
    <row r="680" s="849" customFormat="true" ht="15" hidden="false" customHeight="false" outlineLevel="0" collapsed="false">
      <c r="A680" s="856" t="s">
        <v>3969</v>
      </c>
      <c r="B680" s="856" t="s">
        <v>3956</v>
      </c>
      <c r="C680" s="857" t="s">
        <v>3960</v>
      </c>
      <c r="D680" s="857" t="s">
        <v>3961</v>
      </c>
      <c r="E680" s="857" t="s">
        <v>3962</v>
      </c>
      <c r="F680" s="858" t="s">
        <v>3963</v>
      </c>
      <c r="G680" s="864" t="s">
        <v>3964</v>
      </c>
      <c r="H680" s="857" t="s">
        <v>3957</v>
      </c>
      <c r="I680" s="857" t="s">
        <v>3958</v>
      </c>
      <c r="J680" s="865" t="s">
        <v>3959</v>
      </c>
      <c r="BF680" s="850"/>
      <c r="BG680" s="850"/>
    </row>
    <row r="681" s="849" customFormat="true" ht="15" hidden="false" customHeight="false" outlineLevel="0" collapsed="false">
      <c r="A681" s="856" t="s">
        <v>3965</v>
      </c>
      <c r="B681" s="856" t="s">
        <v>3966</v>
      </c>
      <c r="C681" s="860" t="s">
        <v>3957</v>
      </c>
      <c r="D681" s="860" t="s">
        <v>3958</v>
      </c>
      <c r="E681" s="860" t="s">
        <v>3959</v>
      </c>
      <c r="F681" s="860" t="s">
        <v>3960</v>
      </c>
      <c r="G681" s="860" t="s">
        <v>3961</v>
      </c>
      <c r="H681" s="860" t="s">
        <v>3962</v>
      </c>
      <c r="I681" s="861" t="s">
        <v>3963</v>
      </c>
      <c r="J681" s="867" t="s">
        <v>3964</v>
      </c>
      <c r="BF681" s="850"/>
      <c r="BG681" s="850"/>
    </row>
    <row r="682" s="849" customFormat="true" ht="15" hidden="false" customHeight="false" outlineLevel="0" collapsed="false">
      <c r="A682" s="856" t="s">
        <v>3970</v>
      </c>
      <c r="B682" s="856" t="s">
        <v>3956</v>
      </c>
      <c r="C682" s="857" t="s">
        <v>3961</v>
      </c>
      <c r="D682" s="857" t="s">
        <v>3962</v>
      </c>
      <c r="E682" s="858" t="s">
        <v>3963</v>
      </c>
      <c r="F682" s="857" t="s">
        <v>3957</v>
      </c>
      <c r="G682" s="857" t="s">
        <v>3958</v>
      </c>
      <c r="H682" s="864" t="s">
        <v>3964</v>
      </c>
      <c r="I682" s="857" t="s">
        <v>3959</v>
      </c>
      <c r="J682" s="865" t="s">
        <v>3960</v>
      </c>
      <c r="BF682" s="850"/>
      <c r="BG682" s="850"/>
    </row>
    <row r="683" s="849" customFormat="true" ht="15" hidden="false" customHeight="false" outlineLevel="0" collapsed="false">
      <c r="A683" s="856" t="s">
        <v>3965</v>
      </c>
      <c r="B683" s="856" t="s">
        <v>3966</v>
      </c>
      <c r="C683" s="860" t="s">
        <v>3958</v>
      </c>
      <c r="D683" s="862" t="s">
        <v>3964</v>
      </c>
      <c r="E683" s="860" t="s">
        <v>3959</v>
      </c>
      <c r="F683" s="860" t="s">
        <v>3960</v>
      </c>
      <c r="G683" s="860" t="s">
        <v>3961</v>
      </c>
      <c r="H683" s="860" t="s">
        <v>3962</v>
      </c>
      <c r="I683" s="861" t="s">
        <v>3963</v>
      </c>
      <c r="J683" s="863" t="s">
        <v>3957</v>
      </c>
      <c r="BF683" s="850"/>
      <c r="BG683" s="850"/>
    </row>
    <row r="684" s="849" customFormat="true" ht="15" hidden="false" customHeight="false" outlineLevel="0" collapsed="false">
      <c r="A684" s="856" t="s">
        <v>3971</v>
      </c>
      <c r="B684" s="856" t="s">
        <v>3956</v>
      </c>
      <c r="C684" s="857" t="s">
        <v>3962</v>
      </c>
      <c r="D684" s="858" t="s">
        <v>3963</v>
      </c>
      <c r="E684" s="857" t="s">
        <v>3957</v>
      </c>
      <c r="F684" s="864" t="s">
        <v>3964</v>
      </c>
      <c r="G684" s="857" t="s">
        <v>3958</v>
      </c>
      <c r="H684" s="857" t="s">
        <v>3959</v>
      </c>
      <c r="I684" s="857" t="s">
        <v>3960</v>
      </c>
      <c r="J684" s="865" t="s">
        <v>3961</v>
      </c>
      <c r="BF684" s="850"/>
      <c r="BG684" s="850"/>
    </row>
    <row r="685" s="849" customFormat="true" ht="15" hidden="false" customHeight="false" outlineLevel="0" collapsed="false">
      <c r="A685" s="856" t="s">
        <v>3965</v>
      </c>
      <c r="B685" s="856" t="s">
        <v>3966</v>
      </c>
      <c r="C685" s="860" t="s">
        <v>3959</v>
      </c>
      <c r="D685" s="860" t="s">
        <v>3960</v>
      </c>
      <c r="E685" s="860" t="s">
        <v>3961</v>
      </c>
      <c r="F685" s="860" t="s">
        <v>3962</v>
      </c>
      <c r="G685" s="861" t="s">
        <v>3963</v>
      </c>
      <c r="H685" s="860" t="s">
        <v>3957</v>
      </c>
      <c r="I685" s="862" t="s">
        <v>3964</v>
      </c>
      <c r="J685" s="863" t="s">
        <v>3958</v>
      </c>
      <c r="BF685" s="850"/>
      <c r="BG685" s="850"/>
    </row>
    <row r="686" s="849" customFormat="true" ht="15" hidden="false" customHeight="false" outlineLevel="0" collapsed="false">
      <c r="A686" s="856" t="s">
        <v>3972</v>
      </c>
      <c r="B686" s="856" t="s">
        <v>3956</v>
      </c>
      <c r="C686" s="858" t="s">
        <v>3963</v>
      </c>
      <c r="D686" s="857" t="s">
        <v>3957</v>
      </c>
      <c r="E686" s="864" t="s">
        <v>3964</v>
      </c>
      <c r="F686" s="857" t="s">
        <v>3958</v>
      </c>
      <c r="G686" s="857" t="s">
        <v>3959</v>
      </c>
      <c r="H686" s="857" t="s">
        <v>3960</v>
      </c>
      <c r="I686" s="857" t="s">
        <v>3961</v>
      </c>
      <c r="J686" s="865" t="s">
        <v>3962</v>
      </c>
      <c r="BF686" s="850"/>
      <c r="BG686" s="850"/>
    </row>
    <row r="687" customFormat="false" ht="15" hidden="false" customHeight="false" outlineLevel="0" collapsed="false">
      <c r="A687" s="868" t="s">
        <v>3965</v>
      </c>
      <c r="B687" s="856" t="s">
        <v>3966</v>
      </c>
      <c r="C687" s="869" t="s">
        <v>3960</v>
      </c>
      <c r="D687" s="869" t="s">
        <v>3961</v>
      </c>
      <c r="E687" s="869" t="s">
        <v>3962</v>
      </c>
      <c r="F687" s="870" t="s">
        <v>3963</v>
      </c>
      <c r="G687" s="871" t="s">
        <v>3964</v>
      </c>
      <c r="H687" s="869" t="s">
        <v>3957</v>
      </c>
      <c r="I687" s="869" t="s">
        <v>3958</v>
      </c>
      <c r="J687" s="872" t="s">
        <v>3959</v>
      </c>
      <c r="K687" s="849"/>
      <c r="L687" s="849"/>
      <c r="M687" s="849"/>
      <c r="N687" s="849"/>
      <c r="O687" s="849"/>
      <c r="P687" s="849"/>
      <c r="Q687" s="849"/>
      <c r="R687" s="849"/>
      <c r="S687" s="849"/>
      <c r="T687" s="849"/>
      <c r="U687" s="849"/>
      <c r="V687" s="849"/>
      <c r="W687" s="849"/>
      <c r="X687" s="849"/>
      <c r="Y687" s="849"/>
      <c r="Z687" s="849"/>
      <c r="AA687" s="849"/>
      <c r="AB687" s="849"/>
      <c r="AC687" s="849"/>
      <c r="AD687" s="849"/>
      <c r="AE687" s="849"/>
      <c r="AF687" s="849"/>
      <c r="AG687" s="849"/>
      <c r="AH687" s="849"/>
      <c r="AI687" s="849"/>
      <c r="AJ687" s="849"/>
      <c r="AK687" s="849"/>
      <c r="AL687" s="849"/>
      <c r="AM687" s="849"/>
      <c r="AN687" s="849"/>
      <c r="AO687" s="849"/>
      <c r="AP687" s="849"/>
      <c r="AQ687" s="849"/>
      <c r="AR687" s="849"/>
      <c r="AS687" s="849"/>
    </row>
    <row r="689" customFormat="false" ht="28.5" hidden="false" customHeight="true" outlineLevel="0" collapsed="false">
      <c r="A689" s="873" t="s">
        <v>3973</v>
      </c>
      <c r="B689" s="874" t="s">
        <v>158</v>
      </c>
      <c r="C689" s="875" t="s">
        <v>3974</v>
      </c>
      <c r="D689" s="875" t="s">
        <v>3975</v>
      </c>
      <c r="E689" s="875" t="s">
        <v>3976</v>
      </c>
      <c r="F689" s="875" t="s">
        <v>3977</v>
      </c>
      <c r="G689" s="875" t="s">
        <v>3978</v>
      </c>
      <c r="H689" s="875" t="s">
        <v>3979</v>
      </c>
      <c r="I689" s="875" t="s">
        <v>3980</v>
      </c>
      <c r="J689" s="875" t="s">
        <v>3974</v>
      </c>
    </row>
    <row r="690" customFormat="false" ht="31.3" hidden="false" customHeight="false" outlineLevel="0" collapsed="false">
      <c r="A690" s="873"/>
      <c r="B690" s="874" t="s">
        <v>3981</v>
      </c>
      <c r="C690" s="876" t="s">
        <v>3977</v>
      </c>
      <c r="D690" s="876" t="s">
        <v>3978</v>
      </c>
      <c r="E690" s="876" t="s">
        <v>3979</v>
      </c>
      <c r="F690" s="876" t="s">
        <v>3980</v>
      </c>
      <c r="G690" s="876" t="s">
        <v>3974</v>
      </c>
      <c r="H690" s="876" t="s">
        <v>3975</v>
      </c>
      <c r="I690" s="876" t="s">
        <v>3976</v>
      </c>
      <c r="J690" s="876" t="s">
        <v>3977</v>
      </c>
    </row>
    <row r="691" customFormat="false" ht="31.3" hidden="false" customHeight="false" outlineLevel="0" collapsed="false">
      <c r="A691" s="873"/>
      <c r="B691" s="874" t="s">
        <v>3982</v>
      </c>
      <c r="C691" s="875" t="s">
        <v>3980</v>
      </c>
      <c r="D691" s="875" t="s">
        <v>3974</v>
      </c>
      <c r="E691" s="875" t="s">
        <v>3975</v>
      </c>
      <c r="F691" s="875" t="s">
        <v>3976</v>
      </c>
      <c r="G691" s="875" t="s">
        <v>3977</v>
      </c>
      <c r="H691" s="875" t="s">
        <v>3978</v>
      </c>
      <c r="I691" s="875" t="s">
        <v>3979</v>
      </c>
      <c r="J691" s="875" t="s">
        <v>3980</v>
      </c>
    </row>
    <row r="692" customFormat="false" ht="31.3" hidden="false" customHeight="false" outlineLevel="0" collapsed="false">
      <c r="A692" s="873"/>
      <c r="B692" s="874" t="s">
        <v>3983</v>
      </c>
      <c r="C692" s="876" t="s">
        <v>3976</v>
      </c>
      <c r="D692" s="876" t="s">
        <v>3977</v>
      </c>
      <c r="E692" s="876" t="s">
        <v>3978</v>
      </c>
      <c r="F692" s="876" t="s">
        <v>3979</v>
      </c>
      <c r="G692" s="876" t="s">
        <v>3980</v>
      </c>
      <c r="H692" s="876" t="s">
        <v>3974</v>
      </c>
      <c r="I692" s="876" t="s">
        <v>3975</v>
      </c>
      <c r="J692" s="876" t="s">
        <v>3976</v>
      </c>
    </row>
    <row r="693" customFormat="false" ht="31.3" hidden="false" customHeight="false" outlineLevel="0" collapsed="false">
      <c r="A693" s="873"/>
      <c r="B693" s="874" t="s">
        <v>3984</v>
      </c>
      <c r="C693" s="875" t="s">
        <v>3979</v>
      </c>
      <c r="D693" s="875" t="s">
        <v>3980</v>
      </c>
      <c r="E693" s="875" t="s">
        <v>3974</v>
      </c>
      <c r="F693" s="875" t="s">
        <v>3975</v>
      </c>
      <c r="G693" s="875" t="s">
        <v>3976</v>
      </c>
      <c r="H693" s="875" t="s">
        <v>3977</v>
      </c>
      <c r="I693" s="875" t="s">
        <v>3978</v>
      </c>
      <c r="J693" s="875" t="s">
        <v>3979</v>
      </c>
    </row>
    <row r="694" customFormat="false" ht="31.3" hidden="false" customHeight="false" outlineLevel="0" collapsed="false">
      <c r="A694" s="873"/>
      <c r="B694" s="874" t="s">
        <v>3985</v>
      </c>
      <c r="C694" s="876" t="s">
        <v>3975</v>
      </c>
      <c r="D694" s="876" t="s">
        <v>3976</v>
      </c>
      <c r="E694" s="876" t="s">
        <v>3977</v>
      </c>
      <c r="F694" s="876" t="s">
        <v>3978</v>
      </c>
      <c r="G694" s="876" t="s">
        <v>3979</v>
      </c>
      <c r="H694" s="876" t="s">
        <v>3980</v>
      </c>
      <c r="I694" s="876" t="s">
        <v>3974</v>
      </c>
      <c r="J694" s="876" t="s">
        <v>3975</v>
      </c>
    </row>
    <row r="695" customFormat="false" ht="31.3" hidden="false" customHeight="false" outlineLevel="0" collapsed="false">
      <c r="A695" s="873"/>
      <c r="B695" s="874" t="s">
        <v>462</v>
      </c>
      <c r="C695" s="875" t="s">
        <v>3978</v>
      </c>
      <c r="D695" s="875" t="s">
        <v>3979</v>
      </c>
      <c r="E695" s="875" t="s">
        <v>3980</v>
      </c>
      <c r="F695" s="875" t="s">
        <v>3974</v>
      </c>
      <c r="G695" s="875" t="s">
        <v>3975</v>
      </c>
      <c r="H695" s="875" t="s">
        <v>3976</v>
      </c>
      <c r="I695" s="875" t="s">
        <v>3977</v>
      </c>
      <c r="J695" s="875" t="s">
        <v>3978</v>
      </c>
    </row>
    <row r="696" customFormat="false" ht="13.5" hidden="false" customHeight="true" outlineLevel="0" collapsed="false">
      <c r="A696" s="877" t="s">
        <v>3986</v>
      </c>
      <c r="B696" s="878" t="s">
        <v>158</v>
      </c>
      <c r="C696" s="879" t="s">
        <v>3979</v>
      </c>
      <c r="D696" s="879" t="s">
        <v>3980</v>
      </c>
      <c r="E696" s="879" t="s">
        <v>3974</v>
      </c>
      <c r="F696" s="879" t="s">
        <v>3975</v>
      </c>
      <c r="G696" s="879" t="s">
        <v>3976</v>
      </c>
      <c r="H696" s="879" t="s">
        <v>3977</v>
      </c>
      <c r="I696" s="879" t="s">
        <v>3978</v>
      </c>
      <c r="J696" s="879" t="s">
        <v>3979</v>
      </c>
    </row>
    <row r="697" customFormat="false" ht="15" hidden="false" customHeight="false" outlineLevel="0" collapsed="false">
      <c r="A697" s="877"/>
      <c r="B697" s="878" t="s">
        <v>3981</v>
      </c>
      <c r="C697" s="880" t="s">
        <v>3975</v>
      </c>
      <c r="D697" s="880" t="s">
        <v>3976</v>
      </c>
      <c r="E697" s="880" t="s">
        <v>3977</v>
      </c>
      <c r="F697" s="880" t="s">
        <v>3978</v>
      </c>
      <c r="G697" s="880" t="s">
        <v>3979</v>
      </c>
      <c r="H697" s="880" t="s">
        <v>3980</v>
      </c>
      <c r="I697" s="880" t="s">
        <v>3974</v>
      </c>
      <c r="J697" s="880" t="s">
        <v>3975</v>
      </c>
    </row>
    <row r="698" customFormat="false" ht="15" hidden="false" customHeight="false" outlineLevel="0" collapsed="false">
      <c r="A698" s="877"/>
      <c r="B698" s="878" t="s">
        <v>3982</v>
      </c>
      <c r="C698" s="879" t="s">
        <v>3978</v>
      </c>
      <c r="D698" s="879" t="s">
        <v>3979</v>
      </c>
      <c r="E698" s="879" t="s">
        <v>3980</v>
      </c>
      <c r="F698" s="879" t="s">
        <v>3974</v>
      </c>
      <c r="G698" s="879" t="s">
        <v>3975</v>
      </c>
      <c r="H698" s="879" t="s">
        <v>3976</v>
      </c>
      <c r="I698" s="879" t="s">
        <v>3977</v>
      </c>
      <c r="J698" s="879" t="s">
        <v>3978</v>
      </c>
    </row>
    <row r="699" customFormat="false" ht="15" hidden="false" customHeight="false" outlineLevel="0" collapsed="false">
      <c r="A699" s="877"/>
      <c r="B699" s="878" t="s">
        <v>3983</v>
      </c>
      <c r="C699" s="880" t="s">
        <v>3974</v>
      </c>
      <c r="D699" s="880" t="s">
        <v>3975</v>
      </c>
      <c r="E699" s="880" t="s">
        <v>3976</v>
      </c>
      <c r="F699" s="880" t="s">
        <v>3977</v>
      </c>
      <c r="G699" s="880" t="s">
        <v>3978</v>
      </c>
      <c r="H699" s="880" t="s">
        <v>3979</v>
      </c>
      <c r="I699" s="880" t="s">
        <v>3980</v>
      </c>
      <c r="J699" s="880" t="s">
        <v>3974</v>
      </c>
    </row>
    <row r="700" customFormat="false" ht="15" hidden="false" customHeight="false" outlineLevel="0" collapsed="false">
      <c r="A700" s="877"/>
      <c r="B700" s="878" t="s">
        <v>3984</v>
      </c>
      <c r="C700" s="879" t="s">
        <v>3977</v>
      </c>
      <c r="D700" s="879" t="s">
        <v>3978</v>
      </c>
      <c r="E700" s="879" t="s">
        <v>3979</v>
      </c>
      <c r="F700" s="879" t="s">
        <v>3980</v>
      </c>
      <c r="G700" s="879" t="s">
        <v>3974</v>
      </c>
      <c r="H700" s="879" t="s">
        <v>3975</v>
      </c>
      <c r="I700" s="879" t="s">
        <v>3976</v>
      </c>
      <c r="J700" s="879" t="s">
        <v>3977</v>
      </c>
    </row>
    <row r="701" customFormat="false" ht="15" hidden="false" customHeight="false" outlineLevel="0" collapsed="false">
      <c r="A701" s="877"/>
      <c r="B701" s="878" t="s">
        <v>3985</v>
      </c>
      <c r="C701" s="880" t="s">
        <v>3980</v>
      </c>
      <c r="D701" s="880" t="s">
        <v>3974</v>
      </c>
      <c r="E701" s="880" t="s">
        <v>3975</v>
      </c>
      <c r="F701" s="880" t="s">
        <v>3976</v>
      </c>
      <c r="G701" s="880" t="s">
        <v>3977</v>
      </c>
      <c r="H701" s="880" t="s">
        <v>3978</v>
      </c>
      <c r="I701" s="880" t="s">
        <v>3979</v>
      </c>
      <c r="J701" s="880" t="s">
        <v>3980</v>
      </c>
    </row>
    <row r="702" customFormat="false" ht="15" hidden="false" customHeight="false" outlineLevel="0" collapsed="false">
      <c r="A702" s="877"/>
      <c r="B702" s="878" t="s">
        <v>462</v>
      </c>
      <c r="C702" s="879" t="s">
        <v>3976</v>
      </c>
      <c r="D702" s="879" t="s">
        <v>3977</v>
      </c>
      <c r="E702" s="879" t="s">
        <v>3978</v>
      </c>
      <c r="F702" s="879" t="s">
        <v>3979</v>
      </c>
      <c r="G702" s="879" t="s">
        <v>3980</v>
      </c>
      <c r="H702" s="879" t="s">
        <v>3974</v>
      </c>
      <c r="I702" s="879" t="s">
        <v>3975</v>
      </c>
      <c r="J702" s="879" t="s">
        <v>3976</v>
      </c>
    </row>
    <row r="705" customFormat="false" ht="15" hidden="false" customHeight="false" outlineLevel="0" collapsed="false">
      <c r="A705" s="881" t="s">
        <v>3987</v>
      </c>
      <c r="B705" s="881"/>
      <c r="C705" s="881"/>
      <c r="D705" s="881"/>
      <c r="E705" s="881"/>
      <c r="F705" s="881"/>
    </row>
    <row r="706" customFormat="false" ht="15" hidden="false" customHeight="false" outlineLevel="0" collapsed="false">
      <c r="A706" s="881" t="s">
        <v>3988</v>
      </c>
      <c r="B706" s="881" t="s">
        <v>160</v>
      </c>
      <c r="C706" s="881" t="s">
        <v>163</v>
      </c>
      <c r="D706" s="881" t="s">
        <v>161</v>
      </c>
      <c r="E706" s="881" t="s">
        <v>3989</v>
      </c>
      <c r="F706" s="881" t="s">
        <v>164</v>
      </c>
    </row>
    <row r="707" customFormat="false" ht="15" hidden="false" customHeight="false" outlineLevel="0" collapsed="false">
      <c r="A707" s="881" t="s">
        <v>160</v>
      </c>
      <c r="B707" s="882" t="s">
        <v>3990</v>
      </c>
      <c r="C707" s="882" t="s">
        <v>3991</v>
      </c>
      <c r="D707" s="881" t="s">
        <v>3992</v>
      </c>
      <c r="E707" s="881" t="s">
        <v>3993</v>
      </c>
      <c r="F707" s="881" t="s">
        <v>3994</v>
      </c>
    </row>
    <row r="708" customFormat="false" ht="15" hidden="false" customHeight="false" outlineLevel="0" collapsed="false">
      <c r="A708" s="881" t="s">
        <v>163</v>
      </c>
      <c r="B708" s="882" t="s">
        <v>3990</v>
      </c>
      <c r="C708" s="881" t="s">
        <v>3995</v>
      </c>
      <c r="D708" s="881" t="s">
        <v>3996</v>
      </c>
      <c r="E708" s="881" t="s">
        <v>3997</v>
      </c>
      <c r="F708" s="882" t="s">
        <v>3998</v>
      </c>
    </row>
    <row r="709" customFormat="false" ht="15" hidden="false" customHeight="false" outlineLevel="0" collapsed="false">
      <c r="A709" s="881" t="s">
        <v>161</v>
      </c>
      <c r="B709" s="882" t="s">
        <v>3999</v>
      </c>
      <c r="C709" s="882" t="s">
        <v>4000</v>
      </c>
      <c r="D709" s="881" t="s">
        <v>4001</v>
      </c>
      <c r="E709" s="881" t="s">
        <v>2573</v>
      </c>
      <c r="F709" s="882" t="s">
        <v>4002</v>
      </c>
    </row>
    <row r="710" customFormat="false" ht="15" hidden="false" customHeight="false" outlineLevel="0" collapsed="false">
      <c r="A710" s="881" t="s">
        <v>931</v>
      </c>
      <c r="B710" s="881" t="s">
        <v>4003</v>
      </c>
      <c r="C710" s="882" t="s">
        <v>4004</v>
      </c>
      <c r="D710" s="881" t="s">
        <v>4005</v>
      </c>
      <c r="E710" s="881" t="s">
        <v>4006</v>
      </c>
      <c r="F710" s="882" t="s">
        <v>4007</v>
      </c>
    </row>
    <row r="711" customFormat="false" ht="15" hidden="false" customHeight="false" outlineLevel="0" collapsed="false">
      <c r="A711" s="881" t="s">
        <v>943</v>
      </c>
      <c r="B711" s="881" t="s">
        <v>4008</v>
      </c>
      <c r="C711" s="881" t="s">
        <v>4009</v>
      </c>
      <c r="D711" s="882" t="s">
        <v>4010</v>
      </c>
      <c r="E711" s="881" t="s">
        <v>4011</v>
      </c>
      <c r="F711" s="882" t="s">
        <v>4012</v>
      </c>
    </row>
    <row r="712" customFormat="false" ht="15" hidden="false" customHeight="false" outlineLevel="0" collapsed="false">
      <c r="A712" s="881" t="s">
        <v>162</v>
      </c>
      <c r="B712" s="881" t="s">
        <v>4013</v>
      </c>
      <c r="C712" s="881" t="s">
        <v>4014</v>
      </c>
      <c r="D712" s="881" t="s">
        <v>4015</v>
      </c>
      <c r="E712" s="881" t="s">
        <v>4016</v>
      </c>
      <c r="F712" s="881" t="s">
        <v>4017</v>
      </c>
    </row>
    <row r="713" customFormat="false" ht="15" hidden="false" customHeight="false" outlineLevel="0" collapsed="false">
      <c r="A713" s="881" t="s">
        <v>164</v>
      </c>
      <c r="B713" s="881" t="s">
        <v>4018</v>
      </c>
      <c r="C713" s="881" t="s">
        <v>4019</v>
      </c>
      <c r="D713" s="882" t="s">
        <v>4020</v>
      </c>
      <c r="E713" s="881" t="s">
        <v>4021</v>
      </c>
      <c r="F713" s="882" t="s">
        <v>4022</v>
      </c>
    </row>
    <row r="715" customFormat="false" ht="39.55" hidden="false" customHeight="false" outlineLevel="0" collapsed="false">
      <c r="A715" s="883" t="s">
        <v>319</v>
      </c>
      <c r="B715" s="883" t="s">
        <v>4023</v>
      </c>
      <c r="C715" s="883" t="s">
        <v>4024</v>
      </c>
      <c r="D715" s="883" t="s">
        <v>4025</v>
      </c>
      <c r="E715" s="884" t="s">
        <v>4026</v>
      </c>
      <c r="F715" s="885" t="s">
        <v>2018</v>
      </c>
    </row>
    <row r="716" customFormat="false" ht="26.85" hidden="false" customHeight="false" outlineLevel="0" collapsed="false">
      <c r="A716" s="886" t="s">
        <v>4027</v>
      </c>
      <c r="B716" s="886" t="s">
        <v>4028</v>
      </c>
      <c r="C716" s="886" t="s">
        <v>4029</v>
      </c>
      <c r="D716" s="886" t="s">
        <v>4030</v>
      </c>
      <c r="E716" s="887" t="s">
        <v>4031</v>
      </c>
      <c r="F716" s="888"/>
    </row>
    <row r="717" customFormat="false" ht="54.8" hidden="false" customHeight="true" outlineLevel="0" collapsed="false">
      <c r="A717" s="886" t="s">
        <v>908</v>
      </c>
      <c r="B717" s="886" t="s">
        <v>4032</v>
      </c>
      <c r="C717" s="886" t="s">
        <v>4033</v>
      </c>
      <c r="D717" s="886" t="s">
        <v>4034</v>
      </c>
      <c r="E717" s="887" t="s">
        <v>4035</v>
      </c>
      <c r="F717" s="889" t="s">
        <v>4036</v>
      </c>
    </row>
    <row r="718" customFormat="false" ht="39.15" hidden="false" customHeight="true" outlineLevel="0" collapsed="false">
      <c r="A718" s="886" t="s">
        <v>920</v>
      </c>
      <c r="B718" s="886" t="s">
        <v>4037</v>
      </c>
      <c r="C718" s="886" t="s">
        <v>163</v>
      </c>
      <c r="D718" s="886" t="s">
        <v>4038</v>
      </c>
      <c r="E718" s="887" t="s">
        <v>4031</v>
      </c>
      <c r="F718" s="889" t="s">
        <v>4039</v>
      </c>
    </row>
    <row r="719" customFormat="false" ht="26.85" hidden="false" customHeight="false" outlineLevel="0" collapsed="false">
      <c r="A719" s="886" t="s">
        <v>931</v>
      </c>
      <c r="B719" s="886" t="s">
        <v>4040</v>
      </c>
      <c r="C719" s="886" t="s">
        <v>4041</v>
      </c>
      <c r="D719" s="886" t="s">
        <v>4042</v>
      </c>
      <c r="E719" s="887" t="s">
        <v>4043</v>
      </c>
      <c r="F719" s="888"/>
    </row>
    <row r="720" customFormat="false" ht="26.85" hidden="false" customHeight="false" outlineLevel="0" collapsed="false">
      <c r="A720" s="886" t="s">
        <v>943</v>
      </c>
      <c r="B720" s="886" t="s">
        <v>4044</v>
      </c>
      <c r="C720" s="886" t="s">
        <v>4045</v>
      </c>
      <c r="D720" s="886" t="s">
        <v>4046</v>
      </c>
      <c r="E720" s="887" t="s">
        <v>4047</v>
      </c>
      <c r="F720" s="888"/>
    </row>
    <row r="721" customFormat="false" ht="49.45" hidden="false" customHeight="true" outlineLevel="0" collapsed="false">
      <c r="A721" s="886" t="s">
        <v>951</v>
      </c>
      <c r="B721" s="886" t="s">
        <v>4048</v>
      </c>
      <c r="C721" s="886" t="s">
        <v>4049</v>
      </c>
      <c r="D721" s="886" t="s">
        <v>4050</v>
      </c>
      <c r="E721" s="887" t="s">
        <v>4051</v>
      </c>
      <c r="F721" s="889" t="s">
        <v>4052</v>
      </c>
    </row>
    <row r="722" customFormat="false" ht="90.25" hidden="false" customHeight="false" outlineLevel="0" collapsed="false">
      <c r="A722" s="886" t="s">
        <v>961</v>
      </c>
      <c r="B722" s="886" t="s">
        <v>4053</v>
      </c>
      <c r="C722" s="886" t="s">
        <v>4054</v>
      </c>
      <c r="D722" s="886" t="s">
        <v>4055</v>
      </c>
      <c r="E722" s="887" t="s">
        <v>4056</v>
      </c>
      <c r="F722" s="889" t="s">
        <v>4057</v>
      </c>
    </row>
    <row r="723" customFormat="false" ht="64.9" hidden="false" customHeight="false" outlineLevel="0" collapsed="false">
      <c r="A723" s="886" t="s">
        <v>969</v>
      </c>
      <c r="B723" s="886" t="s">
        <v>4058</v>
      </c>
      <c r="C723" s="886" t="s">
        <v>4059</v>
      </c>
      <c r="D723" s="886" t="s">
        <v>4060</v>
      </c>
      <c r="E723" s="887" t="s">
        <v>4061</v>
      </c>
      <c r="F723" s="889" t="s">
        <v>4062</v>
      </c>
    </row>
    <row r="724" customFormat="false" ht="52.2" hidden="false" customHeight="false" outlineLevel="0" collapsed="false">
      <c r="A724" s="886" t="s">
        <v>4063</v>
      </c>
      <c r="B724" s="886" t="s">
        <v>4064</v>
      </c>
      <c r="C724" s="886" t="s">
        <v>4065</v>
      </c>
      <c r="D724" s="886" t="s">
        <v>4066</v>
      </c>
      <c r="E724" s="887" t="s">
        <v>4067</v>
      </c>
      <c r="F724" s="889" t="s">
        <v>4068</v>
      </c>
    </row>
    <row r="725" customFormat="false" ht="52.2" hidden="false" customHeight="false" outlineLevel="0" collapsed="false">
      <c r="A725" s="886" t="s">
        <v>987</v>
      </c>
      <c r="B725" s="886" t="s">
        <v>4069</v>
      </c>
      <c r="C725" s="886" t="s">
        <v>4070</v>
      </c>
      <c r="D725" s="886" t="s">
        <v>4071</v>
      </c>
      <c r="E725" s="887" t="s">
        <v>4072</v>
      </c>
      <c r="F725" s="889" t="s">
        <v>4073</v>
      </c>
    </row>
    <row r="726" customFormat="false" ht="52.2" hidden="false" customHeight="false" outlineLevel="0" collapsed="false">
      <c r="A726" s="886" t="s">
        <v>997</v>
      </c>
      <c r="B726" s="886" t="s">
        <v>4074</v>
      </c>
      <c r="C726" s="886" t="s">
        <v>4075</v>
      </c>
      <c r="D726" s="886" t="s">
        <v>4076</v>
      </c>
      <c r="E726" s="887" t="s">
        <v>4077</v>
      </c>
      <c r="F726" s="889" t="s">
        <v>4078</v>
      </c>
    </row>
    <row r="727" customFormat="false" ht="52.2" hidden="false" customHeight="false" outlineLevel="0" collapsed="false">
      <c r="A727" s="890" t="s">
        <v>4079</v>
      </c>
      <c r="B727" s="890" t="s">
        <v>4080</v>
      </c>
      <c r="C727" s="890" t="s">
        <v>4081</v>
      </c>
      <c r="D727" s="890" t="s">
        <v>4082</v>
      </c>
      <c r="E727" s="891" t="s">
        <v>4083</v>
      </c>
      <c r="F727" s="889" t="s">
        <v>4068</v>
      </c>
    </row>
    <row r="728" customFormat="false" ht="15" hidden="false" customHeight="false" outlineLevel="0" collapsed="false">
      <c r="A728" s="888"/>
      <c r="B728" s="888"/>
      <c r="C728" s="888"/>
      <c r="D728" s="888"/>
      <c r="E728" s="568"/>
      <c r="F728" s="888"/>
    </row>
    <row r="731" customFormat="false" ht="15" hidden="false" customHeight="false" outlineLevel="0" collapsed="false">
      <c r="A731" s="565" t="s">
        <v>145</v>
      </c>
      <c r="B731" s="565" t="s">
        <v>4084</v>
      </c>
      <c r="C731" s="565" t="s">
        <v>169</v>
      </c>
      <c r="D731" s="565" t="s">
        <v>4085</v>
      </c>
      <c r="E731" s="565" t="s">
        <v>4086</v>
      </c>
    </row>
    <row r="732" customFormat="false" ht="15" hidden="false" customHeight="false" outlineLevel="0" collapsed="false">
      <c r="A732" s="565" t="n">
        <v>1</v>
      </c>
      <c r="B732" s="565" t="s">
        <v>4027</v>
      </c>
      <c r="C732" s="565" t="n">
        <v>1</v>
      </c>
      <c r="D732" s="565" t="s">
        <v>4087</v>
      </c>
      <c r="E732" s="565" t="s">
        <v>4088</v>
      </c>
    </row>
    <row r="733" customFormat="false" ht="15" hidden="false" customHeight="false" outlineLevel="0" collapsed="false">
      <c r="A733" s="565" t="n">
        <v>2</v>
      </c>
      <c r="B733" s="565" t="s">
        <v>4027</v>
      </c>
      <c r="C733" s="565" t="n">
        <v>2</v>
      </c>
      <c r="D733" s="565" t="s">
        <v>4089</v>
      </c>
      <c r="E733" s="565" t="s">
        <v>4090</v>
      </c>
      <c r="L733" s="305" t="s">
        <v>4085</v>
      </c>
      <c r="M733" s="306" t="s">
        <v>4091</v>
      </c>
    </row>
    <row r="734" customFormat="false" ht="15" hidden="false" customHeight="false" outlineLevel="0" collapsed="false">
      <c r="A734" s="565" t="n">
        <v>3</v>
      </c>
      <c r="B734" s="565" t="s">
        <v>4027</v>
      </c>
      <c r="C734" s="565" t="n">
        <v>3</v>
      </c>
      <c r="D734" s="565" t="s">
        <v>4092</v>
      </c>
      <c r="E734" s="565" t="s">
        <v>4093</v>
      </c>
      <c r="L734" s="307" t="s">
        <v>4089</v>
      </c>
      <c r="M734" s="308" t="n">
        <v>11</v>
      </c>
    </row>
    <row r="735" customFormat="false" ht="15" hidden="false" customHeight="false" outlineLevel="0" collapsed="false">
      <c r="A735" s="565" t="n">
        <v>4</v>
      </c>
      <c r="B735" s="565" t="s">
        <v>4094</v>
      </c>
      <c r="C735" s="565" t="n">
        <f aca="false">C732</f>
        <v>1</v>
      </c>
      <c r="D735" s="565" t="s">
        <v>4092</v>
      </c>
      <c r="E735" s="565" t="s">
        <v>4095</v>
      </c>
      <c r="L735" s="309" t="s">
        <v>4087</v>
      </c>
      <c r="M735" s="310" t="n">
        <v>11</v>
      </c>
    </row>
    <row r="736" customFormat="false" ht="15" hidden="false" customHeight="false" outlineLevel="0" collapsed="false">
      <c r="A736" s="565" t="n">
        <v>5</v>
      </c>
      <c r="B736" s="565" t="s">
        <v>4094</v>
      </c>
      <c r="C736" s="565" t="n">
        <v>2</v>
      </c>
      <c r="D736" s="565" t="s">
        <v>4089</v>
      </c>
      <c r="E736" s="565" t="s">
        <v>4096</v>
      </c>
      <c r="L736" s="309" t="s">
        <v>4092</v>
      </c>
      <c r="M736" s="310" t="n">
        <v>8</v>
      </c>
    </row>
    <row r="737" customFormat="false" ht="15" hidden="false" customHeight="false" outlineLevel="0" collapsed="false">
      <c r="A737" s="565" t="n">
        <v>6</v>
      </c>
      <c r="B737" s="565" t="s">
        <v>4094</v>
      </c>
      <c r="C737" s="565" t="n">
        <f aca="false">C734</f>
        <v>3</v>
      </c>
      <c r="D737" s="565" t="s">
        <v>4097</v>
      </c>
      <c r="E737" s="565" t="s">
        <v>4098</v>
      </c>
      <c r="L737" s="309" t="s">
        <v>4097</v>
      </c>
      <c r="M737" s="311" t="n">
        <v>6</v>
      </c>
    </row>
    <row r="738" customFormat="false" ht="15" hidden="false" customHeight="false" outlineLevel="0" collapsed="false">
      <c r="A738" s="565" t="n">
        <v>7</v>
      </c>
      <c r="B738" s="565" t="s">
        <v>4099</v>
      </c>
      <c r="C738" s="565" t="n">
        <f aca="false">C735</f>
        <v>1</v>
      </c>
      <c r="D738" s="565" t="s">
        <v>4089</v>
      </c>
      <c r="E738" s="565" t="s">
        <v>4100</v>
      </c>
      <c r="L738" s="312" t="s">
        <v>489</v>
      </c>
      <c r="M738" s="313" t="n">
        <v>36</v>
      </c>
    </row>
    <row r="739" customFormat="false" ht="15" hidden="false" customHeight="false" outlineLevel="0" collapsed="false">
      <c r="A739" s="565" t="n">
        <v>8</v>
      </c>
      <c r="B739" s="565" t="s">
        <v>4099</v>
      </c>
      <c r="C739" s="565" t="n">
        <f aca="false">C736</f>
        <v>2</v>
      </c>
      <c r="D739" s="565" t="s">
        <v>4092</v>
      </c>
      <c r="E739" s="565" t="s">
        <v>4101</v>
      </c>
    </row>
    <row r="740" customFormat="false" ht="15" hidden="false" customHeight="false" outlineLevel="0" collapsed="false">
      <c r="A740" s="565" t="n">
        <v>9</v>
      </c>
      <c r="B740" s="565" t="s">
        <v>4099</v>
      </c>
      <c r="C740" s="565" t="n">
        <f aca="false">C737</f>
        <v>3</v>
      </c>
      <c r="D740" s="565" t="s">
        <v>4097</v>
      </c>
      <c r="E740" s="565" t="s">
        <v>4102</v>
      </c>
    </row>
    <row r="741" customFormat="false" ht="15" hidden="false" customHeight="false" outlineLevel="0" collapsed="false">
      <c r="A741" s="565" t="n">
        <v>10</v>
      </c>
      <c r="B741" s="565" t="s">
        <v>4103</v>
      </c>
      <c r="C741" s="565" t="n">
        <f aca="false">C738</f>
        <v>1</v>
      </c>
      <c r="D741" s="565" t="s">
        <v>4097</v>
      </c>
      <c r="E741" s="565" t="s">
        <v>4104</v>
      </c>
    </row>
    <row r="742" customFormat="false" ht="15" hidden="false" customHeight="false" outlineLevel="0" collapsed="false">
      <c r="A742" s="565" t="n">
        <v>11</v>
      </c>
      <c r="B742" s="565" t="s">
        <v>4103</v>
      </c>
      <c r="C742" s="565" t="n">
        <f aca="false">C739</f>
        <v>2</v>
      </c>
      <c r="D742" s="565" t="s">
        <v>4087</v>
      </c>
      <c r="E742" s="565" t="s">
        <v>4105</v>
      </c>
    </row>
    <row r="743" customFormat="false" ht="15" hidden="false" customHeight="false" outlineLevel="0" collapsed="false">
      <c r="A743" s="565" t="n">
        <v>12</v>
      </c>
      <c r="B743" s="565" t="s">
        <v>4103</v>
      </c>
      <c r="C743" s="565" t="n">
        <f aca="false">C740</f>
        <v>3</v>
      </c>
      <c r="D743" s="565" t="s">
        <v>4092</v>
      </c>
      <c r="E743" s="565" t="s">
        <v>4106</v>
      </c>
    </row>
    <row r="744" customFormat="false" ht="15" hidden="false" customHeight="false" outlineLevel="0" collapsed="false">
      <c r="A744" s="565" t="n">
        <v>13</v>
      </c>
      <c r="B744" s="565" t="s">
        <v>4107</v>
      </c>
      <c r="C744" s="565" t="n">
        <f aca="false">C741</f>
        <v>1</v>
      </c>
      <c r="D744" s="565" t="s">
        <v>4087</v>
      </c>
      <c r="E744" s="565" t="s">
        <v>4108</v>
      </c>
    </row>
    <row r="745" customFormat="false" ht="15" hidden="false" customHeight="false" outlineLevel="0" collapsed="false">
      <c r="A745" s="565" t="n">
        <v>14</v>
      </c>
      <c r="B745" s="565" t="s">
        <v>4107</v>
      </c>
      <c r="C745" s="565" t="n">
        <f aca="false">C742</f>
        <v>2</v>
      </c>
      <c r="D745" s="565" t="s">
        <v>4092</v>
      </c>
      <c r="E745" s="565" t="s">
        <v>4109</v>
      </c>
    </row>
    <row r="746" customFormat="false" ht="15" hidden="false" customHeight="false" outlineLevel="0" collapsed="false">
      <c r="A746" s="565" t="n">
        <v>15</v>
      </c>
      <c r="B746" s="565" t="s">
        <v>4107</v>
      </c>
      <c r="C746" s="565" t="n">
        <f aca="false">C743</f>
        <v>3</v>
      </c>
      <c r="D746" s="565" t="s">
        <v>4087</v>
      </c>
      <c r="E746" s="565" t="s">
        <v>4110</v>
      </c>
    </row>
    <row r="747" customFormat="false" ht="15" hidden="false" customHeight="false" outlineLevel="0" collapsed="false">
      <c r="A747" s="565" t="n">
        <v>16</v>
      </c>
      <c r="B747" s="565" t="s">
        <v>4111</v>
      </c>
      <c r="C747" s="565" t="n">
        <f aca="false">C744</f>
        <v>1</v>
      </c>
      <c r="D747" s="565" t="s">
        <v>4089</v>
      </c>
      <c r="E747" s="565"/>
    </row>
    <row r="748" customFormat="false" ht="15" hidden="false" customHeight="false" outlineLevel="0" collapsed="false">
      <c r="A748" s="565" t="n">
        <v>17</v>
      </c>
      <c r="B748" s="565" t="s">
        <v>4111</v>
      </c>
      <c r="C748" s="565" t="n">
        <f aca="false">C745</f>
        <v>2</v>
      </c>
      <c r="D748" s="565" t="s">
        <v>4097</v>
      </c>
      <c r="E748" s="565"/>
    </row>
    <row r="749" customFormat="false" ht="15" hidden="false" customHeight="false" outlineLevel="0" collapsed="false">
      <c r="A749" s="565" t="n">
        <v>18</v>
      </c>
      <c r="B749" s="565" t="s">
        <v>4111</v>
      </c>
      <c r="C749" s="565" t="n">
        <f aca="false">C746</f>
        <v>3</v>
      </c>
      <c r="D749" s="565" t="s">
        <v>4089</v>
      </c>
      <c r="E749" s="565"/>
    </row>
    <row r="750" customFormat="false" ht="15" hidden="false" customHeight="false" outlineLevel="0" collapsed="false">
      <c r="A750" s="565" t="n">
        <v>19</v>
      </c>
      <c r="B750" s="565" t="s">
        <v>4112</v>
      </c>
      <c r="C750" s="565" t="n">
        <f aca="false">C747</f>
        <v>1</v>
      </c>
      <c r="D750" s="565" t="s">
        <v>4089</v>
      </c>
      <c r="E750" s="565"/>
    </row>
    <row r="751" customFormat="false" ht="15" hidden="false" customHeight="false" outlineLevel="0" collapsed="false">
      <c r="A751" s="565" t="n">
        <v>20</v>
      </c>
      <c r="B751" s="565" t="s">
        <v>4112</v>
      </c>
      <c r="C751" s="565" t="n">
        <f aca="false">C748</f>
        <v>2</v>
      </c>
      <c r="D751" s="565" t="s">
        <v>4092</v>
      </c>
      <c r="E751" s="565"/>
    </row>
    <row r="752" customFormat="false" ht="15" hidden="false" customHeight="false" outlineLevel="0" collapsed="false">
      <c r="A752" s="565" t="n">
        <v>21</v>
      </c>
      <c r="B752" s="565" t="s">
        <v>4112</v>
      </c>
      <c r="C752" s="565" t="n">
        <f aca="false">C749</f>
        <v>3</v>
      </c>
      <c r="D752" s="565" t="s">
        <v>4087</v>
      </c>
      <c r="E752" s="565"/>
    </row>
    <row r="753" customFormat="false" ht="15" hidden="false" customHeight="false" outlineLevel="0" collapsed="false">
      <c r="A753" s="565" t="n">
        <v>22</v>
      </c>
      <c r="B753" s="565" t="s">
        <v>4113</v>
      </c>
      <c r="C753" s="565" t="n">
        <f aca="false">C750</f>
        <v>1</v>
      </c>
      <c r="D753" s="565" t="s">
        <v>4087</v>
      </c>
      <c r="E753" s="565"/>
    </row>
    <row r="754" customFormat="false" ht="15" hidden="false" customHeight="false" outlineLevel="0" collapsed="false">
      <c r="A754" s="565" t="n">
        <v>23</v>
      </c>
      <c r="B754" s="565" t="s">
        <v>4113</v>
      </c>
      <c r="C754" s="565" t="n">
        <f aca="false">C751</f>
        <v>2</v>
      </c>
      <c r="D754" s="565" t="s">
        <v>4087</v>
      </c>
      <c r="E754" s="565"/>
    </row>
    <row r="755" customFormat="false" ht="15" hidden="false" customHeight="false" outlineLevel="0" collapsed="false">
      <c r="A755" s="565" t="n">
        <v>24</v>
      </c>
      <c r="B755" s="565" t="s">
        <v>4113</v>
      </c>
      <c r="C755" s="565" t="n">
        <f aca="false">C752</f>
        <v>3</v>
      </c>
      <c r="D755" s="565" t="s">
        <v>4087</v>
      </c>
      <c r="E755" s="565"/>
    </row>
    <row r="756" customFormat="false" ht="15" hidden="false" customHeight="false" outlineLevel="0" collapsed="false">
      <c r="A756" s="565" t="n">
        <v>25</v>
      </c>
      <c r="B756" s="565" t="s">
        <v>4114</v>
      </c>
      <c r="C756" s="565" t="n">
        <f aca="false">C753</f>
        <v>1</v>
      </c>
      <c r="D756" s="565" t="s">
        <v>4092</v>
      </c>
      <c r="E756" s="565"/>
    </row>
    <row r="757" customFormat="false" ht="15" hidden="false" customHeight="false" outlineLevel="0" collapsed="false">
      <c r="A757" s="565" t="n">
        <v>26</v>
      </c>
      <c r="B757" s="565" t="s">
        <v>4114</v>
      </c>
      <c r="C757" s="565" t="n">
        <f aca="false">C754</f>
        <v>2</v>
      </c>
      <c r="D757" s="565" t="s">
        <v>4089</v>
      </c>
      <c r="E757" s="565"/>
    </row>
    <row r="758" customFormat="false" ht="15" hidden="false" customHeight="false" outlineLevel="0" collapsed="false">
      <c r="A758" s="565" t="n">
        <v>27</v>
      </c>
      <c r="B758" s="565" t="s">
        <v>4114</v>
      </c>
      <c r="C758" s="565" t="n">
        <f aca="false">C755</f>
        <v>3</v>
      </c>
      <c r="D758" s="565" t="s">
        <v>4089</v>
      </c>
      <c r="E758" s="565"/>
    </row>
    <row r="759" customFormat="false" ht="15" hidden="false" customHeight="false" outlineLevel="0" collapsed="false">
      <c r="A759" s="565" t="n">
        <v>28</v>
      </c>
      <c r="B759" s="565" t="s">
        <v>4115</v>
      </c>
      <c r="C759" s="565" t="n">
        <f aca="false">C756</f>
        <v>1</v>
      </c>
      <c r="D759" s="565" t="s">
        <v>4087</v>
      </c>
      <c r="E759" s="565"/>
    </row>
    <row r="760" customFormat="false" ht="15" hidden="false" customHeight="false" outlineLevel="0" collapsed="false">
      <c r="A760" s="565" t="n">
        <v>29</v>
      </c>
      <c r="B760" s="565" t="s">
        <v>4115</v>
      </c>
      <c r="C760" s="565" t="n">
        <f aca="false">C757</f>
        <v>2</v>
      </c>
      <c r="D760" s="565" t="s">
        <v>4089</v>
      </c>
      <c r="E760" s="565"/>
    </row>
    <row r="761" customFormat="false" ht="15" hidden="false" customHeight="false" outlineLevel="0" collapsed="false">
      <c r="A761" s="565" t="n">
        <v>30</v>
      </c>
      <c r="B761" s="565" t="s">
        <v>4115</v>
      </c>
      <c r="C761" s="565" t="n">
        <f aca="false">C758</f>
        <v>3</v>
      </c>
      <c r="D761" s="565" t="s">
        <v>4092</v>
      </c>
      <c r="E761" s="565"/>
    </row>
    <row r="762" customFormat="false" ht="15" hidden="false" customHeight="false" outlineLevel="0" collapsed="false">
      <c r="A762" s="565" t="n">
        <v>31</v>
      </c>
      <c r="B762" s="565" t="s">
        <v>4116</v>
      </c>
      <c r="C762" s="565" t="n">
        <f aca="false">C759</f>
        <v>1</v>
      </c>
      <c r="D762" s="565" t="s">
        <v>4087</v>
      </c>
      <c r="E762" s="565"/>
    </row>
    <row r="763" customFormat="false" ht="15" hidden="false" customHeight="false" outlineLevel="0" collapsed="false">
      <c r="A763" s="565" t="n">
        <v>32</v>
      </c>
      <c r="B763" s="565" t="s">
        <v>4116</v>
      </c>
      <c r="C763" s="565" t="n">
        <f aca="false">C760</f>
        <v>2</v>
      </c>
      <c r="D763" s="565" t="s">
        <v>4089</v>
      </c>
      <c r="E763" s="565"/>
    </row>
    <row r="764" customFormat="false" ht="15" hidden="false" customHeight="false" outlineLevel="0" collapsed="false">
      <c r="A764" s="565" t="n">
        <v>33</v>
      </c>
      <c r="B764" s="565" t="s">
        <v>4116</v>
      </c>
      <c r="C764" s="565" t="n">
        <f aca="false">C761</f>
        <v>3</v>
      </c>
      <c r="D764" s="565" t="s">
        <v>4089</v>
      </c>
      <c r="E764" s="565"/>
    </row>
    <row r="765" customFormat="false" ht="15" hidden="false" customHeight="false" outlineLevel="0" collapsed="false">
      <c r="A765" s="565" t="n">
        <v>34</v>
      </c>
      <c r="B765" s="565" t="s">
        <v>4079</v>
      </c>
      <c r="C765" s="565" t="n">
        <f aca="false">C762</f>
        <v>1</v>
      </c>
      <c r="D765" s="565" t="s">
        <v>4097</v>
      </c>
      <c r="E765" s="565"/>
    </row>
    <row r="766" customFormat="false" ht="15" hidden="false" customHeight="false" outlineLevel="0" collapsed="false">
      <c r="A766" s="565" t="n">
        <v>35</v>
      </c>
      <c r="B766" s="565" t="s">
        <v>4079</v>
      </c>
      <c r="C766" s="565" t="n">
        <f aca="false">C763</f>
        <v>2</v>
      </c>
      <c r="D766" s="565" t="s">
        <v>4097</v>
      </c>
      <c r="E766" s="565"/>
    </row>
    <row r="767" customFormat="false" ht="15" hidden="false" customHeight="false" outlineLevel="0" collapsed="false">
      <c r="A767" s="565" t="n">
        <v>36</v>
      </c>
      <c r="B767" s="565" t="s">
        <v>4079</v>
      </c>
      <c r="C767" s="565" t="n">
        <f aca="false">C764</f>
        <v>3</v>
      </c>
      <c r="D767" s="565" t="s">
        <v>4087</v>
      </c>
      <c r="E767" s="565"/>
    </row>
    <row r="769" customFormat="false" ht="15" hidden="false" customHeight="false" outlineLevel="0" collapsed="false">
      <c r="A769" s="599" t="s">
        <v>4117</v>
      </c>
      <c r="C769" s="599" t="s">
        <v>4118</v>
      </c>
      <c r="D769" s="647" t="n">
        <v>0.25</v>
      </c>
    </row>
    <row r="770" customFormat="false" ht="15" hidden="false" customHeight="false" outlineLevel="0" collapsed="false">
      <c r="A770" s="583" t="s">
        <v>4119</v>
      </c>
      <c r="B770" s="583" t="s">
        <v>1758</v>
      </c>
      <c r="C770" s="583" t="s">
        <v>1817</v>
      </c>
      <c r="D770" s="583" t="s">
        <v>1366</v>
      </c>
      <c r="E770" s="583" t="s">
        <v>1453</v>
      </c>
      <c r="F770" s="583" t="s">
        <v>1545</v>
      </c>
      <c r="G770" s="583" t="s">
        <v>1620</v>
      </c>
      <c r="H770" s="583" t="s">
        <v>1689</v>
      </c>
    </row>
    <row r="771" customFormat="false" ht="15" hidden="false" customHeight="false" outlineLevel="0" collapsed="false">
      <c r="A771" s="892" t="n">
        <f aca="false">D769</f>
        <v>0.25</v>
      </c>
      <c r="B771" s="565" t="s">
        <v>158</v>
      </c>
      <c r="C771" s="565" t="s">
        <v>159</v>
      </c>
      <c r="D771" s="565" t="s">
        <v>160</v>
      </c>
      <c r="E771" s="565" t="s">
        <v>800</v>
      </c>
      <c r="F771" s="565" t="s">
        <v>801</v>
      </c>
      <c r="G771" s="565" t="s">
        <v>163</v>
      </c>
      <c r="H771" s="565" t="s">
        <v>462</v>
      </c>
    </row>
    <row r="772" customFormat="false" ht="15" hidden="false" customHeight="false" outlineLevel="0" collapsed="false">
      <c r="A772" s="892" t="n">
        <f aca="false">A771+VALUE("00:30")</f>
        <v>0.270833333333333</v>
      </c>
      <c r="B772" s="565" t="s">
        <v>158</v>
      </c>
      <c r="C772" s="565" t="s">
        <v>159</v>
      </c>
      <c r="D772" s="565" t="s">
        <v>160</v>
      </c>
      <c r="E772" s="565" t="s">
        <v>800</v>
      </c>
      <c r="F772" s="565" t="s">
        <v>801</v>
      </c>
      <c r="G772" s="565" t="s">
        <v>163</v>
      </c>
      <c r="H772" s="565" t="s">
        <v>462</v>
      </c>
    </row>
    <row r="773" customFormat="false" ht="15" hidden="false" customHeight="false" outlineLevel="0" collapsed="false">
      <c r="A773" s="892" t="n">
        <f aca="false">A772+VALUE("00:30")</f>
        <v>0.291666666666667</v>
      </c>
      <c r="B773" s="565" t="s">
        <v>163</v>
      </c>
      <c r="C773" s="565" t="s">
        <v>462</v>
      </c>
      <c r="D773" s="565" t="s">
        <v>158</v>
      </c>
      <c r="E773" s="565" t="s">
        <v>159</v>
      </c>
      <c r="F773" s="565" t="s">
        <v>160</v>
      </c>
      <c r="G773" s="565" t="s">
        <v>800</v>
      </c>
      <c r="H773" s="565" t="s">
        <v>801</v>
      </c>
    </row>
    <row r="774" customFormat="false" ht="15" hidden="false" customHeight="false" outlineLevel="0" collapsed="false">
      <c r="A774" s="892" t="n">
        <f aca="false">A773+VALUE("00:30")</f>
        <v>0.3125</v>
      </c>
      <c r="B774" s="565" t="s">
        <v>163</v>
      </c>
      <c r="C774" s="599" t="s">
        <v>462</v>
      </c>
      <c r="D774" s="565" t="s">
        <v>158</v>
      </c>
      <c r="E774" s="565" t="s">
        <v>159</v>
      </c>
      <c r="F774" s="565" t="s">
        <v>160</v>
      </c>
      <c r="G774" s="565" t="s">
        <v>800</v>
      </c>
      <c r="H774" s="565" t="s">
        <v>801</v>
      </c>
    </row>
    <row r="775" customFormat="false" ht="15" hidden="false" customHeight="false" outlineLevel="0" collapsed="false">
      <c r="A775" s="892" t="n">
        <f aca="false">A774+VALUE("00:30")</f>
        <v>0.333333333333333</v>
      </c>
      <c r="B775" s="565" t="s">
        <v>800</v>
      </c>
      <c r="C775" s="599" t="s">
        <v>801</v>
      </c>
      <c r="D775" s="565" t="s">
        <v>163</v>
      </c>
      <c r="E775" s="565" t="s">
        <v>462</v>
      </c>
      <c r="F775" s="565" t="s">
        <v>158</v>
      </c>
      <c r="G775" s="565" t="s">
        <v>159</v>
      </c>
      <c r="H775" s="565" t="s">
        <v>160</v>
      </c>
    </row>
    <row r="776" customFormat="false" ht="15" hidden="false" customHeight="false" outlineLevel="0" collapsed="false">
      <c r="A776" s="892" t="n">
        <f aca="false">A775+VALUE("00:30")</f>
        <v>0.354166666666667</v>
      </c>
      <c r="B776" s="565" t="s">
        <v>800</v>
      </c>
      <c r="C776" s="599" t="s">
        <v>801</v>
      </c>
      <c r="D776" s="565" t="s">
        <v>163</v>
      </c>
      <c r="E776" s="565" t="s">
        <v>462</v>
      </c>
      <c r="F776" s="565" t="s">
        <v>158</v>
      </c>
      <c r="G776" s="565" t="s">
        <v>159</v>
      </c>
      <c r="H776" s="565" t="s">
        <v>160</v>
      </c>
    </row>
    <row r="777" customFormat="false" ht="15" hidden="false" customHeight="false" outlineLevel="0" collapsed="false">
      <c r="A777" s="892" t="n">
        <f aca="false">A776+VALUE("00:30")</f>
        <v>0.375</v>
      </c>
      <c r="B777" s="565" t="s">
        <v>159</v>
      </c>
      <c r="C777" s="565" t="s">
        <v>160</v>
      </c>
      <c r="D777" s="565" t="s">
        <v>800</v>
      </c>
      <c r="E777" s="565" t="s">
        <v>801</v>
      </c>
      <c r="F777" s="565" t="s">
        <v>163</v>
      </c>
      <c r="G777" s="565" t="s">
        <v>462</v>
      </c>
      <c r="H777" s="599" t="s">
        <v>158</v>
      </c>
    </row>
    <row r="778" customFormat="false" ht="15" hidden="false" customHeight="false" outlineLevel="0" collapsed="false">
      <c r="A778" s="892" t="n">
        <f aca="false">A777+VALUE("00:30")</f>
        <v>0.395833333333333</v>
      </c>
      <c r="B778" s="565" t="s">
        <v>159</v>
      </c>
      <c r="C778" s="565" t="s">
        <v>160</v>
      </c>
      <c r="D778" s="565" t="s">
        <v>800</v>
      </c>
      <c r="E778" s="565" t="s">
        <v>801</v>
      </c>
      <c r="F778" s="565" t="s">
        <v>163</v>
      </c>
      <c r="G778" s="565" t="s">
        <v>462</v>
      </c>
      <c r="H778" s="599" t="s">
        <v>158</v>
      </c>
    </row>
    <row r="779" customFormat="false" ht="15" hidden="false" customHeight="false" outlineLevel="0" collapsed="false">
      <c r="A779" s="892" t="n">
        <f aca="false">A778+VALUE("00:30")</f>
        <v>0.416666666666667</v>
      </c>
      <c r="B779" s="565" t="s">
        <v>462</v>
      </c>
      <c r="C779" s="565" t="s">
        <v>158</v>
      </c>
      <c r="D779" s="565" t="s">
        <v>159</v>
      </c>
      <c r="E779" s="565" t="s">
        <v>160</v>
      </c>
      <c r="F779" s="565" t="s">
        <v>800</v>
      </c>
      <c r="G779" s="565" t="s">
        <v>801</v>
      </c>
      <c r="H779" s="599" t="s">
        <v>163</v>
      </c>
    </row>
    <row r="780" customFormat="false" ht="15" hidden="false" customHeight="false" outlineLevel="0" collapsed="false">
      <c r="A780" s="892" t="n">
        <f aca="false">A779+VALUE("00:30")</f>
        <v>0.4375</v>
      </c>
      <c r="B780" s="565" t="s">
        <v>462</v>
      </c>
      <c r="C780" s="565" t="s">
        <v>158</v>
      </c>
      <c r="D780" s="565" t="s">
        <v>159</v>
      </c>
      <c r="E780" s="565" t="s">
        <v>160</v>
      </c>
      <c r="F780" s="565" t="s">
        <v>800</v>
      </c>
      <c r="G780" s="599" t="s">
        <v>801</v>
      </c>
      <c r="H780" s="565" t="s">
        <v>163</v>
      </c>
    </row>
    <row r="781" customFormat="false" ht="15" hidden="false" customHeight="false" outlineLevel="0" collapsed="false">
      <c r="A781" s="892" t="n">
        <f aca="false">A780+VALUE("00:30")</f>
        <v>0.458333333333333</v>
      </c>
      <c r="B781" s="565" t="s">
        <v>801</v>
      </c>
      <c r="C781" s="565" t="s">
        <v>163</v>
      </c>
      <c r="D781" s="565" t="s">
        <v>462</v>
      </c>
      <c r="E781" s="565" t="s">
        <v>158</v>
      </c>
      <c r="F781" s="565" t="s">
        <v>159</v>
      </c>
      <c r="G781" s="599" t="s">
        <v>160</v>
      </c>
      <c r="H781" s="565" t="s">
        <v>800</v>
      </c>
    </row>
    <row r="782" customFormat="false" ht="15" hidden="false" customHeight="false" outlineLevel="0" collapsed="false">
      <c r="A782" s="892" t="n">
        <f aca="false">A781+VALUE("00:30")</f>
        <v>0.479166666666667</v>
      </c>
      <c r="B782" s="565" t="s">
        <v>801</v>
      </c>
      <c r="C782" s="565" t="s">
        <v>163</v>
      </c>
      <c r="D782" s="565" t="s">
        <v>462</v>
      </c>
      <c r="E782" s="565" t="s">
        <v>158</v>
      </c>
      <c r="F782" s="565" t="s">
        <v>159</v>
      </c>
      <c r="G782" s="599" t="s">
        <v>160</v>
      </c>
      <c r="H782" s="565" t="s">
        <v>800</v>
      </c>
    </row>
    <row r="783" customFormat="false" ht="15" hidden="false" customHeight="false" outlineLevel="0" collapsed="false">
      <c r="A783" s="892" t="n">
        <f aca="false">A782+VALUE("00:30")</f>
        <v>0.5</v>
      </c>
      <c r="B783" s="565" t="s">
        <v>160</v>
      </c>
      <c r="C783" s="565" t="s">
        <v>800</v>
      </c>
      <c r="D783" s="565" t="s">
        <v>801</v>
      </c>
      <c r="E783" s="599" t="s">
        <v>163</v>
      </c>
      <c r="F783" s="565" t="s">
        <v>462</v>
      </c>
      <c r="G783" s="565" t="s">
        <v>158</v>
      </c>
      <c r="H783" s="565" t="s">
        <v>159</v>
      </c>
    </row>
    <row r="784" customFormat="false" ht="15" hidden="false" customHeight="false" outlineLevel="0" collapsed="false">
      <c r="A784" s="892" t="n">
        <f aca="false">A783+VALUE("00:30")</f>
        <v>0.520833333333333</v>
      </c>
      <c r="B784" s="565" t="s">
        <v>160</v>
      </c>
      <c r="C784" s="565" t="s">
        <v>800</v>
      </c>
      <c r="D784" s="565" t="s">
        <v>801</v>
      </c>
      <c r="E784" s="599" t="s">
        <v>163</v>
      </c>
      <c r="F784" s="565" t="s">
        <v>462</v>
      </c>
      <c r="G784" s="565" t="s">
        <v>158</v>
      </c>
      <c r="H784" s="565" t="s">
        <v>159</v>
      </c>
    </row>
    <row r="785" customFormat="false" ht="15" hidden="false" customHeight="false" outlineLevel="0" collapsed="false">
      <c r="A785" s="892" t="n">
        <f aca="false">A784+VALUE("00:30")</f>
        <v>0.541666666666667</v>
      </c>
      <c r="B785" s="565" t="s">
        <v>158</v>
      </c>
      <c r="C785" s="565" t="s">
        <v>159</v>
      </c>
      <c r="D785" s="565" t="s">
        <v>160</v>
      </c>
      <c r="E785" s="599" t="s">
        <v>800</v>
      </c>
      <c r="F785" s="565" t="s">
        <v>801</v>
      </c>
      <c r="G785" s="565" t="s">
        <v>163</v>
      </c>
      <c r="H785" s="565" t="s">
        <v>462</v>
      </c>
    </row>
    <row r="786" customFormat="false" ht="15" hidden="false" customHeight="false" outlineLevel="0" collapsed="false">
      <c r="A786" s="892" t="n">
        <f aca="false">A785+VALUE("00:30")</f>
        <v>0.5625</v>
      </c>
      <c r="B786" s="565" t="s">
        <v>158</v>
      </c>
      <c r="C786" s="565" t="s">
        <v>159</v>
      </c>
      <c r="D786" s="565" t="s">
        <v>160</v>
      </c>
      <c r="E786" s="565" t="s">
        <v>800</v>
      </c>
      <c r="F786" s="599" t="s">
        <v>801</v>
      </c>
      <c r="G786" s="565" t="s">
        <v>163</v>
      </c>
      <c r="H786" s="565" t="s">
        <v>462</v>
      </c>
    </row>
    <row r="787" customFormat="false" ht="15" hidden="false" customHeight="false" outlineLevel="0" collapsed="false">
      <c r="A787" s="892" t="n">
        <f aca="false">A786+VALUE("00:30")</f>
        <v>0.583333333333333</v>
      </c>
      <c r="B787" s="565" t="s">
        <v>163</v>
      </c>
      <c r="C787" s="565" t="s">
        <v>462</v>
      </c>
      <c r="D787" s="565" t="s">
        <v>158</v>
      </c>
      <c r="E787" s="565" t="s">
        <v>159</v>
      </c>
      <c r="F787" s="599" t="s">
        <v>160</v>
      </c>
      <c r="G787" s="565" t="s">
        <v>800</v>
      </c>
      <c r="H787" s="565" t="s">
        <v>801</v>
      </c>
    </row>
    <row r="788" customFormat="false" ht="15" hidden="false" customHeight="false" outlineLevel="0" collapsed="false">
      <c r="A788" s="892" t="n">
        <f aca="false">A787+VALUE("00:30")</f>
        <v>0.604166666666667</v>
      </c>
      <c r="B788" s="583" t="s">
        <v>163</v>
      </c>
      <c r="C788" s="565" t="s">
        <v>462</v>
      </c>
      <c r="D788" s="565" t="s">
        <v>158</v>
      </c>
      <c r="E788" s="565" t="s">
        <v>159</v>
      </c>
      <c r="F788" s="599" t="s">
        <v>160</v>
      </c>
      <c r="G788" s="565" t="s">
        <v>800</v>
      </c>
      <c r="H788" s="565" t="s">
        <v>801</v>
      </c>
    </row>
    <row r="789" customFormat="false" ht="15" hidden="false" customHeight="false" outlineLevel="0" collapsed="false">
      <c r="A789" s="892" t="n">
        <f aca="false">A788+VALUE("00:30")</f>
        <v>0.625</v>
      </c>
      <c r="B789" s="583" t="s">
        <v>800</v>
      </c>
      <c r="C789" s="565" t="s">
        <v>801</v>
      </c>
      <c r="D789" s="599" t="s">
        <v>163</v>
      </c>
      <c r="E789" s="565" t="s">
        <v>462</v>
      </c>
      <c r="F789" s="565" t="s">
        <v>158</v>
      </c>
      <c r="G789" s="565" t="s">
        <v>159</v>
      </c>
      <c r="H789" s="565" t="s">
        <v>160</v>
      </c>
    </row>
    <row r="790" customFormat="false" ht="15" hidden="false" customHeight="false" outlineLevel="0" collapsed="false">
      <c r="A790" s="892" t="n">
        <f aca="false">A789+VALUE("00:30")</f>
        <v>0.645833333333333</v>
      </c>
      <c r="B790" s="583" t="s">
        <v>800</v>
      </c>
      <c r="C790" s="565" t="s">
        <v>801</v>
      </c>
      <c r="D790" s="599" t="s">
        <v>163</v>
      </c>
      <c r="E790" s="565" t="s">
        <v>462</v>
      </c>
      <c r="F790" s="565" t="s">
        <v>158</v>
      </c>
      <c r="G790" s="565" t="s">
        <v>159</v>
      </c>
      <c r="H790" s="565" t="s">
        <v>160</v>
      </c>
    </row>
    <row r="791" customFormat="false" ht="15" hidden="false" customHeight="false" outlineLevel="0" collapsed="false">
      <c r="A791" s="892" t="n">
        <f aca="false">A790+VALUE("00:30")</f>
        <v>0.666666666666667</v>
      </c>
      <c r="B791" s="583" t="s">
        <v>159</v>
      </c>
      <c r="C791" s="565" t="s">
        <v>160</v>
      </c>
      <c r="D791" s="599" t="s">
        <v>800</v>
      </c>
      <c r="E791" s="565" t="s">
        <v>801</v>
      </c>
      <c r="F791" s="565" t="s">
        <v>163</v>
      </c>
      <c r="G791" s="565" t="s">
        <v>462</v>
      </c>
      <c r="H791" s="565" t="s">
        <v>158</v>
      </c>
    </row>
    <row r="792" customFormat="false" ht="15" hidden="false" customHeight="false" outlineLevel="0" collapsed="false">
      <c r="A792" s="892" t="n">
        <f aca="false">A791+VALUE("00:30")</f>
        <v>0.6875</v>
      </c>
      <c r="B792" s="702" t="s">
        <v>159</v>
      </c>
      <c r="C792" s="565" t="s">
        <v>160</v>
      </c>
      <c r="D792" s="565" t="s">
        <v>800</v>
      </c>
      <c r="E792" s="565" t="s">
        <v>801</v>
      </c>
      <c r="F792" s="565" t="s">
        <v>163</v>
      </c>
      <c r="G792" s="565" t="s">
        <v>462</v>
      </c>
      <c r="H792" s="565" t="s">
        <v>158</v>
      </c>
    </row>
    <row r="793" customFormat="false" ht="15" hidden="false" customHeight="false" outlineLevel="0" collapsed="false">
      <c r="A793" s="892" t="n">
        <f aca="false">A792+VALUE("00:30")</f>
        <v>0.708333333333333</v>
      </c>
      <c r="B793" s="702" t="s">
        <v>462</v>
      </c>
      <c r="C793" s="565" t="s">
        <v>158</v>
      </c>
      <c r="D793" s="565" t="s">
        <v>159</v>
      </c>
      <c r="E793" s="565" t="s">
        <v>160</v>
      </c>
      <c r="F793" s="565" t="s">
        <v>800</v>
      </c>
      <c r="G793" s="565" t="s">
        <v>801</v>
      </c>
      <c r="H793" s="565" t="s">
        <v>163</v>
      </c>
    </row>
    <row r="794" customFormat="false" ht="15" hidden="false" customHeight="false" outlineLevel="0" collapsed="false">
      <c r="A794" s="892" t="n">
        <f aca="false">A793+VALUE("00:30")</f>
        <v>0.729166666666667</v>
      </c>
      <c r="B794" s="893" t="s">
        <v>462</v>
      </c>
      <c r="C794" s="668" t="s">
        <v>158</v>
      </c>
      <c r="D794" s="668" t="s">
        <v>159</v>
      </c>
      <c r="E794" s="668" t="s">
        <v>160</v>
      </c>
      <c r="F794" s="668" t="s">
        <v>800</v>
      </c>
      <c r="G794" s="668" t="s">
        <v>801</v>
      </c>
      <c r="H794" s="668" t="s">
        <v>163</v>
      </c>
    </row>
    <row r="795" customFormat="false" ht="15" hidden="false" customHeight="false" outlineLevel="0" collapsed="false">
      <c r="A795" s="892" t="n">
        <f aca="false">A794+VALUE("00:30")</f>
        <v>0.75</v>
      </c>
      <c r="B795" s="894" t="s">
        <v>801</v>
      </c>
      <c r="C795" s="894" t="s">
        <v>163</v>
      </c>
      <c r="D795" s="894" t="s">
        <v>462</v>
      </c>
      <c r="E795" s="895" t="s">
        <v>158</v>
      </c>
      <c r="F795" s="894" t="s">
        <v>159</v>
      </c>
      <c r="G795" s="894" t="s">
        <v>160</v>
      </c>
      <c r="H795" s="894" t="s">
        <v>800</v>
      </c>
    </row>
    <row r="796" customFormat="false" ht="15" hidden="false" customHeight="false" outlineLevel="0" collapsed="false">
      <c r="A796" s="892" t="n">
        <f aca="false">A795+VALUE("00:30")</f>
        <v>0.770833333333333</v>
      </c>
      <c r="B796" s="565" t="s">
        <v>801</v>
      </c>
      <c r="C796" s="565" t="s">
        <v>163</v>
      </c>
      <c r="D796" s="565" t="s">
        <v>462</v>
      </c>
      <c r="E796" s="599" t="s">
        <v>158</v>
      </c>
      <c r="F796" s="565" t="s">
        <v>159</v>
      </c>
      <c r="G796" s="565" t="s">
        <v>160</v>
      </c>
      <c r="H796" s="565" t="s">
        <v>800</v>
      </c>
    </row>
    <row r="797" customFormat="false" ht="15" hidden="false" customHeight="false" outlineLevel="0" collapsed="false">
      <c r="A797" s="892" t="n">
        <f aca="false">A796+VALUE("00:30")</f>
        <v>0.791666666666667</v>
      </c>
      <c r="B797" s="565" t="s">
        <v>160</v>
      </c>
      <c r="C797" s="565" t="s">
        <v>800</v>
      </c>
      <c r="D797" s="565" t="s">
        <v>801</v>
      </c>
      <c r="E797" s="599" t="s">
        <v>163</v>
      </c>
      <c r="F797" s="565" t="s">
        <v>462</v>
      </c>
      <c r="G797" s="565" t="s">
        <v>158</v>
      </c>
      <c r="H797" s="565" t="s">
        <v>159</v>
      </c>
    </row>
    <row r="798" customFormat="false" ht="15" hidden="false" customHeight="false" outlineLevel="0" collapsed="false">
      <c r="A798" s="892" t="n">
        <f aca="false">A797+VALUE("00:30")</f>
        <v>0.8125</v>
      </c>
      <c r="B798" s="565" t="s">
        <v>160</v>
      </c>
      <c r="C798" s="565" t="s">
        <v>800</v>
      </c>
      <c r="D798" s="565" t="s">
        <v>801</v>
      </c>
      <c r="E798" s="565" t="s">
        <v>163</v>
      </c>
      <c r="F798" s="599" t="s">
        <v>462</v>
      </c>
      <c r="G798" s="565" t="s">
        <v>158</v>
      </c>
      <c r="H798" s="565" t="s">
        <v>159</v>
      </c>
    </row>
    <row r="799" customFormat="false" ht="15" hidden="false" customHeight="false" outlineLevel="0" collapsed="false">
      <c r="A799" s="892" t="n">
        <f aca="false">A798+VALUE("00:30")</f>
        <v>0.833333333333333</v>
      </c>
      <c r="B799" s="565" t="s">
        <v>158</v>
      </c>
      <c r="C799" s="565" t="s">
        <v>159</v>
      </c>
      <c r="D799" s="565" t="s">
        <v>160</v>
      </c>
      <c r="E799" s="565" t="s">
        <v>800</v>
      </c>
      <c r="F799" s="599" t="s">
        <v>801</v>
      </c>
      <c r="G799" s="565" t="s">
        <v>163</v>
      </c>
      <c r="H799" s="565" t="s">
        <v>462</v>
      </c>
    </row>
    <row r="800" customFormat="false" ht="15" hidden="false" customHeight="false" outlineLevel="0" collapsed="false">
      <c r="A800" s="892" t="n">
        <f aca="false">A799+VALUE("00:30")</f>
        <v>0.854166666666667</v>
      </c>
      <c r="B800" s="565" t="s">
        <v>158</v>
      </c>
      <c r="C800" s="565" t="s">
        <v>159</v>
      </c>
      <c r="D800" s="565" t="s">
        <v>160</v>
      </c>
      <c r="E800" s="565" t="s">
        <v>800</v>
      </c>
      <c r="F800" s="599" t="s">
        <v>801</v>
      </c>
      <c r="G800" s="565" t="s">
        <v>163</v>
      </c>
      <c r="H800" s="565" t="s">
        <v>462</v>
      </c>
    </row>
    <row r="801" customFormat="false" ht="15" hidden="false" customHeight="false" outlineLevel="0" collapsed="false">
      <c r="A801" s="892" t="n">
        <f aca="false">A800+VALUE("00:30")</f>
        <v>0.875</v>
      </c>
      <c r="B801" s="565" t="s">
        <v>163</v>
      </c>
      <c r="C801" s="565" t="s">
        <v>462</v>
      </c>
      <c r="D801" s="599" t="s">
        <v>158</v>
      </c>
      <c r="E801" s="565" t="s">
        <v>159</v>
      </c>
      <c r="F801" s="565" t="s">
        <v>160</v>
      </c>
      <c r="G801" s="565" t="s">
        <v>800</v>
      </c>
      <c r="H801" s="565" t="s">
        <v>801</v>
      </c>
    </row>
    <row r="802" customFormat="false" ht="15" hidden="false" customHeight="false" outlineLevel="0" collapsed="false">
      <c r="A802" s="892" t="n">
        <f aca="false">A801+VALUE("00:30")</f>
        <v>0.895833333333333</v>
      </c>
      <c r="B802" s="565" t="s">
        <v>163</v>
      </c>
      <c r="C802" s="565" t="s">
        <v>462</v>
      </c>
      <c r="D802" s="599" t="s">
        <v>158</v>
      </c>
      <c r="E802" s="565" t="s">
        <v>159</v>
      </c>
      <c r="F802" s="565" t="s">
        <v>160</v>
      </c>
      <c r="G802" s="565" t="s">
        <v>800</v>
      </c>
      <c r="H802" s="565" t="s">
        <v>801</v>
      </c>
    </row>
    <row r="803" customFormat="false" ht="15" hidden="false" customHeight="false" outlineLevel="0" collapsed="false">
      <c r="A803" s="892" t="n">
        <f aca="false">A802+VALUE("00:30")</f>
        <v>0.916666666666667</v>
      </c>
      <c r="B803" s="565" t="s">
        <v>800</v>
      </c>
      <c r="C803" s="565" t="s">
        <v>801</v>
      </c>
      <c r="D803" s="599" t="s">
        <v>163</v>
      </c>
      <c r="E803" s="565" t="s">
        <v>462</v>
      </c>
      <c r="F803" s="565" t="s">
        <v>158</v>
      </c>
      <c r="G803" s="565" t="s">
        <v>159</v>
      </c>
      <c r="H803" s="565" t="s">
        <v>160</v>
      </c>
    </row>
    <row r="804" customFormat="false" ht="15" hidden="false" customHeight="false" outlineLevel="0" collapsed="false">
      <c r="A804" s="892" t="n">
        <f aca="false">A803+VALUE("00:30")</f>
        <v>0.9375</v>
      </c>
      <c r="B804" s="599" t="s">
        <v>800</v>
      </c>
      <c r="C804" s="565" t="s">
        <v>801</v>
      </c>
      <c r="D804" s="565" t="s">
        <v>163</v>
      </c>
      <c r="E804" s="565" t="s">
        <v>462</v>
      </c>
      <c r="F804" s="565" t="s">
        <v>158</v>
      </c>
      <c r="G804" s="565" t="s">
        <v>159</v>
      </c>
      <c r="H804" s="565" t="s">
        <v>160</v>
      </c>
    </row>
    <row r="805" customFormat="false" ht="15" hidden="false" customHeight="false" outlineLevel="0" collapsed="false">
      <c r="A805" s="892" t="n">
        <f aca="false">A804+VALUE("00:30")</f>
        <v>0.958333333333333</v>
      </c>
      <c r="B805" s="599" t="s">
        <v>159</v>
      </c>
      <c r="C805" s="565" t="s">
        <v>160</v>
      </c>
      <c r="D805" s="565" t="s">
        <v>800</v>
      </c>
      <c r="E805" s="565" t="s">
        <v>801</v>
      </c>
      <c r="F805" s="565" t="s">
        <v>163</v>
      </c>
      <c r="G805" s="565" t="s">
        <v>462</v>
      </c>
      <c r="H805" s="565" t="s">
        <v>158</v>
      </c>
    </row>
    <row r="806" customFormat="false" ht="15" hidden="false" customHeight="false" outlineLevel="0" collapsed="false">
      <c r="A806" s="892" t="n">
        <f aca="false">A805+VALUE("00:30")</f>
        <v>0.979166666666667</v>
      </c>
      <c r="B806" s="599" t="s">
        <v>159</v>
      </c>
      <c r="C806" s="565" t="s">
        <v>160</v>
      </c>
      <c r="D806" s="565" t="s">
        <v>800</v>
      </c>
      <c r="E806" s="565" t="s">
        <v>801</v>
      </c>
      <c r="F806" s="565" t="s">
        <v>163</v>
      </c>
      <c r="G806" s="565" t="s">
        <v>462</v>
      </c>
      <c r="H806" s="565" t="s">
        <v>158</v>
      </c>
    </row>
    <row r="807" customFormat="false" ht="15" hidden="false" customHeight="false" outlineLevel="0" collapsed="false">
      <c r="A807" s="892" t="n">
        <f aca="false">A806+VALUE("00:30")</f>
        <v>1</v>
      </c>
      <c r="B807" s="565" t="s">
        <v>462</v>
      </c>
      <c r="C807" s="565" t="s">
        <v>158</v>
      </c>
      <c r="D807" s="565" t="s">
        <v>159</v>
      </c>
      <c r="E807" s="565" t="s">
        <v>160</v>
      </c>
      <c r="F807" s="565" t="s">
        <v>800</v>
      </c>
      <c r="G807" s="565" t="s">
        <v>801</v>
      </c>
      <c r="H807" s="565" t="s">
        <v>163</v>
      </c>
    </row>
    <row r="808" customFormat="false" ht="15" hidden="false" customHeight="false" outlineLevel="0" collapsed="false">
      <c r="A808" s="892" t="n">
        <f aca="false">A807+VALUE("00:30")</f>
        <v>1.02083333333333</v>
      </c>
      <c r="B808" s="565" t="s">
        <v>462</v>
      </c>
      <c r="C808" s="565" t="s">
        <v>158</v>
      </c>
      <c r="D808" s="565" t="s">
        <v>159</v>
      </c>
      <c r="E808" s="565" t="s">
        <v>160</v>
      </c>
      <c r="F808" s="565" t="s">
        <v>800</v>
      </c>
      <c r="G808" s="565" t="s">
        <v>801</v>
      </c>
      <c r="H808" s="565" t="s">
        <v>163</v>
      </c>
    </row>
    <row r="809" customFormat="false" ht="15" hidden="false" customHeight="false" outlineLevel="0" collapsed="false">
      <c r="A809" s="892" t="n">
        <f aca="false">A808+VALUE("00:30")</f>
        <v>1.04166666666667</v>
      </c>
      <c r="B809" s="565" t="s">
        <v>801</v>
      </c>
      <c r="C809" s="565" t="s">
        <v>163</v>
      </c>
      <c r="D809" s="565" t="s">
        <v>462</v>
      </c>
      <c r="E809" s="565" t="s">
        <v>158</v>
      </c>
      <c r="F809" s="565" t="s">
        <v>159</v>
      </c>
      <c r="G809" s="565" t="s">
        <v>160</v>
      </c>
      <c r="H809" s="565" t="s">
        <v>800</v>
      </c>
    </row>
    <row r="810" customFormat="false" ht="15" hidden="false" customHeight="false" outlineLevel="0" collapsed="false">
      <c r="A810" s="892" t="n">
        <f aca="false">A809+VALUE("00:30")</f>
        <v>1.0625</v>
      </c>
      <c r="B810" s="565" t="s">
        <v>801</v>
      </c>
      <c r="C810" s="599" t="s">
        <v>163</v>
      </c>
      <c r="D810" s="565" t="s">
        <v>462</v>
      </c>
      <c r="E810" s="565" t="s">
        <v>158</v>
      </c>
      <c r="F810" s="565" t="s">
        <v>159</v>
      </c>
      <c r="G810" s="565" t="s">
        <v>160</v>
      </c>
      <c r="H810" s="565" t="s">
        <v>800</v>
      </c>
    </row>
    <row r="811" customFormat="false" ht="15" hidden="false" customHeight="false" outlineLevel="0" collapsed="false">
      <c r="A811" s="892" t="n">
        <f aca="false">A810+VALUE("00:30")</f>
        <v>1.08333333333333</v>
      </c>
      <c r="B811" s="565" t="s">
        <v>160</v>
      </c>
      <c r="C811" s="599" t="s">
        <v>800</v>
      </c>
      <c r="D811" s="565" t="s">
        <v>801</v>
      </c>
      <c r="E811" s="565" t="s">
        <v>163</v>
      </c>
      <c r="F811" s="565" t="s">
        <v>462</v>
      </c>
      <c r="G811" s="565" t="s">
        <v>158</v>
      </c>
      <c r="H811" s="565" t="s">
        <v>159</v>
      </c>
    </row>
    <row r="812" customFormat="false" ht="15" hidden="false" customHeight="false" outlineLevel="0" collapsed="false">
      <c r="A812" s="892" t="n">
        <f aca="false">A811+VALUE("00:30")</f>
        <v>1.10416666666667</v>
      </c>
      <c r="B812" s="565" t="s">
        <v>160</v>
      </c>
      <c r="C812" s="599" t="s">
        <v>800</v>
      </c>
      <c r="D812" s="565" t="s">
        <v>801</v>
      </c>
      <c r="E812" s="565" t="s">
        <v>163</v>
      </c>
      <c r="F812" s="565" t="s">
        <v>462</v>
      </c>
      <c r="G812" s="565" t="s">
        <v>158</v>
      </c>
      <c r="H812" s="565" t="s">
        <v>159</v>
      </c>
    </row>
    <row r="813" customFormat="false" ht="15" hidden="false" customHeight="false" outlineLevel="0" collapsed="false">
      <c r="A813" s="892" t="n">
        <f aca="false">A812+VALUE("00:30")</f>
        <v>1.125</v>
      </c>
      <c r="B813" s="565" t="s">
        <v>158</v>
      </c>
      <c r="C813" s="565" t="s">
        <v>159</v>
      </c>
      <c r="D813" s="565" t="s">
        <v>160</v>
      </c>
      <c r="E813" s="565" t="s">
        <v>800</v>
      </c>
      <c r="F813" s="565" t="s">
        <v>801</v>
      </c>
      <c r="G813" s="565" t="s">
        <v>163</v>
      </c>
      <c r="H813" s="599" t="s">
        <v>462</v>
      </c>
    </row>
    <row r="814" customFormat="false" ht="15" hidden="false" customHeight="false" outlineLevel="0" collapsed="false">
      <c r="A814" s="892" t="n">
        <f aca="false">A813+VALUE("00:30")</f>
        <v>1.14583333333333</v>
      </c>
      <c r="B814" s="565" t="s">
        <v>158</v>
      </c>
      <c r="C814" s="565" t="s">
        <v>159</v>
      </c>
      <c r="D814" s="565" t="s">
        <v>160</v>
      </c>
      <c r="E814" s="565" t="s">
        <v>800</v>
      </c>
      <c r="F814" s="565" t="s">
        <v>801</v>
      </c>
      <c r="G814" s="565" t="s">
        <v>163</v>
      </c>
      <c r="H814" s="599" t="s">
        <v>462</v>
      </c>
    </row>
    <row r="815" customFormat="false" ht="15" hidden="false" customHeight="false" outlineLevel="0" collapsed="false">
      <c r="A815" s="892" t="n">
        <f aca="false">A814+VALUE("00:30")</f>
        <v>1.16666666666667</v>
      </c>
      <c r="B815" s="565" t="s">
        <v>163</v>
      </c>
      <c r="C815" s="565" t="s">
        <v>462</v>
      </c>
      <c r="D815" s="565" t="s">
        <v>158</v>
      </c>
      <c r="E815" s="565" t="s">
        <v>159</v>
      </c>
      <c r="F815" s="565" t="s">
        <v>160</v>
      </c>
      <c r="G815" s="565" t="s">
        <v>800</v>
      </c>
      <c r="H815" s="599" t="s">
        <v>801</v>
      </c>
    </row>
    <row r="816" customFormat="false" ht="15" hidden="false" customHeight="false" outlineLevel="0" collapsed="false">
      <c r="A816" s="892" t="n">
        <f aca="false">A815+VALUE("00:30")</f>
        <v>1.1875</v>
      </c>
      <c r="B816" s="565" t="s">
        <v>163</v>
      </c>
      <c r="C816" s="565" t="s">
        <v>462</v>
      </c>
      <c r="D816" s="565" t="s">
        <v>158</v>
      </c>
      <c r="E816" s="565" t="s">
        <v>159</v>
      </c>
      <c r="F816" s="565" t="s">
        <v>160</v>
      </c>
      <c r="G816" s="599" t="s">
        <v>800</v>
      </c>
      <c r="H816" s="565" t="s">
        <v>801</v>
      </c>
    </row>
    <row r="817" customFormat="false" ht="15" hidden="false" customHeight="false" outlineLevel="0" collapsed="false">
      <c r="A817" s="892" t="n">
        <f aca="false">A816+VALUE("00:30")</f>
        <v>1.20833333333333</v>
      </c>
      <c r="B817" s="565" t="s">
        <v>800</v>
      </c>
      <c r="C817" s="565" t="s">
        <v>801</v>
      </c>
      <c r="D817" s="565" t="s">
        <v>163</v>
      </c>
      <c r="E817" s="565" t="s">
        <v>462</v>
      </c>
      <c r="F817" s="565" t="s">
        <v>158</v>
      </c>
      <c r="G817" s="599" t="s">
        <v>159</v>
      </c>
      <c r="H817" s="565" t="s">
        <v>160</v>
      </c>
    </row>
    <row r="818" customFormat="false" ht="15" hidden="false" customHeight="false" outlineLevel="0" collapsed="false">
      <c r="A818" s="892" t="n">
        <f aca="false">A817+VALUE("00:30")</f>
        <v>1.22916666666667</v>
      </c>
      <c r="B818" s="668" t="s">
        <v>800</v>
      </c>
      <c r="C818" s="668" t="s">
        <v>801</v>
      </c>
      <c r="D818" s="668" t="s">
        <v>163</v>
      </c>
      <c r="E818" s="668" t="s">
        <v>462</v>
      </c>
      <c r="F818" s="668" t="s">
        <v>158</v>
      </c>
      <c r="G818" s="896" t="s">
        <v>159</v>
      </c>
      <c r="H818" s="668" t="s">
        <v>160</v>
      </c>
    </row>
    <row r="819" customFormat="false" ht="15" hidden="false" customHeight="false" outlineLevel="0" collapsed="false">
      <c r="A819" s="892" t="s">
        <v>4120</v>
      </c>
      <c r="E819" s="565"/>
    </row>
    <row r="820" customFormat="false" ht="15" hidden="false" customHeight="false" outlineLevel="0" collapsed="false">
      <c r="E820" s="565"/>
    </row>
    <row r="821" customFormat="false" ht="15" hidden="false" customHeight="false" outlineLevel="0" collapsed="false">
      <c r="A821" s="565" t="s">
        <v>4121</v>
      </c>
      <c r="B821" s="565" t="s">
        <v>4122</v>
      </c>
      <c r="E821" s="565"/>
    </row>
    <row r="822" customFormat="false" ht="15" hidden="false" customHeight="false" outlineLevel="0" collapsed="false">
      <c r="A822" s="897" t="n">
        <v>0</v>
      </c>
      <c r="B822" s="897" t="s">
        <v>4123</v>
      </c>
      <c r="C822" s="574"/>
      <c r="E822" s="565"/>
    </row>
    <row r="823" customFormat="false" ht="15" hidden="false" customHeight="false" outlineLevel="0" collapsed="false">
      <c r="A823" s="898" t="n">
        <v>13.33</v>
      </c>
      <c r="B823" s="898" t="s">
        <v>639</v>
      </c>
      <c r="E823" s="565"/>
    </row>
    <row r="824" customFormat="false" ht="15" hidden="false" customHeight="false" outlineLevel="0" collapsed="false">
      <c r="A824" s="897" t="n">
        <v>26.67</v>
      </c>
      <c r="B824" s="897" t="s">
        <v>553</v>
      </c>
      <c r="E824" s="565"/>
    </row>
    <row r="825" customFormat="false" ht="15" hidden="false" customHeight="false" outlineLevel="0" collapsed="false">
      <c r="A825" s="897" t="n">
        <v>30</v>
      </c>
      <c r="B825" s="897" t="s">
        <v>4124</v>
      </c>
      <c r="E825" s="565"/>
    </row>
    <row r="826" customFormat="false" ht="15" hidden="false" customHeight="false" outlineLevel="0" collapsed="false">
      <c r="A826" s="898" t="n">
        <v>40</v>
      </c>
      <c r="B826" s="898" t="s">
        <v>641</v>
      </c>
      <c r="E826" s="565"/>
    </row>
    <row r="827" customFormat="false" ht="15" hidden="false" customHeight="false" outlineLevel="0" collapsed="false">
      <c r="A827" s="897" t="n">
        <v>53.33</v>
      </c>
      <c r="B827" s="897" t="s">
        <v>1464</v>
      </c>
      <c r="E827" s="565"/>
    </row>
    <row r="828" customFormat="false" ht="15" hidden="false" customHeight="false" outlineLevel="0" collapsed="false">
      <c r="A828" s="897" t="n">
        <v>60</v>
      </c>
      <c r="B828" s="897" t="s">
        <v>4125</v>
      </c>
      <c r="E828" s="565"/>
    </row>
    <row r="829" customFormat="false" ht="15" hidden="false" customHeight="false" outlineLevel="0" collapsed="false">
      <c r="A829" s="898" t="n">
        <v>66.67</v>
      </c>
      <c r="B829" s="898" t="s">
        <v>557</v>
      </c>
      <c r="E829" s="565"/>
    </row>
    <row r="830" customFormat="false" ht="15" hidden="false" customHeight="false" outlineLevel="0" collapsed="false">
      <c r="A830" s="897" t="n">
        <v>80</v>
      </c>
      <c r="B830" s="897" t="s">
        <v>643</v>
      </c>
      <c r="E830" s="565"/>
    </row>
    <row r="831" customFormat="false" ht="15" hidden="false" customHeight="false" outlineLevel="0" collapsed="false">
      <c r="A831" s="897" t="n">
        <v>90</v>
      </c>
      <c r="B831" s="897" t="s">
        <v>4126</v>
      </c>
      <c r="E831" s="565"/>
    </row>
    <row r="832" customFormat="false" ht="15" hidden="false" customHeight="false" outlineLevel="0" collapsed="false">
      <c r="A832" s="898" t="n">
        <v>93.33</v>
      </c>
      <c r="B832" s="898" t="s">
        <v>566</v>
      </c>
      <c r="E832" s="565"/>
    </row>
    <row r="833" customFormat="false" ht="15" hidden="false" customHeight="false" outlineLevel="0" collapsed="false">
      <c r="A833" s="897" t="n">
        <v>106.67</v>
      </c>
      <c r="B833" s="897" t="s">
        <v>644</v>
      </c>
      <c r="E833" s="565"/>
    </row>
    <row r="834" customFormat="false" ht="15" hidden="false" customHeight="false" outlineLevel="0" collapsed="false">
      <c r="A834" s="898" t="n">
        <v>120</v>
      </c>
      <c r="B834" s="898" t="s">
        <v>4127</v>
      </c>
      <c r="E834" s="565"/>
    </row>
    <row r="835" customFormat="false" ht="15" hidden="false" customHeight="false" outlineLevel="0" collapsed="false">
      <c r="A835" s="897" t="n">
        <v>133.33</v>
      </c>
      <c r="B835" s="897" t="s">
        <v>1588</v>
      </c>
      <c r="E835" s="565"/>
    </row>
    <row r="836" customFormat="false" ht="15" hidden="false" customHeight="false" outlineLevel="0" collapsed="false">
      <c r="A836" s="898" t="n">
        <v>146.67</v>
      </c>
      <c r="B836" s="898" t="s">
        <v>1607</v>
      </c>
      <c r="E836" s="565"/>
    </row>
    <row r="837" customFormat="false" ht="15" hidden="false" customHeight="false" outlineLevel="0" collapsed="false">
      <c r="A837" s="898" t="n">
        <v>150</v>
      </c>
      <c r="B837" s="898" t="s">
        <v>4128</v>
      </c>
      <c r="E837" s="565"/>
    </row>
    <row r="838" customFormat="false" ht="15" hidden="false" customHeight="false" outlineLevel="0" collapsed="false">
      <c r="A838" s="897" t="n">
        <v>160</v>
      </c>
      <c r="B838" s="897" t="s">
        <v>648</v>
      </c>
      <c r="E838" s="565"/>
    </row>
    <row r="839" customFormat="false" ht="15" hidden="false" customHeight="false" outlineLevel="0" collapsed="false">
      <c r="A839" s="898" t="n">
        <v>173.33</v>
      </c>
      <c r="B839" s="898" t="s">
        <v>649</v>
      </c>
      <c r="E839" s="565"/>
    </row>
    <row r="840" customFormat="false" ht="15" hidden="false" customHeight="false" outlineLevel="0" collapsed="false">
      <c r="A840" s="898" t="n">
        <v>180</v>
      </c>
      <c r="B840" s="898" t="s">
        <v>4129</v>
      </c>
      <c r="E840" s="565"/>
    </row>
    <row r="841" customFormat="false" ht="15" hidden="false" customHeight="false" outlineLevel="0" collapsed="false">
      <c r="A841" s="897" t="n">
        <v>186.67</v>
      </c>
      <c r="B841" s="897" t="s">
        <v>592</v>
      </c>
      <c r="E841" s="565"/>
    </row>
    <row r="842" customFormat="false" ht="15" hidden="false" customHeight="false" outlineLevel="0" collapsed="false">
      <c r="A842" s="898" t="n">
        <v>200</v>
      </c>
      <c r="B842" s="898" t="s">
        <v>1679</v>
      </c>
    </row>
    <row r="843" customFormat="false" ht="15" hidden="false" customHeight="false" outlineLevel="0" collapsed="false">
      <c r="A843" s="898" t="n">
        <v>210</v>
      </c>
      <c r="B843" s="898" t="s">
        <v>4130</v>
      </c>
    </row>
    <row r="844" customFormat="false" ht="15" hidden="false" customHeight="false" outlineLevel="0" collapsed="false">
      <c r="A844" s="897" t="n">
        <v>213.33</v>
      </c>
      <c r="B844" s="897" t="s">
        <v>581</v>
      </c>
    </row>
    <row r="845" customFormat="false" ht="15" hidden="false" customHeight="false" outlineLevel="0" collapsed="false">
      <c r="A845" s="898" t="n">
        <v>226.67</v>
      </c>
      <c r="B845" s="898" t="s">
        <v>1716</v>
      </c>
    </row>
    <row r="846" customFormat="false" ht="15" hidden="false" customHeight="false" outlineLevel="0" collapsed="false">
      <c r="A846" s="897" t="n">
        <v>240</v>
      </c>
      <c r="B846" s="897" t="s">
        <v>4131</v>
      </c>
    </row>
    <row r="847" customFormat="false" ht="15" hidden="false" customHeight="false" outlineLevel="0" collapsed="false">
      <c r="A847" s="898" t="n">
        <v>253.33</v>
      </c>
      <c r="B847" s="898" t="s">
        <v>1748</v>
      </c>
    </row>
    <row r="848" customFormat="false" ht="15" hidden="false" customHeight="false" outlineLevel="0" collapsed="false">
      <c r="A848" s="897" t="n">
        <v>266.67</v>
      </c>
      <c r="B848" s="897" t="s">
        <v>1767</v>
      </c>
    </row>
    <row r="849" customFormat="false" ht="15" hidden="false" customHeight="false" outlineLevel="0" collapsed="false">
      <c r="A849" s="899" t="n">
        <v>270</v>
      </c>
      <c r="B849" s="899" t="s">
        <v>4132</v>
      </c>
    </row>
    <row r="850" customFormat="false" ht="15" hidden="false" customHeight="false" outlineLevel="0" collapsed="false">
      <c r="A850" s="900" t="n">
        <v>276.67</v>
      </c>
      <c r="B850" s="900" t="s">
        <v>655</v>
      </c>
    </row>
    <row r="851" customFormat="false" ht="15" hidden="false" customHeight="false" outlineLevel="0" collapsed="false">
      <c r="A851" s="897" t="n">
        <v>280</v>
      </c>
      <c r="B851" s="897" t="s">
        <v>609</v>
      </c>
    </row>
    <row r="852" customFormat="false" ht="15" hidden="false" customHeight="false" outlineLevel="0" collapsed="false">
      <c r="A852" s="898" t="n">
        <v>293.33</v>
      </c>
      <c r="B852" s="898" t="s">
        <v>1805</v>
      </c>
    </row>
    <row r="853" customFormat="false" ht="15" hidden="false" customHeight="false" outlineLevel="0" collapsed="false">
      <c r="A853" s="898" t="n">
        <v>300</v>
      </c>
      <c r="B853" s="898" t="s">
        <v>4133</v>
      </c>
    </row>
    <row r="854" customFormat="false" ht="15" hidden="false" customHeight="false" outlineLevel="0" collapsed="false">
      <c r="A854" s="897" t="n">
        <v>306.67</v>
      </c>
      <c r="B854" s="897" t="s">
        <v>1826</v>
      </c>
    </row>
    <row r="855" customFormat="false" ht="15" hidden="false" customHeight="false" outlineLevel="0" collapsed="false">
      <c r="A855" s="898" t="n">
        <v>320</v>
      </c>
      <c r="B855" s="898" t="s">
        <v>1842</v>
      </c>
    </row>
    <row r="856" customFormat="false" ht="15" hidden="false" customHeight="false" outlineLevel="0" collapsed="false">
      <c r="A856" s="898" t="n">
        <v>330</v>
      </c>
      <c r="B856" s="898" t="s">
        <v>4134</v>
      </c>
    </row>
    <row r="857" customFormat="false" ht="15" hidden="false" customHeight="false" outlineLevel="0" collapsed="false">
      <c r="A857" s="897" t="n">
        <v>333.33</v>
      </c>
      <c r="B857" s="897" t="s">
        <v>1860</v>
      </c>
    </row>
    <row r="858" customFormat="false" ht="15" hidden="false" customHeight="false" outlineLevel="0" collapsed="false">
      <c r="A858" s="898" t="n">
        <v>346.67</v>
      </c>
      <c r="B858" s="898" t="s">
        <v>574</v>
      </c>
    </row>
    <row r="860" customFormat="false" ht="15" hidden="false" customHeight="false" outlineLevel="0" collapsed="false">
      <c r="A860" s="901"/>
    </row>
    <row r="861" customFormat="false" ht="15" hidden="false" customHeight="false" outlineLevel="0" collapsed="false">
      <c r="A861" s="902" t="s">
        <v>4135</v>
      </c>
      <c r="B861" s="903" t="s">
        <v>4136</v>
      </c>
      <c r="C861" s="903" t="s">
        <v>4137</v>
      </c>
      <c r="D861" s="903" t="s">
        <v>4138</v>
      </c>
      <c r="E861" s="903" t="s">
        <v>4139</v>
      </c>
      <c r="F861" s="903" t="s">
        <v>4140</v>
      </c>
      <c r="G861" s="903" t="s">
        <v>4141</v>
      </c>
      <c r="H861" s="903" t="s">
        <v>4142</v>
      </c>
      <c r="I861" s="903" t="s">
        <v>4143</v>
      </c>
      <c r="J861" s="903" t="s">
        <v>4144</v>
      </c>
      <c r="K861" s="903" t="s">
        <v>4145</v>
      </c>
      <c r="L861" s="903" t="s">
        <v>4146</v>
      </c>
      <c r="M861" s="903" t="s">
        <v>4147</v>
      </c>
      <c r="N861" s="904" t="s">
        <v>320</v>
      </c>
    </row>
    <row r="862" customFormat="false" ht="15" hidden="false" customHeight="false" outlineLevel="0" collapsed="false">
      <c r="A862" s="902" t="s">
        <v>4148</v>
      </c>
      <c r="B862" s="905" t="n">
        <v>0.75</v>
      </c>
      <c r="C862" s="906" t="n">
        <v>1</v>
      </c>
      <c r="D862" s="906" t="n">
        <v>1</v>
      </c>
      <c r="E862" s="906" t="n">
        <v>1</v>
      </c>
      <c r="F862" s="907" t="n">
        <v>0.5</v>
      </c>
      <c r="G862" s="907" t="n">
        <v>0.25</v>
      </c>
      <c r="H862" s="907" t="n">
        <v>0.25</v>
      </c>
      <c r="I862" s="907" t="n">
        <v>0.25</v>
      </c>
      <c r="J862" s="906" t="n">
        <v>1</v>
      </c>
      <c r="K862" s="906" t="n">
        <v>1</v>
      </c>
      <c r="L862" s="906" t="n">
        <v>1</v>
      </c>
      <c r="M862" s="908" t="n">
        <v>0</v>
      </c>
      <c r="N862" s="904" t="n">
        <v>8</v>
      </c>
    </row>
    <row r="863" customFormat="false" ht="15" hidden="false" customHeight="false" outlineLevel="0" collapsed="false">
      <c r="A863" s="902" t="s">
        <v>4149</v>
      </c>
      <c r="B863" s="909" t="n">
        <v>0.5</v>
      </c>
      <c r="C863" s="902" t="n">
        <v>1</v>
      </c>
      <c r="D863" s="910" t="n">
        <v>0.5</v>
      </c>
      <c r="E863" s="902" t="n">
        <v>1</v>
      </c>
      <c r="F863" s="902" t="n">
        <v>1</v>
      </c>
      <c r="G863" s="910" t="n">
        <v>0.5</v>
      </c>
      <c r="H863" s="910" t="n">
        <v>0.25</v>
      </c>
      <c r="I863" s="910" t="n">
        <v>0.5</v>
      </c>
      <c r="J863" s="902" t="n">
        <v>1</v>
      </c>
      <c r="K863" s="910" t="n">
        <v>0.75</v>
      </c>
      <c r="L863" s="902" t="n">
        <v>1</v>
      </c>
      <c r="M863" s="911" t="n">
        <v>0</v>
      </c>
      <c r="N863" s="904" t="n">
        <v>8</v>
      </c>
    </row>
    <row r="864" customFormat="false" ht="15" hidden="false" customHeight="false" outlineLevel="0" collapsed="false">
      <c r="A864" s="902" t="s">
        <v>4150</v>
      </c>
      <c r="B864" s="912" t="n">
        <v>1</v>
      </c>
      <c r="C864" s="910" t="n">
        <v>0</v>
      </c>
      <c r="D864" s="902" t="n">
        <v>1</v>
      </c>
      <c r="E864" s="910" t="n">
        <v>0.75</v>
      </c>
      <c r="F864" s="910" t="n">
        <v>0.75</v>
      </c>
      <c r="G864" s="910" t="n">
        <v>0.25</v>
      </c>
      <c r="H864" s="910" t="n">
        <v>0.75</v>
      </c>
      <c r="I864" s="910" t="n">
        <v>0</v>
      </c>
      <c r="J864" s="910" t="n">
        <v>0.75</v>
      </c>
      <c r="K864" s="910" t="n">
        <v>0.75</v>
      </c>
      <c r="L864" s="910" t="n">
        <v>0.75</v>
      </c>
      <c r="M864" s="911" t="n">
        <v>0.25</v>
      </c>
      <c r="N864" s="904" t="n">
        <v>7</v>
      </c>
    </row>
    <row r="865" customFormat="false" ht="15" hidden="false" customHeight="false" outlineLevel="0" collapsed="false">
      <c r="A865" s="902" t="s">
        <v>4151</v>
      </c>
      <c r="B865" s="912" t="n">
        <v>1</v>
      </c>
      <c r="C865" s="910" t="n">
        <v>0.75</v>
      </c>
      <c r="D865" s="902" t="n">
        <v>1</v>
      </c>
      <c r="E865" s="902" t="n">
        <v>1</v>
      </c>
      <c r="F865" s="902" t="n">
        <v>1</v>
      </c>
      <c r="G865" s="910" t="n">
        <v>0</v>
      </c>
      <c r="H865" s="910" t="n">
        <v>0.75</v>
      </c>
      <c r="I865" s="910" t="n">
        <v>0</v>
      </c>
      <c r="J865" s="902" t="n">
        <v>1</v>
      </c>
      <c r="K865" s="902" t="n">
        <v>1</v>
      </c>
      <c r="L865" s="910" t="n">
        <v>0.75</v>
      </c>
      <c r="M865" s="911" t="n">
        <v>0</v>
      </c>
      <c r="N865" s="904" t="n">
        <v>8.25</v>
      </c>
    </row>
    <row r="866" customFormat="false" ht="15" hidden="false" customHeight="false" outlineLevel="0" collapsed="false">
      <c r="A866" s="902" t="s">
        <v>4152</v>
      </c>
      <c r="B866" s="909" t="n">
        <v>0.75</v>
      </c>
      <c r="C866" s="902" t="n">
        <v>1</v>
      </c>
      <c r="D866" s="910" t="n">
        <v>0.75</v>
      </c>
      <c r="E866" s="902" t="n">
        <v>1</v>
      </c>
      <c r="F866" s="910" t="n">
        <v>0.75</v>
      </c>
      <c r="G866" s="910" t="n">
        <v>0</v>
      </c>
      <c r="H866" s="902" t="n">
        <v>1</v>
      </c>
      <c r="I866" s="910" t="n">
        <v>0</v>
      </c>
      <c r="J866" s="902" t="n">
        <v>1</v>
      </c>
      <c r="K866" s="902" t="n">
        <v>1</v>
      </c>
      <c r="L866" s="902" t="n">
        <v>1</v>
      </c>
      <c r="M866" s="911" t="n">
        <v>0</v>
      </c>
      <c r="N866" s="904" t="n">
        <v>8.25</v>
      </c>
    </row>
    <row r="867" customFormat="false" ht="15" hidden="false" customHeight="false" outlineLevel="0" collapsed="false">
      <c r="A867" s="902" t="s">
        <v>4153</v>
      </c>
      <c r="B867" s="909" t="n">
        <v>0.5</v>
      </c>
      <c r="C867" s="910" t="n">
        <v>0.75</v>
      </c>
      <c r="D867" s="910" t="n">
        <v>0</v>
      </c>
      <c r="E867" s="910" t="n">
        <v>0.5</v>
      </c>
      <c r="F867" s="902" t="n">
        <v>1</v>
      </c>
      <c r="G867" s="910" t="n">
        <v>0.25</v>
      </c>
      <c r="H867" s="910" t="n">
        <v>0.25</v>
      </c>
      <c r="I867" s="910" t="n">
        <v>0</v>
      </c>
      <c r="J867" s="910" t="n">
        <v>0.25</v>
      </c>
      <c r="K867" s="910" t="n">
        <v>0.25</v>
      </c>
      <c r="L867" s="910" t="n">
        <v>0.75</v>
      </c>
      <c r="M867" s="911" t="n">
        <v>0</v>
      </c>
      <c r="N867" s="904" t="n">
        <v>4.5</v>
      </c>
    </row>
    <row r="868" customFormat="false" ht="15" hidden="false" customHeight="false" outlineLevel="0" collapsed="false">
      <c r="A868" s="902" t="s">
        <v>4154</v>
      </c>
      <c r="B868" s="909" t="n">
        <v>0</v>
      </c>
      <c r="C868" s="910" t="n">
        <v>0.25</v>
      </c>
      <c r="D868" s="910" t="n">
        <v>0.25</v>
      </c>
      <c r="E868" s="910" t="n">
        <v>0.75</v>
      </c>
      <c r="F868" s="902" t="n">
        <v>1</v>
      </c>
      <c r="G868" s="910" t="n">
        <v>0</v>
      </c>
      <c r="H868" s="902" t="n">
        <v>1</v>
      </c>
      <c r="I868" s="910" t="n">
        <v>0</v>
      </c>
      <c r="J868" s="902" t="n">
        <v>1</v>
      </c>
      <c r="K868" s="910" t="n">
        <v>0.75</v>
      </c>
      <c r="L868" s="910" t="n">
        <v>0.75</v>
      </c>
      <c r="M868" s="911" t="n">
        <v>0</v>
      </c>
      <c r="N868" s="904" t="n">
        <v>5.75</v>
      </c>
    </row>
    <row r="869" customFormat="false" ht="15" hidden="false" customHeight="false" outlineLevel="0" collapsed="false">
      <c r="A869" s="902" t="s">
        <v>4155</v>
      </c>
      <c r="B869" s="909" t="n">
        <v>0</v>
      </c>
      <c r="C869" s="910" t="n">
        <v>0</v>
      </c>
      <c r="D869" s="910" t="n">
        <v>0</v>
      </c>
      <c r="E869" s="910" t="n">
        <v>0</v>
      </c>
      <c r="F869" s="910" t="n">
        <v>0.5</v>
      </c>
      <c r="G869" s="910" t="n">
        <v>0.5</v>
      </c>
      <c r="H869" s="910" t="n">
        <v>0.25</v>
      </c>
      <c r="I869" s="910" t="n">
        <v>0.75</v>
      </c>
      <c r="J869" s="910" t="n">
        <v>0</v>
      </c>
      <c r="K869" s="910" t="n">
        <v>0.5</v>
      </c>
      <c r="L869" s="910" t="n">
        <v>0.5</v>
      </c>
      <c r="M869" s="911" t="n">
        <v>0.25</v>
      </c>
      <c r="N869" s="904" t="n">
        <v>3.25</v>
      </c>
    </row>
    <row r="870" customFormat="false" ht="15" hidden="false" customHeight="false" outlineLevel="0" collapsed="false">
      <c r="A870" s="902" t="s">
        <v>4156</v>
      </c>
      <c r="B870" s="912" t="n">
        <v>1</v>
      </c>
      <c r="C870" s="902" t="n">
        <v>1</v>
      </c>
      <c r="D870" s="902" t="n">
        <v>1</v>
      </c>
      <c r="E870" s="902" t="n">
        <v>1</v>
      </c>
      <c r="F870" s="902" t="n">
        <v>1</v>
      </c>
      <c r="G870" s="910" t="n">
        <v>0</v>
      </c>
      <c r="H870" s="902" t="n">
        <v>1</v>
      </c>
      <c r="I870" s="910" t="n">
        <v>0</v>
      </c>
      <c r="J870" s="902" t="n">
        <v>1</v>
      </c>
      <c r="K870" s="902" t="n">
        <v>1</v>
      </c>
      <c r="L870" s="902" t="n">
        <v>1</v>
      </c>
      <c r="M870" s="911" t="n">
        <v>0.5</v>
      </c>
      <c r="N870" s="904" t="n">
        <v>9.5</v>
      </c>
    </row>
    <row r="871" customFormat="false" ht="15" hidden="false" customHeight="false" outlineLevel="0" collapsed="false">
      <c r="A871" s="902" t="s">
        <v>4157</v>
      </c>
      <c r="B871" s="912" t="n">
        <v>1</v>
      </c>
      <c r="C871" s="902" t="n">
        <v>1</v>
      </c>
      <c r="D871" s="902" t="n">
        <v>1</v>
      </c>
      <c r="E871" s="902" t="n">
        <v>1</v>
      </c>
      <c r="F871" s="902" t="n">
        <v>1</v>
      </c>
      <c r="G871" s="910" t="n">
        <v>0.25</v>
      </c>
      <c r="H871" s="902" t="n">
        <v>1</v>
      </c>
      <c r="I871" s="910" t="n">
        <v>0.25</v>
      </c>
      <c r="J871" s="902" t="n">
        <v>1</v>
      </c>
      <c r="K871" s="902" t="n">
        <v>1</v>
      </c>
      <c r="L871" s="902" t="n">
        <v>1</v>
      </c>
      <c r="M871" s="911" t="n">
        <v>0.5</v>
      </c>
      <c r="N871" s="904" t="n">
        <v>10</v>
      </c>
    </row>
    <row r="872" customFormat="false" ht="15" hidden="false" customHeight="false" outlineLevel="0" collapsed="false">
      <c r="A872" s="902" t="s">
        <v>4158</v>
      </c>
      <c r="B872" s="912" t="n">
        <v>1</v>
      </c>
      <c r="C872" s="902" t="n">
        <v>1</v>
      </c>
      <c r="D872" s="910" t="n">
        <v>0.75</v>
      </c>
      <c r="E872" s="902" t="n">
        <v>1</v>
      </c>
      <c r="F872" s="902" t="n">
        <v>1</v>
      </c>
      <c r="G872" s="910" t="n">
        <v>0</v>
      </c>
      <c r="H872" s="910" t="n">
        <v>0.75</v>
      </c>
      <c r="I872" s="910" t="n">
        <v>0.5</v>
      </c>
      <c r="J872" s="902" t="n">
        <v>1</v>
      </c>
      <c r="K872" s="902" t="n">
        <v>1</v>
      </c>
      <c r="L872" s="902" t="n">
        <v>1</v>
      </c>
      <c r="M872" s="911" t="n">
        <v>0.75</v>
      </c>
      <c r="N872" s="904" t="n">
        <v>9.75</v>
      </c>
    </row>
    <row r="873" customFormat="false" ht="15" hidden="false" customHeight="false" outlineLevel="0" collapsed="false">
      <c r="A873" s="902" t="s">
        <v>4159</v>
      </c>
      <c r="B873" s="913" t="n">
        <v>0</v>
      </c>
      <c r="C873" s="914" t="n">
        <v>1</v>
      </c>
      <c r="D873" s="915" t="n">
        <v>0</v>
      </c>
      <c r="E873" s="915" t="n">
        <v>0</v>
      </c>
      <c r="F873" s="915" t="n">
        <v>0.25</v>
      </c>
      <c r="G873" s="915" t="n">
        <v>0</v>
      </c>
      <c r="H873" s="915" t="n">
        <v>0</v>
      </c>
      <c r="I873" s="915" t="n">
        <v>0.5</v>
      </c>
      <c r="J873" s="915" t="n">
        <v>0</v>
      </c>
      <c r="K873" s="915" t="n">
        <v>0</v>
      </c>
      <c r="L873" s="915" t="n">
        <v>0.25</v>
      </c>
      <c r="M873" s="916" t="n">
        <v>0</v>
      </c>
      <c r="N873" s="904" t="n">
        <v>2</v>
      </c>
    </row>
    <row r="874" customFormat="false" ht="15" hidden="false" customHeight="false" outlineLevel="0" collapsed="false">
      <c r="A874" s="917" t="s">
        <v>320</v>
      </c>
      <c r="B874" s="918" t="n">
        <v>7.5</v>
      </c>
      <c r="C874" s="918" t="n">
        <v>8.75</v>
      </c>
      <c r="D874" s="918" t="n">
        <v>7.25</v>
      </c>
      <c r="E874" s="918" t="n">
        <v>9</v>
      </c>
      <c r="F874" s="918" t="n">
        <v>9.75</v>
      </c>
      <c r="G874" s="918" t="n">
        <v>2</v>
      </c>
      <c r="H874" s="918" t="n">
        <v>7.25</v>
      </c>
      <c r="I874" s="918" t="n">
        <v>2.75</v>
      </c>
      <c r="J874" s="918" t="n">
        <v>9</v>
      </c>
      <c r="K874" s="918" t="n">
        <v>9</v>
      </c>
      <c r="L874" s="918" t="n">
        <v>9.75</v>
      </c>
      <c r="M874" s="918" t="n">
        <v>2.25</v>
      </c>
      <c r="N874" s="919" t="n">
        <v>84.3</v>
      </c>
    </row>
    <row r="878" customFormat="false" ht="15" hidden="false" customHeight="false" outlineLevel="0" collapsed="false">
      <c r="A878" s="565" t="s">
        <v>184</v>
      </c>
      <c r="B878" s="565" t="s">
        <v>245</v>
      </c>
      <c r="C878" s="565" t="s">
        <v>4160</v>
      </c>
    </row>
    <row r="879" customFormat="false" ht="15" hidden="false" customHeight="false" outlineLevel="0" collapsed="false">
      <c r="A879" s="565" t="s">
        <v>4161</v>
      </c>
      <c r="B879" s="565" t="s">
        <v>4027</v>
      </c>
      <c r="C879" s="565" t="s">
        <v>4162</v>
      </c>
    </row>
    <row r="880" customFormat="false" ht="15" hidden="false" customHeight="false" outlineLevel="0" collapsed="false">
      <c r="A880" s="565" t="s">
        <v>4163</v>
      </c>
      <c r="B880" s="565" t="s">
        <v>4115</v>
      </c>
      <c r="C880" s="565" t="s">
        <v>4099</v>
      </c>
    </row>
  </sheetData>
  <mergeCells count="22">
    <mergeCell ref="AH46:AI46"/>
    <mergeCell ref="A213:B213"/>
    <mergeCell ref="B421:D421"/>
    <mergeCell ref="B432:C432"/>
    <mergeCell ref="B437:C437"/>
    <mergeCell ref="B440:D440"/>
    <mergeCell ref="B446:D446"/>
    <mergeCell ref="B452:D452"/>
    <mergeCell ref="B458:D458"/>
    <mergeCell ref="B464:D464"/>
    <mergeCell ref="B470:D470"/>
    <mergeCell ref="B475:D475"/>
    <mergeCell ref="B479:D479"/>
    <mergeCell ref="A507:C507"/>
    <mergeCell ref="A519:E519"/>
    <mergeCell ref="B532:E532"/>
    <mergeCell ref="B553:C553"/>
    <mergeCell ref="D553:E553"/>
    <mergeCell ref="F553:G553"/>
    <mergeCell ref="H553:I553"/>
    <mergeCell ref="A689:A695"/>
    <mergeCell ref="A696:A702"/>
  </mergeCells>
  <conditionalFormatting sqref="B771:H819">
    <cfRule type="cellIs" priority="2" operator="equal" aboveAverage="0" equalAverage="0" bottom="0" percent="0" rank="0" text="" dxfId="36">
      <formula>$B$769</formula>
    </cfRule>
  </conditionalFormatting>
  <conditionalFormatting sqref="B874:M874 N862:N873">
    <cfRule type="cellIs" priority="3" operator="greaterThan" aboveAverage="0" equalAverage="0" bottom="0" percent="0" rank="0" text="" dxfId="37">
      <formula>8</formula>
    </cfRule>
    <cfRule type="cellIs" priority="4" operator="lessThan" aboveAverage="0" equalAverage="0" bottom="0" percent="0" rank="0" text="" dxfId="38">
      <formula>7</formula>
    </cfRule>
  </conditionalFormatting>
  <hyperlinks>
    <hyperlink ref="B599" r:id="rId2" display="Name (IAST)"/>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tableParts>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76"/>
  <sheetViews>
    <sheetView showFormulas="false" showGridLines="true" showRowColHeaders="true" showZeros="true" rightToLeft="false" tabSelected="false" showOutlineSymbols="true" defaultGridColor="true" view="normal" topLeftCell="A1" colorId="64" zoomScale="181" zoomScaleNormal="181" zoomScalePageLayoutView="100" workbookViewId="0">
      <selection pane="topLeft" activeCell="B11" activeCellId="0" sqref="B11"/>
    </sheetView>
  </sheetViews>
  <sheetFormatPr defaultColWidth="9.1484375" defaultRowHeight="15" customHeight="true" zeroHeight="false" outlineLevelRow="0" outlineLevelCol="0"/>
  <cols>
    <col collapsed="false" customWidth="true" hidden="false" outlineLevel="0" max="1" min="1" style="920" width="5.29"/>
    <col collapsed="false" customWidth="true" hidden="false" outlineLevel="0" max="2" min="2" style="920" width="4.42"/>
    <col collapsed="false" customWidth="true" hidden="false" outlineLevel="0" max="3" min="3" style="920" width="6.14"/>
    <col collapsed="false" customWidth="true" hidden="false" outlineLevel="0" max="4" min="4" style="920" width="6.71"/>
    <col collapsed="false" customWidth="true" hidden="false" outlineLevel="0" max="5" min="5" style="920" width="4.29"/>
    <col collapsed="false" customWidth="true" hidden="false" outlineLevel="0" max="6" min="6" style="920" width="8"/>
    <col collapsed="false" customWidth="true" hidden="false" outlineLevel="0" max="7" min="7" style="920" width="7.57"/>
    <col collapsed="false" customWidth="true" hidden="false" outlineLevel="0" max="8" min="8" style="920" width="9"/>
    <col collapsed="false" customWidth="true" hidden="false" outlineLevel="0" max="9" min="9" style="920" width="7.16"/>
    <col collapsed="false" customWidth="true" hidden="false" outlineLevel="0" max="10" min="10" style="920" width="5.14"/>
    <col collapsed="false" customWidth="true" hidden="false" outlineLevel="0" max="11" min="11" style="920" width="7.16"/>
    <col collapsed="false" customWidth="true" hidden="false" outlineLevel="0" max="12" min="12" style="920" width="6.43"/>
    <col collapsed="false" customWidth="true" hidden="false" outlineLevel="0" max="13" min="13" style="920" width="7.16"/>
    <col collapsed="false" customWidth="true" hidden="false" outlineLevel="0" max="14" min="14" style="920" width="4.86"/>
    <col collapsed="false" customWidth="true" hidden="false" outlineLevel="0" max="15" min="15" style="920" width="7.16"/>
    <col collapsed="false" customWidth="true" hidden="false" outlineLevel="0" max="16" min="16" style="920" width="4.86"/>
    <col collapsed="false" customWidth="true" hidden="false" outlineLevel="0" max="17" min="17" style="920" width="7.16"/>
    <col collapsed="false" customWidth="true" hidden="false" outlineLevel="0" max="18" min="18" style="920" width="6.71"/>
    <col collapsed="false" customWidth="true" hidden="false" outlineLevel="0" max="19" min="19" style="920" width="6.14"/>
    <col collapsed="false" customWidth="false" hidden="false" outlineLevel="0" max="21" min="20" style="920" width="9.14"/>
    <col collapsed="false" customWidth="false" hidden="false" outlineLevel="0" max="22" min="22" style="921" width="9.14"/>
    <col collapsed="false" customWidth="false" hidden="false" outlineLevel="0" max="1024" min="23" style="920" width="9.14"/>
  </cols>
  <sheetData>
    <row r="1" customFormat="false" ht="15.75" hidden="false" customHeight="true" outlineLevel="0" collapsed="false">
      <c r="A1" s="922" t="s">
        <v>4164</v>
      </c>
      <c r="B1" s="922"/>
      <c r="C1" s="922"/>
      <c r="D1" s="920" t="n">
        <f aca="false">DinaMaana</f>
        <v>31.7083333333333</v>
      </c>
      <c r="G1" s="19" t="s">
        <v>4165</v>
      </c>
      <c r="H1" s="19"/>
      <c r="I1" s="920" t="n">
        <f aca="false">CHOOSE(MOD(D6+6,7)+1,1,7,2,4,3,5,6)</f>
        <v>6</v>
      </c>
      <c r="K1" s="206" t="s">
        <v>4166</v>
      </c>
      <c r="L1" s="923" t="s">
        <v>4167</v>
      </c>
      <c r="M1" s="923"/>
      <c r="N1" s="923"/>
      <c r="O1" s="923" t="s">
        <v>4168</v>
      </c>
      <c r="P1" s="923"/>
      <c r="Q1" s="923"/>
      <c r="R1" s="19" t="s">
        <v>4169</v>
      </c>
      <c r="S1" s="19"/>
      <c r="T1" s="920" t="s">
        <v>125</v>
      </c>
    </row>
    <row r="2" customFormat="false" ht="15" hidden="false" customHeight="false" outlineLevel="0" collapsed="false">
      <c r="A2" s="922" t="s">
        <v>4170</v>
      </c>
      <c r="B2" s="922"/>
      <c r="C2" s="922"/>
      <c r="D2" s="920" t="n">
        <f aca="false">RatriMaana</f>
        <v>28.2916666666667</v>
      </c>
      <c r="G2" s="19" t="s">
        <v>4171</v>
      </c>
      <c r="H2" s="19"/>
      <c r="I2" s="920" t="n">
        <f aca="false">CHOOSE(MOD(D6+6,7)+1,4,2,4,1,11,2,7)</f>
        <v>7</v>
      </c>
      <c r="K2" s="924" t="s">
        <v>124</v>
      </c>
      <c r="L2" s="925" t="s">
        <v>3156</v>
      </c>
      <c r="M2" s="926" t="s">
        <v>4172</v>
      </c>
      <c r="N2" s="927" t="s">
        <v>4173</v>
      </c>
      <c r="O2" s="925" t="s">
        <v>3474</v>
      </c>
      <c r="P2" s="926" t="s">
        <v>4172</v>
      </c>
      <c r="Q2" s="927" t="s">
        <v>4173</v>
      </c>
      <c r="R2" s="928" t="s">
        <v>4174</v>
      </c>
      <c r="S2" s="929" t="s">
        <v>4175</v>
      </c>
      <c r="T2" s="920" t="s">
        <v>4176</v>
      </c>
      <c r="AB2" s="920" t="s">
        <v>4177</v>
      </c>
    </row>
    <row r="3" customFormat="false" ht="15" hidden="false" customHeight="false" outlineLevel="0" collapsed="false">
      <c r="A3" s="922" t="s">
        <v>4178</v>
      </c>
      <c r="B3" s="922"/>
      <c r="C3" s="922"/>
      <c r="D3" s="930" t="n">
        <f aca="false">JanmaGhatika</f>
        <v>7.91180555416667</v>
      </c>
      <c r="G3" s="19" t="s">
        <v>4179</v>
      </c>
      <c r="H3" s="19"/>
      <c r="I3" s="920" t="n">
        <f aca="false">30/8</f>
        <v>3.75</v>
      </c>
      <c r="K3" s="924" t="s">
        <v>158</v>
      </c>
      <c r="L3" s="931" t="n">
        <v>26</v>
      </c>
      <c r="M3" s="932" t="n">
        <f aca="false">INT(L3/3.75)+1</f>
        <v>7</v>
      </c>
      <c r="N3" s="933" t="n">
        <f aca="false">MOD(L3/0.25,15)</f>
        <v>14</v>
      </c>
      <c r="O3" s="931" t="n">
        <v>10</v>
      </c>
      <c r="P3" s="932" t="n">
        <f aca="false">INT(O3/3.75)+1</f>
        <v>3</v>
      </c>
      <c r="Q3" s="933" t="n">
        <f aca="false">MOD(O3/0.25,15)</f>
        <v>10</v>
      </c>
      <c r="R3" s="934" t="n">
        <f aca="false">S4</f>
        <v>22.5</v>
      </c>
      <c r="S3" s="935" t="n">
        <f aca="false">30-$I$3</f>
        <v>26.25</v>
      </c>
      <c r="T3" s="920" t="n">
        <f aca="false">MOD(L3,3.75)</f>
        <v>3.5</v>
      </c>
      <c r="U3" s="920" t="n">
        <f aca="false">MOD(O3,3.75)</f>
        <v>2.5</v>
      </c>
    </row>
    <row r="4" customFormat="false" ht="15" hidden="false" customHeight="false" outlineLevel="0" collapsed="false">
      <c r="A4" s="922" t="s">
        <v>4180</v>
      </c>
      <c r="B4" s="922"/>
      <c r="C4" s="922"/>
      <c r="D4" s="920" t="n">
        <f aca="false">IF(DayBirth,D3/D1*8,(D3-D1)/D2*8)</f>
        <v>1.99614542233903</v>
      </c>
      <c r="G4" s="19" t="s">
        <v>4181</v>
      </c>
      <c r="H4" s="19"/>
      <c r="I4" s="920" t="n">
        <f aca="false">I3/15</f>
        <v>0.25</v>
      </c>
      <c r="J4" s="17"/>
      <c r="K4" s="924" t="s">
        <v>3981</v>
      </c>
      <c r="L4" s="931" t="n">
        <v>22</v>
      </c>
      <c r="M4" s="932" t="n">
        <f aca="false">INT(L4/3.75)+1</f>
        <v>6</v>
      </c>
      <c r="N4" s="933" t="n">
        <f aca="false">MOD(L4/0.25,15)</f>
        <v>13</v>
      </c>
      <c r="O4" s="931" t="n">
        <v>6</v>
      </c>
      <c r="P4" s="932" t="n">
        <f aca="false">INT(O4/3.75)+1</f>
        <v>2</v>
      </c>
      <c r="Q4" s="933" t="n">
        <f aca="false">MOD(O4/0.25,15)</f>
        <v>9</v>
      </c>
      <c r="R4" s="934" t="n">
        <f aca="false">S5</f>
        <v>18.75</v>
      </c>
      <c r="S4" s="935" t="n">
        <f aca="false">S3-$I$3</f>
        <v>22.5</v>
      </c>
      <c r="T4" s="920" t="n">
        <f aca="false">MOD(L4,3.75)</f>
        <v>3.25</v>
      </c>
      <c r="U4" s="920" t="n">
        <f aca="false">MOD(O4,3.75)</f>
        <v>2.25</v>
      </c>
      <c r="AB4" s="920" t="s">
        <v>4182</v>
      </c>
    </row>
    <row r="5" customFormat="false" ht="15" hidden="false" customHeight="false" outlineLevel="0" collapsed="false">
      <c r="A5" s="922" t="s">
        <v>4183</v>
      </c>
      <c r="B5" s="922"/>
      <c r="C5" s="922"/>
      <c r="D5" s="920" t="n">
        <f aca="false">D4*15</f>
        <v>29.9421813350854</v>
      </c>
      <c r="E5" s="922"/>
      <c r="F5" s="922"/>
      <c r="H5" s="920" t="s">
        <v>3156</v>
      </c>
      <c r="I5" s="920" t="n">
        <f aca="false">D1/120*24</f>
        <v>6.34166666666667</v>
      </c>
      <c r="J5" s="920" t="s">
        <v>4184</v>
      </c>
      <c r="K5" s="924" t="s">
        <v>3982</v>
      </c>
      <c r="L5" s="931" t="n">
        <v>18</v>
      </c>
      <c r="M5" s="932" t="n">
        <f aca="false">INT(L5/3.75)+1</f>
        <v>5</v>
      </c>
      <c r="N5" s="933" t="n">
        <f aca="false">MOD(L5/0.25,15)</f>
        <v>12</v>
      </c>
      <c r="O5" s="931" t="n">
        <v>2</v>
      </c>
      <c r="P5" s="932" t="n">
        <f aca="false">INT(O5/3.75)+1</f>
        <v>1</v>
      </c>
      <c r="Q5" s="933" t="n">
        <f aca="false">MOD(O5/0.25,15)</f>
        <v>8</v>
      </c>
      <c r="R5" s="934" t="n">
        <f aca="false">S6</f>
        <v>15</v>
      </c>
      <c r="S5" s="935" t="n">
        <f aca="false">S4-$I$3</f>
        <v>18.75</v>
      </c>
      <c r="T5" s="920" t="n">
        <f aca="false">MOD(L5,3.75)</f>
        <v>3</v>
      </c>
      <c r="U5" s="920" t="n">
        <f aca="false">MOD(O5,3.75)</f>
        <v>2</v>
      </c>
    </row>
    <row r="6" customFormat="false" ht="15" hidden="false" customHeight="false" outlineLevel="0" collapsed="false">
      <c r="A6" s="188" t="s">
        <v>3156</v>
      </c>
      <c r="B6" s="188"/>
      <c r="C6" s="188"/>
      <c r="D6" s="936" t="n">
        <f aca="false">PanchangaVaara</f>
        <v>7.13186342590778</v>
      </c>
      <c r="F6" s="53"/>
      <c r="H6" s="920" t="s">
        <v>4185</v>
      </c>
      <c r="I6" s="920" t="n">
        <f aca="false">D2/120*24</f>
        <v>5.65833333333333</v>
      </c>
      <c r="J6" s="920" t="s">
        <v>4184</v>
      </c>
      <c r="K6" s="924" t="s">
        <v>3983</v>
      </c>
      <c r="L6" s="931" t="n">
        <v>14</v>
      </c>
      <c r="M6" s="932" t="n">
        <f aca="false">INT(L6/3.75)+1</f>
        <v>4</v>
      </c>
      <c r="N6" s="933" t="n">
        <f aca="false">MOD(L6/0.25,15)</f>
        <v>11</v>
      </c>
      <c r="O6" s="931" t="n">
        <v>26</v>
      </c>
      <c r="P6" s="932" t="n">
        <f aca="false">INT(O6/3.75)+1</f>
        <v>7</v>
      </c>
      <c r="Q6" s="933" t="n">
        <f aca="false">MOD(O6/0.25,15)</f>
        <v>14</v>
      </c>
      <c r="R6" s="934" t="n">
        <f aca="false">S7</f>
        <v>11.25</v>
      </c>
      <c r="S6" s="935" t="n">
        <f aca="false">S5-$I$3</f>
        <v>15</v>
      </c>
      <c r="T6" s="920" t="n">
        <f aca="false">MOD(L6,3.75)</f>
        <v>2.75</v>
      </c>
      <c r="U6" s="920" t="n">
        <f aca="false">MOD(O6,3.75)</f>
        <v>3.5</v>
      </c>
      <c r="AB6" s="920" t="s">
        <v>4186</v>
      </c>
    </row>
    <row r="7" customFormat="false" ht="15" hidden="false" customHeight="false" outlineLevel="0" collapsed="false">
      <c r="A7" s="188" t="s">
        <v>4187</v>
      </c>
      <c r="B7" s="188"/>
      <c r="C7" s="188"/>
      <c r="D7" s="920" t="n">
        <f aca="false">DayBirth</f>
        <v>1</v>
      </c>
      <c r="K7" s="924" t="s">
        <v>4188</v>
      </c>
      <c r="L7" s="931" t="n">
        <v>10</v>
      </c>
      <c r="M7" s="932" t="n">
        <f aca="false">INT(L7/3.75)+1</f>
        <v>3</v>
      </c>
      <c r="N7" s="933" t="n">
        <f aca="false">MOD(L7/0.25,15)</f>
        <v>10</v>
      </c>
      <c r="O7" s="931" t="n">
        <v>22</v>
      </c>
      <c r="P7" s="932" t="n">
        <f aca="false">INT(O7/3.75)+1</f>
        <v>6</v>
      </c>
      <c r="Q7" s="933" t="n">
        <f aca="false">MOD(O7/0.25,15)</f>
        <v>13</v>
      </c>
      <c r="R7" s="934" t="n">
        <f aca="false">S8</f>
        <v>7.5</v>
      </c>
      <c r="S7" s="935" t="n">
        <f aca="false">S6-$I$3</f>
        <v>11.25</v>
      </c>
      <c r="T7" s="920" t="n">
        <f aca="false">MOD(L7,3.75)</f>
        <v>2.5</v>
      </c>
      <c r="U7" s="920" t="n">
        <f aca="false">MOD(O7,3.75)</f>
        <v>3.25</v>
      </c>
    </row>
    <row r="8" customFormat="false" ht="15" hidden="false" customHeight="false" outlineLevel="0" collapsed="false">
      <c r="K8" s="924" t="s">
        <v>3985</v>
      </c>
      <c r="L8" s="931" t="n">
        <v>6</v>
      </c>
      <c r="M8" s="932" t="n">
        <f aca="false">INT(L8/3.75)+1</f>
        <v>2</v>
      </c>
      <c r="N8" s="933" t="n">
        <f aca="false">MOD(L8/0.25,15)</f>
        <v>9</v>
      </c>
      <c r="O8" s="931" t="n">
        <v>18</v>
      </c>
      <c r="P8" s="932" t="n">
        <f aca="false">INT(O8/3.75)+1</f>
        <v>5</v>
      </c>
      <c r="Q8" s="933" t="n">
        <f aca="false">MOD(O8/0.25,15)</f>
        <v>12</v>
      </c>
      <c r="R8" s="934" t="n">
        <f aca="false">S9</f>
        <v>3.75</v>
      </c>
      <c r="S8" s="935" t="n">
        <f aca="false">S7-$I$3</f>
        <v>7.5</v>
      </c>
      <c r="T8" s="920" t="n">
        <f aca="false">MOD(L8,3.75)</f>
        <v>2.25</v>
      </c>
      <c r="U8" s="920" t="n">
        <f aca="false">MOD(O8,3.75)</f>
        <v>3</v>
      </c>
      <c r="AB8" s="920" t="s">
        <v>4189</v>
      </c>
    </row>
    <row r="9" customFormat="false" ht="15" hidden="false" customHeight="false" outlineLevel="0" collapsed="false">
      <c r="K9" s="924" t="s">
        <v>462</v>
      </c>
      <c r="L9" s="937" t="n">
        <v>2</v>
      </c>
      <c r="M9" s="938" t="n">
        <f aca="false">INT(L9/3.75)+1</f>
        <v>1</v>
      </c>
      <c r="N9" s="939" t="n">
        <f aca="false">MOD(L9/0.25,15)</f>
        <v>8</v>
      </c>
      <c r="O9" s="937" t="n">
        <v>14</v>
      </c>
      <c r="P9" s="938" t="n">
        <f aca="false">INT(O9/3.75)+1</f>
        <v>4</v>
      </c>
      <c r="Q9" s="939" t="n">
        <f aca="false">MOD(O9/0.25,15)</f>
        <v>11</v>
      </c>
      <c r="R9" s="940" t="n">
        <v>0</v>
      </c>
      <c r="S9" s="941" t="n">
        <f aca="false">S8-$I$3</f>
        <v>3.75</v>
      </c>
      <c r="T9" s="920" t="n">
        <f aca="false">MOD(L9,3.75)</f>
        <v>2</v>
      </c>
      <c r="U9" s="920" t="n">
        <f aca="false">MOD(O9,3.75)</f>
        <v>2.75</v>
      </c>
    </row>
    <row r="10" customFormat="false" ht="15" hidden="false" customHeight="false" outlineLevel="0" collapsed="false">
      <c r="B10" s="942" t="s">
        <v>3156</v>
      </c>
      <c r="C10" s="942"/>
      <c r="D10" s="942"/>
      <c r="E10" s="942"/>
      <c r="F10" s="942"/>
      <c r="G10" s="942"/>
      <c r="H10" s="942"/>
      <c r="I10" s="942"/>
      <c r="J10" s="942"/>
      <c r="K10" s="942"/>
      <c r="L10" s="942"/>
      <c r="M10" s="942"/>
      <c r="AB10" s="920" t="s">
        <v>4190</v>
      </c>
    </row>
    <row r="11" customFormat="false" ht="15" hidden="false" customHeight="false" outlineLevel="0" collapsed="false">
      <c r="B11" s="943" t="str">
        <f aca="false">"Yama:"&amp;CHOOSE(MOD(B12/240*8/6+$I$1+7,8)+1,"Sun","Mars","Jupiter","Mercury","Venus","Saturn","Moon","Rahu")</f>
        <v>Yama:Saturn</v>
      </c>
      <c r="C11" s="943"/>
      <c r="D11" s="943"/>
      <c r="E11" s="943" t="str">
        <f aca="false">"Yama:"&amp;CHOOSE(MOD(E12/240*8/6+$I$1+7,8)+1,"Sun","Mars","Jupiter","Mercury","Venus","Saturn","Moon","Rahu")</f>
        <v>Yama:Moon</v>
      </c>
      <c r="F11" s="943"/>
      <c r="G11" s="943"/>
      <c r="H11" s="943" t="str">
        <f aca="false">"Yama:"&amp;CHOOSE(MOD(H12/240*8/6+$I$1+7,8)+1,"Sun","Mars","Jupiter","Mercury","Venus","Saturn","Moon","Rahu")</f>
        <v>Yama:Rahu</v>
      </c>
      <c r="I11" s="943"/>
      <c r="J11" s="943"/>
      <c r="K11" s="943" t="str">
        <f aca="false">"Yama:"&amp;CHOOSE(MOD(K12/240*8/6+$I$1+7,8)+1,"Sun","Mars","Jupiter","Mercury","Venus","Saturn","Moon","Rahu")</f>
        <v>Yama:Sun</v>
      </c>
      <c r="L11" s="943"/>
      <c r="M11" s="943"/>
      <c r="T11" s="920" t="n">
        <f aca="false">0.25*60</f>
        <v>15</v>
      </c>
    </row>
    <row r="12" customFormat="false" ht="15" hidden="false" customHeight="false" outlineLevel="0" collapsed="false">
      <c r="B12" s="944" t="n">
        <v>0</v>
      </c>
      <c r="C12" s="945" t="str">
        <f aca="false">"Kala: "&amp;CHOOSE(MOD(B12/120*8/6+$I$1+7,8)+1,"Sun","Mars","Jupiter","Mercury","Venus","Saturn","Moon","Rahu")&amp; " Upgraha: " &amp; CHOOSE(MOD(B12/6/120*8+PanchangaVaara+7,8)+1,"Kaala","-","Mrityu","Ardhaprahara","YamaGhanta","--","Gulika","--")</f>
        <v>Kala: Saturn Upgraha: Gulika</v>
      </c>
      <c r="D12" s="946" t="e">
        <f aca="false">#N/A</f>
        <v>#N/A</v>
      </c>
      <c r="E12" s="946" t="n">
        <f aca="false">B41+6</f>
        <v>180</v>
      </c>
      <c r="F12" s="945" t="str">
        <f aca="false">"Kala: "&amp;CHOOSE(MOD(E12/120*8/6+$I$1+7,8)+1,"Sun","Mars","Jupiter","Mercury","Venus","Saturn","Moon","Rahu")&amp; " Upgraha: " &amp; CHOOSE(MOD(E12/6/120*8+PanchangaVaara+7,8)+1,"Kaala","-","Mrityu","Ardhaprahara","YamaGhanta","--","Gulika","--")</f>
        <v>Kala: Rahu Upgraha: Kaala</v>
      </c>
      <c r="G12" s="946" t="e">
        <f aca="false">#N/A</f>
        <v>#N/A</v>
      </c>
      <c r="H12" s="946" t="n">
        <f aca="false">E41+6</f>
        <v>360</v>
      </c>
      <c r="I12" s="945" t="str">
        <f aca="false">"Kala: "&amp;CHOOSE(MOD(H12/120*8/6+$I$1+7,8)+1,"Sun","Mars","Jupiter","Mercury","Venus","Saturn","Moon","Rahu")&amp; " Upgraha: " &amp; CHOOSE(MOD(H12/6/120*8+PanchangaVaara+7,8)+1,"Kaala","-","Mrityu","Ardhaprahara","YamaGhanta","--","Gulika","--")</f>
        <v>Kala: Mars Upgraha: Mrityu</v>
      </c>
      <c r="J12" s="946" t="e">
        <f aca="false">#N/A</f>
        <v>#N/A</v>
      </c>
      <c r="K12" s="946" t="n">
        <f aca="false">H41+6</f>
        <v>540</v>
      </c>
      <c r="L12" s="945" t="str">
        <f aca="false">"Kala: "&amp;CHOOSE(MOD(K12/120*8/6+$I$1+7,8)+1,"Sun","Mars","Jupiter","Mercury","Venus","Saturn","Moon","Rahu")&amp; " Upgraha: " &amp; CHOOSE(MOD(K12/6/120*8+PanchangaVaara+7,8)+1,"Kaala","-","Mrityu","Ardhaprahara","YamaGhanta","--","Gulika","--")</f>
        <v>Kala: Mercury Upgraha: YamaGhanta</v>
      </c>
      <c r="M12" s="947" t="e">
        <f aca="false">#N/A</f>
        <v>#N/A</v>
      </c>
      <c r="Z12" s="948" t="n">
        <v>1</v>
      </c>
      <c r="AB12" s="920" t="s">
        <v>4191</v>
      </c>
    </row>
    <row r="13" customFormat="false" ht="15" hidden="false" customHeight="false" outlineLevel="0" collapsed="false">
      <c r="B13" s="944" t="n">
        <f aca="false">B12+6</f>
        <v>6</v>
      </c>
      <c r="C13" s="945"/>
      <c r="D13" s="946" t="e">
        <f aca="false">#N/A</f>
        <v>#N/A</v>
      </c>
      <c r="E13" s="949" t="n">
        <f aca="false">E12+6</f>
        <v>186</v>
      </c>
      <c r="F13" s="945"/>
      <c r="G13" s="946" t="e">
        <f aca="false">#N/A</f>
        <v>#N/A</v>
      </c>
      <c r="H13" s="949" t="n">
        <f aca="false">H12+6</f>
        <v>366</v>
      </c>
      <c r="I13" s="945"/>
      <c r="J13" s="946" t="e">
        <f aca="false">#N/A</f>
        <v>#N/A</v>
      </c>
      <c r="K13" s="949" t="n">
        <f aca="false">K12+6</f>
        <v>546</v>
      </c>
      <c r="L13" s="945"/>
      <c r="M13" s="947" t="e">
        <f aca="false">#N/A</f>
        <v>#N/A</v>
      </c>
      <c r="Z13" s="950" t="n">
        <v>2</v>
      </c>
    </row>
    <row r="14" customFormat="false" ht="15" hidden="false" customHeight="false" outlineLevel="0" collapsed="false">
      <c r="B14" s="944" t="n">
        <f aca="false">B13+6</f>
        <v>12</v>
      </c>
      <c r="C14" s="945"/>
      <c r="D14" s="946" t="e">
        <f aca="false">#N/A</f>
        <v>#N/A</v>
      </c>
      <c r="E14" s="949" t="n">
        <f aca="false">E13+6</f>
        <v>192</v>
      </c>
      <c r="F14" s="945"/>
      <c r="G14" s="946" t="e">
        <f aca="false">#N/A</f>
        <v>#N/A</v>
      </c>
      <c r="H14" s="949" t="n">
        <f aca="false">H13+6</f>
        <v>372</v>
      </c>
      <c r="I14" s="945"/>
      <c r="J14" s="946" t="e">
        <f aca="false">#N/A</f>
        <v>#N/A</v>
      </c>
      <c r="K14" s="949" t="n">
        <f aca="false">K13+6</f>
        <v>552</v>
      </c>
      <c r="L14" s="945"/>
      <c r="M14" s="947" t="e">
        <f aca="false">#N/A</f>
        <v>#N/A</v>
      </c>
      <c r="Z14" s="950" t="n">
        <v>3</v>
      </c>
      <c r="AB14" s="920" t="s">
        <v>4192</v>
      </c>
    </row>
    <row r="15" customFormat="false" ht="15" hidden="false" customHeight="false" outlineLevel="0" collapsed="false">
      <c r="B15" s="944" t="n">
        <f aca="false">B14+6</f>
        <v>18</v>
      </c>
      <c r="C15" s="945"/>
      <c r="D15" s="946" t="e">
        <f aca="false">#N/A</f>
        <v>#N/A</v>
      </c>
      <c r="E15" s="949" t="n">
        <f aca="false">E14+6</f>
        <v>198</v>
      </c>
      <c r="F15" s="945"/>
      <c r="G15" s="946" t="e">
        <f aca="false">#N/A</f>
        <v>#N/A</v>
      </c>
      <c r="H15" s="949" t="n">
        <f aca="false">H14+6</f>
        <v>378</v>
      </c>
      <c r="I15" s="945"/>
      <c r="J15" s="946" t="e">
        <f aca="false">#N/A</f>
        <v>#N/A</v>
      </c>
      <c r="K15" s="949" t="n">
        <f aca="false">K14+6</f>
        <v>558</v>
      </c>
      <c r="L15" s="945"/>
      <c r="M15" s="947" t="e">
        <f aca="false">#N/A</f>
        <v>#N/A</v>
      </c>
      <c r="Z15" s="950" t="n">
        <v>4</v>
      </c>
    </row>
    <row r="16" customFormat="false" ht="15" hidden="false" customHeight="false" outlineLevel="0" collapsed="false">
      <c r="B16" s="944" t="n">
        <f aca="false">B15+6</f>
        <v>24</v>
      </c>
      <c r="C16" s="945"/>
      <c r="D16" s="946" t="e">
        <f aca="false">#N/A</f>
        <v>#N/A</v>
      </c>
      <c r="E16" s="949" t="n">
        <f aca="false">E15+6</f>
        <v>204</v>
      </c>
      <c r="F16" s="945"/>
      <c r="G16" s="946" t="e">
        <f aca="false">#N/A</f>
        <v>#N/A</v>
      </c>
      <c r="H16" s="949" t="n">
        <f aca="false">H15+6</f>
        <v>384</v>
      </c>
      <c r="I16" s="945"/>
      <c r="J16" s="946" t="e">
        <f aca="false">#N/A</f>
        <v>#N/A</v>
      </c>
      <c r="K16" s="949" t="n">
        <f aca="false">K15+6</f>
        <v>564</v>
      </c>
      <c r="L16" s="945"/>
      <c r="M16" s="947" t="e">
        <f aca="false">#N/A</f>
        <v>#N/A</v>
      </c>
      <c r="Z16" s="950" t="n">
        <v>5</v>
      </c>
      <c r="AB16" s="920" t="s">
        <v>4193</v>
      </c>
    </row>
    <row r="17" customFormat="false" ht="15" hidden="false" customHeight="false" outlineLevel="0" collapsed="false">
      <c r="B17" s="944" t="n">
        <f aca="false">B16+6</f>
        <v>30</v>
      </c>
      <c r="C17" s="945"/>
      <c r="D17" s="946" t="e">
        <f aca="false">#N/A</f>
        <v>#N/A</v>
      </c>
      <c r="E17" s="949" t="n">
        <f aca="false">E16+6</f>
        <v>210</v>
      </c>
      <c r="F17" s="945"/>
      <c r="G17" s="946" t="e">
        <f aca="false">#N/A</f>
        <v>#N/A</v>
      </c>
      <c r="H17" s="949" t="n">
        <f aca="false">H16+6</f>
        <v>390</v>
      </c>
      <c r="I17" s="945"/>
      <c r="J17" s="946" t="e">
        <f aca="false">#N/A</f>
        <v>#N/A</v>
      </c>
      <c r="K17" s="949" t="n">
        <f aca="false">K16+6</f>
        <v>570</v>
      </c>
      <c r="L17" s="945"/>
      <c r="M17" s="947" t="e">
        <f aca="false">#N/A</f>
        <v>#N/A</v>
      </c>
      <c r="Z17" s="950" t="n">
        <v>6</v>
      </c>
    </row>
    <row r="18" customFormat="false" ht="15" hidden="false" customHeight="false" outlineLevel="0" collapsed="false">
      <c r="B18" s="944" t="n">
        <f aca="false">B17+6</f>
        <v>36</v>
      </c>
      <c r="C18" s="945"/>
      <c r="D18" s="946" t="e">
        <f aca="false">#N/A</f>
        <v>#N/A</v>
      </c>
      <c r="E18" s="949" t="n">
        <f aca="false">E17+6</f>
        <v>216</v>
      </c>
      <c r="F18" s="945"/>
      <c r="G18" s="946" t="e">
        <f aca="false">#N/A</f>
        <v>#N/A</v>
      </c>
      <c r="H18" s="949" t="n">
        <f aca="false">H17+6</f>
        <v>396</v>
      </c>
      <c r="I18" s="945"/>
      <c r="J18" s="946" t="e">
        <f aca="false">#N/A</f>
        <v>#N/A</v>
      </c>
      <c r="K18" s="949" t="n">
        <f aca="false">K17+6</f>
        <v>576</v>
      </c>
      <c r="L18" s="945"/>
      <c r="M18" s="947" t="e">
        <f aca="false">#N/A</f>
        <v>#N/A</v>
      </c>
      <c r="Z18" s="950" t="n">
        <v>7</v>
      </c>
      <c r="AB18" s="920" t="s">
        <v>4194</v>
      </c>
    </row>
    <row r="19" customFormat="false" ht="15" hidden="false" customHeight="false" outlineLevel="0" collapsed="false">
      <c r="A19" s="951" t="n">
        <f aca="false">A35+1</f>
        <v>14</v>
      </c>
      <c r="B19" s="944" t="n">
        <f aca="false">B18+6</f>
        <v>42</v>
      </c>
      <c r="C19" s="945"/>
      <c r="D19" s="946" t="e">
        <f aca="false">#N/A</f>
        <v>#N/A</v>
      </c>
      <c r="E19" s="949" t="n">
        <f aca="false">E18+6</f>
        <v>222</v>
      </c>
      <c r="F19" s="945"/>
      <c r="G19" s="946" t="e">
        <f aca="false">#N/A</f>
        <v>#N/A</v>
      </c>
      <c r="H19" s="949" t="n">
        <f aca="false">H18+6</f>
        <v>402</v>
      </c>
      <c r="I19" s="945"/>
      <c r="J19" s="946" t="e">
        <f aca="false">#N/A</f>
        <v>#N/A</v>
      </c>
      <c r="K19" s="949" t="n">
        <f aca="false">K18+6</f>
        <v>582</v>
      </c>
      <c r="L19" s="945"/>
      <c r="M19" s="947" t="e">
        <f aca="false">#N/A</f>
        <v>#N/A</v>
      </c>
      <c r="Z19" s="950" t="n">
        <v>8</v>
      </c>
    </row>
    <row r="20" customFormat="false" ht="15" hidden="false" customHeight="false" outlineLevel="0" collapsed="false">
      <c r="B20" s="944" t="n">
        <f aca="false">B19+6</f>
        <v>48</v>
      </c>
      <c r="C20" s="945"/>
      <c r="D20" s="946" t="e">
        <f aca="false">#N/A</f>
        <v>#N/A</v>
      </c>
      <c r="E20" s="949" t="n">
        <f aca="false">E19+6</f>
        <v>228</v>
      </c>
      <c r="F20" s="945"/>
      <c r="G20" s="946" t="e">
        <f aca="false">#N/A</f>
        <v>#N/A</v>
      </c>
      <c r="H20" s="949" t="n">
        <f aca="false">H19+6</f>
        <v>408</v>
      </c>
      <c r="I20" s="945"/>
      <c r="J20" s="946" t="e">
        <f aca="false">#N/A</f>
        <v>#N/A</v>
      </c>
      <c r="K20" s="949" t="n">
        <f aca="false">K19+6</f>
        <v>588</v>
      </c>
      <c r="L20" s="945"/>
      <c r="M20" s="947" t="e">
        <f aca="false">#N/A</f>
        <v>#N/A</v>
      </c>
      <c r="Z20" s="950" t="n">
        <v>9</v>
      </c>
      <c r="AB20" s="920" t="s">
        <v>4195</v>
      </c>
    </row>
    <row r="21" customFormat="false" ht="15" hidden="false" customHeight="false" outlineLevel="0" collapsed="false">
      <c r="A21" s="951" t="n">
        <f aca="false">A37+1</f>
        <v>12</v>
      </c>
      <c r="B21" s="944" t="n">
        <f aca="false">B20+6</f>
        <v>54</v>
      </c>
      <c r="C21" s="945"/>
      <c r="D21" s="946" t="e">
        <f aca="false">#N/A</f>
        <v>#N/A</v>
      </c>
      <c r="E21" s="949" t="n">
        <f aca="false">E20+6</f>
        <v>234</v>
      </c>
      <c r="F21" s="945"/>
      <c r="G21" s="946" t="e">
        <f aca="false">#N/A</f>
        <v>#N/A</v>
      </c>
      <c r="H21" s="949" t="n">
        <f aca="false">H20+6</f>
        <v>414</v>
      </c>
      <c r="I21" s="945"/>
      <c r="J21" s="946" t="e">
        <f aca="false">#N/A</f>
        <v>#N/A</v>
      </c>
      <c r="K21" s="949" t="n">
        <f aca="false">K20+6</f>
        <v>594</v>
      </c>
      <c r="L21" s="945"/>
      <c r="M21" s="947" t="e">
        <f aca="false">#N/A</f>
        <v>#N/A</v>
      </c>
      <c r="Z21" s="950" t="n">
        <v>10</v>
      </c>
    </row>
    <row r="22" customFormat="false" ht="15" hidden="false" customHeight="false" outlineLevel="0" collapsed="false">
      <c r="B22" s="944" t="n">
        <f aca="false">B21+6</f>
        <v>60</v>
      </c>
      <c r="C22" s="945"/>
      <c r="D22" s="946" t="e">
        <f aca="false">#N/A</f>
        <v>#N/A</v>
      </c>
      <c r="E22" s="949" t="n">
        <f aca="false">E21+6</f>
        <v>240</v>
      </c>
      <c r="F22" s="945"/>
      <c r="G22" s="946" t="e">
        <f aca="false">#N/A</f>
        <v>#N/A</v>
      </c>
      <c r="H22" s="949" t="n">
        <f aca="false">H21+6</f>
        <v>420</v>
      </c>
      <c r="I22" s="945"/>
      <c r="J22" s="946" t="e">
        <f aca="false">#N/A</f>
        <v>#N/A</v>
      </c>
      <c r="K22" s="949" t="n">
        <f aca="false">K21+6</f>
        <v>600</v>
      </c>
      <c r="L22" s="945"/>
      <c r="M22" s="947" t="e">
        <f aca="false">#N/A</f>
        <v>#N/A</v>
      </c>
      <c r="Z22" s="950" t="n">
        <v>11</v>
      </c>
      <c r="AB22" s="920" t="s">
        <v>4196</v>
      </c>
    </row>
    <row r="23" customFormat="false" ht="15" hidden="false" customHeight="false" outlineLevel="0" collapsed="false">
      <c r="A23" s="951" t="n">
        <f aca="false">A39+1</f>
        <v>10</v>
      </c>
      <c r="B23" s="944" t="n">
        <f aca="false">B22+6</f>
        <v>66</v>
      </c>
      <c r="C23" s="945"/>
      <c r="D23" s="946" t="e">
        <f aca="false">#N/A</f>
        <v>#N/A</v>
      </c>
      <c r="E23" s="949" t="n">
        <f aca="false">E22+6</f>
        <v>246</v>
      </c>
      <c r="F23" s="945"/>
      <c r="G23" s="946" t="e">
        <f aca="false">#N/A</f>
        <v>#N/A</v>
      </c>
      <c r="H23" s="949" t="n">
        <f aca="false">H22+6</f>
        <v>426</v>
      </c>
      <c r="I23" s="945"/>
      <c r="J23" s="946" t="e">
        <f aca="false">#N/A</f>
        <v>#N/A</v>
      </c>
      <c r="K23" s="949" t="n">
        <f aca="false">K22+6</f>
        <v>606</v>
      </c>
      <c r="L23" s="945"/>
      <c r="M23" s="947" t="e">
        <f aca="false">#N/A</f>
        <v>#N/A</v>
      </c>
      <c r="Z23" s="950" t="n">
        <v>12</v>
      </c>
    </row>
    <row r="24" customFormat="false" ht="15" hidden="false" customHeight="false" outlineLevel="0" collapsed="false">
      <c r="B24" s="944" t="n">
        <f aca="false">B23+6</f>
        <v>72</v>
      </c>
      <c r="C24" s="945"/>
      <c r="D24" s="946" t="e">
        <f aca="false">#N/A</f>
        <v>#N/A</v>
      </c>
      <c r="E24" s="949" t="n">
        <f aca="false">E23+6</f>
        <v>252</v>
      </c>
      <c r="F24" s="945"/>
      <c r="G24" s="946" t="e">
        <f aca="false">#N/A</f>
        <v>#N/A</v>
      </c>
      <c r="H24" s="949" t="n">
        <f aca="false">H23+6</f>
        <v>432</v>
      </c>
      <c r="I24" s="945"/>
      <c r="J24" s="946" t="e">
        <f aca="false">#N/A</f>
        <v>#N/A</v>
      </c>
      <c r="K24" s="949" t="n">
        <f aca="false">K23+6</f>
        <v>612</v>
      </c>
      <c r="L24" s="945"/>
      <c r="M24" s="947" t="e">
        <f aca="false">#N/A</f>
        <v>#N/A</v>
      </c>
      <c r="Z24" s="950" t="n">
        <v>13</v>
      </c>
      <c r="AB24" s="920" t="s">
        <v>4186</v>
      </c>
    </row>
    <row r="25" customFormat="false" ht="15" hidden="false" customHeight="false" outlineLevel="0" collapsed="false">
      <c r="A25" s="951" t="n">
        <v>8</v>
      </c>
      <c r="B25" s="944" t="n">
        <f aca="false">B24+6</f>
        <v>78</v>
      </c>
      <c r="C25" s="945"/>
      <c r="D25" s="946" t="e">
        <f aca="false">#N/A</f>
        <v>#N/A</v>
      </c>
      <c r="E25" s="949" t="n">
        <f aca="false">E24+6</f>
        <v>258</v>
      </c>
      <c r="F25" s="945"/>
      <c r="G25" s="946" t="e">
        <f aca="false">#N/A</f>
        <v>#N/A</v>
      </c>
      <c r="H25" s="949" t="n">
        <f aca="false">H24+6</f>
        <v>438</v>
      </c>
      <c r="I25" s="945"/>
      <c r="J25" s="946" t="e">
        <f aca="false">#N/A</f>
        <v>#N/A</v>
      </c>
      <c r="K25" s="949" t="n">
        <f aca="false">K24+6</f>
        <v>618</v>
      </c>
      <c r="L25" s="945"/>
      <c r="M25" s="947" t="e">
        <f aca="false">#N/A</f>
        <v>#N/A</v>
      </c>
      <c r="Z25" s="950" t="n">
        <v>14</v>
      </c>
    </row>
    <row r="26" customFormat="false" ht="15" hidden="false" customHeight="false" outlineLevel="0" collapsed="false">
      <c r="B26" s="952" t="n">
        <f aca="false">B25+6</f>
        <v>84</v>
      </c>
      <c r="C26" s="945"/>
      <c r="D26" s="953" t="e">
        <f aca="false">#N/A</f>
        <v>#N/A</v>
      </c>
      <c r="E26" s="954" t="n">
        <f aca="false">E25+6</f>
        <v>264</v>
      </c>
      <c r="F26" s="945"/>
      <c r="G26" s="953" t="e">
        <f aca="false">#N/A</f>
        <v>#N/A</v>
      </c>
      <c r="H26" s="954" t="n">
        <f aca="false">H25+6</f>
        <v>444</v>
      </c>
      <c r="I26" s="945"/>
      <c r="J26" s="953" t="e">
        <f aca="false">#N/A</f>
        <v>#N/A</v>
      </c>
      <c r="K26" s="954" t="n">
        <f aca="false">K25+6</f>
        <v>624</v>
      </c>
      <c r="L26" s="945"/>
      <c r="M26" s="955" t="e">
        <f aca="false">#N/A</f>
        <v>#N/A</v>
      </c>
      <c r="Z26" s="956" t="n">
        <v>15</v>
      </c>
    </row>
    <row r="27" customFormat="false" ht="15" hidden="false" customHeight="false" outlineLevel="0" collapsed="false">
      <c r="B27" s="957" t="n">
        <f aca="false">B26+6</f>
        <v>90</v>
      </c>
      <c r="C27" s="945" t="str">
        <f aca="false">"Kala: "&amp;CHOOSE(MOD(B27/120*8/6+$I$1+7,8)+1,"Sun","Mars","Jupiter","Mercury","Venus","Saturn","Moon","Rahu")&amp; " Upgraha: " &amp; CHOOSE(MOD(B27/6/120*8+PanchangaVaara+7,8)+1,"Kaala","-","Mrityu","Ardhaprahara","YamaGhanta","--","Gulika","--")</f>
        <v>Kala: Moon Upgraha: --</v>
      </c>
      <c r="D27" s="958" t="e">
        <f aca="false">#N/A</f>
        <v>#N/A</v>
      </c>
      <c r="E27" s="959" t="n">
        <f aca="false">E26+6</f>
        <v>270</v>
      </c>
      <c r="F27" s="945" t="str">
        <f aca="false">"Kala: "&amp;CHOOSE(MOD(E27/120*8/6+$I$1+7,8)+1,"Sun","Mars","Jupiter","Mercury","Venus","Saturn","Moon","Rahu")&amp; " Upgraha: " &amp; CHOOSE(MOD(E27/6/120*8+PanchangaVaara+7,8)+1,"Kaala","-","Mrityu","Ardhaprahara","YamaGhanta","--","Gulika","--")</f>
        <v>Kala: Sun Upgraha: -</v>
      </c>
      <c r="G27" s="958" t="e">
        <f aca="false">#N/A</f>
        <v>#N/A</v>
      </c>
      <c r="H27" s="959" t="n">
        <f aca="false">H26+6</f>
        <v>450</v>
      </c>
      <c r="I27" s="945" t="str">
        <f aca="false">"Kala: "&amp;CHOOSE(MOD(H27/120*8/6+$I$1+7,8)+1,"Sun","Mars","Jupiter","Mercury","Venus","Saturn","Moon","Rahu")&amp; " Upgraha: " &amp; CHOOSE(MOD(H27/6/120*8+PanchangaVaara+7,8)+1,"Kaala","-","Mrityu","Ardhaprahara","YamaGhanta","--","Gulika","--")</f>
        <v>Kala: Jupiter Upgraha: Ardhaprahara</v>
      </c>
      <c r="J27" s="958" t="e">
        <f aca="false">#N/A</f>
        <v>#N/A</v>
      </c>
      <c r="K27" s="959" t="n">
        <f aca="false">K26+6</f>
        <v>630</v>
      </c>
      <c r="L27" s="945" t="str">
        <f aca="false">"Kala: "&amp;CHOOSE(MOD(K27/120*8/6+$I$1+7,8)+1,"Sun","Mars","Jupiter","Mercury","Venus","Saturn","Moon","Rahu")&amp; " Upgraha: " &amp; CHOOSE(MOD(K27/6/120*8+PanchangaVaara+7,8)+1,"Kaala","-","Mrityu","Ardhaprahara","YamaGhanta","--","Gulika","--")</f>
        <v>Kala: Venus Upgraha: --</v>
      </c>
      <c r="M27" s="960" t="e">
        <f aca="false">#N/A</f>
        <v>#N/A</v>
      </c>
      <c r="Z27" s="920" t="n">
        <v>1</v>
      </c>
    </row>
    <row r="28" customFormat="false" ht="15" hidden="false" customHeight="false" outlineLevel="0" collapsed="false">
      <c r="B28" s="944" t="n">
        <f aca="false">B27+6</f>
        <v>96</v>
      </c>
      <c r="C28" s="945"/>
      <c r="D28" s="946" t="e">
        <f aca="false">#N/A</f>
        <v>#N/A</v>
      </c>
      <c r="E28" s="949" t="n">
        <f aca="false">E27+6</f>
        <v>276</v>
      </c>
      <c r="F28" s="945"/>
      <c r="G28" s="946" t="e">
        <f aca="false">#N/A</f>
        <v>#N/A</v>
      </c>
      <c r="H28" s="949" t="n">
        <f aca="false">H27+6</f>
        <v>456</v>
      </c>
      <c r="I28" s="945"/>
      <c r="J28" s="946" t="e">
        <f aca="false">#N/A</f>
        <v>#N/A</v>
      </c>
      <c r="K28" s="949" t="n">
        <f aca="false">K27+6</f>
        <v>636</v>
      </c>
      <c r="L28" s="945"/>
      <c r="M28" s="947" t="e">
        <f aca="false">#N/A</f>
        <v>#N/A</v>
      </c>
      <c r="Z28" s="920" t="n">
        <v>2</v>
      </c>
    </row>
    <row r="29" customFormat="false" ht="15" hidden="false" customHeight="false" outlineLevel="0" collapsed="false">
      <c r="B29" s="944" t="n">
        <f aca="false">B28+6</f>
        <v>102</v>
      </c>
      <c r="C29" s="945"/>
      <c r="D29" s="946" t="e">
        <f aca="false">#N/A</f>
        <v>#N/A</v>
      </c>
      <c r="E29" s="949" t="n">
        <f aca="false">E28+6</f>
        <v>282</v>
      </c>
      <c r="F29" s="945"/>
      <c r="G29" s="946" t="e">
        <f aca="false">#N/A</f>
        <v>#N/A</v>
      </c>
      <c r="H29" s="949" t="n">
        <f aca="false">H28+6</f>
        <v>462</v>
      </c>
      <c r="I29" s="945"/>
      <c r="J29" s="946" t="e">
        <f aca="false">#N/A</f>
        <v>#N/A</v>
      </c>
      <c r="K29" s="949" t="n">
        <f aca="false">K28+6</f>
        <v>642</v>
      </c>
      <c r="L29" s="945"/>
      <c r="M29" s="947" t="e">
        <f aca="false">#N/A</f>
        <v>#N/A</v>
      </c>
      <c r="Z29" s="920" t="n">
        <v>3</v>
      </c>
    </row>
    <row r="30" customFormat="false" ht="15" hidden="false" customHeight="false" outlineLevel="0" collapsed="false">
      <c r="B30" s="944" t="n">
        <f aca="false">B29+6</f>
        <v>108</v>
      </c>
      <c r="C30" s="945"/>
      <c r="D30" s="946" t="e">
        <f aca="false">#N/A</f>
        <v>#N/A</v>
      </c>
      <c r="E30" s="949" t="n">
        <f aca="false">E29+6</f>
        <v>288</v>
      </c>
      <c r="F30" s="945"/>
      <c r="G30" s="946" t="e">
        <f aca="false">#N/A</f>
        <v>#N/A</v>
      </c>
      <c r="H30" s="949" t="n">
        <f aca="false">H29+6</f>
        <v>468</v>
      </c>
      <c r="I30" s="945"/>
      <c r="J30" s="946" t="e">
        <f aca="false">#N/A</f>
        <v>#N/A</v>
      </c>
      <c r="K30" s="949" t="n">
        <f aca="false">K29+6</f>
        <v>648</v>
      </c>
      <c r="L30" s="945"/>
      <c r="M30" s="947" t="e">
        <f aca="false">#N/A</f>
        <v>#N/A</v>
      </c>
      <c r="Z30" s="920" t="n">
        <v>4</v>
      </c>
    </row>
    <row r="31" customFormat="false" ht="15" hidden="false" customHeight="false" outlineLevel="0" collapsed="false">
      <c r="B31" s="944" t="n">
        <f aca="false">B30+6</f>
        <v>114</v>
      </c>
      <c r="C31" s="945"/>
      <c r="D31" s="946" t="e">
        <f aca="false">#N/A</f>
        <v>#N/A</v>
      </c>
      <c r="E31" s="949" t="n">
        <f aca="false">E30+6</f>
        <v>294</v>
      </c>
      <c r="F31" s="945"/>
      <c r="G31" s="946" t="e">
        <f aca="false">#N/A</f>
        <v>#N/A</v>
      </c>
      <c r="H31" s="949" t="n">
        <f aca="false">H30+6</f>
        <v>474</v>
      </c>
      <c r="I31" s="945"/>
      <c r="J31" s="946" t="e">
        <f aca="false">#N/A</f>
        <v>#N/A</v>
      </c>
      <c r="K31" s="949" t="n">
        <f aca="false">K30+6</f>
        <v>654</v>
      </c>
      <c r="L31" s="945"/>
      <c r="M31" s="947" t="e">
        <f aca="false">#N/A</f>
        <v>#N/A</v>
      </c>
      <c r="Z31" s="920" t="n">
        <v>5</v>
      </c>
    </row>
    <row r="32" customFormat="false" ht="15" hidden="false" customHeight="false" outlineLevel="0" collapsed="false">
      <c r="B32" s="944" t="n">
        <f aca="false">B31+6</f>
        <v>120</v>
      </c>
      <c r="C32" s="945"/>
      <c r="D32" s="946" t="e">
        <f aca="false">#N/A</f>
        <v>#N/A</v>
      </c>
      <c r="E32" s="949" t="n">
        <f aca="false">E31+6</f>
        <v>300</v>
      </c>
      <c r="F32" s="945"/>
      <c r="G32" s="946" t="e">
        <f aca="false">#N/A</f>
        <v>#N/A</v>
      </c>
      <c r="H32" s="949" t="n">
        <f aca="false">H31+6</f>
        <v>480</v>
      </c>
      <c r="I32" s="945"/>
      <c r="J32" s="946" t="e">
        <f aca="false">#N/A</f>
        <v>#N/A</v>
      </c>
      <c r="K32" s="949" t="n">
        <f aca="false">K31+6</f>
        <v>660</v>
      </c>
      <c r="L32" s="945"/>
      <c r="M32" s="947" t="e">
        <f aca="false">#N/A</f>
        <v>#N/A</v>
      </c>
      <c r="Z32" s="920" t="n">
        <v>6</v>
      </c>
    </row>
    <row r="33" customFormat="false" ht="15" hidden="false" customHeight="false" outlineLevel="0" collapsed="false">
      <c r="B33" s="944" t="n">
        <f aca="false">B32+6</f>
        <v>126</v>
      </c>
      <c r="C33" s="945"/>
      <c r="D33" s="946" t="e">
        <f aca="false">#N/A</f>
        <v>#N/A</v>
      </c>
      <c r="E33" s="949" t="n">
        <f aca="false">E32+6</f>
        <v>306</v>
      </c>
      <c r="F33" s="945"/>
      <c r="G33" s="946" t="e">
        <f aca="false">#N/A</f>
        <v>#N/A</v>
      </c>
      <c r="H33" s="949" t="n">
        <f aca="false">H32+6</f>
        <v>486</v>
      </c>
      <c r="I33" s="945"/>
      <c r="J33" s="946" t="e">
        <f aca="false">#N/A</f>
        <v>#N/A</v>
      </c>
      <c r="K33" s="949" t="n">
        <f aca="false">K32+6</f>
        <v>666</v>
      </c>
      <c r="L33" s="945"/>
      <c r="M33" s="947" t="e">
        <f aca="false">#N/A</f>
        <v>#N/A</v>
      </c>
      <c r="Z33" s="920" t="n">
        <v>7</v>
      </c>
    </row>
    <row r="34" customFormat="false" ht="15" hidden="false" customHeight="false" outlineLevel="0" collapsed="false">
      <c r="A34" s="951"/>
      <c r="B34" s="944" t="n">
        <f aca="false">B33+6</f>
        <v>132</v>
      </c>
      <c r="C34" s="945"/>
      <c r="D34" s="946" t="e">
        <f aca="false">#N/A</f>
        <v>#N/A</v>
      </c>
      <c r="E34" s="949" t="n">
        <f aca="false">E33+6</f>
        <v>312</v>
      </c>
      <c r="F34" s="945"/>
      <c r="G34" s="946" t="e">
        <f aca="false">#N/A</f>
        <v>#N/A</v>
      </c>
      <c r="H34" s="949" t="n">
        <f aca="false">H33+6</f>
        <v>492</v>
      </c>
      <c r="I34" s="945"/>
      <c r="J34" s="946" t="e">
        <f aca="false">#N/A</f>
        <v>#N/A</v>
      </c>
      <c r="K34" s="949" t="n">
        <f aca="false">K33+6</f>
        <v>672</v>
      </c>
      <c r="L34" s="945"/>
      <c r="M34" s="947" t="e">
        <f aca="false">#N/A</f>
        <v>#N/A</v>
      </c>
      <c r="Z34" s="920" t="n">
        <v>8</v>
      </c>
    </row>
    <row r="35" customFormat="false" ht="15" hidden="false" customHeight="false" outlineLevel="0" collapsed="false">
      <c r="A35" s="951" t="n">
        <f aca="false">A21+1</f>
        <v>13</v>
      </c>
      <c r="B35" s="944" t="n">
        <f aca="false">B34+6</f>
        <v>138</v>
      </c>
      <c r="C35" s="945"/>
      <c r="D35" s="946" t="e">
        <f aca="false">#N/A</f>
        <v>#N/A</v>
      </c>
      <c r="E35" s="949" t="n">
        <f aca="false">E34+6</f>
        <v>318</v>
      </c>
      <c r="F35" s="945"/>
      <c r="G35" s="946" t="e">
        <f aca="false">#N/A</f>
        <v>#N/A</v>
      </c>
      <c r="H35" s="949" t="n">
        <f aca="false">H34+6</f>
        <v>498</v>
      </c>
      <c r="I35" s="945"/>
      <c r="J35" s="946" t="e">
        <f aca="false">#N/A</f>
        <v>#N/A</v>
      </c>
      <c r="K35" s="949" t="n">
        <f aca="false">K34+6</f>
        <v>678</v>
      </c>
      <c r="L35" s="945"/>
      <c r="M35" s="947" t="e">
        <f aca="false">#N/A</f>
        <v>#N/A</v>
      </c>
      <c r="Z35" s="920" t="n">
        <v>9</v>
      </c>
    </row>
    <row r="36" customFormat="false" ht="15" hidden="false" customHeight="false" outlineLevel="0" collapsed="false">
      <c r="A36" s="951"/>
      <c r="B36" s="944" t="n">
        <f aca="false">B35+6</f>
        <v>144</v>
      </c>
      <c r="C36" s="945"/>
      <c r="D36" s="946" t="e">
        <f aca="false">#N/A</f>
        <v>#N/A</v>
      </c>
      <c r="E36" s="949" t="n">
        <f aca="false">E35+6</f>
        <v>324</v>
      </c>
      <c r="F36" s="945"/>
      <c r="G36" s="946" t="e">
        <f aca="false">#N/A</f>
        <v>#N/A</v>
      </c>
      <c r="H36" s="949" t="n">
        <f aca="false">H35+6</f>
        <v>504</v>
      </c>
      <c r="I36" s="945"/>
      <c r="J36" s="946" t="e">
        <f aca="false">#N/A</f>
        <v>#N/A</v>
      </c>
      <c r="K36" s="949" t="n">
        <f aca="false">K35+6</f>
        <v>684</v>
      </c>
      <c r="L36" s="945"/>
      <c r="M36" s="947" t="e">
        <f aca="false">#N/A</f>
        <v>#N/A</v>
      </c>
      <c r="Z36" s="920" t="n">
        <v>10</v>
      </c>
    </row>
    <row r="37" customFormat="false" ht="15" hidden="false" customHeight="false" outlineLevel="0" collapsed="false">
      <c r="A37" s="951" t="n">
        <f aca="false">A23+1</f>
        <v>11</v>
      </c>
      <c r="B37" s="944" t="n">
        <f aca="false">B36+6</f>
        <v>150</v>
      </c>
      <c r="C37" s="945"/>
      <c r="D37" s="946" t="e">
        <f aca="false">#N/A</f>
        <v>#N/A</v>
      </c>
      <c r="E37" s="949" t="n">
        <f aca="false">E36+6</f>
        <v>330</v>
      </c>
      <c r="F37" s="945"/>
      <c r="G37" s="946" t="e">
        <f aca="false">#N/A</f>
        <v>#N/A</v>
      </c>
      <c r="H37" s="949" t="n">
        <f aca="false">H36+6</f>
        <v>510</v>
      </c>
      <c r="I37" s="945"/>
      <c r="J37" s="946" t="e">
        <f aca="false">#N/A</f>
        <v>#N/A</v>
      </c>
      <c r="K37" s="949" t="n">
        <f aca="false">K36+6</f>
        <v>690</v>
      </c>
      <c r="L37" s="945"/>
      <c r="M37" s="947" t="e">
        <f aca="false">#N/A</f>
        <v>#N/A</v>
      </c>
      <c r="Z37" s="920" t="n">
        <v>11</v>
      </c>
    </row>
    <row r="38" customFormat="false" ht="15" hidden="false" customHeight="false" outlineLevel="0" collapsed="false">
      <c r="A38" s="951"/>
      <c r="B38" s="944" t="n">
        <f aca="false">B37+6</f>
        <v>156</v>
      </c>
      <c r="C38" s="945"/>
      <c r="D38" s="946" t="e">
        <f aca="false">#N/A</f>
        <v>#N/A</v>
      </c>
      <c r="E38" s="949" t="n">
        <f aca="false">E37+6</f>
        <v>336</v>
      </c>
      <c r="F38" s="945"/>
      <c r="G38" s="946" t="e">
        <f aca="false">#N/A</f>
        <v>#N/A</v>
      </c>
      <c r="H38" s="949" t="n">
        <f aca="false">H37+6</f>
        <v>516</v>
      </c>
      <c r="I38" s="945"/>
      <c r="J38" s="946" t="e">
        <f aca="false">#N/A</f>
        <v>#N/A</v>
      </c>
      <c r="K38" s="949" t="n">
        <f aca="false">K37+6</f>
        <v>696</v>
      </c>
      <c r="L38" s="945"/>
      <c r="M38" s="947" t="e">
        <f aca="false">#N/A</f>
        <v>#N/A</v>
      </c>
      <c r="Z38" s="920" t="n">
        <v>12</v>
      </c>
      <c r="AD38" s="921"/>
    </row>
    <row r="39" customFormat="false" ht="15" hidden="false" customHeight="false" outlineLevel="0" collapsed="false">
      <c r="A39" s="951" t="n">
        <f aca="false">A25+1</f>
        <v>9</v>
      </c>
      <c r="B39" s="944" t="n">
        <f aca="false">B38+6</f>
        <v>162</v>
      </c>
      <c r="C39" s="945"/>
      <c r="D39" s="946" t="e">
        <f aca="false">#N/A</f>
        <v>#N/A</v>
      </c>
      <c r="E39" s="949" t="n">
        <f aca="false">E38+6</f>
        <v>342</v>
      </c>
      <c r="F39" s="945"/>
      <c r="G39" s="946" t="e">
        <f aca="false">#N/A</f>
        <v>#N/A</v>
      </c>
      <c r="H39" s="949" t="n">
        <f aca="false">H38+6</f>
        <v>522</v>
      </c>
      <c r="I39" s="945"/>
      <c r="J39" s="946" t="e">
        <f aca="false">#N/A</f>
        <v>#N/A</v>
      </c>
      <c r="K39" s="949" t="n">
        <f aca="false">K38+6</f>
        <v>702</v>
      </c>
      <c r="L39" s="945"/>
      <c r="M39" s="947" t="e">
        <f aca="false">#N/A</f>
        <v>#N/A</v>
      </c>
      <c r="Z39" s="920" t="n">
        <v>13</v>
      </c>
      <c r="AD39" s="921"/>
    </row>
    <row r="40" customFormat="false" ht="15" hidden="false" customHeight="false" outlineLevel="0" collapsed="false">
      <c r="A40" s="951"/>
      <c r="B40" s="944" t="n">
        <f aca="false">B39+6</f>
        <v>168</v>
      </c>
      <c r="C40" s="945"/>
      <c r="D40" s="946" t="e">
        <f aca="false">#N/A</f>
        <v>#N/A</v>
      </c>
      <c r="E40" s="949" t="n">
        <f aca="false">E39+6</f>
        <v>348</v>
      </c>
      <c r="F40" s="945"/>
      <c r="G40" s="946" t="e">
        <f aca="false">#N/A</f>
        <v>#N/A</v>
      </c>
      <c r="H40" s="949" t="n">
        <f aca="false">H39+6</f>
        <v>528</v>
      </c>
      <c r="I40" s="945"/>
      <c r="J40" s="946" t="e">
        <f aca="false">#N/A</f>
        <v>#N/A</v>
      </c>
      <c r="K40" s="949" t="n">
        <f aca="false">K39+6</f>
        <v>708</v>
      </c>
      <c r="L40" s="945"/>
      <c r="M40" s="947" t="e">
        <f aca="false">#N/A</f>
        <v>#N/A</v>
      </c>
      <c r="Z40" s="920" t="n">
        <v>14</v>
      </c>
      <c r="AD40" s="921"/>
    </row>
    <row r="41" customFormat="false" ht="15" hidden="false" customHeight="false" outlineLevel="0" collapsed="false">
      <c r="B41" s="961" t="n">
        <f aca="false">B40+6</f>
        <v>174</v>
      </c>
      <c r="C41" s="945"/>
      <c r="D41" s="962" t="e">
        <f aca="false">#N/A</f>
        <v>#N/A</v>
      </c>
      <c r="E41" s="963" t="n">
        <f aca="false">E40+6</f>
        <v>354</v>
      </c>
      <c r="F41" s="945"/>
      <c r="G41" s="962" t="e">
        <f aca="false">#N/A</f>
        <v>#N/A</v>
      </c>
      <c r="H41" s="963" t="n">
        <f aca="false">H40+6</f>
        <v>534</v>
      </c>
      <c r="I41" s="945"/>
      <c r="J41" s="962" t="e">
        <f aca="false">#N/A</f>
        <v>#N/A</v>
      </c>
      <c r="K41" s="963" t="n">
        <f aca="false">K40+6</f>
        <v>714</v>
      </c>
      <c r="L41" s="945"/>
      <c r="M41" s="964" t="e">
        <f aca="false">#N/A</f>
        <v>#N/A</v>
      </c>
      <c r="Z41" s="920" t="n">
        <v>15</v>
      </c>
      <c r="AD41" s="921"/>
    </row>
    <row r="42" customFormat="false" ht="15" hidden="false" customHeight="false" outlineLevel="0" collapsed="false">
      <c r="B42" s="926" t="s">
        <v>1689</v>
      </c>
      <c r="C42" s="926"/>
      <c r="D42" s="926" t="s">
        <v>1545</v>
      </c>
      <c r="E42" s="926"/>
      <c r="F42" s="926" t="s">
        <v>1366</v>
      </c>
      <c r="G42" s="926"/>
      <c r="H42" s="926" t="s">
        <v>1758</v>
      </c>
      <c r="I42" s="926"/>
      <c r="J42" s="926"/>
      <c r="K42" s="926"/>
      <c r="L42" s="926"/>
      <c r="M42" s="926"/>
      <c r="N42" s="926"/>
      <c r="O42" s="926"/>
      <c r="P42" s="926"/>
      <c r="Q42" s="926"/>
    </row>
    <row r="43" customFormat="false" ht="15" hidden="false" customHeight="false" outlineLevel="0" collapsed="false">
      <c r="B43" s="926" t="s">
        <v>1620</v>
      </c>
      <c r="C43" s="926"/>
      <c r="D43" s="926" t="s">
        <v>1453</v>
      </c>
      <c r="E43" s="926"/>
      <c r="F43" s="926" t="s">
        <v>1817</v>
      </c>
      <c r="G43" s="926"/>
      <c r="H43" s="926" t="s">
        <v>564</v>
      </c>
      <c r="I43" s="926"/>
      <c r="O43" s="921"/>
    </row>
    <row r="45" customFormat="false" ht="15" hidden="false" customHeight="false" outlineLevel="0" collapsed="false">
      <c r="B45" s="942" t="s">
        <v>4197</v>
      </c>
      <c r="C45" s="942"/>
      <c r="D45" s="942"/>
      <c r="E45" s="942"/>
      <c r="F45" s="942"/>
      <c r="G45" s="942"/>
      <c r="H45" s="942"/>
      <c r="I45" s="942"/>
      <c r="J45" s="942"/>
      <c r="K45" s="942"/>
      <c r="L45" s="942"/>
      <c r="M45" s="942"/>
    </row>
    <row r="46" customFormat="false" ht="15" hidden="false" customHeight="false" outlineLevel="0" collapsed="false">
      <c r="B46" s="943" t="str">
        <f aca="false">"Yama:"&amp;CHOOSE(MOD(B47/240*8/6+$I$1+7,8)+1,"Sun","Mars","Jupiter","Mercury","Venus","Saturn","Moon","Rahu")</f>
        <v>Yama:Mars</v>
      </c>
      <c r="C46" s="943"/>
      <c r="D46" s="943"/>
      <c r="E46" s="943" t="str">
        <f aca="false">"Yama:"&amp;CHOOSE(MOD(E47/240*8/6+$I$1+7,8)+1,"Sun","Mars","Jupiter","Mercury","Venus","Saturn","Moon","Rahu")</f>
        <v>Yama:Jupiter</v>
      </c>
      <c r="F46" s="943"/>
      <c r="G46" s="943"/>
      <c r="H46" s="943" t="str">
        <f aca="false">"Yama:"&amp;CHOOSE(MOD(H47/240*8/6+$I$1+7,8)+1,"Sun","Mars","Jupiter","Mercury","Venus","Saturn","Moon","Rahu")</f>
        <v>Yama:Mercury</v>
      </c>
      <c r="I46" s="943"/>
      <c r="J46" s="943"/>
      <c r="K46" s="943" t="str">
        <f aca="false">"Yama:"&amp;CHOOSE(MOD(K47/240*8/6+$I$1+7,8)+1,"Sun","Mars","Jupiter","Mercury","Venus","Saturn","Moon","Rahu")</f>
        <v>Yama:Venus</v>
      </c>
      <c r="L46" s="943"/>
      <c r="M46" s="943"/>
    </row>
    <row r="47" customFormat="false" ht="15" hidden="false" customHeight="false" outlineLevel="0" collapsed="false">
      <c r="B47" s="965" t="n">
        <f aca="false">K41+6</f>
        <v>720</v>
      </c>
      <c r="C47" s="945" t="str">
        <f aca="false">"Kala: "&amp;CHOOSE(MOD(B47/120*8/6+$I$1+7+4,8)+1,"Sun","Mars","Jupiter","Mercury","Venus","Saturn","Moon","Rahu")&amp; " Upgraha: " &amp; CHOOSE(MOD(B47/6/120*8+PanchangaVaara+7+4,8)+1,"Kaala","-","Mrityu","Ardhaprahara","YamaGhanta","--","Gulika","--")</f>
        <v>Kala: Mars Upgraha: Mrityu</v>
      </c>
      <c r="D47" s="946" t="e">
        <f aca="false">#N/A</f>
        <v>#N/A</v>
      </c>
      <c r="E47" s="946" t="n">
        <f aca="false">B76+6</f>
        <v>900</v>
      </c>
      <c r="F47" s="945" t="str">
        <f aca="false">"Kala: "&amp;CHOOSE(MOD(E47/120*8/6+$I$1+7+4,8)+1,"Sun","Mars","Jupiter","Mercury","Venus","Saturn","Moon","Rahu")&amp; " Upgraha: " &amp; CHOOSE(MOD(E47/6/120*8+PanchangaVaara+7+4,8)+1,"Kaala","-","Mrityu","Ardhaprahara","YamaGhanta","--","Gulika","--")</f>
        <v>Kala: Mercury Upgraha: YamaGhanta</v>
      </c>
      <c r="G47" s="946" t="e">
        <f aca="false">#N/A</f>
        <v>#N/A</v>
      </c>
      <c r="H47" s="946" t="n">
        <f aca="false">E76+6</f>
        <v>1080</v>
      </c>
      <c r="I47" s="945" t="str">
        <f aca="false">"Kala: "&amp;CHOOSE(MOD(H47/120*8/6+$I$1+7+4,8)+1,"Sun","Mars","Jupiter","Mercury","Venus","Saturn","Moon","Rahu")&amp; " Upgraha: " &amp; CHOOSE(MOD(H47/6/120*8+PanchangaVaara+7+4,8)+1,"Kaala","-","Mrityu","Ardhaprahara","YamaGhanta","--","Gulika","--")</f>
        <v>Kala: Saturn Upgraha: Gulika</v>
      </c>
      <c r="J47" s="946" t="e">
        <f aca="false">#N/A</f>
        <v>#N/A</v>
      </c>
      <c r="K47" s="946" t="n">
        <f aca="false">H76+6</f>
        <v>1260</v>
      </c>
      <c r="L47" s="945" t="str">
        <f aca="false">"Kala: "&amp;CHOOSE(MOD(K47/120*8/6+$I$1+7+4,8)+1,"Sun","Mars","Jupiter","Mercury","Venus","Saturn","Moon","Rahu")&amp; " Upgraha: " &amp; CHOOSE(MOD(K47/6/120*8+PanchangaVaara+7+4,8)+1,"Kaala","-","Mrityu","Ardhaprahara","YamaGhanta","--","Gulika","--")</f>
        <v>Kala: Rahu Upgraha: Kaala</v>
      </c>
      <c r="M47" s="947" t="e">
        <f aca="false">#N/A</f>
        <v>#N/A</v>
      </c>
    </row>
    <row r="48" customFormat="false" ht="15" hidden="false" customHeight="false" outlineLevel="0" collapsed="false">
      <c r="B48" s="966" t="n">
        <f aca="false">B47+6</f>
        <v>726</v>
      </c>
      <c r="C48" s="945"/>
      <c r="D48" s="946" t="e">
        <f aca="false">#N/A</f>
        <v>#N/A</v>
      </c>
      <c r="E48" s="920" t="n">
        <f aca="false">E47+6</f>
        <v>906</v>
      </c>
      <c r="F48" s="945"/>
      <c r="G48" s="946" t="e">
        <f aca="false">#N/A</f>
        <v>#N/A</v>
      </c>
      <c r="H48" s="920" t="n">
        <f aca="false">H47+6</f>
        <v>1086</v>
      </c>
      <c r="I48" s="945"/>
      <c r="J48" s="946" t="e">
        <f aca="false">#N/A</f>
        <v>#N/A</v>
      </c>
      <c r="K48" s="920" t="n">
        <f aca="false">K47+6</f>
        <v>1266</v>
      </c>
      <c r="L48" s="945"/>
      <c r="M48" s="947" t="e">
        <f aca="false">#N/A</f>
        <v>#N/A</v>
      </c>
    </row>
    <row r="49" customFormat="false" ht="15" hidden="false" customHeight="false" outlineLevel="0" collapsed="false">
      <c r="B49" s="966" t="n">
        <f aca="false">B48+6</f>
        <v>732</v>
      </c>
      <c r="C49" s="945"/>
      <c r="D49" s="946" t="e">
        <f aca="false">#N/A</f>
        <v>#N/A</v>
      </c>
      <c r="E49" s="920" t="n">
        <f aca="false">E48+6</f>
        <v>912</v>
      </c>
      <c r="F49" s="945"/>
      <c r="G49" s="946" t="e">
        <f aca="false">#N/A</f>
        <v>#N/A</v>
      </c>
      <c r="H49" s="920" t="n">
        <f aca="false">H48+6</f>
        <v>1092</v>
      </c>
      <c r="I49" s="945"/>
      <c r="J49" s="946" t="e">
        <f aca="false">#N/A</f>
        <v>#N/A</v>
      </c>
      <c r="K49" s="920" t="n">
        <f aca="false">K48+6</f>
        <v>1272</v>
      </c>
      <c r="L49" s="945"/>
      <c r="M49" s="947" t="e">
        <f aca="false">#N/A</f>
        <v>#N/A</v>
      </c>
    </row>
    <row r="50" customFormat="false" ht="15" hidden="false" customHeight="false" outlineLevel="0" collapsed="false">
      <c r="B50" s="966" t="n">
        <f aca="false">B49+6</f>
        <v>738</v>
      </c>
      <c r="C50" s="945"/>
      <c r="D50" s="946" t="e">
        <f aca="false">#N/A</f>
        <v>#N/A</v>
      </c>
      <c r="E50" s="920" t="n">
        <f aca="false">E49+6</f>
        <v>918</v>
      </c>
      <c r="F50" s="945"/>
      <c r="G50" s="946" t="e">
        <f aca="false">#N/A</f>
        <v>#N/A</v>
      </c>
      <c r="H50" s="920" t="n">
        <f aca="false">H49+6</f>
        <v>1098</v>
      </c>
      <c r="I50" s="945"/>
      <c r="J50" s="946" t="e">
        <f aca="false">#N/A</f>
        <v>#N/A</v>
      </c>
      <c r="K50" s="920" t="n">
        <f aca="false">K49+6</f>
        <v>1278</v>
      </c>
      <c r="L50" s="945"/>
      <c r="M50" s="947" t="e">
        <f aca="false">#N/A</f>
        <v>#N/A</v>
      </c>
    </row>
    <row r="51" customFormat="false" ht="15" hidden="false" customHeight="false" outlineLevel="0" collapsed="false">
      <c r="B51" s="966" t="n">
        <f aca="false">B50+6</f>
        <v>744</v>
      </c>
      <c r="C51" s="945"/>
      <c r="D51" s="946" t="e">
        <f aca="false">#N/A</f>
        <v>#N/A</v>
      </c>
      <c r="E51" s="920" t="n">
        <f aca="false">E50+6</f>
        <v>924</v>
      </c>
      <c r="F51" s="945"/>
      <c r="G51" s="946" t="e">
        <f aca="false">#N/A</f>
        <v>#N/A</v>
      </c>
      <c r="H51" s="920" t="n">
        <f aca="false">H50+6</f>
        <v>1104</v>
      </c>
      <c r="I51" s="945"/>
      <c r="J51" s="946" t="e">
        <f aca="false">#N/A</f>
        <v>#N/A</v>
      </c>
      <c r="K51" s="920" t="n">
        <f aca="false">K50+6</f>
        <v>1284</v>
      </c>
      <c r="L51" s="945"/>
      <c r="M51" s="947" t="e">
        <f aca="false">#N/A</f>
        <v>#N/A</v>
      </c>
    </row>
    <row r="52" customFormat="false" ht="15" hidden="false" customHeight="false" outlineLevel="0" collapsed="false">
      <c r="B52" s="966" t="n">
        <f aca="false">B51+6</f>
        <v>750</v>
      </c>
      <c r="C52" s="945"/>
      <c r="D52" s="946" t="e">
        <f aca="false">#N/A</f>
        <v>#N/A</v>
      </c>
      <c r="E52" s="920" t="n">
        <f aca="false">E51+6</f>
        <v>930</v>
      </c>
      <c r="F52" s="945"/>
      <c r="G52" s="946" t="e">
        <f aca="false">#N/A</f>
        <v>#N/A</v>
      </c>
      <c r="H52" s="920" t="n">
        <f aca="false">H51+6</f>
        <v>1110</v>
      </c>
      <c r="I52" s="945"/>
      <c r="J52" s="946" t="e">
        <f aca="false">#N/A</f>
        <v>#N/A</v>
      </c>
      <c r="K52" s="920" t="n">
        <f aca="false">K51+6</f>
        <v>1290</v>
      </c>
      <c r="L52" s="945"/>
      <c r="M52" s="947" t="e">
        <f aca="false">#N/A</f>
        <v>#N/A</v>
      </c>
    </row>
    <row r="53" customFormat="false" ht="15" hidden="false" customHeight="false" outlineLevel="0" collapsed="false">
      <c r="B53" s="966" t="n">
        <f aca="false">B52+6</f>
        <v>756</v>
      </c>
      <c r="C53" s="945"/>
      <c r="D53" s="946" t="e">
        <f aca="false">#N/A</f>
        <v>#N/A</v>
      </c>
      <c r="E53" s="920" t="n">
        <f aca="false">E52+6</f>
        <v>936</v>
      </c>
      <c r="F53" s="945"/>
      <c r="G53" s="946" t="e">
        <f aca="false">#N/A</f>
        <v>#N/A</v>
      </c>
      <c r="H53" s="920" t="n">
        <f aca="false">H52+6</f>
        <v>1116</v>
      </c>
      <c r="I53" s="945"/>
      <c r="J53" s="946" t="e">
        <f aca="false">#N/A</f>
        <v>#N/A</v>
      </c>
      <c r="K53" s="920" t="n">
        <f aca="false">K52+6</f>
        <v>1296</v>
      </c>
      <c r="L53" s="945"/>
      <c r="M53" s="947" t="e">
        <f aca="false">#N/A</f>
        <v>#N/A</v>
      </c>
    </row>
    <row r="54" customFormat="false" ht="15" hidden="false" customHeight="false" outlineLevel="0" collapsed="false">
      <c r="B54" s="966" t="n">
        <f aca="false">B53+6</f>
        <v>762</v>
      </c>
      <c r="C54" s="945"/>
      <c r="D54" s="946" t="e">
        <f aca="false">#N/A</f>
        <v>#N/A</v>
      </c>
      <c r="E54" s="920" t="n">
        <f aca="false">E53+6</f>
        <v>942</v>
      </c>
      <c r="F54" s="945"/>
      <c r="G54" s="946" t="e">
        <f aca="false">#N/A</f>
        <v>#N/A</v>
      </c>
      <c r="H54" s="920" t="n">
        <f aca="false">H53+6</f>
        <v>1122</v>
      </c>
      <c r="I54" s="945"/>
      <c r="J54" s="946" t="e">
        <f aca="false">#N/A</f>
        <v>#N/A</v>
      </c>
      <c r="K54" s="920" t="n">
        <f aca="false">K53+6</f>
        <v>1302</v>
      </c>
      <c r="L54" s="945"/>
      <c r="M54" s="947" t="e">
        <f aca="false">#N/A</f>
        <v>#N/A</v>
      </c>
    </row>
    <row r="55" customFormat="false" ht="15" hidden="false" customHeight="false" outlineLevel="0" collapsed="false">
      <c r="B55" s="966" t="n">
        <f aca="false">B54+6</f>
        <v>768</v>
      </c>
      <c r="C55" s="945"/>
      <c r="D55" s="946" t="e">
        <f aca="false">#N/A</f>
        <v>#N/A</v>
      </c>
      <c r="E55" s="920" t="n">
        <f aca="false">E54+6</f>
        <v>948</v>
      </c>
      <c r="F55" s="945"/>
      <c r="G55" s="946" t="e">
        <f aca="false">#N/A</f>
        <v>#N/A</v>
      </c>
      <c r="H55" s="920" t="n">
        <f aca="false">H54+6</f>
        <v>1128</v>
      </c>
      <c r="I55" s="945"/>
      <c r="J55" s="946" t="e">
        <f aca="false">#N/A</f>
        <v>#N/A</v>
      </c>
      <c r="K55" s="920" t="n">
        <f aca="false">K54+6</f>
        <v>1308</v>
      </c>
      <c r="L55" s="945"/>
      <c r="M55" s="947" t="e">
        <f aca="false">#N/A</f>
        <v>#N/A</v>
      </c>
    </row>
    <row r="56" customFormat="false" ht="15" hidden="false" customHeight="false" outlineLevel="0" collapsed="false">
      <c r="B56" s="966" t="n">
        <f aca="false">B55+6</f>
        <v>774</v>
      </c>
      <c r="C56" s="945"/>
      <c r="D56" s="946" t="e">
        <f aca="false">#N/A</f>
        <v>#N/A</v>
      </c>
      <c r="E56" s="920" t="n">
        <f aca="false">E55+6</f>
        <v>954</v>
      </c>
      <c r="F56" s="945"/>
      <c r="G56" s="946" t="e">
        <f aca="false">#N/A</f>
        <v>#N/A</v>
      </c>
      <c r="H56" s="920" t="n">
        <f aca="false">H55+6</f>
        <v>1134</v>
      </c>
      <c r="I56" s="945"/>
      <c r="J56" s="946" t="e">
        <f aca="false">#N/A</f>
        <v>#N/A</v>
      </c>
      <c r="K56" s="920" t="n">
        <f aca="false">K55+6</f>
        <v>1314</v>
      </c>
      <c r="L56" s="945"/>
      <c r="M56" s="947" t="e">
        <f aca="false">#N/A</f>
        <v>#N/A</v>
      </c>
    </row>
    <row r="57" customFormat="false" ht="15" hidden="false" customHeight="false" outlineLevel="0" collapsed="false">
      <c r="B57" s="966" t="n">
        <f aca="false">B56+6</f>
        <v>780</v>
      </c>
      <c r="C57" s="945"/>
      <c r="D57" s="946" t="e">
        <f aca="false">#N/A</f>
        <v>#N/A</v>
      </c>
      <c r="E57" s="920" t="n">
        <f aca="false">E56+6</f>
        <v>960</v>
      </c>
      <c r="F57" s="945"/>
      <c r="G57" s="946" t="e">
        <f aca="false">#N/A</f>
        <v>#N/A</v>
      </c>
      <c r="H57" s="920" t="n">
        <f aca="false">H56+6</f>
        <v>1140</v>
      </c>
      <c r="I57" s="945"/>
      <c r="J57" s="946" t="e">
        <f aca="false">#N/A</f>
        <v>#N/A</v>
      </c>
      <c r="K57" s="920" t="n">
        <f aca="false">K56+6</f>
        <v>1320</v>
      </c>
      <c r="L57" s="945"/>
      <c r="M57" s="947" t="e">
        <f aca="false">#N/A</f>
        <v>#N/A</v>
      </c>
    </row>
    <row r="58" customFormat="false" ht="15" hidden="false" customHeight="false" outlineLevel="0" collapsed="false">
      <c r="B58" s="966" t="n">
        <f aca="false">B57+6</f>
        <v>786</v>
      </c>
      <c r="C58" s="945"/>
      <c r="D58" s="946" t="e">
        <f aca="false">#N/A</f>
        <v>#N/A</v>
      </c>
      <c r="E58" s="920" t="n">
        <f aca="false">E57+6</f>
        <v>966</v>
      </c>
      <c r="F58" s="945"/>
      <c r="G58" s="946" t="e">
        <f aca="false">#N/A</f>
        <v>#N/A</v>
      </c>
      <c r="H58" s="920" t="n">
        <f aca="false">H57+6</f>
        <v>1146</v>
      </c>
      <c r="I58" s="945"/>
      <c r="J58" s="946" t="e">
        <f aca="false">#N/A</f>
        <v>#N/A</v>
      </c>
      <c r="K58" s="920" t="n">
        <f aca="false">K57+6</f>
        <v>1326</v>
      </c>
      <c r="L58" s="945"/>
      <c r="M58" s="947" t="e">
        <f aca="false">#N/A</f>
        <v>#N/A</v>
      </c>
    </row>
    <row r="59" customFormat="false" ht="15" hidden="false" customHeight="false" outlineLevel="0" collapsed="false">
      <c r="B59" s="966" t="n">
        <f aca="false">B58+6</f>
        <v>792</v>
      </c>
      <c r="C59" s="945"/>
      <c r="D59" s="946" t="e">
        <f aca="false">#N/A</f>
        <v>#N/A</v>
      </c>
      <c r="E59" s="920" t="n">
        <f aca="false">E58+6</f>
        <v>972</v>
      </c>
      <c r="F59" s="945"/>
      <c r="G59" s="946" t="e">
        <f aca="false">#N/A</f>
        <v>#N/A</v>
      </c>
      <c r="H59" s="920" t="n">
        <f aca="false">H58+6</f>
        <v>1152</v>
      </c>
      <c r="I59" s="945"/>
      <c r="J59" s="946" t="e">
        <f aca="false">#N/A</f>
        <v>#N/A</v>
      </c>
      <c r="K59" s="920" t="n">
        <f aca="false">K58+6</f>
        <v>1332</v>
      </c>
      <c r="L59" s="945"/>
      <c r="M59" s="947" t="e">
        <f aca="false">#N/A</f>
        <v>#N/A</v>
      </c>
    </row>
    <row r="60" customFormat="false" ht="15" hidden="false" customHeight="false" outlineLevel="0" collapsed="false">
      <c r="B60" s="966" t="n">
        <f aca="false">B59+6</f>
        <v>798</v>
      </c>
      <c r="C60" s="945"/>
      <c r="D60" s="946" t="e">
        <f aca="false">#N/A</f>
        <v>#N/A</v>
      </c>
      <c r="E60" s="920" t="n">
        <f aca="false">E59+6</f>
        <v>978</v>
      </c>
      <c r="F60" s="945"/>
      <c r="G60" s="946" t="e">
        <f aca="false">#N/A</f>
        <v>#N/A</v>
      </c>
      <c r="H60" s="920" t="n">
        <f aca="false">H59+6</f>
        <v>1158</v>
      </c>
      <c r="I60" s="945"/>
      <c r="J60" s="946" t="e">
        <f aca="false">#N/A</f>
        <v>#N/A</v>
      </c>
      <c r="K60" s="920" t="n">
        <f aca="false">K59+6</f>
        <v>1338</v>
      </c>
      <c r="L60" s="945"/>
      <c r="M60" s="947" t="e">
        <f aca="false">#N/A</f>
        <v>#N/A</v>
      </c>
    </row>
    <row r="61" customFormat="false" ht="15" hidden="false" customHeight="false" outlineLevel="0" collapsed="false">
      <c r="B61" s="966" t="n">
        <f aca="false">B60+6</f>
        <v>804</v>
      </c>
      <c r="C61" s="945"/>
      <c r="D61" s="953" t="e">
        <f aca="false">#N/A</f>
        <v>#N/A</v>
      </c>
      <c r="E61" s="920" t="n">
        <f aca="false">E60+6</f>
        <v>984</v>
      </c>
      <c r="F61" s="945"/>
      <c r="G61" s="953" t="e">
        <f aca="false">#N/A</f>
        <v>#N/A</v>
      </c>
      <c r="H61" s="920" t="n">
        <f aca="false">H60+6</f>
        <v>1164</v>
      </c>
      <c r="I61" s="945"/>
      <c r="J61" s="953" t="e">
        <f aca="false">#N/A</f>
        <v>#N/A</v>
      </c>
      <c r="K61" s="920" t="n">
        <f aca="false">K60+6</f>
        <v>1344</v>
      </c>
      <c r="L61" s="945"/>
      <c r="M61" s="955" t="e">
        <f aca="false">#N/A</f>
        <v>#N/A</v>
      </c>
    </row>
    <row r="62" customFormat="false" ht="15" hidden="false" customHeight="false" outlineLevel="0" collapsed="false">
      <c r="B62" s="967" t="n">
        <f aca="false">B61+6</f>
        <v>810</v>
      </c>
      <c r="C62" s="945" t="str">
        <f aca="false">"Kala: "&amp;CHOOSE(MOD(B62/120*8/6+$I$1+7+4,8)+1,"Sun","Mars","Jupiter","Mercury","Venus","Saturn","Moon","Rahu")&amp; " Upgraha: " &amp; CHOOSE(MOD(B62/6/120*8+PanchangaVaara+7+4,8)+1,"Kaala","-","Mrityu","Ardhaprahara","YamaGhanta","--","Gulika","--")</f>
        <v>Kala: Jupiter Upgraha: Ardhaprahara</v>
      </c>
      <c r="D62" s="958" t="e">
        <f aca="false">#N/A</f>
        <v>#N/A</v>
      </c>
      <c r="E62" s="968" t="n">
        <f aca="false">E61+6</f>
        <v>990</v>
      </c>
      <c r="F62" s="945" t="str">
        <f aca="false">"Kala: "&amp;CHOOSE(MOD(E62/120*8/6+$I$1+7+4,8)+1,"Sun","Mars","Jupiter","Mercury","Venus","Saturn","Moon","Rahu")&amp; " Upgraha: " &amp; CHOOSE(MOD(E62/6/120*8+PanchangaVaara+7+4,8)+1,"Kaala","-","Mrityu","Ardhaprahara","YamaGhanta","--","Gulika","--")</f>
        <v>Kala: Venus Upgraha: --</v>
      </c>
      <c r="G62" s="958" t="e">
        <f aca="false">#N/A</f>
        <v>#N/A</v>
      </c>
      <c r="H62" s="968" t="n">
        <f aca="false">H61+6</f>
        <v>1170</v>
      </c>
      <c r="I62" s="945" t="str">
        <f aca="false">"Kala: "&amp;CHOOSE(MOD(H62/120*8/6+$I$1+7+4,8)+1,"Sun","Mars","Jupiter","Mercury","Venus","Saturn","Moon","Rahu")&amp; " Upgraha: " &amp; CHOOSE(MOD(H62/6/120*8+PanchangaVaara+7+4,8)+1,"Kaala","-","Mrityu","Ardhaprahara","YamaGhanta","--","Gulika","--")</f>
        <v>Kala: Moon Upgraha: --</v>
      </c>
      <c r="J62" s="958" t="e">
        <f aca="false">#N/A</f>
        <v>#N/A</v>
      </c>
      <c r="K62" s="968" t="n">
        <f aca="false">K61+6</f>
        <v>1350</v>
      </c>
      <c r="L62" s="945" t="str">
        <f aca="false">"Kala: "&amp;CHOOSE(MOD(K62/120*8/6+$I$1+7+4,8)+1,"Sun","Mars","Jupiter","Mercury","Venus","Saturn","Moon","Rahu")&amp; " Upgraha: " &amp; CHOOSE(MOD(K62/6/120*8+PanchangaVaara+7+4,8)+1,"Kaala","-","Mrityu","Ardhaprahara","YamaGhanta","--","Gulika","--")</f>
        <v>Kala: Sun Upgraha: -</v>
      </c>
      <c r="M62" s="960" t="e">
        <f aca="false">#N/A</f>
        <v>#N/A</v>
      </c>
    </row>
    <row r="63" customFormat="false" ht="15" hidden="false" customHeight="false" outlineLevel="0" collapsed="false">
      <c r="B63" s="966" t="n">
        <f aca="false">B62+6</f>
        <v>816</v>
      </c>
      <c r="C63" s="945"/>
      <c r="D63" s="946" t="e">
        <f aca="false">#N/A</f>
        <v>#N/A</v>
      </c>
      <c r="E63" s="920" t="n">
        <f aca="false">E62+6</f>
        <v>996</v>
      </c>
      <c r="F63" s="945"/>
      <c r="G63" s="946" t="e">
        <f aca="false">#N/A</f>
        <v>#N/A</v>
      </c>
      <c r="H63" s="920" t="n">
        <f aca="false">H62+6</f>
        <v>1176</v>
      </c>
      <c r="I63" s="945"/>
      <c r="J63" s="946" t="e">
        <f aca="false">#N/A</f>
        <v>#N/A</v>
      </c>
      <c r="K63" s="920" t="n">
        <f aca="false">K62+6</f>
        <v>1356</v>
      </c>
      <c r="L63" s="945"/>
      <c r="M63" s="947" t="e">
        <f aca="false">#N/A</f>
        <v>#N/A</v>
      </c>
    </row>
    <row r="64" customFormat="false" ht="15" hidden="false" customHeight="false" outlineLevel="0" collapsed="false">
      <c r="B64" s="966" t="n">
        <f aca="false">B63+6</f>
        <v>822</v>
      </c>
      <c r="C64" s="945"/>
      <c r="D64" s="946" t="e">
        <f aca="false">#N/A</f>
        <v>#N/A</v>
      </c>
      <c r="E64" s="920" t="n">
        <f aca="false">E63+6</f>
        <v>1002</v>
      </c>
      <c r="F64" s="945"/>
      <c r="G64" s="946" t="e">
        <f aca="false">#N/A</f>
        <v>#N/A</v>
      </c>
      <c r="H64" s="920" t="n">
        <f aca="false">H63+6</f>
        <v>1182</v>
      </c>
      <c r="I64" s="945"/>
      <c r="J64" s="946" t="e">
        <f aca="false">#N/A</f>
        <v>#N/A</v>
      </c>
      <c r="K64" s="920" t="n">
        <f aca="false">K63+6</f>
        <v>1362</v>
      </c>
      <c r="L64" s="945"/>
      <c r="M64" s="947" t="e">
        <f aca="false">#N/A</f>
        <v>#N/A</v>
      </c>
    </row>
    <row r="65" customFormat="false" ht="15" hidden="false" customHeight="false" outlineLevel="0" collapsed="false">
      <c r="B65" s="966" t="n">
        <f aca="false">B64+6</f>
        <v>828</v>
      </c>
      <c r="C65" s="945"/>
      <c r="D65" s="946" t="e">
        <f aca="false">#N/A</f>
        <v>#N/A</v>
      </c>
      <c r="E65" s="920" t="n">
        <f aca="false">E64+6</f>
        <v>1008</v>
      </c>
      <c r="F65" s="945"/>
      <c r="G65" s="946" t="e">
        <f aca="false">#N/A</f>
        <v>#N/A</v>
      </c>
      <c r="H65" s="920" t="n">
        <f aca="false">H64+6</f>
        <v>1188</v>
      </c>
      <c r="I65" s="945"/>
      <c r="J65" s="946" t="e">
        <f aca="false">#N/A</f>
        <v>#N/A</v>
      </c>
      <c r="K65" s="920" t="n">
        <f aca="false">K64+6</f>
        <v>1368</v>
      </c>
      <c r="L65" s="945"/>
      <c r="M65" s="947" t="e">
        <f aca="false">#N/A</f>
        <v>#N/A</v>
      </c>
    </row>
    <row r="66" customFormat="false" ht="15" hidden="false" customHeight="false" outlineLevel="0" collapsed="false">
      <c r="B66" s="966" t="n">
        <f aca="false">B65+6</f>
        <v>834</v>
      </c>
      <c r="C66" s="945"/>
      <c r="D66" s="946" t="e">
        <f aca="false">#N/A</f>
        <v>#N/A</v>
      </c>
      <c r="E66" s="920" t="n">
        <f aca="false">E65+6</f>
        <v>1014</v>
      </c>
      <c r="F66" s="945"/>
      <c r="G66" s="946" t="e">
        <f aca="false">#N/A</f>
        <v>#N/A</v>
      </c>
      <c r="H66" s="920" t="n">
        <f aca="false">H65+6</f>
        <v>1194</v>
      </c>
      <c r="I66" s="945"/>
      <c r="J66" s="946" t="e">
        <f aca="false">#N/A</f>
        <v>#N/A</v>
      </c>
      <c r="K66" s="920" t="n">
        <f aca="false">K65+6</f>
        <v>1374</v>
      </c>
      <c r="L66" s="945"/>
      <c r="M66" s="947" t="e">
        <f aca="false">#N/A</f>
        <v>#N/A</v>
      </c>
    </row>
    <row r="67" customFormat="false" ht="15" hidden="false" customHeight="false" outlineLevel="0" collapsed="false">
      <c r="B67" s="966" t="n">
        <f aca="false">B66+6</f>
        <v>840</v>
      </c>
      <c r="C67" s="945"/>
      <c r="D67" s="946" t="e">
        <f aca="false">#N/A</f>
        <v>#N/A</v>
      </c>
      <c r="E67" s="920" t="n">
        <f aca="false">E66+6</f>
        <v>1020</v>
      </c>
      <c r="F67" s="945"/>
      <c r="G67" s="946" t="e">
        <f aca="false">#N/A</f>
        <v>#N/A</v>
      </c>
      <c r="H67" s="920" t="n">
        <f aca="false">H66+6</f>
        <v>1200</v>
      </c>
      <c r="I67" s="945"/>
      <c r="J67" s="946" t="e">
        <f aca="false">#N/A</f>
        <v>#N/A</v>
      </c>
      <c r="K67" s="920" t="n">
        <f aca="false">K66+6</f>
        <v>1380</v>
      </c>
      <c r="L67" s="945"/>
      <c r="M67" s="947" t="e">
        <f aca="false">#N/A</f>
        <v>#N/A</v>
      </c>
    </row>
    <row r="68" customFormat="false" ht="15" hidden="false" customHeight="false" outlineLevel="0" collapsed="false">
      <c r="B68" s="966" t="n">
        <f aca="false">B67+6</f>
        <v>846</v>
      </c>
      <c r="C68" s="945"/>
      <c r="D68" s="946" t="e">
        <f aca="false">#N/A</f>
        <v>#N/A</v>
      </c>
      <c r="E68" s="920" t="n">
        <f aca="false">E67+6</f>
        <v>1026</v>
      </c>
      <c r="F68" s="945"/>
      <c r="G68" s="946" t="e">
        <f aca="false">#N/A</f>
        <v>#N/A</v>
      </c>
      <c r="H68" s="920" t="n">
        <f aca="false">H67+6</f>
        <v>1206</v>
      </c>
      <c r="I68" s="945"/>
      <c r="J68" s="946" t="e">
        <f aca="false">#N/A</f>
        <v>#N/A</v>
      </c>
      <c r="K68" s="920" t="n">
        <f aca="false">K67+6</f>
        <v>1386</v>
      </c>
      <c r="L68" s="945"/>
      <c r="M68" s="947" t="e">
        <f aca="false">#N/A</f>
        <v>#N/A</v>
      </c>
    </row>
    <row r="69" customFormat="false" ht="15" hidden="false" customHeight="false" outlineLevel="0" collapsed="false">
      <c r="B69" s="966" t="n">
        <f aca="false">B68+6</f>
        <v>852</v>
      </c>
      <c r="C69" s="945"/>
      <c r="D69" s="946" t="e">
        <f aca="false">#N/A</f>
        <v>#N/A</v>
      </c>
      <c r="E69" s="920" t="n">
        <f aca="false">E68+6</f>
        <v>1032</v>
      </c>
      <c r="F69" s="945"/>
      <c r="G69" s="946" t="e">
        <f aca="false">#N/A</f>
        <v>#N/A</v>
      </c>
      <c r="H69" s="920" t="n">
        <f aca="false">H68+6</f>
        <v>1212</v>
      </c>
      <c r="I69" s="945"/>
      <c r="J69" s="946" t="e">
        <f aca="false">#N/A</f>
        <v>#N/A</v>
      </c>
      <c r="K69" s="920" t="n">
        <f aca="false">K68+6</f>
        <v>1392</v>
      </c>
      <c r="L69" s="945"/>
      <c r="M69" s="947" t="e">
        <f aca="false">#N/A</f>
        <v>#N/A</v>
      </c>
    </row>
    <row r="70" customFormat="false" ht="15" hidden="false" customHeight="false" outlineLevel="0" collapsed="false">
      <c r="B70" s="966" t="n">
        <f aca="false">B69+6</f>
        <v>858</v>
      </c>
      <c r="C70" s="945"/>
      <c r="D70" s="946" t="e">
        <f aca="false">#N/A</f>
        <v>#N/A</v>
      </c>
      <c r="E70" s="920" t="n">
        <f aca="false">E69+6</f>
        <v>1038</v>
      </c>
      <c r="F70" s="945"/>
      <c r="G70" s="946" t="e">
        <f aca="false">#N/A</f>
        <v>#N/A</v>
      </c>
      <c r="H70" s="920" t="n">
        <f aca="false">H69+6</f>
        <v>1218</v>
      </c>
      <c r="I70" s="945"/>
      <c r="J70" s="946" t="e">
        <f aca="false">#N/A</f>
        <v>#N/A</v>
      </c>
      <c r="K70" s="920" t="n">
        <f aca="false">K69+6</f>
        <v>1398</v>
      </c>
      <c r="L70" s="945"/>
      <c r="M70" s="947" t="e">
        <f aca="false">#N/A</f>
        <v>#N/A</v>
      </c>
    </row>
    <row r="71" customFormat="false" ht="15" hidden="false" customHeight="false" outlineLevel="0" collapsed="false">
      <c r="B71" s="966" t="n">
        <f aca="false">B70+6</f>
        <v>864</v>
      </c>
      <c r="C71" s="945"/>
      <c r="D71" s="946" t="e">
        <f aca="false">#N/A</f>
        <v>#N/A</v>
      </c>
      <c r="E71" s="920" t="n">
        <f aca="false">E70+6</f>
        <v>1044</v>
      </c>
      <c r="F71" s="945"/>
      <c r="G71" s="946" t="e">
        <f aca="false">#N/A</f>
        <v>#N/A</v>
      </c>
      <c r="H71" s="920" t="n">
        <f aca="false">H70+6</f>
        <v>1224</v>
      </c>
      <c r="I71" s="945"/>
      <c r="J71" s="946" t="e">
        <f aca="false">#N/A</f>
        <v>#N/A</v>
      </c>
      <c r="K71" s="920" t="n">
        <f aca="false">K70+6</f>
        <v>1404</v>
      </c>
      <c r="L71" s="945"/>
      <c r="M71" s="947" t="e">
        <f aca="false">#N/A</f>
        <v>#N/A</v>
      </c>
    </row>
    <row r="72" customFormat="false" ht="15" hidden="false" customHeight="false" outlineLevel="0" collapsed="false">
      <c r="B72" s="966" t="n">
        <f aca="false">B71+6</f>
        <v>870</v>
      </c>
      <c r="C72" s="945"/>
      <c r="D72" s="946" t="e">
        <f aca="false">#N/A</f>
        <v>#N/A</v>
      </c>
      <c r="E72" s="920" t="n">
        <f aca="false">E71+6</f>
        <v>1050</v>
      </c>
      <c r="F72" s="945"/>
      <c r="G72" s="946" t="e">
        <f aca="false">#N/A</f>
        <v>#N/A</v>
      </c>
      <c r="H72" s="920" t="n">
        <f aca="false">H71+6</f>
        <v>1230</v>
      </c>
      <c r="I72" s="945"/>
      <c r="J72" s="946" t="e">
        <f aca="false">#N/A</f>
        <v>#N/A</v>
      </c>
      <c r="K72" s="920" t="n">
        <f aca="false">K71+6</f>
        <v>1410</v>
      </c>
      <c r="L72" s="945"/>
      <c r="M72" s="947" t="e">
        <f aca="false">#N/A</f>
        <v>#N/A</v>
      </c>
    </row>
    <row r="73" customFormat="false" ht="15" hidden="false" customHeight="false" outlineLevel="0" collapsed="false">
      <c r="B73" s="966" t="n">
        <f aca="false">B72+6</f>
        <v>876</v>
      </c>
      <c r="C73" s="945"/>
      <c r="D73" s="946" t="e">
        <f aca="false">#N/A</f>
        <v>#N/A</v>
      </c>
      <c r="E73" s="920" t="n">
        <f aca="false">E72+6</f>
        <v>1056</v>
      </c>
      <c r="F73" s="945"/>
      <c r="G73" s="946" t="e">
        <f aca="false">#N/A</f>
        <v>#N/A</v>
      </c>
      <c r="H73" s="920" t="n">
        <f aca="false">H72+6</f>
        <v>1236</v>
      </c>
      <c r="I73" s="945"/>
      <c r="J73" s="946" t="e">
        <f aca="false">#N/A</f>
        <v>#N/A</v>
      </c>
      <c r="K73" s="920" t="n">
        <f aca="false">K72+6</f>
        <v>1416</v>
      </c>
      <c r="L73" s="945"/>
      <c r="M73" s="947" t="e">
        <f aca="false">#N/A</f>
        <v>#N/A</v>
      </c>
    </row>
    <row r="74" customFormat="false" ht="15" hidden="false" customHeight="false" outlineLevel="0" collapsed="false">
      <c r="B74" s="966" t="n">
        <f aca="false">B73+6</f>
        <v>882</v>
      </c>
      <c r="C74" s="945"/>
      <c r="D74" s="946" t="e">
        <f aca="false">#N/A</f>
        <v>#N/A</v>
      </c>
      <c r="E74" s="920" t="n">
        <f aca="false">E73+6</f>
        <v>1062</v>
      </c>
      <c r="F74" s="945"/>
      <c r="G74" s="946" t="e">
        <f aca="false">#N/A</f>
        <v>#N/A</v>
      </c>
      <c r="H74" s="920" t="n">
        <f aca="false">H73+6</f>
        <v>1242</v>
      </c>
      <c r="I74" s="945"/>
      <c r="J74" s="946" t="e">
        <f aca="false">#N/A</f>
        <v>#N/A</v>
      </c>
      <c r="K74" s="920" t="n">
        <f aca="false">K73+6</f>
        <v>1422</v>
      </c>
      <c r="L74" s="945"/>
      <c r="M74" s="947" t="e">
        <f aca="false">#N/A</f>
        <v>#N/A</v>
      </c>
    </row>
    <row r="75" customFormat="false" ht="15" hidden="false" customHeight="false" outlineLevel="0" collapsed="false">
      <c r="B75" s="966" t="n">
        <f aca="false">B74+6</f>
        <v>888</v>
      </c>
      <c r="C75" s="945"/>
      <c r="D75" s="946" t="e">
        <f aca="false">#N/A</f>
        <v>#N/A</v>
      </c>
      <c r="E75" s="920" t="n">
        <f aca="false">E74+6</f>
        <v>1068</v>
      </c>
      <c r="F75" s="945"/>
      <c r="G75" s="946" t="e">
        <f aca="false">#N/A</f>
        <v>#N/A</v>
      </c>
      <c r="H75" s="920" t="n">
        <f aca="false">H74+6</f>
        <v>1248</v>
      </c>
      <c r="I75" s="945"/>
      <c r="J75" s="946" t="e">
        <f aca="false">#N/A</f>
        <v>#N/A</v>
      </c>
      <c r="K75" s="920" t="n">
        <f aca="false">K74+6</f>
        <v>1428</v>
      </c>
      <c r="L75" s="945"/>
      <c r="M75" s="947" t="e">
        <f aca="false">#N/A</f>
        <v>#N/A</v>
      </c>
    </row>
    <row r="76" customFormat="false" ht="15" hidden="false" customHeight="false" outlineLevel="0" collapsed="false">
      <c r="B76" s="969" t="n">
        <f aca="false">B75+6</f>
        <v>894</v>
      </c>
      <c r="C76" s="945"/>
      <c r="D76" s="962" t="e">
        <f aca="false">#N/A</f>
        <v>#N/A</v>
      </c>
      <c r="E76" s="970" t="n">
        <f aca="false">E75+6</f>
        <v>1074</v>
      </c>
      <c r="F76" s="945"/>
      <c r="G76" s="962" t="e">
        <f aca="false">#N/A</f>
        <v>#N/A</v>
      </c>
      <c r="H76" s="970" t="n">
        <f aca="false">H75+6</f>
        <v>1254</v>
      </c>
      <c r="I76" s="945"/>
      <c r="J76" s="962" t="e">
        <f aca="false">#N/A</f>
        <v>#N/A</v>
      </c>
      <c r="K76" s="970" t="n">
        <f aca="false">K75+6</f>
        <v>1434</v>
      </c>
      <c r="L76" s="945"/>
      <c r="M76" s="964" t="e">
        <f aca="false">#N/A</f>
        <v>#N/A</v>
      </c>
    </row>
  </sheetData>
  <mergeCells count="53">
    <mergeCell ref="A1:C1"/>
    <mergeCell ref="G1:H1"/>
    <mergeCell ref="L1:N1"/>
    <mergeCell ref="O1:Q1"/>
    <mergeCell ref="R1:S1"/>
    <mergeCell ref="A2:C2"/>
    <mergeCell ref="G2:H2"/>
    <mergeCell ref="A3:C3"/>
    <mergeCell ref="G3:H3"/>
    <mergeCell ref="A4:C4"/>
    <mergeCell ref="G4:H4"/>
    <mergeCell ref="A5:C5"/>
    <mergeCell ref="E5:F5"/>
    <mergeCell ref="A6:C6"/>
    <mergeCell ref="A7:C7"/>
    <mergeCell ref="B10:M10"/>
    <mergeCell ref="B11:D11"/>
    <mergeCell ref="E11:G11"/>
    <mergeCell ref="H11:J11"/>
    <mergeCell ref="K11:M11"/>
    <mergeCell ref="C12:C26"/>
    <mergeCell ref="F12:F26"/>
    <mergeCell ref="I12:I26"/>
    <mergeCell ref="L12:L26"/>
    <mergeCell ref="C27:C41"/>
    <mergeCell ref="F27:F41"/>
    <mergeCell ref="I27:I41"/>
    <mergeCell ref="L27:L41"/>
    <mergeCell ref="B42:C42"/>
    <mergeCell ref="D42:E42"/>
    <mergeCell ref="F42:G42"/>
    <mergeCell ref="H42:I42"/>
    <mergeCell ref="J42:K42"/>
    <mergeCell ref="L42:M42"/>
    <mergeCell ref="N42:O42"/>
    <mergeCell ref="P42:Q42"/>
    <mergeCell ref="B43:C43"/>
    <mergeCell ref="D43:E43"/>
    <mergeCell ref="F43:G43"/>
    <mergeCell ref="H43:I43"/>
    <mergeCell ref="B45:M45"/>
    <mergeCell ref="B46:D46"/>
    <mergeCell ref="E46:G46"/>
    <mergeCell ref="H46:J46"/>
    <mergeCell ref="K46:M46"/>
    <mergeCell ref="C47:C61"/>
    <mergeCell ref="F47:F61"/>
    <mergeCell ref="I47:I61"/>
    <mergeCell ref="L47:L61"/>
    <mergeCell ref="C62:C76"/>
    <mergeCell ref="F62:F76"/>
    <mergeCell ref="I62:I76"/>
    <mergeCell ref="L62:L76"/>
  </mergeCells>
  <conditionalFormatting sqref="B12:E41 B47:M76 F12 F27:F41 G12:M41">
    <cfRule type="cellIs" priority="2" operator="equal" aboveAverage="0" equalAverage="0" bottom="0" percent="0" rank="0" text="" dxfId="39">
      <formula>0</formula>
    </cfRule>
    <cfRule type="cellIs" priority="3" operator="equal" aboveAverage="0" equalAverage="0" bottom="0" percent="0" rank="0" text="" dxfId="40">
      <formula>0</formula>
    </cfRule>
    <cfRule type="cellIs" priority="4" operator="equal" aboveAverage="0" equalAverage="0" bottom="0" percent="0" rank="0" text="" dxfId="41">
      <formula>0</formula>
    </cfRule>
    <cfRule type="cellIs" priority="5" operator="equal" aboveAverage="0" equalAverage="0" bottom="0" percent="0" rank="0" text="" dxfId="42">
      <formula>0</formula>
    </cfRule>
    <cfRule type="cellIs" priority="6" operator="equal" aboveAverage="0" equalAverage="0" bottom="0" percent="0" rank="0" text="" dxfId="43">
      <formula>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&amp;C&amp;"Arial,Regular"&amp;10&amp;A</oddHeader>
    <oddFooter>&amp;C&amp;"Arial,Regular"&amp;10Page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S367"/>
  <sheetViews>
    <sheetView showFormulas="false" showGridLines="true" showRowColHeaders="true" showZeros="true" rightToLeft="false" tabSelected="false" showOutlineSymbols="true" defaultGridColor="true" view="normal" topLeftCell="A16" colorId="64" zoomScale="181" zoomScaleNormal="181" zoomScalePageLayoutView="100" workbookViewId="0">
      <pane xSplit="0" ySplit="78435" topLeftCell="A1" activePane="topLeft" state="split"/>
      <selection pane="topLeft" activeCell="F25" activeCellId="0" sqref="F25"/>
      <selection pane="bottomLeft" activeCell="A1" activeCellId="0" sqref="A1"/>
    </sheetView>
  </sheetViews>
  <sheetFormatPr defaultColWidth="7.1484375" defaultRowHeight="15" customHeight="true" zeroHeight="false" outlineLevelRow="0" outlineLevelCol="0"/>
  <cols>
    <col collapsed="false" customWidth="true" hidden="false" outlineLevel="0" max="1" min="1" style="6" width="9.14"/>
    <col collapsed="false" customWidth="true" hidden="false" outlineLevel="0" max="2" min="2" style="6" width="8.15"/>
    <col collapsed="false" customWidth="true" hidden="false" outlineLevel="0" max="3" min="3" style="6" width="12.86"/>
    <col collapsed="false" customWidth="true" hidden="false" outlineLevel="0" max="4" min="4" style="6" width="10.14"/>
    <col collapsed="false" customWidth="true" hidden="false" outlineLevel="0" max="5" min="5" style="6" width="11.71"/>
    <col collapsed="false" customWidth="true" hidden="false" outlineLevel="0" max="7" min="6" style="6" width="21.43"/>
    <col collapsed="false" customWidth="true" hidden="false" outlineLevel="0" max="8" min="8" style="6" width="18.29"/>
    <col collapsed="false" customWidth="true" hidden="false" outlineLevel="0" max="9" min="9" style="6" width="10.14"/>
    <col collapsed="false" customWidth="true" hidden="false" outlineLevel="0" max="10" min="10" style="6" width="18.57"/>
    <col collapsed="false" customWidth="true" hidden="false" outlineLevel="0" max="11" min="11" style="6" width="10"/>
    <col collapsed="false" customWidth="true" hidden="false" outlineLevel="0" max="12" min="12" style="6" width="15.71"/>
    <col collapsed="false" customWidth="true" hidden="false" outlineLevel="0" max="13" min="13" style="6" width="10.14"/>
    <col collapsed="false" customWidth="true" hidden="false" outlineLevel="0" max="14" min="14" style="6" width="9.71"/>
    <col collapsed="false" customWidth="true" hidden="false" outlineLevel="0" max="15" min="15" style="6" width="11.14"/>
    <col collapsed="false" customWidth="true" hidden="false" outlineLevel="0" max="16" min="16" style="6" width="13.71"/>
    <col collapsed="false" customWidth="true" hidden="false" outlineLevel="0" max="17" min="17" style="6" width="10.57"/>
    <col collapsed="false" customWidth="true" hidden="false" outlineLevel="0" max="18" min="18" style="6" width="10.14"/>
    <col collapsed="false" customWidth="true" hidden="false" outlineLevel="0" max="19" min="19" style="6" width="19.42"/>
  </cols>
  <sheetData>
    <row r="2" customFormat="false" ht="15" hidden="false" customHeight="false" outlineLevel="0" collapsed="false">
      <c r="B2" s="6" t="s">
        <v>4198</v>
      </c>
      <c r="C2" s="6" t="s">
        <v>4199</v>
      </c>
      <c r="D2" s="6" t="s">
        <v>4200</v>
      </c>
      <c r="E2" s="6" t="s">
        <v>4201</v>
      </c>
      <c r="F2" s="6" t="s">
        <v>366</v>
      </c>
    </row>
    <row r="3" customFormat="false" ht="15" hidden="false" customHeight="false" outlineLevel="0" collapsed="false">
      <c r="A3" s="6" t="n">
        <v>1</v>
      </c>
      <c r="B3" s="6" t="s">
        <v>896</v>
      </c>
      <c r="C3" s="6" t="s">
        <v>689</v>
      </c>
      <c r="E3" s="351" t="n">
        <v>1</v>
      </c>
      <c r="F3" s="351" t="s">
        <v>4202</v>
      </c>
      <c r="G3" s="351" t="s">
        <v>4203</v>
      </c>
      <c r="H3" s="6" t="s">
        <v>689</v>
      </c>
      <c r="I3" s="6" t="s">
        <v>693</v>
      </c>
      <c r="J3" s="6" t="s">
        <v>695</v>
      </c>
      <c r="K3" s="6" t="s">
        <v>703</v>
      </c>
      <c r="L3" s="6" t="s">
        <v>701</v>
      </c>
      <c r="M3" s="6" t="s">
        <v>711</v>
      </c>
      <c r="N3" s="6" t="s">
        <v>710</v>
      </c>
      <c r="O3" s="6" t="s">
        <v>709</v>
      </c>
      <c r="P3" s="6" t="s">
        <v>708</v>
      </c>
      <c r="Q3" s="6" t="s">
        <v>706</v>
      </c>
      <c r="R3" s="6" t="s">
        <v>699</v>
      </c>
      <c r="S3" s="6" t="s">
        <v>694</v>
      </c>
    </row>
    <row r="4" customFormat="false" ht="15" hidden="false" customHeight="false" outlineLevel="0" collapsed="false">
      <c r="A4" s="6" t="n">
        <v>2</v>
      </c>
      <c r="B4" s="6" t="s">
        <v>908</v>
      </c>
      <c r="C4" s="6" t="s">
        <v>693</v>
      </c>
      <c r="E4" s="351" t="n">
        <v>1</v>
      </c>
      <c r="F4" s="351" t="s">
        <v>4204</v>
      </c>
      <c r="G4" s="351" t="n">
        <v>6</v>
      </c>
      <c r="H4" s="6" t="s">
        <v>693</v>
      </c>
      <c r="I4" s="6" t="s">
        <v>708</v>
      </c>
      <c r="J4" s="6" t="s">
        <v>703</v>
      </c>
      <c r="K4" s="6" t="s">
        <v>699</v>
      </c>
      <c r="L4" s="6" t="s">
        <v>711</v>
      </c>
      <c r="M4" s="6" t="s">
        <v>689</v>
      </c>
      <c r="N4" s="6" t="s">
        <v>709</v>
      </c>
      <c r="O4" s="6" t="s">
        <v>695</v>
      </c>
      <c r="P4" s="6" t="s">
        <v>706</v>
      </c>
      <c r="Q4" s="6" t="s">
        <v>701</v>
      </c>
      <c r="R4" s="6" t="s">
        <v>694</v>
      </c>
      <c r="S4" s="6" t="s">
        <v>710</v>
      </c>
    </row>
    <row r="5" customFormat="false" ht="15" hidden="false" customHeight="false" outlineLevel="0" collapsed="false">
      <c r="A5" s="6" t="n">
        <v>3</v>
      </c>
      <c r="B5" s="6" t="s">
        <v>920</v>
      </c>
      <c r="C5" s="6" t="s">
        <v>695</v>
      </c>
      <c r="E5" s="351" t="n">
        <v>1</v>
      </c>
      <c r="F5" s="351" t="s">
        <v>4204</v>
      </c>
      <c r="G5" s="351" t="s">
        <v>4205</v>
      </c>
      <c r="H5" s="6" t="s">
        <v>695</v>
      </c>
      <c r="I5" s="6" t="s">
        <v>699</v>
      </c>
      <c r="J5" s="6" t="s">
        <v>710</v>
      </c>
      <c r="K5" s="6" t="s">
        <v>711</v>
      </c>
      <c r="L5" s="6" t="s">
        <v>693</v>
      </c>
      <c r="M5" s="6" t="s">
        <v>706</v>
      </c>
      <c r="N5" s="6" t="s">
        <v>708</v>
      </c>
      <c r="O5" s="6" t="s">
        <v>701</v>
      </c>
      <c r="P5" s="6" t="s">
        <v>689</v>
      </c>
      <c r="Q5" s="6" t="s">
        <v>694</v>
      </c>
      <c r="R5" s="6" t="s">
        <v>709</v>
      </c>
      <c r="S5" s="6" t="s">
        <v>703</v>
      </c>
    </row>
    <row r="6" customFormat="false" ht="15" hidden="false" customHeight="false" outlineLevel="0" collapsed="false">
      <c r="A6" s="6" t="n">
        <v>4</v>
      </c>
      <c r="B6" s="6" t="s">
        <v>931</v>
      </c>
      <c r="C6" s="6" t="s">
        <v>703</v>
      </c>
      <c r="E6" s="351" t="n">
        <v>-1</v>
      </c>
      <c r="F6" s="351" t="s">
        <v>4204</v>
      </c>
      <c r="G6" s="351" t="s">
        <v>4203</v>
      </c>
      <c r="H6" s="6" t="s">
        <v>703</v>
      </c>
      <c r="I6" s="6" t="s">
        <v>695</v>
      </c>
      <c r="J6" s="6" t="s">
        <v>693</v>
      </c>
      <c r="K6" s="6" t="s">
        <v>689</v>
      </c>
      <c r="L6" s="6" t="s">
        <v>694</v>
      </c>
      <c r="M6" s="6" t="s">
        <v>699</v>
      </c>
      <c r="N6" s="6" t="s">
        <v>706</v>
      </c>
      <c r="O6" s="6" t="s">
        <v>708</v>
      </c>
      <c r="P6" s="6" t="s">
        <v>709</v>
      </c>
      <c r="Q6" s="6" t="s">
        <v>710</v>
      </c>
      <c r="R6" s="6" t="s">
        <v>711</v>
      </c>
      <c r="S6" s="6" t="s">
        <v>701</v>
      </c>
    </row>
    <row r="7" customFormat="false" ht="15" hidden="false" customHeight="false" outlineLevel="0" collapsed="false">
      <c r="A7" s="6" t="n">
        <v>5</v>
      </c>
      <c r="B7" s="6" t="s">
        <v>943</v>
      </c>
      <c r="C7" s="6" t="s">
        <v>701</v>
      </c>
      <c r="E7" s="351" t="n">
        <v>-1</v>
      </c>
      <c r="F7" s="351" t="s">
        <v>4202</v>
      </c>
      <c r="G7" s="351" t="n">
        <v>6</v>
      </c>
      <c r="H7" s="6" t="s">
        <v>701</v>
      </c>
      <c r="I7" s="6" t="s">
        <v>706</v>
      </c>
      <c r="J7" s="6" t="s">
        <v>695</v>
      </c>
      <c r="K7" s="6" t="s">
        <v>709</v>
      </c>
      <c r="L7" s="6" t="s">
        <v>689</v>
      </c>
      <c r="M7" s="6" t="s">
        <v>711</v>
      </c>
      <c r="N7" s="6" t="s">
        <v>699</v>
      </c>
      <c r="O7" s="6" t="s">
        <v>703</v>
      </c>
      <c r="P7" s="6" t="s">
        <v>708</v>
      </c>
      <c r="Q7" s="6" t="s">
        <v>693</v>
      </c>
      <c r="R7" s="6" t="s">
        <v>710</v>
      </c>
      <c r="S7" s="6" t="s">
        <v>694</v>
      </c>
    </row>
    <row r="8" customFormat="false" ht="15" hidden="false" customHeight="false" outlineLevel="0" collapsed="false">
      <c r="A8" s="6" t="n">
        <v>6</v>
      </c>
      <c r="B8" s="6" t="s">
        <v>951</v>
      </c>
      <c r="C8" s="6" t="s">
        <v>711</v>
      </c>
      <c r="E8" s="351" t="n">
        <v>-1</v>
      </c>
      <c r="F8" s="351" t="s">
        <v>4202</v>
      </c>
      <c r="G8" s="351" t="s">
        <v>4205</v>
      </c>
      <c r="H8" s="6" t="s">
        <v>711</v>
      </c>
      <c r="I8" s="6" t="s">
        <v>706</v>
      </c>
      <c r="J8" s="6" t="s">
        <v>693</v>
      </c>
      <c r="K8" s="6" t="s">
        <v>695</v>
      </c>
      <c r="L8" s="6" t="s">
        <v>710</v>
      </c>
      <c r="M8" s="6" t="s">
        <v>699</v>
      </c>
      <c r="N8" s="6" t="s">
        <v>694</v>
      </c>
      <c r="O8" s="6" t="s">
        <v>703</v>
      </c>
      <c r="P8" s="6" t="s">
        <v>709</v>
      </c>
      <c r="Q8" s="6" t="s">
        <v>708</v>
      </c>
      <c r="R8" s="6" t="s">
        <v>689</v>
      </c>
      <c r="S8" s="6" t="s">
        <v>701</v>
      </c>
    </row>
    <row r="9" customFormat="false" ht="15" hidden="false" customHeight="false" outlineLevel="0" collapsed="false">
      <c r="A9" s="6" t="n">
        <v>7</v>
      </c>
      <c r="B9" s="6" t="s">
        <v>961</v>
      </c>
      <c r="C9" s="6" t="s">
        <v>710</v>
      </c>
      <c r="E9" s="351" t="n">
        <v>1</v>
      </c>
      <c r="F9" s="351" t="s">
        <v>4202</v>
      </c>
      <c r="G9" s="351" t="s">
        <v>4203</v>
      </c>
      <c r="H9" s="6" t="s">
        <v>710</v>
      </c>
      <c r="I9" s="6" t="s">
        <v>709</v>
      </c>
      <c r="J9" s="6" t="s">
        <v>708</v>
      </c>
      <c r="K9" s="6" t="s">
        <v>706</v>
      </c>
      <c r="L9" s="6" t="s">
        <v>699</v>
      </c>
      <c r="M9" s="6" t="s">
        <v>694</v>
      </c>
      <c r="N9" s="6" t="s">
        <v>689</v>
      </c>
      <c r="O9" s="6" t="s">
        <v>693</v>
      </c>
      <c r="P9" s="6" t="s">
        <v>695</v>
      </c>
      <c r="Q9" s="6" t="s">
        <v>703</v>
      </c>
      <c r="R9" s="6" t="s">
        <v>701</v>
      </c>
      <c r="S9" s="6" t="s">
        <v>711</v>
      </c>
    </row>
    <row r="10" customFormat="false" ht="15" hidden="false" customHeight="false" outlineLevel="0" collapsed="false">
      <c r="A10" s="6" t="n">
        <v>8</v>
      </c>
      <c r="B10" s="6" t="s">
        <v>969</v>
      </c>
      <c r="C10" s="6" t="s">
        <v>709</v>
      </c>
      <c r="E10" s="351" t="n">
        <v>1</v>
      </c>
      <c r="F10" s="351" t="s">
        <v>4204</v>
      </c>
      <c r="G10" s="351" t="n">
        <v>6</v>
      </c>
      <c r="H10" s="6" t="s">
        <v>709</v>
      </c>
      <c r="I10" s="6" t="s">
        <v>695</v>
      </c>
      <c r="J10" s="6" t="s">
        <v>706</v>
      </c>
      <c r="K10" s="6" t="s">
        <v>701</v>
      </c>
      <c r="L10" s="6" t="s">
        <v>694</v>
      </c>
      <c r="M10" s="6" t="s">
        <v>710</v>
      </c>
      <c r="N10" s="6" t="s">
        <v>693</v>
      </c>
      <c r="O10" s="6" t="s">
        <v>708</v>
      </c>
      <c r="P10" s="6" t="s">
        <v>703</v>
      </c>
      <c r="Q10" s="6" t="s">
        <v>699</v>
      </c>
      <c r="R10" s="6" t="s">
        <v>711</v>
      </c>
      <c r="S10" s="6" t="s">
        <v>689</v>
      </c>
    </row>
    <row r="11" customFormat="false" ht="15" hidden="false" customHeight="false" outlineLevel="0" collapsed="false">
      <c r="A11" s="6" t="n">
        <v>9</v>
      </c>
      <c r="B11" s="6" t="s">
        <v>3175</v>
      </c>
      <c r="C11" s="6" t="s">
        <v>708</v>
      </c>
      <c r="E11" s="351" t="n">
        <v>1</v>
      </c>
      <c r="F11" s="351" t="s">
        <v>4204</v>
      </c>
      <c r="G11" s="351" t="s">
        <v>4205</v>
      </c>
      <c r="H11" s="6" t="s">
        <v>708</v>
      </c>
      <c r="I11" s="6" t="s">
        <v>701</v>
      </c>
      <c r="J11" s="6" t="s">
        <v>689</v>
      </c>
      <c r="K11" s="6" t="s">
        <v>694</v>
      </c>
      <c r="L11" s="6" t="s">
        <v>709</v>
      </c>
      <c r="M11" s="6" t="s">
        <v>703</v>
      </c>
      <c r="N11" s="6" t="s">
        <v>695</v>
      </c>
      <c r="O11" s="6" t="s">
        <v>699</v>
      </c>
      <c r="P11" s="6" t="s">
        <v>710</v>
      </c>
      <c r="Q11" s="6" t="s">
        <v>711</v>
      </c>
      <c r="R11" s="6" t="s">
        <v>693</v>
      </c>
      <c r="S11" s="6" t="s">
        <v>706</v>
      </c>
    </row>
    <row r="12" customFormat="false" ht="15" hidden="false" customHeight="false" outlineLevel="0" collapsed="false">
      <c r="A12" s="6" t="n">
        <v>10</v>
      </c>
      <c r="B12" s="6" t="s">
        <v>987</v>
      </c>
      <c r="C12" s="6" t="s">
        <v>706</v>
      </c>
      <c r="E12" s="351" t="n">
        <v>-1</v>
      </c>
      <c r="F12" s="351" t="s">
        <v>4204</v>
      </c>
      <c r="G12" s="351" t="s">
        <v>4203</v>
      </c>
      <c r="H12" s="6" t="s">
        <v>706</v>
      </c>
      <c r="I12" s="6" t="s">
        <v>708</v>
      </c>
      <c r="J12" s="6" t="s">
        <v>709</v>
      </c>
      <c r="K12" s="6" t="s">
        <v>710</v>
      </c>
      <c r="L12" s="6" t="s">
        <v>711</v>
      </c>
      <c r="M12" s="6" t="s">
        <v>701</v>
      </c>
      <c r="N12" s="6" t="s">
        <v>703</v>
      </c>
      <c r="O12" s="6" t="s">
        <v>695</v>
      </c>
      <c r="P12" s="6" t="s">
        <v>693</v>
      </c>
      <c r="Q12" s="6" t="s">
        <v>689</v>
      </c>
      <c r="R12" s="6" t="s">
        <v>694</v>
      </c>
      <c r="S12" s="6" t="s">
        <v>699</v>
      </c>
    </row>
    <row r="13" customFormat="false" ht="15" hidden="false" customHeight="false" outlineLevel="0" collapsed="false">
      <c r="A13" s="6" t="n">
        <v>11</v>
      </c>
      <c r="B13" s="6" t="s">
        <v>997</v>
      </c>
      <c r="C13" s="6" t="s">
        <v>699</v>
      </c>
      <c r="E13" s="351" t="n">
        <v>-1</v>
      </c>
      <c r="F13" s="351" t="s">
        <v>4202</v>
      </c>
      <c r="G13" s="351" t="n">
        <v>6</v>
      </c>
      <c r="H13" s="6" t="s">
        <v>699</v>
      </c>
      <c r="I13" s="6" t="s">
        <v>703</v>
      </c>
      <c r="J13" s="6" t="s">
        <v>708</v>
      </c>
      <c r="K13" s="6" t="s">
        <v>693</v>
      </c>
      <c r="L13" s="6" t="s">
        <v>710</v>
      </c>
      <c r="M13" s="6" t="s">
        <v>694</v>
      </c>
      <c r="N13" s="6" t="s">
        <v>701</v>
      </c>
      <c r="O13" s="6" t="s">
        <v>706</v>
      </c>
      <c r="P13" s="6" t="s">
        <v>695</v>
      </c>
      <c r="Q13" s="6" t="s">
        <v>709</v>
      </c>
      <c r="R13" s="6" t="s">
        <v>689</v>
      </c>
      <c r="S13" s="6" t="s">
        <v>711</v>
      </c>
    </row>
    <row r="14" customFormat="false" ht="15" hidden="false" customHeight="false" outlineLevel="0" collapsed="false">
      <c r="A14" s="6" t="n">
        <v>12</v>
      </c>
      <c r="B14" s="6" t="s">
        <v>1006</v>
      </c>
      <c r="C14" s="6" t="s">
        <v>694</v>
      </c>
      <c r="E14" s="351" t="n">
        <v>-1</v>
      </c>
      <c r="F14" s="351" t="s">
        <v>4202</v>
      </c>
      <c r="G14" s="351" t="s">
        <v>4205</v>
      </c>
      <c r="H14" s="6" t="s">
        <v>694</v>
      </c>
      <c r="I14" s="6" t="s">
        <v>703</v>
      </c>
      <c r="J14" s="6" t="s">
        <v>709</v>
      </c>
      <c r="K14" s="6" t="s">
        <v>708</v>
      </c>
      <c r="L14" s="6" t="s">
        <v>689</v>
      </c>
      <c r="M14" s="6" t="s">
        <v>701</v>
      </c>
      <c r="N14" s="6" t="s">
        <v>711</v>
      </c>
      <c r="O14" s="6" t="s">
        <v>706</v>
      </c>
      <c r="P14" s="6" t="s">
        <v>693</v>
      </c>
      <c r="Q14" s="6" t="s">
        <v>695</v>
      </c>
      <c r="R14" s="6" t="s">
        <v>710</v>
      </c>
      <c r="S14" s="6" t="s">
        <v>699</v>
      </c>
    </row>
    <row r="16" customFormat="false" ht="14.25" hidden="false" customHeight="true" outlineLevel="0" collapsed="false">
      <c r="B16" s="6" t="s">
        <v>4206</v>
      </c>
      <c r="C16" s="971" t="n">
        <f aca="false">DoB</f>
        <v>26133.3841435185</v>
      </c>
      <c r="D16" s="100" t="n">
        <f aca="false">DaysInYear</f>
        <v>365.254872685182</v>
      </c>
      <c r="L16" s="48"/>
    </row>
    <row r="17" customFormat="false" ht="15" hidden="false" customHeight="false" outlineLevel="0" collapsed="false">
      <c r="A17" s="972"/>
      <c r="L17" s="48"/>
    </row>
    <row r="18" customFormat="false" ht="15" hidden="false" customHeight="false" outlineLevel="0" collapsed="false">
      <c r="A18" s="973" t="s">
        <v>4207</v>
      </c>
      <c r="B18" s="974" t="n">
        <v>1</v>
      </c>
      <c r="C18" s="974" t="n">
        <v>3</v>
      </c>
      <c r="D18" s="974" t="n">
        <v>4</v>
      </c>
      <c r="E18" s="974" t="n">
        <v>7</v>
      </c>
      <c r="F18" s="974" t="n">
        <v>9</v>
      </c>
      <c r="G18" s="974" t="n">
        <v>10</v>
      </c>
      <c r="H18" s="974" t="n">
        <v>12</v>
      </c>
      <c r="I18" s="974" t="n">
        <v>16</v>
      </c>
      <c r="J18" s="974" t="n">
        <v>20</v>
      </c>
      <c r="K18" s="974" t="n">
        <v>24</v>
      </c>
      <c r="L18" s="974" t="n">
        <v>27</v>
      </c>
      <c r="M18" s="974" t="n">
        <v>30</v>
      </c>
      <c r="N18" s="974" t="n">
        <v>40</v>
      </c>
      <c r="O18" s="974" t="n">
        <v>45</v>
      </c>
      <c r="P18" s="974" t="n">
        <v>60</v>
      </c>
      <c r="Q18" s="975" t="s">
        <v>4208</v>
      </c>
    </row>
    <row r="19" customFormat="false" ht="15" hidden="false" customHeight="false" outlineLevel="0" collapsed="false">
      <c r="A19" s="976" t="s">
        <v>157</v>
      </c>
      <c r="B19" s="977" t="str">
        <f aca="false">Basics!C7</f>
        <v>Le</v>
      </c>
      <c r="C19" s="978" t="str">
        <f aca="false">Basics!H58</f>
        <v>Sg</v>
      </c>
      <c r="D19" s="978" t="str">
        <f aca="false">Basics!J58</f>
        <v>Aq</v>
      </c>
      <c r="E19" s="978" t="str">
        <f aca="false">Basics!L58</f>
        <v>Sc</v>
      </c>
      <c r="F19" s="978" t="str">
        <f aca="false">Basics!N58</f>
        <v>Vi</v>
      </c>
      <c r="G19" s="978" t="str">
        <f aca="false">Basics!P58</f>
        <v>Ta</v>
      </c>
      <c r="H19" s="978" t="str">
        <f aca="false">Basics!R58</f>
        <v>Aq</v>
      </c>
      <c r="I19" s="979" t="s">
        <v>694</v>
      </c>
      <c r="J19" s="979" t="s">
        <v>711</v>
      </c>
      <c r="K19" s="979" t="s">
        <v>701</v>
      </c>
      <c r="L19" s="979"/>
      <c r="M19" s="979"/>
      <c r="N19" s="979"/>
      <c r="O19" s="979"/>
      <c r="P19" s="979"/>
      <c r="Q19" s="980" t="s">
        <v>701</v>
      </c>
    </row>
    <row r="20" customFormat="false" ht="15" hidden="false" customHeight="false" outlineLevel="0" collapsed="false">
      <c r="A20" s="976" t="s">
        <v>158</v>
      </c>
      <c r="B20" s="977" t="str">
        <f aca="false">Basics!C8</f>
        <v>Cn</v>
      </c>
      <c r="C20" s="978" t="str">
        <f aca="false">Basics!H59</f>
        <v>Cn</v>
      </c>
      <c r="D20" s="978" t="str">
        <f aca="false">Basics!J59</f>
        <v>Cn</v>
      </c>
      <c r="E20" s="978" t="str">
        <f aca="false">Basics!L59</f>
        <v>Cp</v>
      </c>
      <c r="F20" s="978" t="str">
        <f aca="false">Basics!N59</f>
        <v>Cn</v>
      </c>
      <c r="G20" s="978" t="str">
        <f aca="false">Basics!P59</f>
        <v>Li</v>
      </c>
      <c r="H20" s="978" t="str">
        <f aca="false">Basics!R59</f>
        <v>Cn</v>
      </c>
      <c r="I20" s="979" t="s">
        <v>710</v>
      </c>
      <c r="J20" s="979" t="s">
        <v>693</v>
      </c>
      <c r="K20" s="979" t="s">
        <v>699</v>
      </c>
      <c r="L20" s="979"/>
      <c r="M20" s="979"/>
      <c r="N20" s="979"/>
      <c r="O20" s="979"/>
      <c r="P20" s="979"/>
      <c r="Q20" s="980" t="s">
        <v>703</v>
      </c>
    </row>
    <row r="21" customFormat="false" ht="15" hidden="false" customHeight="false" outlineLevel="0" collapsed="false">
      <c r="A21" s="976" t="s">
        <v>159</v>
      </c>
      <c r="B21" s="977" t="str">
        <f aca="false">Basics!C9</f>
        <v>Ta</v>
      </c>
      <c r="C21" s="978" t="str">
        <f aca="false">Basics!H60</f>
        <v>Cp</v>
      </c>
      <c r="D21" s="978" t="str">
        <f aca="false">Basics!J60</f>
        <v>Aq</v>
      </c>
      <c r="E21" s="978" t="str">
        <f aca="false">Basics!L60</f>
        <v>Ar</v>
      </c>
      <c r="F21" s="978" t="str">
        <f aca="false">Basics!N60</f>
        <v>Cn</v>
      </c>
      <c r="G21" s="978" t="str">
        <f aca="false">Basics!P60</f>
        <v>Cn</v>
      </c>
      <c r="H21" s="978" t="str">
        <f aca="false">Basics!R60</f>
        <v>Aq</v>
      </c>
      <c r="I21" s="979" t="s">
        <v>701</v>
      </c>
      <c r="J21" s="979" t="s">
        <v>694</v>
      </c>
      <c r="K21" s="979" t="s">
        <v>709</v>
      </c>
      <c r="L21" s="979"/>
      <c r="M21" s="979"/>
      <c r="N21" s="979"/>
      <c r="O21" s="979"/>
      <c r="P21" s="979"/>
      <c r="Q21" s="980" t="s">
        <v>710</v>
      </c>
    </row>
    <row r="22" customFormat="false" ht="15" hidden="false" customHeight="false" outlineLevel="0" collapsed="false">
      <c r="A22" s="976" t="s">
        <v>160</v>
      </c>
      <c r="B22" s="977" t="str">
        <f aca="false">Basics!C10</f>
        <v>Cp</v>
      </c>
      <c r="C22" s="978" t="str">
        <f aca="false">Basics!H61</f>
        <v>Vi</v>
      </c>
      <c r="D22" s="978" t="str">
        <f aca="false">Basics!J61</f>
        <v>Li</v>
      </c>
      <c r="E22" s="978" t="str">
        <f aca="false">Basics!L61</f>
        <v>Cp</v>
      </c>
      <c r="F22" s="978" t="str">
        <f aca="false">Basics!N61</f>
        <v>Vi</v>
      </c>
      <c r="G22" s="978" t="str">
        <f aca="false">Basics!P61</f>
        <v>Cp</v>
      </c>
      <c r="H22" s="978" t="str">
        <f aca="false">Basics!R61</f>
        <v>Sg</v>
      </c>
      <c r="I22" s="979" t="s">
        <v>695</v>
      </c>
      <c r="J22" s="979" t="s">
        <v>710</v>
      </c>
      <c r="K22" s="979" t="s">
        <v>703</v>
      </c>
      <c r="L22" s="979"/>
      <c r="M22" s="979"/>
      <c r="N22" s="979"/>
      <c r="O22" s="979"/>
      <c r="P22" s="979"/>
      <c r="Q22" s="980" t="s">
        <v>699</v>
      </c>
    </row>
    <row r="23" customFormat="false" ht="15" hidden="false" customHeight="false" outlineLevel="0" collapsed="false">
      <c r="A23" s="976" t="s">
        <v>161</v>
      </c>
      <c r="B23" s="977" t="str">
        <f aca="false">Basics!C11</f>
        <v>Cn</v>
      </c>
      <c r="C23" s="978" t="str">
        <f aca="false">Basics!H62</f>
        <v>Pi</v>
      </c>
      <c r="D23" s="978" t="str">
        <f aca="false">Basics!J62</f>
        <v>Ar</v>
      </c>
      <c r="E23" s="978" t="str">
        <f aca="false">Basics!L62</f>
        <v>Cn</v>
      </c>
      <c r="F23" s="978" t="str">
        <f aca="false">Basics!N62</f>
        <v>Pi</v>
      </c>
      <c r="G23" s="978" t="str">
        <f aca="false">Basics!P62</f>
        <v>Cn</v>
      </c>
      <c r="H23" s="978" t="str">
        <f aca="false">Basics!R62</f>
        <v>Ta</v>
      </c>
      <c r="I23" s="979" t="s">
        <v>695</v>
      </c>
      <c r="J23" s="979" t="s">
        <v>710</v>
      </c>
      <c r="K23" s="979" t="s">
        <v>699</v>
      </c>
      <c r="L23" s="979"/>
      <c r="M23" s="979"/>
      <c r="N23" s="979"/>
      <c r="O23" s="979"/>
      <c r="P23" s="979"/>
      <c r="Q23" s="980" t="s">
        <v>701</v>
      </c>
    </row>
    <row r="24" customFormat="false" ht="15" hidden="false" customHeight="false" outlineLevel="0" collapsed="false">
      <c r="A24" s="976" t="s">
        <v>162</v>
      </c>
      <c r="B24" s="977" t="str">
        <f aca="false">Basics!C12</f>
        <v>Sc</v>
      </c>
      <c r="C24" s="978" t="str">
        <f aca="false">Basics!H63</f>
        <v>Sc</v>
      </c>
      <c r="D24" s="978" t="str">
        <f aca="false">Basics!J63</f>
        <v>Sc</v>
      </c>
      <c r="E24" s="978" t="str">
        <f aca="false">Basics!L63</f>
        <v>Ta</v>
      </c>
      <c r="F24" s="978" t="str">
        <f aca="false">Basics!N63</f>
        <v>Cn</v>
      </c>
      <c r="G24" s="978" t="str">
        <f aca="false">Basics!P63</f>
        <v>Cn</v>
      </c>
      <c r="H24" s="978" t="str">
        <f aca="false">Basics!R63</f>
        <v>Sg</v>
      </c>
      <c r="I24" s="979" t="s">
        <v>711</v>
      </c>
      <c r="J24" s="979" t="s">
        <v>699</v>
      </c>
      <c r="K24" s="979" t="s">
        <v>695</v>
      </c>
      <c r="L24" s="979"/>
      <c r="M24" s="979"/>
      <c r="N24" s="979"/>
      <c r="O24" s="979"/>
      <c r="P24" s="979"/>
      <c r="Q24" s="980" t="s">
        <v>689</v>
      </c>
    </row>
    <row r="25" customFormat="false" ht="15" hidden="false" customHeight="false" outlineLevel="0" collapsed="false">
      <c r="A25" s="976" t="s">
        <v>163</v>
      </c>
      <c r="B25" s="977" t="str">
        <f aca="false">Basics!C13</f>
        <v>Ge</v>
      </c>
      <c r="C25" s="978" t="str">
        <f aca="false">Basics!H64</f>
        <v>Aq</v>
      </c>
      <c r="D25" s="978" t="str">
        <f aca="false">Basics!J64</f>
        <v>Sg</v>
      </c>
      <c r="E25" s="978" t="str">
        <f aca="false">Basics!L64</f>
        <v>Sc</v>
      </c>
      <c r="F25" s="978" t="str">
        <f aca="false">Basics!N64</f>
        <v>Ar</v>
      </c>
      <c r="G25" s="978" t="str">
        <f aca="false">Basics!P64</f>
        <v>Vi</v>
      </c>
      <c r="H25" s="978" t="str">
        <f aca="false">Basics!R64</f>
        <v>Aq</v>
      </c>
      <c r="I25" s="979" t="s">
        <v>709</v>
      </c>
      <c r="J25" s="979" t="s">
        <v>710</v>
      </c>
      <c r="K25" s="979" t="s">
        <v>706</v>
      </c>
      <c r="L25" s="979"/>
      <c r="M25" s="979"/>
      <c r="N25" s="979"/>
      <c r="O25" s="979"/>
      <c r="P25" s="979"/>
      <c r="Q25" s="980" t="s">
        <v>695</v>
      </c>
    </row>
    <row r="26" customFormat="false" ht="15" hidden="false" customHeight="false" outlineLevel="0" collapsed="false">
      <c r="A26" s="976" t="s">
        <v>164</v>
      </c>
      <c r="B26" s="977" t="str">
        <f aca="false">Basics!C14</f>
        <v>Ta</v>
      </c>
      <c r="C26" s="978" t="str">
        <f aca="false">Basics!H65</f>
        <v>Ta</v>
      </c>
      <c r="D26" s="978" t="str">
        <f aca="false">Basics!J65</f>
        <v>Le</v>
      </c>
      <c r="E26" s="978" t="str">
        <f aca="false">Basics!L65</f>
        <v>Cp</v>
      </c>
      <c r="F26" s="978" t="str">
        <f aca="false">Basics!N65</f>
        <v>Pi</v>
      </c>
      <c r="G26" s="978" t="str">
        <f aca="false">Basics!P65</f>
        <v>Pi</v>
      </c>
      <c r="H26" s="978" t="str">
        <f aca="false">Basics!R65</f>
        <v>Le</v>
      </c>
      <c r="I26" s="979" t="s">
        <v>706</v>
      </c>
      <c r="J26" s="979" t="s">
        <v>695</v>
      </c>
      <c r="K26" s="979" t="s">
        <v>708</v>
      </c>
      <c r="L26" s="979"/>
      <c r="M26" s="979"/>
      <c r="N26" s="979"/>
      <c r="O26" s="979"/>
      <c r="P26" s="979"/>
      <c r="Q26" s="980" t="s">
        <v>693</v>
      </c>
    </row>
    <row r="27" customFormat="false" ht="15" hidden="false" customHeight="false" outlineLevel="0" collapsed="false">
      <c r="A27" s="976" t="s">
        <v>165</v>
      </c>
      <c r="B27" s="977" t="str">
        <f aca="false">Basics!C15</f>
        <v>Cp</v>
      </c>
      <c r="C27" s="978" t="str">
        <f aca="false">Basics!H66</f>
        <v>Vi</v>
      </c>
      <c r="D27" s="978" t="str">
        <f aca="false">Basics!J66</f>
        <v>Cn</v>
      </c>
      <c r="E27" s="978" t="str">
        <f aca="false">Basics!L66</f>
        <v>Sg</v>
      </c>
      <c r="F27" s="978" t="str">
        <f aca="false">Basics!N66</f>
        <v>Cn</v>
      </c>
      <c r="G27" s="978" t="str">
        <f aca="false">Basics!P66</f>
        <v>Sc</v>
      </c>
      <c r="H27" s="978" t="str">
        <f aca="false">Basics!R66</f>
        <v>Vi</v>
      </c>
      <c r="I27" s="979" t="s">
        <v>694</v>
      </c>
      <c r="J27" s="979" t="s">
        <v>695</v>
      </c>
      <c r="K27" s="979" t="s">
        <v>694</v>
      </c>
      <c r="L27" s="979"/>
      <c r="M27" s="979"/>
      <c r="N27" s="979"/>
      <c r="O27" s="979"/>
      <c r="P27" s="979"/>
      <c r="Q27" s="980" t="s">
        <v>699</v>
      </c>
    </row>
    <row r="28" customFormat="false" ht="15" hidden="false" customHeight="false" outlineLevel="0" collapsed="false">
      <c r="A28" s="976" t="s">
        <v>166</v>
      </c>
      <c r="B28" s="977" t="str">
        <f aca="false">Basics!C16</f>
        <v>Cn</v>
      </c>
      <c r="C28" s="978" t="str">
        <f aca="false">Basics!H67</f>
        <v>Pi</v>
      </c>
      <c r="D28" s="978" t="str">
        <f aca="false">Basics!J67</f>
        <v>Cp</v>
      </c>
      <c r="E28" s="978" t="str">
        <f aca="false">Basics!L67</f>
        <v>Ge</v>
      </c>
      <c r="F28" s="978" t="str">
        <f aca="false">Basics!N67</f>
        <v>Cp</v>
      </c>
      <c r="G28" s="978" t="str">
        <f aca="false">Basics!P67</f>
        <v>Ta</v>
      </c>
      <c r="H28" s="978" t="str">
        <f aca="false">Basics!R67</f>
        <v>Pi</v>
      </c>
      <c r="I28" s="979" t="s">
        <v>694</v>
      </c>
      <c r="J28" s="979" t="s">
        <v>695</v>
      </c>
      <c r="K28" s="979" t="s">
        <v>711</v>
      </c>
      <c r="L28" s="979"/>
      <c r="M28" s="979"/>
      <c r="N28" s="979"/>
      <c r="O28" s="979"/>
      <c r="P28" s="979"/>
      <c r="Q28" s="980" t="s">
        <v>701</v>
      </c>
    </row>
    <row r="29" customFormat="false" ht="15" hidden="false" customHeight="false" outlineLevel="0" collapsed="false">
      <c r="A29" s="976" t="s">
        <v>4209</v>
      </c>
      <c r="B29" s="979" t="s">
        <v>165</v>
      </c>
      <c r="C29" s="979" t="s">
        <v>164</v>
      </c>
      <c r="D29" s="979" t="s">
        <v>164</v>
      </c>
      <c r="E29" s="979" t="s">
        <v>164</v>
      </c>
      <c r="F29" s="979" t="s">
        <v>165</v>
      </c>
      <c r="G29" s="979" t="s">
        <v>165</v>
      </c>
      <c r="H29" s="979" t="s">
        <v>164</v>
      </c>
      <c r="I29" s="979" t="s">
        <v>164</v>
      </c>
      <c r="J29" s="979" t="s">
        <v>165</v>
      </c>
      <c r="K29" s="979" t="s">
        <v>164</v>
      </c>
      <c r="L29" s="979" t="s">
        <v>164</v>
      </c>
      <c r="M29" s="979" t="s">
        <v>164</v>
      </c>
      <c r="N29" s="979" t="s">
        <v>164</v>
      </c>
      <c r="O29" s="979" t="s">
        <v>164</v>
      </c>
      <c r="P29" s="979" t="s">
        <v>164</v>
      </c>
      <c r="Q29" s="980" t="s">
        <v>164</v>
      </c>
    </row>
    <row r="30" customFormat="false" ht="15" hidden="false" customHeight="false" outlineLevel="0" collapsed="false">
      <c r="A30" s="981" t="s">
        <v>4210</v>
      </c>
      <c r="B30" s="982" t="s">
        <v>166</v>
      </c>
      <c r="C30" s="982" t="s">
        <v>160</v>
      </c>
      <c r="D30" s="982" t="s">
        <v>160</v>
      </c>
      <c r="E30" s="982" t="s">
        <v>160</v>
      </c>
      <c r="F30" s="982" t="s">
        <v>160</v>
      </c>
      <c r="G30" s="982" t="s">
        <v>160</v>
      </c>
      <c r="H30" s="982" t="s">
        <v>160</v>
      </c>
      <c r="I30" s="982" t="s">
        <v>160</v>
      </c>
      <c r="J30" s="982" t="s">
        <v>160</v>
      </c>
      <c r="K30" s="982" t="s">
        <v>160</v>
      </c>
      <c r="L30" s="982" t="s">
        <v>160</v>
      </c>
      <c r="M30" s="982" t="s">
        <v>160</v>
      </c>
      <c r="N30" s="982" t="s">
        <v>160</v>
      </c>
      <c r="O30" s="982" t="s">
        <v>160</v>
      </c>
      <c r="P30" s="982" t="s">
        <v>160</v>
      </c>
      <c r="Q30" s="983" t="s">
        <v>160</v>
      </c>
    </row>
    <row r="31" customFormat="false" ht="15" hidden="false" customHeight="false" outlineLevel="0" collapsed="false">
      <c r="L31" s="48"/>
    </row>
    <row r="32" customFormat="false" ht="12" hidden="false" customHeight="true" outlineLevel="0" collapsed="false">
      <c r="A32" s="984" t="s">
        <v>4211</v>
      </c>
      <c r="B32" s="984"/>
      <c r="C32" s="984"/>
      <c r="D32" s="984"/>
      <c r="E32" s="984"/>
      <c r="F32" s="984"/>
      <c r="G32" s="984"/>
      <c r="H32" s="984"/>
      <c r="L32" s="48"/>
    </row>
    <row r="33" customFormat="false" ht="15" hidden="false" customHeight="false" outlineLevel="0" collapsed="false">
      <c r="L33" s="48"/>
    </row>
    <row r="34" customFormat="false" ht="15" hidden="false" customHeight="false" outlineLevel="0" collapsed="false">
      <c r="A34" s="985" t="s">
        <v>4212</v>
      </c>
      <c r="B34" s="986"/>
      <c r="C34" s="986"/>
      <c r="D34" s="986"/>
      <c r="E34" s="986"/>
      <c r="F34" s="986"/>
      <c r="G34" s="986"/>
      <c r="H34" s="986"/>
      <c r="I34" s="986"/>
      <c r="J34" s="986"/>
      <c r="K34" s="986"/>
      <c r="L34" s="987"/>
      <c r="M34" s="986"/>
      <c r="N34" s="986"/>
      <c r="O34" s="986"/>
      <c r="P34" s="986"/>
      <c r="Q34" s="986"/>
      <c r="R34" s="986"/>
      <c r="S34" s="986"/>
    </row>
    <row r="35" s="206" customFormat="true" ht="15" hidden="false" customHeight="false" outlineLevel="0" collapsed="false">
      <c r="A35" s="988" t="s">
        <v>4213</v>
      </c>
      <c r="B35" s="988"/>
      <c r="C35" s="989" t="n">
        <v>9</v>
      </c>
      <c r="D35" s="990" t="n">
        <f aca="false">MATCH(C35,$18:$18,1)</f>
        <v>6</v>
      </c>
      <c r="H35" s="206" t="s">
        <v>4214</v>
      </c>
      <c r="I35" s="991" t="s">
        <v>4215</v>
      </c>
      <c r="N35" s="991"/>
    </row>
    <row r="36" s="206" customFormat="true" ht="15" hidden="false" customHeight="false" outlineLevel="0" collapsed="false">
      <c r="A36" s="988" t="s">
        <v>4216</v>
      </c>
      <c r="B36" s="988"/>
      <c r="C36" s="992" t="s">
        <v>1006</v>
      </c>
      <c r="D36" s="993"/>
      <c r="E36" s="206" t="s">
        <v>4217</v>
      </c>
      <c r="F36" s="994" t="b">
        <f aca="false">FALSE()</f>
        <v>0</v>
      </c>
      <c r="G36" s="351"/>
      <c r="H36" s="995" t="b">
        <f aca="false">TRUE()</f>
        <v>1</v>
      </c>
      <c r="I36" s="996" t="n">
        <f aca="false">IF(F36,1-Basics!H8/30,Basics!H8/30)</f>
        <v>0.0799734259259259</v>
      </c>
      <c r="J36" s="991"/>
      <c r="P36" s="991"/>
    </row>
    <row r="37" s="206" customFormat="true" ht="15" hidden="false" customHeight="false" outlineLevel="0" collapsed="false">
      <c r="C37" s="991"/>
      <c r="E37" s="991"/>
      <c r="H37" s="991"/>
      <c r="I37" s="991"/>
      <c r="J37" s="991"/>
    </row>
    <row r="38" s="206" customFormat="true" ht="41.75" hidden="false" customHeight="false" outlineLevel="0" collapsed="false">
      <c r="A38" s="997" t="s">
        <v>4084</v>
      </c>
      <c r="B38" s="997" t="s">
        <v>807</v>
      </c>
      <c r="C38" s="997" t="s">
        <v>4218</v>
      </c>
      <c r="D38" s="997" t="s">
        <v>4219</v>
      </c>
      <c r="E38" s="997" t="s">
        <v>4220</v>
      </c>
      <c r="F38" s="997" t="s">
        <v>730</v>
      </c>
      <c r="G38" s="997" t="s">
        <v>805</v>
      </c>
      <c r="H38" s="997" t="s">
        <v>4221</v>
      </c>
      <c r="I38" s="991"/>
      <c r="J38" s="991"/>
    </row>
    <row r="39" s="206" customFormat="true" ht="15" hidden="false" customHeight="false" outlineLevel="0" collapsed="false">
      <c r="A39" s="206" t="str">
        <f aca="false">VLOOKUP(C36,NDasaSeq,7,0)</f>
        <v>Pi</v>
      </c>
      <c r="B39" s="206" t="n">
        <f aca="false">VLOOKUP(A39,NDasaC,3,0)</f>
        <v>-1</v>
      </c>
      <c r="C39" s="998" t="e">
        <f aca="false">IF(MATCH(VLOOKUP(IF((A39="Aq"),VLOOKUP("AqLord",DivCharts,D35,0),IF((A39="Sc"),VLOOKUP("ScLord",DivCharts,D35,0),VLOOKUP(A39,RsInfo,9,0))),DivCharts,D35,0),RsTbl,0)=MATCH(VLOOKUP(IF((A39="Aq"),VLOOKUP("AqLord",DivCharts,D35,0),IF((A39="Sc"),VLOOKUP("ScLord",DivCharts,D35,0),VLOOKUP(A39,RsInfo,9,0))),PlanetData,8,0),RsTbl,0),1,IF(MATCH(VLOOKUP(IF((A39="Aq"),VLOOKUP("AqLord",DivCharts,D35,0),IF((A39="Sc"),VLOOKUP("ScLord",DivCharts,D35,0),VLOOKUP(A39,RsInfo,9,0))),DivCharts,D35,0),RsTbl,0)=MOD(MATCH(VLOOKUP(IF((A39="Aq"),VLOOKUP("AqLord",DivCharts,D35,0),IF((A39="Sc"),VLOOKUP("ScLord",DivCharts,D35,0),VLOOKUP(A39,RsInfo,9,0))),PlanetData,8,0),RsTbl,0)+6,12),-1,0))</f>
        <v>#N/A</v>
      </c>
      <c r="D39" s="998" t="n">
        <f aca="false">MOD((MATCH(VLOOKUP(IF((A39="Aq"),VLOOKUP("AqLord",DivCharts,D35,0),IF((A39="Sc"),VLOOKUP("ScLord",DivCharts,D35,0),VLOOKUP(A39,RsInfo,9,0))),DivCharts,D35,0),RsTbl,0)*B39)-(B39*MATCH(A39,RsTbl,0))+12,12)</f>
        <v>8</v>
      </c>
      <c r="E39" s="206" t="n">
        <f aca="false">ABS(IF(ISNA(MATCH((D39+C39),,0)),(D39+C39),12)+IF(F36,0,-12))*IF(H36,I36,1)</f>
        <v>0</v>
      </c>
      <c r="F39" s="999" t="n">
        <f aca="false">NDDoB</f>
        <v>26133.3841435185</v>
      </c>
      <c r="G39" s="999" t="n">
        <f aca="false">F39+E39*NDDaysInYEar</f>
        <v>26133.3841435185</v>
      </c>
      <c r="H39" s="1000" t="str">
        <f aca="false">A39</f>
        <v>Pi</v>
      </c>
      <c r="I39" s="233" t="str">
        <f aca="false">INDEX(SignSym,MOD(B39+MATCH(H39,SignSym,0)-1,12)+1)</f>
        <v>Aq</v>
      </c>
      <c r="J39" s="233" t="str">
        <f aca="false">INDEX(SignSym,MOD(B39+MATCH(I39,SignSym,0)-1,12)+1)</f>
        <v>Cp</v>
      </c>
      <c r="K39" s="234" t="str">
        <f aca="false">INDEX(SignSym,MOD(B39+MATCH(J39,SignSym,0)-1,12)+1)</f>
        <v>Sg</v>
      </c>
      <c r="L39" s="232" t="str">
        <f aca="false">INDEX(SignSym,MOD(B39+MATCH(K39,SignSym,0)-1,12)+1)</f>
        <v>Sc</v>
      </c>
      <c r="M39" s="233" t="str">
        <f aca="false">INDEX(SignSym,MOD(B39+MATCH(L39,SignSym,0)-1,12)+1)</f>
        <v>Li</v>
      </c>
      <c r="N39" s="233" t="str">
        <f aca="false">INDEX(SignSym,MOD(B39+MATCH(M39,SignSym,0)-1,12)+1)</f>
        <v>Vi</v>
      </c>
      <c r="O39" s="234" t="str">
        <f aca="false">INDEX(SignSym,MOD(B39+MATCH(N39,SignSym,0)-1,12)+1)</f>
        <v>Le</v>
      </c>
      <c r="P39" s="232" t="str">
        <f aca="false">INDEX(SignSym,MOD(B39+MATCH(O39,SignSym,0)-1,12)+1)</f>
        <v>Cn</v>
      </c>
      <c r="Q39" s="233" t="str">
        <f aca="false">INDEX(SignSym,MOD(B39+MATCH(P39,SignSym,0)-1,12)+1)</f>
        <v>Ge</v>
      </c>
      <c r="R39" s="233" t="str">
        <f aca="false">INDEX(SignSym,MOD(B39+MATCH(Q39,SignSym,0)-1,12)+1)</f>
        <v>Ta</v>
      </c>
      <c r="S39" s="234" t="str">
        <f aca="false">INDEX(SignSym,MOD(B39+MATCH(R39,SignSym,0)-1,12)+1)</f>
        <v>Ar</v>
      </c>
    </row>
    <row r="40" s="206" customFormat="true" ht="15" hidden="false" customHeight="false" outlineLevel="0" collapsed="false">
      <c r="C40" s="998"/>
      <c r="D40" s="998"/>
      <c r="F40" s="999"/>
      <c r="G40" s="999"/>
      <c r="H40" s="1001" t="n">
        <f aca="false">F39</f>
        <v>26133.3841435185</v>
      </c>
      <c r="I40" s="1002" t="n">
        <f aca="false">H40+(E39*NDDaysInYEar/12)</f>
        <v>26133.3841435185</v>
      </c>
      <c r="J40" s="1002" t="n">
        <f aca="false">I40+(E39*NDDaysInYEar/12)</f>
        <v>26133.3841435185</v>
      </c>
      <c r="K40" s="1003" t="n">
        <f aca="false">J40+(E39*NDDaysInYEar/12)</f>
        <v>26133.3841435185</v>
      </c>
      <c r="L40" s="1001" t="n">
        <f aca="false">K40+(E39*NDDaysInYEar/12)</f>
        <v>26133.3841435185</v>
      </c>
      <c r="M40" s="1002" t="n">
        <f aca="false">L40+(E39*NDDaysInYEar/12)</f>
        <v>26133.3841435185</v>
      </c>
      <c r="N40" s="1002" t="n">
        <f aca="false">M40+(E39*NDDaysInYEar/12)</f>
        <v>26133.3841435185</v>
      </c>
      <c r="O40" s="1003" t="n">
        <f aca="false">N40+(E39*NDDaysInYEar/12)</f>
        <v>26133.3841435185</v>
      </c>
      <c r="P40" s="1001" t="n">
        <f aca="false">O40+(E39*NDDaysInYEar/12)</f>
        <v>26133.3841435185</v>
      </c>
      <c r="Q40" s="1002" t="n">
        <f aca="false">P40+(E39*NDDaysInYEar/12)</f>
        <v>26133.3841435185</v>
      </c>
      <c r="R40" s="1002" t="n">
        <f aca="false">Q40+(E39*NDDaysInYEar/12)</f>
        <v>26133.3841435185</v>
      </c>
      <c r="S40" s="1003" t="n">
        <f aca="false">R40+(E39*NDDaysInYEar/12)</f>
        <v>26133.3841435185</v>
      </c>
    </row>
    <row r="41" s="206" customFormat="true" ht="15" hidden="false" customHeight="false" outlineLevel="0" collapsed="false">
      <c r="A41" s="206" t="str">
        <f aca="false">VLOOKUP(C36,NDasaSeq,8,0)</f>
        <v>Cn</v>
      </c>
      <c r="B41" s="206" t="n">
        <f aca="false">VLOOKUP(A41,NDasaC,3,0)</f>
        <v>-1</v>
      </c>
      <c r="C41" s="998" t="e">
        <f aca="false">IF(MATCH(VLOOKUP(IF((A41="Aq"),VLOOKUP("AqLord",DivCharts,D35,0),IF((A41="Sc"),VLOOKUP("ScLord",DivCharts,D35,0),VLOOKUP(A41,RsInfo,9,0))),DivCharts,D35,0),RsTbl,0)=MATCH(VLOOKUP(IF((A41="Aq"),VLOOKUP("AqLord",DivCharts,D35,0),IF((A41="Sc"),VLOOKUP("ScLord",DivCharts,D35,0),VLOOKUP(A41,RsInfo,9,0))),PlanetData,8,0),RsTbl,0),1,IF(MATCH(VLOOKUP(IF((A41="Aq"),VLOOKUP("AqLord",DivCharts,D35,0),IF((A41="Sc"),VLOOKUP("ScLord",DivCharts,D35,0),VLOOKUP(A41,RsInfo,9,0))),DivCharts,D35,0),RsTbl,0)=MOD(MATCH(VLOOKUP(IF((A41="Aq"),VLOOKUP("AqLord",DivCharts,D35,0),IF((A41="Sc"),VLOOKUP("ScLord",DivCharts,D35,0),VLOOKUP(A41,RsInfo,9,0))),PlanetData,8,0),RsTbl,0)+6,12),-1,0))</f>
        <v>#N/A</v>
      </c>
      <c r="D41" s="998" t="n">
        <f aca="false">MOD((MATCH(VLOOKUP(IF((A41="Aq"),VLOOKUP("AqLord",DivCharts,D35,0),IF((A41="Sc"),VLOOKUP("ScLord",DivCharts,D35,0),VLOOKUP(A41,RsInfo,9,0))),DivCharts,D35,0),RsTbl,0)*B41)-(B41*MATCH(A41,RsTbl,0))+12,12)</f>
        <v>0</v>
      </c>
      <c r="E41" s="206" t="n">
        <f aca="false">ABS(IF(ISNA(MATCH((D41+C41),,0)),(D41+C41),12)+IF(F36,0,-12))</f>
        <v>0</v>
      </c>
      <c r="F41" s="999" t="n">
        <f aca="false">G39</f>
        <v>26133.3841435185</v>
      </c>
      <c r="G41" s="999" t="n">
        <f aca="false">F41+E41*NDDaysInYEar</f>
        <v>26133.3841435185</v>
      </c>
      <c r="H41" s="1000" t="str">
        <f aca="false">A41</f>
        <v>Cn</v>
      </c>
      <c r="I41" s="233" t="str">
        <f aca="false">INDEX(SignSym,MOD(B41+MATCH(H41,SignSym,0)-1,12)+1)</f>
        <v>Ge</v>
      </c>
      <c r="J41" s="233" t="str">
        <f aca="false">INDEX(SignSym,MOD(B41+MATCH(I41,SignSym,0)-1,12)+1)</f>
        <v>Ta</v>
      </c>
      <c r="K41" s="234" t="str">
        <f aca="false">INDEX(SignSym,MOD(B41+MATCH(J41,SignSym,0)-1,12)+1)</f>
        <v>Ar</v>
      </c>
      <c r="L41" s="232" t="str">
        <f aca="false">INDEX(SignSym,MOD(B41+MATCH(K41,SignSym,0)-1,12)+1)</f>
        <v>Pi</v>
      </c>
      <c r="M41" s="233" t="str">
        <f aca="false">INDEX(SignSym,MOD(B41+MATCH(L41,SignSym,0)-1,12)+1)</f>
        <v>Aq</v>
      </c>
      <c r="N41" s="233" t="str">
        <f aca="false">INDEX(SignSym,MOD(B41+MATCH(M41,SignSym,0)-1,12)+1)</f>
        <v>Cp</v>
      </c>
      <c r="O41" s="234" t="str">
        <f aca="false">INDEX(SignSym,MOD(B41+MATCH(N41,SignSym,0)-1,12)+1)</f>
        <v>Sg</v>
      </c>
      <c r="P41" s="232" t="str">
        <f aca="false">INDEX(SignSym,MOD(B41+MATCH(O41,SignSym,0)-1,12)+1)</f>
        <v>Sc</v>
      </c>
      <c r="Q41" s="233" t="str">
        <f aca="false">INDEX(SignSym,MOD(B41+MATCH(P41,SignSym,0)-1,12)+1)</f>
        <v>Li</v>
      </c>
      <c r="R41" s="233" t="str">
        <f aca="false">INDEX(SignSym,MOD(B41+MATCH(Q41,SignSym,0)-1,12)+1)</f>
        <v>Vi</v>
      </c>
      <c r="S41" s="234" t="str">
        <f aca="false">INDEX(SignSym,MOD(B41+MATCH(R41,SignSym,0)-1,12)+1)</f>
        <v>Le</v>
      </c>
    </row>
    <row r="42" s="206" customFormat="true" ht="15" hidden="false" customHeight="false" outlineLevel="0" collapsed="false">
      <c r="C42" s="998"/>
      <c r="D42" s="998"/>
      <c r="F42" s="999"/>
      <c r="G42" s="999"/>
      <c r="H42" s="1001" t="n">
        <f aca="false">F41</f>
        <v>26133.3841435185</v>
      </c>
      <c r="I42" s="1002" t="n">
        <f aca="false">H42+(E41*NDDaysInYEar/12)</f>
        <v>26133.3841435185</v>
      </c>
      <c r="J42" s="1002" t="n">
        <f aca="false">I42+(E41*NDDaysInYEar/12)</f>
        <v>26133.3841435185</v>
      </c>
      <c r="K42" s="1003" t="n">
        <f aca="false">J42+(E41*NDDaysInYEar/12)</f>
        <v>26133.3841435185</v>
      </c>
      <c r="L42" s="1001" t="n">
        <f aca="false">K42+(E41*NDDaysInYEar/12)</f>
        <v>26133.3841435185</v>
      </c>
      <c r="M42" s="1002" t="n">
        <f aca="false">L42+(E41*NDDaysInYEar/12)</f>
        <v>26133.3841435185</v>
      </c>
      <c r="N42" s="1002" t="n">
        <f aca="false">M42+(E41*NDDaysInYEar/12)</f>
        <v>26133.3841435185</v>
      </c>
      <c r="O42" s="1003" t="n">
        <f aca="false">N42+(E41*NDDaysInYEar/12)</f>
        <v>26133.3841435185</v>
      </c>
      <c r="P42" s="1001" t="n">
        <f aca="false">O42+(E41*NDDaysInYEar/12)</f>
        <v>26133.3841435185</v>
      </c>
      <c r="Q42" s="1002" t="n">
        <f aca="false">P42+(E41*NDDaysInYEar/12)</f>
        <v>26133.3841435185</v>
      </c>
      <c r="R42" s="1002" t="n">
        <f aca="false">Q42+(E41*NDDaysInYEar/12)</f>
        <v>26133.3841435185</v>
      </c>
      <c r="S42" s="1003" t="n">
        <f aca="false">R42+(E41*NDDaysInYEar/12)</f>
        <v>26133.3841435185</v>
      </c>
    </row>
    <row r="43" s="206" customFormat="true" ht="15" hidden="false" customHeight="false" outlineLevel="0" collapsed="false">
      <c r="A43" s="206" t="str">
        <f aca="false">VLOOKUP(C36,NDasaSeq,9,0)</f>
        <v>Sc</v>
      </c>
      <c r="B43" s="206" t="n">
        <f aca="false">VLOOKUP(A43,NDasaC,3,0)</f>
        <v>1</v>
      </c>
      <c r="C43" s="998" t="e">
        <f aca="false">IF(MATCH(VLOOKUP(IF((A43="Aq"),VLOOKUP("AqLord",DivCharts,D35,0),IF((A43="Sc"),VLOOKUP("ScLord",DivCharts,D35,0),VLOOKUP(A43,RsInfo,9,0))),DivCharts,D35,0),RsTbl,0)=MATCH(VLOOKUP(IF((A43="Aq"),VLOOKUP("AqLord",DivCharts,D35,0),IF((A43="Sc"),VLOOKUP("ScLord",DivCharts,D35,0),VLOOKUP(A43,RsInfo,9,0))),PlanetData,8,0),RsTbl,0),1,IF(MATCH(VLOOKUP(IF((A43="Aq"),VLOOKUP("AqLord",DivCharts,D35,0),IF((A43="Sc"),VLOOKUP("ScLord",DivCharts,D35,0),VLOOKUP(A43,RsInfo,9,0))),DivCharts,D35,0),RsTbl,0)=MOD(MATCH(VLOOKUP(IF((A43="Aq"),VLOOKUP("AqLord",DivCharts,D35,0),IF((A43="Sc"),VLOOKUP("ScLord",DivCharts,D35,0),VLOOKUP(A43,RsInfo,9,0))),PlanetData,8,0),RsTbl,0)+6,12),-1,0))</f>
        <v>#N/A</v>
      </c>
      <c r="D43" s="998" t="n">
        <f aca="false">MOD((MATCH(VLOOKUP(IF((A43="Aq"),VLOOKUP("AqLord",DivCharts,D35,0),IF((A43="Sc"),VLOOKUP("ScLord",DivCharts,D35,0),VLOOKUP(A43,RsInfo,9,0))),DivCharts,D35,0),RsTbl,0)*B43)-(B43*MATCH(A43,RsTbl,0))+12,12)</f>
        <v>10</v>
      </c>
      <c r="E43" s="206" t="n">
        <f aca="false">ABS(IF(ISNA(MATCH((D43+C43),,0)),(D43+C43),12)+IF(F36,0,-12))</f>
        <v>0</v>
      </c>
      <c r="F43" s="999" t="n">
        <f aca="false">G41</f>
        <v>26133.3841435185</v>
      </c>
      <c r="G43" s="999" t="n">
        <f aca="false">F43+E43*NDDaysInYEar</f>
        <v>26133.3841435185</v>
      </c>
      <c r="H43" s="1000" t="str">
        <f aca="false">A43</f>
        <v>Sc</v>
      </c>
      <c r="I43" s="233" t="str">
        <f aca="false">INDEX(SignSym,MOD(B43+MATCH(H43,SignSym,0)-1,12)+1)</f>
        <v>Sg</v>
      </c>
      <c r="J43" s="233" t="str">
        <f aca="false">INDEX(SignSym,MOD(B43+MATCH(I43,SignSym,0)-1,12)+1)</f>
        <v>Cp</v>
      </c>
      <c r="K43" s="234" t="str">
        <f aca="false">INDEX(SignSym,MOD(B43+MATCH(J43,SignSym,0)-1,12)+1)</f>
        <v>Aq</v>
      </c>
      <c r="L43" s="232" t="str">
        <f aca="false">INDEX(SignSym,MOD(B43+MATCH(K43,SignSym,0)-1,12)+1)</f>
        <v>Pi</v>
      </c>
      <c r="M43" s="233" t="str">
        <f aca="false">INDEX(SignSym,MOD(B43+MATCH(L43,SignSym,0)-1,12)+1)</f>
        <v>Ar</v>
      </c>
      <c r="N43" s="233" t="str">
        <f aca="false">INDEX(SignSym,MOD(B43+MATCH(M43,SignSym,0)-1,12)+1)</f>
        <v>Ta</v>
      </c>
      <c r="O43" s="234" t="str">
        <f aca="false">INDEX(SignSym,MOD(B43+MATCH(N43,SignSym,0)-1,12)+1)</f>
        <v>Ge</v>
      </c>
      <c r="P43" s="232" t="str">
        <f aca="false">INDEX(SignSym,MOD(B43+MATCH(O43,SignSym,0)-1,12)+1)</f>
        <v>Cn</v>
      </c>
      <c r="Q43" s="233" t="str">
        <f aca="false">INDEX(SignSym,MOD(B43+MATCH(P43,SignSym,0)-1,12)+1)</f>
        <v>Le</v>
      </c>
      <c r="R43" s="233" t="str">
        <f aca="false">INDEX(SignSym,MOD(B43+MATCH(Q43,SignSym,0)-1,12)+1)</f>
        <v>Vi</v>
      </c>
      <c r="S43" s="234" t="str">
        <f aca="false">INDEX(SignSym,MOD(B43+MATCH(R43,SignSym,0)-1,12)+1)</f>
        <v>Li</v>
      </c>
    </row>
    <row r="44" s="206" customFormat="true" ht="15" hidden="false" customHeight="false" outlineLevel="0" collapsed="false">
      <c r="C44" s="998"/>
      <c r="D44" s="998"/>
      <c r="F44" s="999"/>
      <c r="G44" s="999"/>
      <c r="H44" s="1001" t="n">
        <f aca="false">F43</f>
        <v>26133.3841435185</v>
      </c>
      <c r="I44" s="1002" t="n">
        <f aca="false">H44+(E43*NDDaysInYEar/12)</f>
        <v>26133.3841435185</v>
      </c>
      <c r="J44" s="1002" t="n">
        <f aca="false">I44+(E43*NDDaysInYEar/12)</f>
        <v>26133.3841435185</v>
      </c>
      <c r="K44" s="1003" t="n">
        <f aca="false">J44+(E43*NDDaysInYEar/12)</f>
        <v>26133.3841435185</v>
      </c>
      <c r="L44" s="1001" t="n">
        <f aca="false">K44+(E43*NDDaysInYEar/12)</f>
        <v>26133.3841435185</v>
      </c>
      <c r="M44" s="1002" t="n">
        <f aca="false">L44+(E43*NDDaysInYEar/12)</f>
        <v>26133.3841435185</v>
      </c>
      <c r="N44" s="1002" t="n">
        <f aca="false">M44+(E43*NDDaysInYEar/12)</f>
        <v>26133.3841435185</v>
      </c>
      <c r="O44" s="1003" t="n">
        <f aca="false">N44+(E43*NDDaysInYEar/12)</f>
        <v>26133.3841435185</v>
      </c>
      <c r="P44" s="1001" t="n">
        <f aca="false">O44+(E43*NDDaysInYEar/12)</f>
        <v>26133.3841435185</v>
      </c>
      <c r="Q44" s="1002" t="n">
        <f aca="false">P44+(E43*NDDaysInYEar/12)</f>
        <v>26133.3841435185</v>
      </c>
      <c r="R44" s="1002" t="n">
        <f aca="false">Q44+(E43*NDDaysInYEar/12)</f>
        <v>26133.3841435185</v>
      </c>
      <c r="S44" s="1003" t="n">
        <f aca="false">R44+(E43*NDDaysInYEar/12)</f>
        <v>26133.3841435185</v>
      </c>
    </row>
    <row r="45" s="206" customFormat="true" ht="15" hidden="false" customHeight="false" outlineLevel="0" collapsed="false">
      <c r="A45" s="206" t="str">
        <f aca="false">VLOOKUP(C36,NDasaSeq,10,0)</f>
        <v>Sg</v>
      </c>
      <c r="B45" s="206" t="n">
        <f aca="false">VLOOKUP(A45,NDasaC,3,0)</f>
        <v>1</v>
      </c>
      <c r="C45" s="998" t="e">
        <f aca="false">IF(MATCH(VLOOKUP(IF((A45="Aq"),VLOOKUP("AqLord",DivCharts,D35,0),IF((A45="Sc"),VLOOKUP("ScLord",DivCharts,D35,0),VLOOKUP(A45,RsInfo,9,0))),DivCharts,D35,0),RsTbl,0)=MATCH(VLOOKUP(IF((A45="Aq"),VLOOKUP("AqLord",DivCharts,D35,0),IF((A45="Sc"),VLOOKUP("ScLord",DivCharts,D35,0),VLOOKUP(A45,RsInfo,9,0))),PlanetData,8,0),RsTbl,0),1,IF(MATCH(VLOOKUP(IF((A45="Aq"),VLOOKUP("AqLord",DivCharts,D35,0),IF((A45="Sc"),VLOOKUP("ScLord",DivCharts,D35,0),VLOOKUP(A45,RsInfo,9,0))),DivCharts,D35,0),RsTbl,0)=MOD(MATCH(VLOOKUP(IF((A45="Aq"),VLOOKUP("AqLord",DivCharts,D35,0),IF((A45="Sc"),VLOOKUP("ScLord",DivCharts,D35,0),VLOOKUP(A45,RsInfo,9,0))),PlanetData,8,0),RsTbl,0)+6,12),-1,0))</f>
        <v>#N/A</v>
      </c>
      <c r="D45" s="998" t="n">
        <f aca="false">MOD((MATCH(VLOOKUP(IF((A45="Aq"),VLOOKUP("AqLord",DivCharts,D35,0),IF((A45="Sc"),VLOOKUP("ScLord",DivCharts,D35,0),VLOOKUP(A45,RsInfo,9,0))),DivCharts,D35,0),RsTbl,0)*B45)-(B45*MATCH(A45,RsTbl,0))+12,12)</f>
        <v>7</v>
      </c>
      <c r="E45" s="206" t="n">
        <f aca="false">ABS(IF(ISNA(MATCH((D45+C45),,0)),(D45+C45),12)+IF(F36,0,-12))</f>
        <v>0</v>
      </c>
      <c r="F45" s="999" t="n">
        <f aca="false">G43</f>
        <v>26133.3841435185</v>
      </c>
      <c r="G45" s="999" t="n">
        <f aca="false">F45+E45*NDDaysInYEar</f>
        <v>26133.3841435185</v>
      </c>
      <c r="H45" s="1000" t="str">
        <f aca="false">A45</f>
        <v>Sg</v>
      </c>
      <c r="I45" s="233" t="str">
        <f aca="false">INDEX(SignSym,MOD(B45+MATCH(H45,SignSym,0)-1,12)+1)</f>
        <v>Cp</v>
      </c>
      <c r="J45" s="233" t="str">
        <f aca="false">INDEX(SignSym,MOD(B45+MATCH(I45,SignSym,0)-1,12)+1)</f>
        <v>Aq</v>
      </c>
      <c r="K45" s="234" t="str">
        <f aca="false">INDEX(SignSym,MOD(B45+MATCH(J45,SignSym,0)-1,12)+1)</f>
        <v>Pi</v>
      </c>
      <c r="L45" s="232" t="str">
        <f aca="false">INDEX(SignSym,MOD(B45+MATCH(K45,SignSym,0)-1,12)+1)</f>
        <v>Ar</v>
      </c>
      <c r="M45" s="233" t="str">
        <f aca="false">INDEX(SignSym,MOD(B45+MATCH(L45,SignSym,0)-1,12)+1)</f>
        <v>Ta</v>
      </c>
      <c r="N45" s="233" t="str">
        <f aca="false">INDEX(SignSym,MOD(B45+MATCH(M45,SignSym,0)-1,12)+1)</f>
        <v>Ge</v>
      </c>
      <c r="O45" s="234" t="str">
        <f aca="false">INDEX(SignSym,MOD(B45+MATCH(N45,SignSym,0)-1,12)+1)</f>
        <v>Cn</v>
      </c>
      <c r="P45" s="232" t="str">
        <f aca="false">INDEX(SignSym,MOD(B45+MATCH(O45,SignSym,0)-1,12)+1)</f>
        <v>Le</v>
      </c>
      <c r="Q45" s="233" t="str">
        <f aca="false">INDEX(SignSym,MOD(B45+MATCH(P45,SignSym,0)-1,12)+1)</f>
        <v>Vi</v>
      </c>
      <c r="R45" s="233" t="str">
        <f aca="false">INDEX(SignSym,MOD(B45+MATCH(Q45,SignSym,0)-1,12)+1)</f>
        <v>Li</v>
      </c>
      <c r="S45" s="234" t="str">
        <f aca="false">INDEX(SignSym,MOD(B45+MATCH(R45,SignSym,0)-1,12)+1)</f>
        <v>Sc</v>
      </c>
    </row>
    <row r="46" s="206" customFormat="true" ht="15" hidden="false" customHeight="false" outlineLevel="0" collapsed="false">
      <c r="C46" s="998"/>
      <c r="D46" s="998"/>
      <c r="F46" s="999"/>
      <c r="G46" s="999"/>
      <c r="H46" s="1001" t="n">
        <f aca="false">F45</f>
        <v>26133.3841435185</v>
      </c>
      <c r="I46" s="1002" t="n">
        <f aca="false">H46+(E45*NDDaysInYEar/12)</f>
        <v>26133.3841435185</v>
      </c>
      <c r="J46" s="1002" t="n">
        <f aca="false">I46+(E45*NDDaysInYEar/12)</f>
        <v>26133.3841435185</v>
      </c>
      <c r="K46" s="1003" t="n">
        <f aca="false">J46+(E45*NDDaysInYEar/12)</f>
        <v>26133.3841435185</v>
      </c>
      <c r="L46" s="1001" t="n">
        <f aca="false">K46+(E45*NDDaysInYEar/12)</f>
        <v>26133.3841435185</v>
      </c>
      <c r="M46" s="1002" t="n">
        <f aca="false">L46+(E45*NDDaysInYEar/12)</f>
        <v>26133.3841435185</v>
      </c>
      <c r="N46" s="1002" t="n">
        <f aca="false">M46+(E45*NDDaysInYEar/12)</f>
        <v>26133.3841435185</v>
      </c>
      <c r="O46" s="1003" t="n">
        <f aca="false">N46+(E45*NDDaysInYEar/12)</f>
        <v>26133.3841435185</v>
      </c>
      <c r="P46" s="1001" t="n">
        <f aca="false">O46+(E45*NDDaysInYEar/12)</f>
        <v>26133.3841435185</v>
      </c>
      <c r="Q46" s="1002" t="n">
        <f aca="false">P46+(E45*NDDaysInYEar/12)</f>
        <v>26133.3841435185</v>
      </c>
      <c r="R46" s="1002" t="n">
        <f aca="false">Q46+(E45*NDDaysInYEar/12)</f>
        <v>26133.3841435185</v>
      </c>
      <c r="S46" s="1003" t="n">
        <f aca="false">R46+(E45*NDDaysInYEar/12)</f>
        <v>26133.3841435185</v>
      </c>
    </row>
    <row r="47" s="206" customFormat="true" ht="15" hidden="false" customHeight="false" outlineLevel="0" collapsed="false">
      <c r="A47" s="206" t="str">
        <f aca="false">VLOOKUP(C36,NDasaSeq,11,0)</f>
        <v>Ar</v>
      </c>
      <c r="B47" s="206" t="n">
        <f aca="false">VLOOKUP(A47,NDasaC,3,0)</f>
        <v>1</v>
      </c>
      <c r="C47" s="998" t="e">
        <f aca="false">IF(MATCH(VLOOKUP(IF((A47="Aq"),VLOOKUP("AqLord",DivCharts,D35,0),IF((A47="Sc"),VLOOKUP("ScLord",DivCharts,D35,0),VLOOKUP(A47,RsInfo,9,0))),DivCharts,D35,0),RsTbl,0)=MATCH(VLOOKUP(IF((A47="Aq"),VLOOKUP("AqLord",DivCharts,D35,0),IF((A47="Sc"),VLOOKUP("ScLord",DivCharts,D35,0),VLOOKUP(A47,RsInfo,9,0))),PlanetData,8,0),RsTbl,0),1,IF(MATCH(VLOOKUP(IF((A47="Aq"),VLOOKUP("AqLord",DivCharts,D35,0),IF((A47="Sc"),VLOOKUP("ScLord",DivCharts,D35,0),VLOOKUP(A47,RsInfo,9,0))),DivCharts,D35,0),RsTbl,0)=MOD(MATCH(VLOOKUP(IF((A47="Aq"),VLOOKUP("AqLord",DivCharts,D35,0),IF((A47="Sc"),VLOOKUP("ScLord",DivCharts,D35,0),VLOOKUP(A47,RsInfo,9,0))),PlanetData,8,0),RsTbl,0)+6,12),-1,0))</f>
        <v>#N/A</v>
      </c>
      <c r="D47" s="998" t="n">
        <f aca="false">MOD((MATCH(VLOOKUP(IF((A47="Aq"),VLOOKUP("AqLord",DivCharts,D35,0),IF((A47="Sc"),VLOOKUP("ScLord",DivCharts,D35,0),VLOOKUP(A47,RsInfo,9,0))),DivCharts,D35,0),RsTbl,0)*B47)-(B47*MATCH(A47,RsTbl,0))+12,12)</f>
        <v>5</v>
      </c>
      <c r="E47" s="206" t="n">
        <f aca="false">ABS(IF(ISNA(MATCH((D47+C47),,0)),(D47+C47),12)+IF(F36,0,-12))</f>
        <v>0</v>
      </c>
      <c r="F47" s="999" t="n">
        <f aca="false">G45</f>
        <v>26133.3841435185</v>
      </c>
      <c r="G47" s="999" t="n">
        <f aca="false">F47+E47*NDDaysInYEar</f>
        <v>26133.3841435185</v>
      </c>
      <c r="H47" s="1000" t="s">
        <v>689</v>
      </c>
      <c r="I47" s="233" t="str">
        <f aca="false">INDEX(SignSym,MOD(B47+MATCH(H47,SignSym,0)-1,12)+1)</f>
        <v>Ta</v>
      </c>
      <c r="J47" s="233" t="str">
        <f aca="false">INDEX(SignSym,MOD(B47+MATCH(I47,SignSym,0)-1,12)+1)</f>
        <v>Ge</v>
      </c>
      <c r="K47" s="234" t="str">
        <f aca="false">INDEX(SignSym,MOD(B47+MATCH(J47,SignSym,0)-1,12)+1)</f>
        <v>Cn</v>
      </c>
      <c r="L47" s="232" t="str">
        <f aca="false">INDEX(SignSym,MOD(B47+MATCH(K47,SignSym,0)-1,12)+1)</f>
        <v>Le</v>
      </c>
      <c r="M47" s="233" t="str">
        <f aca="false">INDEX(SignSym,MOD(B47+MATCH(L47,SignSym,0)-1,12)+1)</f>
        <v>Vi</v>
      </c>
      <c r="N47" s="233" t="str">
        <f aca="false">INDEX(SignSym,MOD(B47+MATCH(M47,SignSym,0)-1,12)+1)</f>
        <v>Li</v>
      </c>
      <c r="O47" s="234" t="str">
        <f aca="false">INDEX(SignSym,MOD(B47+MATCH(N47,SignSym,0)-1,12)+1)</f>
        <v>Sc</v>
      </c>
      <c r="P47" s="232" t="str">
        <f aca="false">INDEX(SignSym,MOD(B47+MATCH(O47,SignSym,0)-1,12)+1)</f>
        <v>Sg</v>
      </c>
      <c r="Q47" s="233" t="str">
        <f aca="false">INDEX(SignSym,MOD(B47+MATCH(P47,SignSym,0)-1,12)+1)</f>
        <v>Cp</v>
      </c>
      <c r="R47" s="233" t="str">
        <f aca="false">INDEX(SignSym,MOD(B47+MATCH(Q47,SignSym,0)-1,12)+1)</f>
        <v>Aq</v>
      </c>
      <c r="S47" s="234" t="str">
        <f aca="false">INDEX(SignSym,MOD(B47+MATCH(R47,SignSym,0)-1,12)+1)</f>
        <v>Pi</v>
      </c>
    </row>
    <row r="48" s="206" customFormat="true" ht="15" hidden="false" customHeight="false" outlineLevel="0" collapsed="false">
      <c r="C48" s="998"/>
      <c r="D48" s="998"/>
      <c r="F48" s="999"/>
      <c r="G48" s="999"/>
      <c r="H48" s="1001" t="n">
        <f aca="false">F47</f>
        <v>26133.3841435185</v>
      </c>
      <c r="I48" s="1002" t="n">
        <f aca="false">H48+(E47*NDDaysInYEar/12)</f>
        <v>26133.3841435185</v>
      </c>
      <c r="J48" s="1002" t="n">
        <f aca="false">I48+(E47*NDDaysInYEar/12)</f>
        <v>26133.3841435185</v>
      </c>
      <c r="K48" s="1003" t="n">
        <f aca="false">J48+(E47*NDDaysInYEar/12)</f>
        <v>26133.3841435185</v>
      </c>
      <c r="L48" s="1001" t="n">
        <f aca="false">K48+(E47*NDDaysInYEar/12)</f>
        <v>26133.3841435185</v>
      </c>
      <c r="M48" s="1002" t="n">
        <f aca="false">L48+(E47*NDDaysInYEar/12)</f>
        <v>26133.3841435185</v>
      </c>
      <c r="N48" s="1002" t="n">
        <f aca="false">M48+(E47*NDDaysInYEar/12)</f>
        <v>26133.3841435185</v>
      </c>
      <c r="O48" s="1003" t="n">
        <f aca="false">N48+(E47*NDDaysInYEar/12)</f>
        <v>26133.3841435185</v>
      </c>
      <c r="P48" s="1001" t="n">
        <f aca="false">O48+(E47*NDDaysInYEar/12)</f>
        <v>26133.3841435185</v>
      </c>
      <c r="Q48" s="1002" t="n">
        <f aca="false">P48+(E47*NDDaysInYEar/12)</f>
        <v>26133.3841435185</v>
      </c>
      <c r="R48" s="1002" t="n">
        <f aca="false">Q48+(E47*NDDaysInYEar/12)</f>
        <v>26133.3841435185</v>
      </c>
      <c r="S48" s="1003" t="n">
        <f aca="false">R48+(E47*NDDaysInYEar/12)</f>
        <v>26133.3841435185</v>
      </c>
    </row>
    <row r="49" s="206" customFormat="true" ht="15" hidden="false" customHeight="false" outlineLevel="0" collapsed="false">
      <c r="A49" s="206" t="str">
        <f aca="false">VLOOKUP(C36,NDasaSeq,12,0)</f>
        <v>Le</v>
      </c>
      <c r="B49" s="206" t="n">
        <f aca="false">VLOOKUP(A49,NDasaC,3,0)</f>
        <v>-1</v>
      </c>
      <c r="C49" s="998" t="e">
        <f aca="false">IF(MATCH(VLOOKUP(IF((A49="Aq"),VLOOKUP("AqLord",DivCharts,D35,0),IF((A49="Sc"),VLOOKUP("ScLord",DivCharts,D35,0),VLOOKUP(A49,RsInfo,9,0))),DivCharts,D35,0),RsTbl,0)=MATCH(VLOOKUP(IF((A49="Aq"),VLOOKUP("AqLord",DivCharts,D35,0),IF((A49="Sc"),VLOOKUP("ScLord",DivCharts,D35,0),VLOOKUP(A49,RsInfo,9,0))),PlanetData,8,0),RsTbl,0),1,IF(MATCH(VLOOKUP(IF((A49="Aq"),VLOOKUP("AqLord",DivCharts,D35,0),IF((A49="Sc"),VLOOKUP("ScLord",DivCharts,D35,0),VLOOKUP(A49,RsInfo,9,0))),DivCharts,D35,0),RsTbl,0)=MOD(MATCH(VLOOKUP(IF((A49="Aq"),VLOOKUP("AqLord",DivCharts,D35,0),IF((A49="Sc"),VLOOKUP("ScLord",DivCharts,D35,0),VLOOKUP(A49,RsInfo,9,0))),PlanetData,8,0),RsTbl,0)+6,12),-1,0))</f>
        <v>#N/A</v>
      </c>
      <c r="D49" s="998" t="n">
        <f aca="false">MOD((MATCH(VLOOKUP(IF((A49="Aq"),VLOOKUP("AqLord",DivCharts,D35,0),IF((A49="Sc"),VLOOKUP("ScLord",DivCharts,D35,0),VLOOKUP(A49,RsInfo,9,0))),DivCharts,D35,0),RsTbl,0)*B49)-(B49*MATCH(A49,RsTbl,0))+12,12)</f>
        <v>1</v>
      </c>
      <c r="E49" s="206" t="n">
        <f aca="false">ABS(IF(ISNA(MATCH((D49+C49),,0)),(D49+C49),12)+IF(F36,0,-12))</f>
        <v>0</v>
      </c>
      <c r="F49" s="999" t="n">
        <f aca="false">G47</f>
        <v>26133.3841435185</v>
      </c>
      <c r="G49" s="999" t="n">
        <f aca="false">F49+E49*NDDaysInYEar</f>
        <v>26133.3841435185</v>
      </c>
      <c r="H49" s="1000" t="s">
        <v>703</v>
      </c>
      <c r="I49" s="233" t="str">
        <f aca="false">INDEX(SignSym,MOD(B49+MATCH(H49,SignSym,0)-1,12)+1)</f>
        <v>Ge</v>
      </c>
      <c r="J49" s="233" t="str">
        <f aca="false">INDEX(SignSym,MOD(B49+MATCH(I49,SignSym,0)-1,12)+1)</f>
        <v>Ta</v>
      </c>
      <c r="K49" s="234" t="str">
        <f aca="false">INDEX(SignSym,MOD(B49+MATCH(J49,SignSym,0)-1,12)+1)</f>
        <v>Ar</v>
      </c>
      <c r="L49" s="232" t="str">
        <f aca="false">INDEX(SignSym,MOD(B49+MATCH(K49,SignSym,0)-1,12)+1)</f>
        <v>Pi</v>
      </c>
      <c r="M49" s="233" t="str">
        <f aca="false">INDEX(SignSym,MOD(B49+MATCH(L49,SignSym,0)-1,12)+1)</f>
        <v>Aq</v>
      </c>
      <c r="N49" s="233" t="str">
        <f aca="false">INDEX(SignSym,MOD(B49+MATCH(M49,SignSym,0)-1,12)+1)</f>
        <v>Cp</v>
      </c>
      <c r="O49" s="234" t="str">
        <f aca="false">INDEX(SignSym,MOD(B49+MATCH(N49,SignSym,0)-1,12)+1)</f>
        <v>Sg</v>
      </c>
      <c r="P49" s="232" t="str">
        <f aca="false">INDEX(SignSym,MOD(B49+MATCH(O49,SignSym,0)-1,12)+1)</f>
        <v>Sc</v>
      </c>
      <c r="Q49" s="233" t="str">
        <f aca="false">INDEX(SignSym,MOD(B49+MATCH(P49,SignSym,0)-1,12)+1)</f>
        <v>Li</v>
      </c>
      <c r="R49" s="233" t="str">
        <f aca="false">INDEX(SignSym,MOD(B49+MATCH(Q49,SignSym,0)-1,12)+1)</f>
        <v>Vi</v>
      </c>
      <c r="S49" s="234" t="str">
        <f aca="false">INDEX(SignSym,MOD(B49+MATCH(R49,SignSym,0)-1,12)+1)</f>
        <v>Le</v>
      </c>
    </row>
    <row r="50" s="206" customFormat="true" ht="15" hidden="false" customHeight="false" outlineLevel="0" collapsed="false">
      <c r="C50" s="998"/>
      <c r="D50" s="998"/>
      <c r="F50" s="999"/>
      <c r="G50" s="999"/>
      <c r="H50" s="1001" t="n">
        <f aca="false">F49</f>
        <v>26133.3841435185</v>
      </c>
      <c r="I50" s="1002" t="n">
        <f aca="false">H50+(E49*NDDaysInYEar/12)</f>
        <v>26133.3841435185</v>
      </c>
      <c r="J50" s="1002" t="n">
        <f aca="false">I50+(E49*NDDaysInYEar/12)</f>
        <v>26133.3841435185</v>
      </c>
      <c r="K50" s="1003" t="n">
        <f aca="false">J50+(E49*NDDaysInYEar/12)</f>
        <v>26133.3841435185</v>
      </c>
      <c r="L50" s="1001" t="n">
        <f aca="false">K50+(E49*NDDaysInYEar/12)</f>
        <v>26133.3841435185</v>
      </c>
      <c r="M50" s="1002" t="n">
        <f aca="false">L50+(E49*NDDaysInYEar/12)</f>
        <v>26133.3841435185</v>
      </c>
      <c r="N50" s="1002" t="n">
        <f aca="false">M50+(E49*NDDaysInYEar/12)</f>
        <v>26133.3841435185</v>
      </c>
      <c r="O50" s="1003" t="n">
        <f aca="false">N50+(E49*NDDaysInYEar/12)</f>
        <v>26133.3841435185</v>
      </c>
      <c r="P50" s="1001" t="n">
        <f aca="false">O50+(E49*NDDaysInYEar/12)</f>
        <v>26133.3841435185</v>
      </c>
      <c r="Q50" s="1002" t="n">
        <f aca="false">P50+(E49*NDDaysInYEar/12)</f>
        <v>26133.3841435185</v>
      </c>
      <c r="R50" s="1002" t="n">
        <f aca="false">Q50+(E49*NDDaysInYEar/12)</f>
        <v>26133.3841435185</v>
      </c>
      <c r="S50" s="1003" t="n">
        <f aca="false">R50+(E49*NDDaysInYEar/12)</f>
        <v>26133.3841435185</v>
      </c>
    </row>
    <row r="51" s="206" customFormat="true" ht="15" hidden="false" customHeight="false" outlineLevel="0" collapsed="false">
      <c r="A51" s="206" t="str">
        <f aca="false">VLOOKUP(C36,NDasaSeq,13,0)</f>
        <v>Vi</v>
      </c>
      <c r="B51" s="206" t="n">
        <f aca="false">VLOOKUP(A51,NDasaC,3,0)</f>
        <v>-1</v>
      </c>
      <c r="C51" s="998" t="e">
        <f aca="false">IF(MATCH(VLOOKUP(IF((A51="Aq"),VLOOKUP("AqLord",DivCharts,D35,0),IF((A51="Sc"),VLOOKUP("ScLord",DivCharts,D35,0),VLOOKUP(A51,RsInfo,9,0))),DivCharts,D35,0),RsTbl,0)=MATCH(VLOOKUP(IF((A51="Aq"),VLOOKUP("AqLord",DivCharts,D35,0),IF((A51="Sc"),VLOOKUP("ScLord",DivCharts,D35,0),VLOOKUP(A51,RsInfo,9,0))),PlanetData,8,0),RsTbl,0),1,IF(MATCH(VLOOKUP(IF((A51="Aq"),VLOOKUP("AqLord",DivCharts,D35,0),IF((A51="Sc"),VLOOKUP("ScLord",DivCharts,D35,0),VLOOKUP(A51,RsInfo,9,0))),DivCharts,D35,0),RsTbl,0)=MOD(MATCH(VLOOKUP(IF((A51="Aq"),VLOOKUP("AqLord",DivCharts,D35,0),IF((A51="Sc"),VLOOKUP("ScLord",DivCharts,D35,0),VLOOKUP(A51,RsInfo,9,0))),PlanetData,8,0),RsTbl,0)+6,12),-1,0))</f>
        <v>#N/A</v>
      </c>
      <c r="D51" s="998" t="n">
        <f aca="false">MOD((MATCH(VLOOKUP(IF((A51="Aq"),VLOOKUP("AqLord",DivCharts,D35,0),IF((A51="Sc"),VLOOKUP("ScLord",DivCharts,D35,0),VLOOKUP(A51,RsInfo,9,0))),DivCharts,D35,0),RsTbl,0)*B51)-(B51*MATCH(A51,RsTbl,0))+12,12)</f>
        <v>6</v>
      </c>
      <c r="E51" s="206" t="n">
        <f aca="false">ABS(IF(ISNA(MATCH((D51+C51),,0)),(D51+C51),12)+IF(F36,0,-12))</f>
        <v>0</v>
      </c>
      <c r="F51" s="999" t="n">
        <f aca="false">G49</f>
        <v>26133.3841435185</v>
      </c>
      <c r="G51" s="999" t="n">
        <f aca="false">F51+E51*NDDaysInYEar</f>
        <v>26133.3841435185</v>
      </c>
      <c r="H51" s="1000" t="s">
        <v>699</v>
      </c>
      <c r="I51" s="233" t="str">
        <f aca="false">INDEX(SignSym,MOD(B51+MATCH(H51,SignSym,0)-1,12)+1)</f>
        <v>Cp</v>
      </c>
      <c r="J51" s="233" t="str">
        <f aca="false">INDEX(SignSym,MOD(B51+MATCH(I51,SignSym,0)-1,12)+1)</f>
        <v>Sg</v>
      </c>
      <c r="K51" s="234" t="str">
        <f aca="false">INDEX(SignSym,MOD(B51+MATCH(J51,SignSym,0)-1,12)+1)</f>
        <v>Sc</v>
      </c>
      <c r="L51" s="232" t="str">
        <f aca="false">INDEX(SignSym,MOD(B51+MATCH(K51,SignSym,0)-1,12)+1)</f>
        <v>Li</v>
      </c>
      <c r="M51" s="233" t="str">
        <f aca="false">INDEX(SignSym,MOD(B51+MATCH(L51,SignSym,0)-1,12)+1)</f>
        <v>Vi</v>
      </c>
      <c r="N51" s="233" t="str">
        <f aca="false">INDEX(SignSym,MOD(B51+MATCH(M51,SignSym,0)-1,12)+1)</f>
        <v>Le</v>
      </c>
      <c r="O51" s="234" t="str">
        <f aca="false">INDEX(SignSym,MOD(B51+MATCH(N51,SignSym,0)-1,12)+1)</f>
        <v>Cn</v>
      </c>
      <c r="P51" s="232" t="str">
        <f aca="false">INDEX(SignSym,MOD(B51+MATCH(O51,SignSym,0)-1,12)+1)</f>
        <v>Ge</v>
      </c>
      <c r="Q51" s="233" t="str">
        <f aca="false">INDEX(SignSym,MOD(B51+MATCH(P51,SignSym,0)-1,12)+1)</f>
        <v>Ta</v>
      </c>
      <c r="R51" s="233" t="str">
        <f aca="false">INDEX(SignSym,MOD(B51+MATCH(Q51,SignSym,0)-1,12)+1)</f>
        <v>Ar</v>
      </c>
      <c r="S51" s="234" t="str">
        <f aca="false">INDEX(SignSym,MOD(B51+MATCH(R51,SignSym,0)-1,12)+1)</f>
        <v>Pi</v>
      </c>
    </row>
    <row r="52" s="206" customFormat="true" ht="15" hidden="false" customHeight="false" outlineLevel="0" collapsed="false">
      <c r="C52" s="998"/>
      <c r="D52" s="998"/>
      <c r="F52" s="999"/>
      <c r="G52" s="999"/>
      <c r="H52" s="1001" t="n">
        <f aca="false">F51</f>
        <v>26133.3841435185</v>
      </c>
      <c r="I52" s="1002" t="n">
        <f aca="false">H52+(E51*NDDaysInYEar/12)</f>
        <v>26133.3841435185</v>
      </c>
      <c r="J52" s="1002" t="n">
        <f aca="false">I52+(E51*NDDaysInYEar/12)</f>
        <v>26133.3841435185</v>
      </c>
      <c r="K52" s="1003" t="n">
        <f aca="false">J52+(E51*NDDaysInYEar/12)</f>
        <v>26133.3841435185</v>
      </c>
      <c r="L52" s="1001" t="n">
        <f aca="false">K52+(E51*NDDaysInYEar/12)</f>
        <v>26133.3841435185</v>
      </c>
      <c r="M52" s="1002" t="n">
        <f aca="false">L52+(E51*NDDaysInYEar/12)</f>
        <v>26133.3841435185</v>
      </c>
      <c r="N52" s="1002" t="n">
        <f aca="false">M52+(E51*NDDaysInYEar/12)</f>
        <v>26133.3841435185</v>
      </c>
      <c r="O52" s="1003" t="n">
        <f aca="false">N52+(E51*NDDaysInYEar/12)</f>
        <v>26133.3841435185</v>
      </c>
      <c r="P52" s="1001" t="n">
        <f aca="false">O52+(E51*NDDaysInYEar/12)</f>
        <v>26133.3841435185</v>
      </c>
      <c r="Q52" s="1002" t="n">
        <f aca="false">P52+(E51*NDDaysInYEar/12)</f>
        <v>26133.3841435185</v>
      </c>
      <c r="R52" s="1002" t="n">
        <f aca="false">Q52+(E51*NDDaysInYEar/12)</f>
        <v>26133.3841435185</v>
      </c>
      <c r="S52" s="1003" t="n">
        <f aca="false">R52+(E51*NDDaysInYEar/12)</f>
        <v>26133.3841435185</v>
      </c>
    </row>
    <row r="53" s="206" customFormat="true" ht="15" hidden="false" customHeight="false" outlineLevel="0" collapsed="false">
      <c r="A53" s="206" t="str">
        <f aca="false">VLOOKUP(C36,NDasaSeq,14,0)</f>
        <v>Cp</v>
      </c>
      <c r="B53" s="206" t="n">
        <f aca="false">VLOOKUP(A53,NDasaC,3,0)</f>
        <v>-1</v>
      </c>
      <c r="C53" s="998" t="e">
        <f aca="false">IF(MATCH(VLOOKUP(IF((A53="Aq"),VLOOKUP("AqLord",DivCharts,D35,0),IF((A53="Sc"),VLOOKUP("ScLord",DivCharts,D35,0),VLOOKUP(A53,RsInfo,9,0))),DivCharts,D35,0),RsTbl,0)=MATCH(VLOOKUP(IF((A53="Aq"),VLOOKUP("AqLord",DivCharts,D35,0),IF((A53="Sc"),VLOOKUP("ScLord",DivCharts,D35,0),VLOOKUP(A53,RsInfo,9,0))),PlanetData,8,0),RsTbl,0),1,IF(MATCH(VLOOKUP(IF((A53="Aq"),VLOOKUP("AqLord",DivCharts,D35,0),IF((A53="Sc"),VLOOKUP("ScLord",DivCharts,D35,0),VLOOKUP(A53,RsInfo,9,0))),DivCharts,D35,0),RsTbl,0)=MOD(MATCH(VLOOKUP(IF((A53="Aq"),VLOOKUP("AqLord",DivCharts,D35,0),IF((A53="Sc"),VLOOKUP("ScLord",DivCharts,D35,0),VLOOKUP(A53,RsInfo,9,0))),PlanetData,8,0),RsTbl,0)+6,12),-1,0))</f>
        <v>#N/A</v>
      </c>
      <c r="D53" s="998" t="n">
        <f aca="false">MOD((MATCH(VLOOKUP(IF((A53="Aq"),VLOOKUP("AqLord",DivCharts,D35,0),IF((A53="Sc"),VLOOKUP("ScLord",DivCharts,D35,0),VLOOKUP(A53,RsInfo,9,0))),DivCharts,D35,0),RsTbl,0)*B53)-(B53*MATCH(A53,RsTbl,0))+12,12)</f>
        <v>10</v>
      </c>
      <c r="E53" s="206" t="n">
        <f aca="false">ABS(IF(ISNA(MATCH((D53+C53),,0)),(D53+C53),12)+IF(F36,0,-12))</f>
        <v>0</v>
      </c>
      <c r="F53" s="999" t="n">
        <f aca="false">G51</f>
        <v>26133.3841435185</v>
      </c>
      <c r="G53" s="999" t="n">
        <f aca="false">F53+E53*NDDaysInYEar</f>
        <v>26133.3841435185</v>
      </c>
      <c r="H53" s="1000" t="s">
        <v>693</v>
      </c>
      <c r="I53" s="233" t="str">
        <f aca="false">INDEX(SignSym,MOD(B53+MATCH(H53,SignSym,0)-1,12)+1)</f>
        <v>Ar</v>
      </c>
      <c r="J53" s="233" t="str">
        <f aca="false">INDEX(SignSym,MOD(B53+MATCH(I53,SignSym,0)-1,12)+1)</f>
        <v>Pi</v>
      </c>
      <c r="K53" s="234" t="str">
        <f aca="false">INDEX(SignSym,MOD(B53+MATCH(J53,SignSym,0)-1,12)+1)</f>
        <v>Aq</v>
      </c>
      <c r="L53" s="232" t="str">
        <f aca="false">INDEX(SignSym,MOD(B53+MATCH(K53,SignSym,0)-1,12)+1)</f>
        <v>Cp</v>
      </c>
      <c r="M53" s="233" t="str">
        <f aca="false">INDEX(SignSym,MOD(B53+MATCH(L53,SignSym,0)-1,12)+1)</f>
        <v>Sg</v>
      </c>
      <c r="N53" s="233" t="str">
        <f aca="false">INDEX(SignSym,MOD(B53+MATCH(M53,SignSym,0)-1,12)+1)</f>
        <v>Sc</v>
      </c>
      <c r="O53" s="234" t="str">
        <f aca="false">INDEX(SignSym,MOD(B53+MATCH(N53,SignSym,0)-1,12)+1)</f>
        <v>Li</v>
      </c>
      <c r="P53" s="232" t="str">
        <f aca="false">INDEX(SignSym,MOD(B53+MATCH(O53,SignSym,0)-1,12)+1)</f>
        <v>Vi</v>
      </c>
      <c r="Q53" s="233" t="str">
        <f aca="false">INDEX(SignSym,MOD(B53+MATCH(P53,SignSym,0)-1,12)+1)</f>
        <v>Le</v>
      </c>
      <c r="R53" s="233" t="str">
        <f aca="false">INDEX(SignSym,MOD(B53+MATCH(Q53,SignSym,0)-1,12)+1)</f>
        <v>Cn</v>
      </c>
      <c r="S53" s="234" t="str">
        <f aca="false">INDEX(SignSym,MOD(B53+MATCH(R53,SignSym,0)-1,12)+1)</f>
        <v>Ge</v>
      </c>
    </row>
    <row r="54" s="206" customFormat="true" ht="15" hidden="false" customHeight="false" outlineLevel="0" collapsed="false">
      <c r="C54" s="998"/>
      <c r="D54" s="998"/>
      <c r="F54" s="999"/>
      <c r="G54" s="999"/>
      <c r="H54" s="1001" t="n">
        <f aca="false">F53</f>
        <v>26133.3841435185</v>
      </c>
      <c r="I54" s="1002" t="n">
        <f aca="false">H54+(E53*NDDaysInYEar/12)</f>
        <v>26133.3841435185</v>
      </c>
      <c r="J54" s="1002" t="n">
        <f aca="false">I54+(E53*NDDaysInYEar/12)</f>
        <v>26133.3841435185</v>
      </c>
      <c r="K54" s="1003" t="n">
        <f aca="false">J54+(E53*NDDaysInYEar/12)</f>
        <v>26133.3841435185</v>
      </c>
      <c r="L54" s="1001" t="n">
        <f aca="false">K54+(E53*NDDaysInYEar/12)</f>
        <v>26133.3841435185</v>
      </c>
      <c r="M54" s="1002" t="n">
        <f aca="false">L54+(E53*NDDaysInYEar/12)</f>
        <v>26133.3841435185</v>
      </c>
      <c r="N54" s="1002" t="n">
        <f aca="false">M54+(E53*NDDaysInYEar/12)</f>
        <v>26133.3841435185</v>
      </c>
      <c r="O54" s="1003" t="n">
        <f aca="false">N54+(E53*NDDaysInYEar/12)</f>
        <v>26133.3841435185</v>
      </c>
      <c r="P54" s="1001" t="n">
        <f aca="false">O54+(E53*NDDaysInYEar/12)</f>
        <v>26133.3841435185</v>
      </c>
      <c r="Q54" s="1002" t="n">
        <f aca="false">P54+(E53*NDDaysInYEar/12)</f>
        <v>26133.3841435185</v>
      </c>
      <c r="R54" s="1002" t="n">
        <f aca="false">Q54+(E53*NDDaysInYEar/12)</f>
        <v>26133.3841435185</v>
      </c>
      <c r="S54" s="1003" t="n">
        <f aca="false">R54+(E53*NDDaysInYEar/12)</f>
        <v>26133.3841435185</v>
      </c>
    </row>
    <row r="55" s="206" customFormat="true" ht="15" hidden="false" customHeight="false" outlineLevel="0" collapsed="false">
      <c r="A55" s="206" t="str">
        <f aca="false">VLOOKUP(C36,NDasaSeq,15,0)</f>
        <v>Ta</v>
      </c>
      <c r="B55" s="206" t="n">
        <f aca="false">VLOOKUP(A55,NDasaC,3,0)</f>
        <v>1</v>
      </c>
      <c r="C55" s="998" t="e">
        <f aca="false">IF(MATCH(VLOOKUP(IF((A55="Aq"),VLOOKUP("AqLord",DivCharts,D35,0),IF((A55="Sc"),VLOOKUP("ScLord",DivCharts,D35,0),VLOOKUP(A55,RsInfo,9,0))),DivCharts,D35,0),RsTbl,0)=MATCH(VLOOKUP(IF((A55="Aq"),VLOOKUP("AqLord",DivCharts,D35,0),IF((A55="Sc"),VLOOKUP("ScLord",DivCharts,D35,0),VLOOKUP(A55,RsInfo,9,0))),PlanetData,8,0),RsTbl,0),1,IF(MATCH(VLOOKUP(IF((A55="Aq"),VLOOKUP("AqLord",DivCharts,D35,0),IF((A55="Sc"),VLOOKUP("ScLord",DivCharts,D35,0),VLOOKUP(A55,RsInfo,9,0))),DivCharts,D35,0),RsTbl,0)=MOD(MATCH(VLOOKUP(IF((A55="Aq"),VLOOKUP("AqLord",DivCharts,D35,0),IF((A55="Sc"),VLOOKUP("ScLord",DivCharts,D35,0),VLOOKUP(A55,RsInfo,9,0))),PlanetData,8,0),RsTbl,0)+6,12),-1,0))</f>
        <v>#N/A</v>
      </c>
      <c r="D55" s="998" t="n">
        <f aca="false">MOD((MATCH(VLOOKUP(IF((A55="Aq"),VLOOKUP("AqLord",DivCharts,D35,0),IF((A55="Sc"),VLOOKUP("ScLord",DivCharts,D35,0),VLOOKUP(A55,RsInfo,9,0))),DivCharts,D35,0),RsTbl,0)*B55)-(B55*MATCH(A55,RsTbl,0))+12,12)</f>
        <v>11</v>
      </c>
      <c r="E55" s="206" t="n">
        <f aca="false">ABS(IF(ISNA(MATCH((D55+C55),,0)),(D55+C55),12)+IF(F36,0,-12))</f>
        <v>0</v>
      </c>
      <c r="F55" s="999" t="n">
        <f aca="false">G53</f>
        <v>26133.3841435185</v>
      </c>
      <c r="G55" s="999" t="n">
        <f aca="false">F55+E55*NDDaysInYEar</f>
        <v>26133.3841435185</v>
      </c>
      <c r="H55" s="1000" t="str">
        <f aca="false">A55</f>
        <v>Ta</v>
      </c>
      <c r="I55" s="233" t="str">
        <f aca="false">INDEX(SignSym,MOD(B55+MATCH(H55,SignSym,0)-1,12)+1)</f>
        <v>Ge</v>
      </c>
      <c r="J55" s="233" t="str">
        <f aca="false">INDEX(SignSym,MOD(B55+MATCH(I55,SignSym,0)-1,12)+1)</f>
        <v>Cn</v>
      </c>
      <c r="K55" s="234" t="str">
        <f aca="false">INDEX(SignSym,MOD(B55+MATCH(J55,SignSym,0)-1,12)+1)</f>
        <v>Le</v>
      </c>
      <c r="L55" s="232" t="str">
        <f aca="false">INDEX(SignSym,MOD(B55+MATCH(K55,SignSym,0)-1,12)+1)</f>
        <v>Vi</v>
      </c>
      <c r="M55" s="233" t="str">
        <f aca="false">INDEX(SignSym,MOD(B55+MATCH(L55,SignSym,0)-1,12)+1)</f>
        <v>Li</v>
      </c>
      <c r="N55" s="233" t="str">
        <f aca="false">INDEX(SignSym,MOD(B55+MATCH(M55,SignSym,0)-1,12)+1)</f>
        <v>Sc</v>
      </c>
      <c r="O55" s="234" t="str">
        <f aca="false">INDEX(SignSym,MOD(B55+MATCH(N55,SignSym,0)-1,12)+1)</f>
        <v>Sg</v>
      </c>
      <c r="P55" s="232" t="str">
        <f aca="false">INDEX(SignSym,MOD(B55+MATCH(O55,SignSym,0)-1,12)+1)</f>
        <v>Cp</v>
      </c>
      <c r="Q55" s="233" t="str">
        <f aca="false">INDEX(SignSym,MOD(B55+MATCH(P55,SignSym,0)-1,12)+1)</f>
        <v>Aq</v>
      </c>
      <c r="R55" s="233" t="str">
        <f aca="false">INDEX(SignSym,MOD(B55+MATCH(Q55,SignSym,0)-1,12)+1)</f>
        <v>Pi</v>
      </c>
      <c r="S55" s="234" t="str">
        <f aca="false">INDEX(SignSym,MOD(B55+MATCH(R55,SignSym,0)-1,12)+1)</f>
        <v>Ar</v>
      </c>
    </row>
    <row r="56" s="206" customFormat="true" ht="15" hidden="false" customHeight="false" outlineLevel="0" collapsed="false">
      <c r="C56" s="998"/>
      <c r="D56" s="998"/>
      <c r="F56" s="999"/>
      <c r="G56" s="999"/>
      <c r="H56" s="1001" t="n">
        <f aca="false">F55</f>
        <v>26133.3841435185</v>
      </c>
      <c r="I56" s="1002" t="n">
        <f aca="false">H56+(E55*NDDaysInYEar/12)</f>
        <v>26133.3841435185</v>
      </c>
      <c r="J56" s="1002" t="n">
        <f aca="false">I56+(E55*NDDaysInYEar/12)</f>
        <v>26133.3841435185</v>
      </c>
      <c r="K56" s="1003" t="n">
        <f aca="false">J56+(E55*NDDaysInYEar/12)</f>
        <v>26133.3841435185</v>
      </c>
      <c r="L56" s="1001" t="n">
        <f aca="false">K56+(E55*NDDaysInYEar/12)</f>
        <v>26133.3841435185</v>
      </c>
      <c r="M56" s="1002" t="n">
        <f aca="false">L56+(E55*NDDaysInYEar/12)</f>
        <v>26133.3841435185</v>
      </c>
      <c r="N56" s="1002" t="n">
        <f aca="false">M56+(E55*NDDaysInYEar/12)</f>
        <v>26133.3841435185</v>
      </c>
      <c r="O56" s="1003" t="n">
        <f aca="false">N56+(E55*NDDaysInYEar/12)</f>
        <v>26133.3841435185</v>
      </c>
      <c r="P56" s="1001" t="n">
        <f aca="false">O56+(E55*NDDaysInYEar/12)</f>
        <v>26133.3841435185</v>
      </c>
      <c r="Q56" s="1002" t="n">
        <f aca="false">P56+(E55*NDDaysInYEar/12)</f>
        <v>26133.3841435185</v>
      </c>
      <c r="R56" s="1002" t="n">
        <f aca="false">Q56+(E55*NDDaysInYEar/12)</f>
        <v>26133.3841435185</v>
      </c>
      <c r="S56" s="1003" t="n">
        <f aca="false">R56+(E55*NDDaysInYEar/12)</f>
        <v>26133.3841435185</v>
      </c>
    </row>
    <row r="57" s="206" customFormat="true" ht="15" hidden="false" customHeight="false" outlineLevel="0" collapsed="false">
      <c r="A57" s="206" t="str">
        <f aca="false">VLOOKUP(C36,NDasaSeq,16,0)</f>
        <v>Ge</v>
      </c>
      <c r="B57" s="206" t="n">
        <f aca="false">VLOOKUP(A57,NDasaC,3,0)</f>
        <v>1</v>
      </c>
      <c r="C57" s="998" t="e">
        <f aca="false">IF(MATCH(VLOOKUP(IF((A57="Aq"),VLOOKUP("AqLord",DivCharts,D35,0),IF((A57="Sc"),VLOOKUP("ScLord",DivCharts,D35,0),VLOOKUP(A57,RsInfo,9,0))),DivCharts,D35,0),RsTbl,0)=MATCH(VLOOKUP(IF((A57="Aq"),VLOOKUP("AqLord",DivCharts,D35,0),IF((A57="Sc"),VLOOKUP("ScLord",DivCharts,D35,0),VLOOKUP(A57,RsInfo,9,0))),PlanetData,8,0),RsTbl,0),1,IF(MATCH(VLOOKUP(IF((A57="Aq"),VLOOKUP("AqLord",DivCharts,D35,0),IF((A57="Sc"),VLOOKUP("ScLord",DivCharts,D35,0),VLOOKUP(A57,RsInfo,9,0))),DivCharts,D35,0),RsTbl,0)=MOD(MATCH(VLOOKUP(IF((A57="Aq"),VLOOKUP("AqLord",DivCharts,D35,0),IF((A57="Sc"),VLOOKUP("ScLord",DivCharts,D35,0),VLOOKUP(A57,RsInfo,9,0))),PlanetData,8,0),RsTbl,0)+6,12),-1,0))</f>
        <v>#N/A</v>
      </c>
      <c r="D57" s="998" t="n">
        <f aca="false">MOD((MATCH(VLOOKUP(IF((A57="Aq"),VLOOKUP("AqLord",DivCharts,D35,0),IF((A57="Sc"),VLOOKUP("ScLord",DivCharts,D35,0),VLOOKUP(A57,RsInfo,9,0))),DivCharts,D35,0),RsTbl,0)*B57)-(B57*MATCH(A57,RsTbl,0))+12,12)</f>
        <v>9</v>
      </c>
      <c r="E57" s="206" t="n">
        <f aca="false">ABS(IF(ISNA(MATCH((D57+C57),,0)),(D57+C57),12)+IF(F36,0,-12))</f>
        <v>0</v>
      </c>
      <c r="F57" s="999" t="n">
        <f aca="false">G55</f>
        <v>26133.3841435185</v>
      </c>
      <c r="G57" s="999" t="n">
        <f aca="false">F57+E57*NDDaysInYEar</f>
        <v>26133.3841435185</v>
      </c>
      <c r="H57" s="1000" t="str">
        <f aca="false">A57</f>
        <v>Ge</v>
      </c>
      <c r="I57" s="233" t="str">
        <f aca="false">INDEX(SignSym,MOD(B57+MATCH(H57,SignSym,0)-1,12)+1)</f>
        <v>Cn</v>
      </c>
      <c r="J57" s="233" t="str">
        <f aca="false">INDEX(SignSym,MOD(B57+MATCH(I57,SignSym,0)-1,12)+1)</f>
        <v>Le</v>
      </c>
      <c r="K57" s="234" t="str">
        <f aca="false">INDEX(SignSym,MOD(B57+MATCH(J57,SignSym,0)-1,12)+1)</f>
        <v>Vi</v>
      </c>
      <c r="L57" s="232" t="str">
        <f aca="false">INDEX(SignSym,MOD(B57+MATCH(K57,SignSym,0)-1,12)+1)</f>
        <v>Li</v>
      </c>
      <c r="M57" s="233" t="str">
        <f aca="false">INDEX(SignSym,MOD(B57+MATCH(L57,SignSym,0)-1,12)+1)</f>
        <v>Sc</v>
      </c>
      <c r="N57" s="233" t="str">
        <f aca="false">INDEX(SignSym,MOD(B57+MATCH(M57,SignSym,0)-1,12)+1)</f>
        <v>Sg</v>
      </c>
      <c r="O57" s="234" t="str">
        <f aca="false">INDEX(SignSym,MOD(B57+MATCH(N57,SignSym,0)-1,12)+1)</f>
        <v>Cp</v>
      </c>
      <c r="P57" s="232" t="str">
        <f aca="false">INDEX(SignSym,MOD(B57+MATCH(O57,SignSym,0)-1,12)+1)</f>
        <v>Aq</v>
      </c>
      <c r="Q57" s="233" t="str">
        <f aca="false">INDEX(SignSym,MOD(B57+MATCH(P57,SignSym,0)-1,12)+1)</f>
        <v>Pi</v>
      </c>
      <c r="R57" s="233" t="str">
        <f aca="false">INDEX(SignSym,MOD(B57+MATCH(Q57,SignSym,0)-1,12)+1)</f>
        <v>Ar</v>
      </c>
      <c r="S57" s="234" t="str">
        <f aca="false">INDEX(SignSym,MOD(B57+MATCH(R57,SignSym,0)-1,12)+1)</f>
        <v>Ta</v>
      </c>
    </row>
    <row r="58" s="206" customFormat="true" ht="15" hidden="false" customHeight="false" outlineLevel="0" collapsed="false">
      <c r="C58" s="998"/>
      <c r="D58" s="998"/>
      <c r="F58" s="999"/>
      <c r="G58" s="999"/>
      <c r="H58" s="1001" t="n">
        <f aca="false">F57</f>
        <v>26133.3841435185</v>
      </c>
      <c r="I58" s="1002" t="n">
        <f aca="false">H58+(E57*NDDaysInYEar/12)</f>
        <v>26133.3841435185</v>
      </c>
      <c r="J58" s="1002" t="n">
        <f aca="false">I58+(E57*NDDaysInYEar/12)</f>
        <v>26133.3841435185</v>
      </c>
      <c r="K58" s="1003" t="n">
        <f aca="false">J58+(E57*NDDaysInYEar/12)</f>
        <v>26133.3841435185</v>
      </c>
      <c r="L58" s="1001" t="n">
        <f aca="false">K58+(E57*NDDaysInYEar/12)</f>
        <v>26133.3841435185</v>
      </c>
      <c r="M58" s="1002" t="n">
        <f aca="false">L58+(E57*NDDaysInYEar/12)</f>
        <v>26133.3841435185</v>
      </c>
      <c r="N58" s="1002" t="n">
        <f aca="false">M58+(E57*NDDaysInYEar/12)</f>
        <v>26133.3841435185</v>
      </c>
      <c r="O58" s="1003" t="n">
        <f aca="false">N58+(E57*NDDaysInYEar/12)</f>
        <v>26133.3841435185</v>
      </c>
      <c r="P58" s="1001" t="n">
        <f aca="false">O58+(E57*NDDaysInYEar/12)</f>
        <v>26133.3841435185</v>
      </c>
      <c r="Q58" s="1002" t="n">
        <f aca="false">P58+(E57*NDDaysInYEar/12)</f>
        <v>26133.3841435185</v>
      </c>
      <c r="R58" s="1002" t="n">
        <f aca="false">Q58+(E57*NDDaysInYEar/12)</f>
        <v>26133.3841435185</v>
      </c>
      <c r="S58" s="1003" t="n">
        <f aca="false">R58+(E57*NDDaysInYEar/12)</f>
        <v>26133.3841435185</v>
      </c>
    </row>
    <row r="59" s="206" customFormat="true" ht="15" hidden="false" customHeight="false" outlineLevel="0" collapsed="false">
      <c r="A59" s="206" t="str">
        <f aca="false">VLOOKUP(C36,NDasaSeq,17,0)</f>
        <v>Li</v>
      </c>
      <c r="B59" s="206" t="n">
        <f aca="false">VLOOKUP(A59,NDasaC,3,0)</f>
        <v>1</v>
      </c>
      <c r="C59" s="998" t="e">
        <f aca="false">IF(MATCH(VLOOKUP(IF((A59="Aq"),VLOOKUP("AqLord",DivCharts,D35,0),IF((A59="Sc"),VLOOKUP("ScLord",DivCharts,D35,0),VLOOKUP(A59,RsInfo,9,0))),DivCharts,D35,0),RsTbl,0)=MATCH(VLOOKUP(IF((A59="Aq"),VLOOKUP("AqLord",DivCharts,D35,0),IF((A59="Sc"),VLOOKUP("ScLord",DivCharts,D35,0),VLOOKUP(A59,RsInfo,9,0))),PlanetData,8,0),RsTbl,0),1,IF(MATCH(VLOOKUP(IF((A59="Aq"),VLOOKUP("AqLord",DivCharts,D35,0),IF((A59="Sc"),VLOOKUP("ScLord",DivCharts,D35,0),VLOOKUP(A59,RsInfo,9,0))),DivCharts,D35,0),RsTbl,0)=MOD(MATCH(VLOOKUP(IF((A59="Aq"),VLOOKUP("AqLord",DivCharts,D35,0),IF((A59="Sc"),VLOOKUP("ScLord",DivCharts,D35,0),VLOOKUP(A59,RsInfo,9,0))),PlanetData,8,0),RsTbl,0)+6,12),-1,0))</f>
        <v>#N/A</v>
      </c>
      <c r="D59" s="998" t="n">
        <f aca="false">MOD((MATCH(VLOOKUP(IF((A59="Aq"),VLOOKUP("AqLord",DivCharts,D35,0),IF((A59="Sc"),VLOOKUP("ScLord",DivCharts,D35,0),VLOOKUP(A59,RsInfo,9,0))),DivCharts,D35,0),RsTbl,0)*B59)-(B59*MATCH(A59,RsTbl,0))+12,12)</f>
        <v>6</v>
      </c>
      <c r="E59" s="206" t="n">
        <f aca="false">ABS(IF(ISNA(MATCH((D59+C59),,0)),(D59+C59),12)+IF(F36,0,-12))</f>
        <v>0</v>
      </c>
      <c r="F59" s="999" t="n">
        <f aca="false">G57</f>
        <v>26133.3841435185</v>
      </c>
      <c r="G59" s="999" t="n">
        <f aca="false">F59+E59*NDDaysInYEar</f>
        <v>26133.3841435185</v>
      </c>
      <c r="H59" s="1000" t="str">
        <f aca="false">A59</f>
        <v>Li</v>
      </c>
      <c r="I59" s="233" t="str">
        <f aca="false">INDEX(SignSym,MOD(B59+MATCH(H59,SignSym,0)-1,12)+1)</f>
        <v>Sc</v>
      </c>
      <c r="J59" s="233" t="str">
        <f aca="false">INDEX(SignSym,MOD(B59+MATCH(I59,SignSym,0)-1,12)+1)</f>
        <v>Sg</v>
      </c>
      <c r="K59" s="234" t="str">
        <f aca="false">INDEX(SignSym,MOD(B59+MATCH(J59,SignSym,0)-1,12)+1)</f>
        <v>Cp</v>
      </c>
      <c r="L59" s="232" t="str">
        <f aca="false">INDEX(SignSym,MOD(B59+MATCH(K59,SignSym,0)-1,12)+1)</f>
        <v>Aq</v>
      </c>
      <c r="M59" s="233" t="str">
        <f aca="false">INDEX(SignSym,MOD(B59+MATCH(L59,SignSym,0)-1,12)+1)</f>
        <v>Pi</v>
      </c>
      <c r="N59" s="233" t="str">
        <f aca="false">INDEX(SignSym,MOD(B59+MATCH(M59,SignSym,0)-1,12)+1)</f>
        <v>Ar</v>
      </c>
      <c r="O59" s="234" t="str">
        <f aca="false">INDEX(SignSym,MOD(B59+MATCH(N59,SignSym,0)-1,12)+1)</f>
        <v>Ta</v>
      </c>
      <c r="P59" s="232" t="str">
        <f aca="false">INDEX(SignSym,MOD(B59+MATCH(O59,SignSym,0)-1,12)+1)</f>
        <v>Ge</v>
      </c>
      <c r="Q59" s="233" t="str">
        <f aca="false">INDEX(SignSym,MOD(B59+MATCH(P59,SignSym,0)-1,12)+1)</f>
        <v>Cn</v>
      </c>
      <c r="R59" s="233" t="str">
        <f aca="false">INDEX(SignSym,MOD(B59+MATCH(Q59,SignSym,0)-1,12)+1)</f>
        <v>Le</v>
      </c>
      <c r="S59" s="234" t="str">
        <f aca="false">INDEX(SignSym,MOD(B59+MATCH(R59,SignSym,0)-1,12)+1)</f>
        <v>Vi</v>
      </c>
    </row>
    <row r="60" s="206" customFormat="true" ht="15" hidden="false" customHeight="false" outlineLevel="0" collapsed="false">
      <c r="C60" s="998"/>
      <c r="D60" s="998"/>
      <c r="F60" s="999"/>
      <c r="G60" s="999"/>
      <c r="H60" s="1001" t="n">
        <f aca="false">F59</f>
        <v>26133.3841435185</v>
      </c>
      <c r="I60" s="1002" t="n">
        <f aca="false">H60+(E59*NDDaysInYEar/12)</f>
        <v>26133.3841435185</v>
      </c>
      <c r="J60" s="1002" t="n">
        <f aca="false">I60+(E59*NDDaysInYEar/12)</f>
        <v>26133.3841435185</v>
      </c>
      <c r="K60" s="1003" t="n">
        <f aca="false">J60+(E59*NDDaysInYEar/12)</f>
        <v>26133.3841435185</v>
      </c>
      <c r="L60" s="1001" t="n">
        <f aca="false">K60+(E59*NDDaysInYEar/12)</f>
        <v>26133.3841435185</v>
      </c>
      <c r="M60" s="1002" t="n">
        <f aca="false">L60+(E59*NDDaysInYEar/12)</f>
        <v>26133.3841435185</v>
      </c>
      <c r="N60" s="1002" t="n">
        <f aca="false">M60+(E59*NDDaysInYEar/12)</f>
        <v>26133.3841435185</v>
      </c>
      <c r="O60" s="1003" t="n">
        <f aca="false">N60+(E59*NDDaysInYEar/12)</f>
        <v>26133.3841435185</v>
      </c>
      <c r="P60" s="1001" t="n">
        <f aca="false">O60+(E59*NDDaysInYEar/12)</f>
        <v>26133.3841435185</v>
      </c>
      <c r="Q60" s="1002" t="n">
        <f aca="false">P60+(E59*NDDaysInYEar/12)</f>
        <v>26133.3841435185</v>
      </c>
      <c r="R60" s="1002" t="n">
        <f aca="false">Q60+(E59*NDDaysInYEar/12)</f>
        <v>26133.3841435185</v>
      </c>
      <c r="S60" s="1003" t="n">
        <f aca="false">R60+(E59*NDDaysInYEar/12)</f>
        <v>26133.3841435185</v>
      </c>
    </row>
    <row r="61" s="206" customFormat="true" ht="15" hidden="false" customHeight="false" outlineLevel="0" collapsed="false">
      <c r="A61" s="206" t="str">
        <f aca="false">VLOOKUP(C36,NDasaSeq,18,0)</f>
        <v>Aq</v>
      </c>
      <c r="B61" s="206" t="n">
        <f aca="false">VLOOKUP(A61,NDasaC,3,0)</f>
        <v>-1</v>
      </c>
      <c r="C61" s="998" t="e">
        <f aca="false">IF(MATCH(VLOOKUP(IF((A61="Aq"),VLOOKUP("AqLord",DivCharts,D35,0),IF((A61="Sc"),VLOOKUP("ScLord",DivCharts,D35,0),VLOOKUP(A61,RsInfo,9,0))),DivCharts,D35,0),RsTbl,0)=MATCH(VLOOKUP(IF((A61="Aq"),VLOOKUP("AqLord",DivCharts,D35,0),IF((A61="Sc"),VLOOKUP("ScLord",DivCharts,D35,0),VLOOKUP(A61,RsInfo,9,0))),PlanetData,8,0),RsTbl,0),1,IF(MATCH(VLOOKUP(IF((A61="Aq"),VLOOKUP("AqLord",DivCharts,D35,0),IF((A61="Sc"),VLOOKUP("ScLord",DivCharts,D35,0),VLOOKUP(A61,RsInfo,9,0))),DivCharts,D35,0),RsTbl,0)=MOD(MATCH(VLOOKUP(IF((A61="Aq"),VLOOKUP("AqLord",DivCharts,D35,0),IF((A61="Sc"),VLOOKUP("ScLord",DivCharts,D35,0),VLOOKUP(A61,RsInfo,9,0))),PlanetData,8,0),RsTbl,0)+6,12),-1,0))</f>
        <v>#N/A</v>
      </c>
      <c r="D61" s="998" t="n">
        <f aca="false">MOD((MATCH(VLOOKUP(IF((A61="Aq"),VLOOKUP("AqLord",DivCharts,D35,0),IF((A61="Sc"),VLOOKUP("ScLord",DivCharts,D35,0),VLOOKUP(A61,RsInfo,9,0))),DivCharts,D35,0),RsTbl,0)*B61)-(B61*MATCH(A61,RsTbl,0))+12,12)</f>
        <v>7</v>
      </c>
      <c r="E61" s="206" t="n">
        <f aca="false">ABS(IF(ISNA(MATCH((D61+C61),,0)),(D61+C61),12)+IF(F36,0,-12))</f>
        <v>0</v>
      </c>
      <c r="F61" s="999" t="n">
        <f aca="false">G59</f>
        <v>26133.3841435185</v>
      </c>
      <c r="G61" s="999" t="n">
        <f aca="false">F61+E61*NDDaysInYEar</f>
        <v>26133.3841435185</v>
      </c>
      <c r="H61" s="1000" t="str">
        <f aca="false">A61</f>
        <v>Aq</v>
      </c>
      <c r="I61" s="233" t="str">
        <f aca="false">INDEX(SignSym,MOD(B61+MATCH(H61,SignSym,0)-1,12)+1)</f>
        <v>Cp</v>
      </c>
      <c r="J61" s="233" t="str">
        <f aca="false">INDEX(SignSym,MOD(B61+MATCH(I61,SignSym,0)-1,12)+1)</f>
        <v>Sg</v>
      </c>
      <c r="K61" s="234" t="str">
        <f aca="false">INDEX(SignSym,MOD(B61+MATCH(J61,SignSym,0)-1,12)+1)</f>
        <v>Sc</v>
      </c>
      <c r="L61" s="232" t="str">
        <f aca="false">INDEX(SignSym,MOD(B61+MATCH(K61,SignSym,0)-1,12)+1)</f>
        <v>Li</v>
      </c>
      <c r="M61" s="233" t="str">
        <f aca="false">INDEX(SignSym,MOD(B61+MATCH(L61,SignSym,0)-1,12)+1)</f>
        <v>Vi</v>
      </c>
      <c r="N61" s="233" t="str">
        <f aca="false">INDEX(SignSym,MOD(B61+MATCH(M61,SignSym,0)-1,12)+1)</f>
        <v>Le</v>
      </c>
      <c r="O61" s="234" t="str">
        <f aca="false">INDEX(SignSym,MOD(B61+MATCH(N61,SignSym,0)-1,12)+1)</f>
        <v>Cn</v>
      </c>
      <c r="P61" s="232" t="str">
        <f aca="false">INDEX(SignSym,MOD(B61+MATCH(O61,SignSym,0)-1,12)+1)</f>
        <v>Ge</v>
      </c>
      <c r="Q61" s="233" t="str">
        <f aca="false">INDEX(SignSym,MOD(B61+MATCH(P61,SignSym,0)-1,12)+1)</f>
        <v>Ta</v>
      </c>
      <c r="R61" s="233" t="str">
        <f aca="false">INDEX(SignSym,MOD(B61+MATCH(Q61,SignSym,0)-1,12)+1)</f>
        <v>Ar</v>
      </c>
      <c r="S61" s="234" t="str">
        <f aca="false">INDEX(SignSym,MOD(B61+MATCH(R61,SignSym,0)-1,12)+1)</f>
        <v>Pi</v>
      </c>
    </row>
    <row r="62" s="206" customFormat="true" ht="15" hidden="false" customHeight="false" outlineLevel="0" collapsed="false">
      <c r="D62" s="998"/>
      <c r="F62" s="999"/>
      <c r="G62" s="999"/>
      <c r="H62" s="1001" t="n">
        <f aca="false">F61</f>
        <v>26133.3841435185</v>
      </c>
      <c r="I62" s="1002" t="n">
        <f aca="false">H62+(E61*NDDaysInYEar/12)</f>
        <v>26133.3841435185</v>
      </c>
      <c r="J62" s="1002" t="n">
        <f aca="false">I62+(E61*NDDaysInYEar/12)</f>
        <v>26133.3841435185</v>
      </c>
      <c r="K62" s="1003" t="n">
        <f aca="false">J62+(E61*NDDaysInYEar/12)</f>
        <v>26133.3841435185</v>
      </c>
      <c r="L62" s="1001" t="n">
        <f aca="false">K62+(E61*NDDaysInYEar/12)</f>
        <v>26133.3841435185</v>
      </c>
      <c r="M62" s="1002" t="n">
        <f aca="false">L62+(E61*NDDaysInYEar/12)</f>
        <v>26133.3841435185</v>
      </c>
      <c r="N62" s="1002" t="n">
        <f aca="false">M62+(E61*NDDaysInYEar/12)</f>
        <v>26133.3841435185</v>
      </c>
      <c r="O62" s="1003" t="n">
        <f aca="false">N62+(E61*NDDaysInYEar/12)</f>
        <v>26133.3841435185</v>
      </c>
      <c r="P62" s="1001" t="n">
        <f aca="false">O62+(E61*NDDaysInYEar/12)</f>
        <v>26133.3841435185</v>
      </c>
      <c r="Q62" s="1002" t="n">
        <f aca="false">P62+(E61*NDDaysInYEar/12)</f>
        <v>26133.3841435185</v>
      </c>
      <c r="R62" s="1002" t="n">
        <f aca="false">Q62+(E61*NDDaysInYEar/12)</f>
        <v>26133.3841435185</v>
      </c>
      <c r="S62" s="1003" t="n">
        <f aca="false">R62+(E61*NDDaysInYEar/12)</f>
        <v>26133.3841435185</v>
      </c>
    </row>
    <row r="63" s="206" customFormat="true" ht="15" hidden="false" customHeight="false" outlineLevel="0" collapsed="false">
      <c r="A63" s="1004"/>
      <c r="B63" s="1004"/>
      <c r="C63" s="1004"/>
      <c r="D63" s="1004"/>
      <c r="E63" s="1004"/>
      <c r="F63" s="1004"/>
      <c r="G63" s="1004"/>
      <c r="H63" s="1004"/>
      <c r="I63" s="1004"/>
      <c r="J63" s="1004"/>
      <c r="K63" s="1004"/>
      <c r="L63" s="1004"/>
      <c r="M63" s="1004"/>
      <c r="N63" s="1004"/>
      <c r="O63" s="1004"/>
      <c r="P63" s="1004"/>
      <c r="Q63" s="1004"/>
      <c r="R63" s="1004"/>
      <c r="S63" s="1004"/>
    </row>
    <row r="64" s="206" customFormat="true" ht="15" hidden="true" customHeight="false" outlineLevel="0" collapsed="false">
      <c r="H64" s="1005"/>
      <c r="I64" s="1005"/>
      <c r="J64" s="1005"/>
      <c r="K64" s="1005"/>
      <c r="L64" s="1005"/>
      <c r="M64" s="1005"/>
      <c r="N64" s="1005"/>
      <c r="O64" s="1005"/>
      <c r="P64" s="1005"/>
      <c r="Q64" s="1005"/>
      <c r="R64" s="1005"/>
      <c r="S64" s="1005"/>
    </row>
    <row r="65" s="206" customFormat="true" ht="15" hidden="false" customHeight="false" outlineLevel="0" collapsed="false"/>
    <row r="66" s="227" customFormat="true" ht="15" hidden="false" customHeight="false" outlineLevel="0" collapsed="false">
      <c r="A66" s="1006" t="s">
        <v>4222</v>
      </c>
    </row>
    <row r="67" s="206" customFormat="true" ht="15" hidden="true" customHeight="false" outlineLevel="0" collapsed="false">
      <c r="H67" s="1005"/>
      <c r="I67" s="1005"/>
      <c r="J67" s="1005"/>
      <c r="K67" s="1005"/>
      <c r="L67" s="1005"/>
      <c r="M67" s="1005"/>
      <c r="N67" s="1005"/>
      <c r="O67" s="1005"/>
      <c r="P67" s="1005"/>
      <c r="Q67" s="1005"/>
      <c r="R67" s="1005"/>
      <c r="S67" s="1005"/>
    </row>
    <row r="68" customFormat="false" ht="15" hidden="false" customHeight="false" outlineLevel="0" collapsed="false">
      <c r="L68" s="48"/>
    </row>
    <row r="69" customFormat="false" ht="15" hidden="false" customHeight="false" outlineLevel="0" collapsed="false">
      <c r="A69" s="985" t="s">
        <v>4212</v>
      </c>
      <c r="B69" s="986"/>
      <c r="C69" s="986"/>
      <c r="D69" s="986"/>
      <c r="E69" s="986"/>
      <c r="F69" s="986"/>
      <c r="G69" s="986"/>
      <c r="H69" s="986"/>
      <c r="I69" s="986"/>
      <c r="J69" s="986"/>
      <c r="K69" s="986"/>
      <c r="L69" s="987"/>
      <c r="M69" s="986"/>
      <c r="N69" s="986"/>
      <c r="O69" s="986"/>
      <c r="P69" s="986"/>
      <c r="Q69" s="986"/>
      <c r="R69" s="986"/>
      <c r="S69" s="986"/>
    </row>
    <row r="70" s="206" customFormat="true" ht="15" hidden="false" customHeight="false" outlineLevel="0" collapsed="false">
      <c r="A70" s="988" t="s">
        <v>4213</v>
      </c>
      <c r="B70" s="988"/>
      <c r="C70" s="989" t="n">
        <v>9</v>
      </c>
      <c r="D70" s="990" t="n">
        <f aca="false">MATCH(C70,$18:$18,1)</f>
        <v>6</v>
      </c>
      <c r="I70" s="991"/>
      <c r="N70" s="991"/>
    </row>
    <row r="71" s="206" customFormat="true" ht="15" hidden="false" customHeight="false" outlineLevel="0" collapsed="false">
      <c r="A71" s="988" t="s">
        <v>4216</v>
      </c>
      <c r="B71" s="988"/>
      <c r="C71" s="992" t="s">
        <v>1006</v>
      </c>
      <c r="D71" s="993"/>
      <c r="H71" s="991"/>
      <c r="I71" s="991"/>
      <c r="J71" s="991"/>
      <c r="P71" s="991"/>
    </row>
    <row r="72" s="206" customFormat="true" ht="15" hidden="false" customHeight="false" outlineLevel="0" collapsed="false">
      <c r="C72" s="991"/>
      <c r="E72" s="991"/>
      <c r="H72" s="991"/>
      <c r="I72" s="991"/>
      <c r="J72" s="991"/>
    </row>
    <row r="73" s="206" customFormat="true" ht="15" hidden="false" customHeight="false" outlineLevel="0" collapsed="false">
      <c r="A73" s="1007" t="s">
        <v>4084</v>
      </c>
      <c r="B73" s="1007" t="s">
        <v>807</v>
      </c>
      <c r="C73" s="1007" t="s">
        <v>4218</v>
      </c>
      <c r="D73" s="1007" t="s">
        <v>4219</v>
      </c>
      <c r="E73" s="1007" t="s">
        <v>400</v>
      </c>
      <c r="F73" s="1007" t="s">
        <v>730</v>
      </c>
      <c r="G73" s="1007" t="s">
        <v>805</v>
      </c>
      <c r="H73" s="1007" t="s">
        <v>4221</v>
      </c>
      <c r="I73" s="991"/>
      <c r="J73" s="991"/>
    </row>
    <row r="74" s="206" customFormat="true" ht="15" hidden="false" customHeight="false" outlineLevel="0" collapsed="false">
      <c r="A74" s="206" t="str">
        <f aca="false">VLOOKUP(C71,NDasaSeq,7,0)</f>
        <v>Pi</v>
      </c>
      <c r="B74" s="206" t="n">
        <f aca="false">VLOOKUP(A74,NDasaC,3,0)</f>
        <v>-1</v>
      </c>
      <c r="C74" s="998" t="e">
        <f aca="false">IF(MATCH(VLOOKUP(IF((A74="Aq"),VLOOKUP("AqLord",DivCharts,D70,0),IF((A74="Sc"),VLOOKUP("ScLord",DivCharts,D70,0),VLOOKUP(A74,RsInfo,9,0))),DivCharts,D70,0),RsTbl,0)=MATCH(VLOOKUP(IF((A74="Aq"),VLOOKUP("AqLord",DivCharts,D70,0),IF((A74="Sc"),VLOOKUP("ScLord",DivCharts,D70,0),VLOOKUP(A74,RsInfo,9,0))),PlanetData,8,0),RsTbl,0),1,IF(MATCH(VLOOKUP(IF((A74="Aq"),VLOOKUP("AqLord",DivCharts,D70,0),IF((A74="Sc"),VLOOKUP("ScLord",DivCharts,D70,0),VLOOKUP(A74,RsInfo,9,0))),DivCharts,D70,0),RsTbl,0)=MOD(MATCH(VLOOKUP(IF((A74="Aq"),VLOOKUP("AqLord",DivCharts,D70,0),IF((A74="Sc"),VLOOKUP("ScLord",DivCharts,D70,0),VLOOKUP(A74,RsInfo,9,0))),PlanetData,8,0),RsTbl,0)+6,12),-1,0))</f>
        <v>#N/A</v>
      </c>
      <c r="D74" s="998" t="n">
        <f aca="false">MOD((MATCH(VLOOKUP(IF((A74="Aq"),VLOOKUP("AqLord",DivCharts,D70,0),IF((A74="Sc"),VLOOKUP("ScLord",DivCharts,D70,0),VLOOKUP(A74,RsInfo,9,0))),DivCharts,D70,0),RsTbl,0)*B74)-(B74*MATCH(A74,RsTbl,0))+12,12)</f>
        <v>8</v>
      </c>
      <c r="E74" s="206" t="n">
        <f aca="false">IF(ISNA(MATCH((D74+C74),,0)),(D74+C74),12)</f>
        <v>12</v>
      </c>
      <c r="F74" s="1005" t="n">
        <f aca="false">NDDoB</f>
        <v>26133.3841435185</v>
      </c>
      <c r="G74" s="1005" t="n">
        <f aca="false">F74+E74*NDDaysInYEar</f>
        <v>30516.4426157407</v>
      </c>
      <c r="H74" s="992" t="str">
        <f aca="false">A74</f>
        <v>Pi</v>
      </c>
      <c r="I74" s="206" t="str">
        <f aca="false">INDEX(SignSym,MOD(B74+MATCH(H74,SignSym,0)-1,12)+1)</f>
        <v>Aq</v>
      </c>
      <c r="J74" s="206" t="str">
        <f aca="false">INDEX(SignSym,MOD(B74+MATCH(I74,SignSym,0)-1,12)+1)</f>
        <v>Cp</v>
      </c>
      <c r="K74" s="206" t="str">
        <f aca="false">INDEX(SignSym,MOD(B74+MATCH(J74,SignSym,0)-1,12)+1)</f>
        <v>Sg</v>
      </c>
      <c r="L74" s="206" t="str">
        <f aca="false">INDEX(SignSym,MOD(B74+MATCH(K74,SignSym,0)-1,12)+1)</f>
        <v>Sc</v>
      </c>
      <c r="M74" s="206" t="str">
        <f aca="false">INDEX(SignSym,MOD(B74+MATCH(L74,SignSym,0)-1,12)+1)</f>
        <v>Li</v>
      </c>
      <c r="N74" s="206" t="str">
        <f aca="false">INDEX(SignSym,MOD(B74+MATCH(M74,SignSym,0)-1,12)+1)</f>
        <v>Vi</v>
      </c>
      <c r="O74" s="206" t="str">
        <f aca="false">INDEX(SignSym,MOD(B74+MATCH(N74,SignSym,0)-1,12)+1)</f>
        <v>Le</v>
      </c>
      <c r="P74" s="206" t="str">
        <f aca="false">INDEX(SignSym,MOD(B74+MATCH(O74,SignSym,0)-1,12)+1)</f>
        <v>Cn</v>
      </c>
      <c r="Q74" s="206" t="str">
        <f aca="false">INDEX(SignSym,MOD(B74+MATCH(P74,SignSym,0)-1,12)+1)</f>
        <v>Ge</v>
      </c>
      <c r="R74" s="206" t="str">
        <f aca="false">INDEX(SignSym,MOD(B74+MATCH(Q74,SignSym,0)-1,12)+1)</f>
        <v>Ta</v>
      </c>
      <c r="S74" s="206" t="str">
        <f aca="false">INDEX(SignSym,MOD(B74+MATCH(R74,SignSym,0)-1,12)+1)</f>
        <v>Ar</v>
      </c>
    </row>
    <row r="75" s="206" customFormat="true" ht="12.75" hidden="true" customHeight="true" outlineLevel="0" collapsed="false">
      <c r="C75" s="998"/>
      <c r="D75" s="998"/>
      <c r="F75" s="1005"/>
      <c r="G75" s="1005"/>
      <c r="H75" s="1005" t="n">
        <f aca="false">F74</f>
        <v>26133.3841435185</v>
      </c>
      <c r="I75" s="1005" t="n">
        <f aca="false">H75+(E74*NDDaysInYEar/12)</f>
        <v>26498.6390162037</v>
      </c>
      <c r="J75" s="1005" t="n">
        <f aca="false">I75+(E74*NDDaysInYEar/12)</f>
        <v>26863.8938888889</v>
      </c>
      <c r="K75" s="1005" t="n">
        <f aca="false">J75+(E74*NDDaysInYEar/12)</f>
        <v>27229.148761574</v>
      </c>
      <c r="L75" s="1005" t="n">
        <f aca="false">K75+(E74*NDDaysInYEar/12)</f>
        <v>27594.4036342592</v>
      </c>
      <c r="M75" s="1005" t="n">
        <f aca="false">L75+(E74*NDDaysInYEar/12)</f>
        <v>27959.6585069444</v>
      </c>
      <c r="N75" s="1005" t="n">
        <f aca="false">M75+(E74*NDDaysInYEar/12)</f>
        <v>28324.9133796296</v>
      </c>
      <c r="O75" s="1005" t="n">
        <f aca="false">N75+(E74*NDDaysInYEar/12)</f>
        <v>28690.1682523148</v>
      </c>
      <c r="P75" s="1005" t="n">
        <f aca="false">O75+(E74*NDDaysInYEar/12)</f>
        <v>29055.423125</v>
      </c>
      <c r="Q75" s="1005" t="n">
        <f aca="false">P75+(E74*NDDaysInYEar/12)</f>
        <v>29420.6779976851</v>
      </c>
      <c r="R75" s="1005" t="n">
        <f aca="false">Q75+(E74*NDDaysInYEar/12)</f>
        <v>29785.9328703703</v>
      </c>
      <c r="S75" s="1005" t="n">
        <f aca="false">R75+(E74*NDDaysInYEar/12)</f>
        <v>30151.1877430555</v>
      </c>
    </row>
    <row r="76" s="206" customFormat="true" ht="15" hidden="false" customHeight="false" outlineLevel="0" collapsed="false">
      <c r="A76" s="206" t="str">
        <f aca="false">VLOOKUP(C71,NDasaSeq,8,0)</f>
        <v>Cn</v>
      </c>
      <c r="B76" s="206" t="n">
        <f aca="false">VLOOKUP(A76,NDasaC,3,0)</f>
        <v>-1</v>
      </c>
      <c r="C76" s="998" t="e">
        <f aca="false">IF(MATCH(VLOOKUP(IF((A76="Aq"),VLOOKUP("AqLord",DivCharts,D70,0),IF((A76="Sc"),VLOOKUP("ScLord",DivCharts,D70,0),VLOOKUP(A76,RsInfo,9,0))),DivCharts,D70,0),RsTbl,0)=MATCH(VLOOKUP(IF((A76="Aq"),VLOOKUP("AqLord",DivCharts,D70,0),IF((A76="Sc"),VLOOKUP("ScLord",DivCharts,D70,0),VLOOKUP(A76,RsInfo,9,0))),PlanetData,8,0),RsTbl,0),1,IF(MATCH(VLOOKUP(IF((A76="Aq"),VLOOKUP("AqLord",DivCharts,D70,0),IF((A76="Sc"),VLOOKUP("ScLord",DivCharts,D70,0),VLOOKUP(A76,RsInfo,9,0))),DivCharts,D70,0),RsTbl,0)=MOD(MATCH(VLOOKUP(IF((A76="Aq"),VLOOKUP("AqLord",DivCharts,D70,0),IF((A76="Sc"),VLOOKUP("ScLord",DivCharts,D70,0),VLOOKUP(A76,RsInfo,9,0))),PlanetData,8,0),RsTbl,0)+6,12),-1,0))</f>
        <v>#N/A</v>
      </c>
      <c r="D76" s="998" t="n">
        <f aca="false">MOD((MATCH(VLOOKUP(IF((A76="Aq"),VLOOKUP("AqLord",DivCharts,D70,0),IF((A76="Sc"),VLOOKUP("ScLord",DivCharts,D70,0),VLOOKUP(A76,RsInfo,9,0))),DivCharts,D70,0),RsTbl,0)*B76)-(B76*MATCH(A76,RsTbl,0))+12,12)</f>
        <v>0</v>
      </c>
      <c r="E76" s="206" t="n">
        <f aca="false">IF(ISNA(MATCH((D76+C76),,0)),(D76+C76),12)</f>
        <v>12</v>
      </c>
      <c r="F76" s="1005" t="n">
        <f aca="false">G74</f>
        <v>30516.4426157407</v>
      </c>
      <c r="G76" s="1005" t="n">
        <f aca="false">F76+E76*NDDaysInYEar</f>
        <v>34899.5010879629</v>
      </c>
      <c r="H76" s="992" t="str">
        <f aca="false">A76</f>
        <v>Cn</v>
      </c>
      <c r="I76" s="206" t="str">
        <f aca="false">INDEX(SignSym,MOD(B76+MATCH(H76,SignSym,0)-1,12)+1)</f>
        <v>Ge</v>
      </c>
      <c r="J76" s="206" t="str">
        <f aca="false">INDEX(SignSym,MOD(B76+MATCH(I76,SignSym,0)-1,12)+1)</f>
        <v>Ta</v>
      </c>
      <c r="K76" s="206" t="str">
        <f aca="false">INDEX(SignSym,MOD(B76+MATCH(J76,SignSym,0)-1,12)+1)</f>
        <v>Ar</v>
      </c>
      <c r="L76" s="206" t="str">
        <f aca="false">INDEX(SignSym,MOD(B76+MATCH(K76,SignSym,0)-1,12)+1)</f>
        <v>Pi</v>
      </c>
      <c r="M76" s="206" t="str">
        <f aca="false">INDEX(SignSym,MOD(B76+MATCH(L76,SignSym,0)-1,12)+1)</f>
        <v>Aq</v>
      </c>
      <c r="N76" s="206" t="str">
        <f aca="false">INDEX(SignSym,MOD(B76+MATCH(M76,SignSym,0)-1,12)+1)</f>
        <v>Cp</v>
      </c>
      <c r="O76" s="206" t="str">
        <f aca="false">INDEX(SignSym,MOD(B76+MATCH(N76,SignSym,0)-1,12)+1)</f>
        <v>Sg</v>
      </c>
      <c r="P76" s="206" t="str">
        <f aca="false">INDEX(SignSym,MOD(B76+MATCH(O76,SignSym,0)-1,12)+1)</f>
        <v>Sc</v>
      </c>
      <c r="Q76" s="206" t="str">
        <f aca="false">INDEX(SignSym,MOD(B76+MATCH(P76,SignSym,0)-1,12)+1)</f>
        <v>Li</v>
      </c>
      <c r="R76" s="206" t="str">
        <f aca="false">INDEX(SignSym,MOD(B76+MATCH(Q76,SignSym,0)-1,12)+1)</f>
        <v>Vi</v>
      </c>
      <c r="S76" s="206" t="str">
        <f aca="false">INDEX(SignSym,MOD(B76+MATCH(R76,SignSym,0)-1,12)+1)</f>
        <v>Le</v>
      </c>
    </row>
    <row r="77" s="206" customFormat="true" ht="12.75" hidden="true" customHeight="true" outlineLevel="0" collapsed="false">
      <c r="C77" s="998"/>
      <c r="D77" s="998"/>
      <c r="F77" s="1005"/>
      <c r="G77" s="1005"/>
      <c r="H77" s="1005" t="n">
        <f aca="false">F76</f>
        <v>30516.4426157407</v>
      </c>
      <c r="I77" s="1005" t="n">
        <f aca="false">H77+(E76*NDDaysInYEar/12)</f>
        <v>30881.6974884259</v>
      </c>
      <c r="J77" s="1005" t="n">
        <f aca="false">I77+(E76*NDDaysInYEar/12)</f>
        <v>31246.9523611111</v>
      </c>
      <c r="K77" s="1005" t="n">
        <f aca="false">J77+(E76*NDDaysInYEar/12)</f>
        <v>31612.2072337962</v>
      </c>
      <c r="L77" s="1005" t="n">
        <f aca="false">K77+(E76*NDDaysInYEar/12)</f>
        <v>31977.4621064814</v>
      </c>
      <c r="M77" s="1005" t="n">
        <f aca="false">L77+(E76*NDDaysInYEar/12)</f>
        <v>32342.7169791666</v>
      </c>
      <c r="N77" s="1005" t="n">
        <f aca="false">M77+(E76*NDDaysInYEar/12)</f>
        <v>32707.9718518518</v>
      </c>
      <c r="O77" s="1005" t="n">
        <f aca="false">N77+(E76*NDDaysInYEar/12)</f>
        <v>33073.226724537</v>
      </c>
      <c r="P77" s="1005" t="n">
        <f aca="false">O77+(E76*NDDaysInYEar/12)</f>
        <v>33438.4815972221</v>
      </c>
      <c r="Q77" s="1005" t="n">
        <f aca="false">P77+(E76*NDDaysInYEar/12)</f>
        <v>33803.7364699073</v>
      </c>
      <c r="R77" s="1005" t="n">
        <f aca="false">Q77+(E76*NDDaysInYEar/12)</f>
        <v>34168.9913425925</v>
      </c>
      <c r="S77" s="1005" t="n">
        <f aca="false">R77+(E76*NDDaysInYEar/12)</f>
        <v>34534.2462152777</v>
      </c>
    </row>
    <row r="78" s="206" customFormat="true" ht="15" hidden="false" customHeight="false" outlineLevel="0" collapsed="false">
      <c r="A78" s="206" t="str">
        <f aca="false">VLOOKUP(C71,NDasaSeq,9,0)</f>
        <v>Sc</v>
      </c>
      <c r="B78" s="206" t="n">
        <v>-1</v>
      </c>
      <c r="C78" s="998" t="e">
        <f aca="false">IF(MATCH(VLOOKUP(IF((A78="Aq"),VLOOKUP("AqLord",DivCharts,D70,0),IF((A78="Sc"),VLOOKUP("ScLord",DivCharts,D70,0),VLOOKUP(A78,RsInfo,9,0))),DivCharts,D70,0),RsTbl,0)=MATCH(VLOOKUP(IF((A78="Aq"),VLOOKUP("AqLord",DivCharts,D70,0),IF((A78="Sc"),VLOOKUP("ScLord",DivCharts,D70,0),VLOOKUP(A78,RsInfo,9,0))),PlanetData,8,0),RsTbl,0),1,IF(MATCH(VLOOKUP(IF((A78="Aq"),VLOOKUP("AqLord",DivCharts,D70,0),IF((A78="Sc"),VLOOKUP("ScLord",DivCharts,D70,0),VLOOKUP(A78,RsInfo,9,0))),DivCharts,D70,0),RsTbl,0)=MOD(MATCH(VLOOKUP(IF((A78="Aq"),VLOOKUP("AqLord",DivCharts,D70,0),IF((A78="Sc"),VLOOKUP("ScLord",DivCharts,D70,0),VLOOKUP(A78,RsInfo,9,0))),PlanetData,8,0),RsTbl,0)+6,12),-1,0))</f>
        <v>#N/A</v>
      </c>
      <c r="D78" s="998" t="n">
        <f aca="false">MOD((MATCH(VLOOKUP(IF((A78="Aq"),VLOOKUP("AqLord",DivCharts,D70,0),IF((A78="Sc"),VLOOKUP("ScLord",DivCharts,D70,0),VLOOKUP(A78,RsInfo,9,0))),DivCharts,D70,0),RsTbl,0)*B78)-(B78*MATCH(A78,RsTbl,0))+12,12)</f>
        <v>2</v>
      </c>
      <c r="E78" s="206" t="n">
        <f aca="false">IF(ISNA(MATCH((D78+C78),,0)),(D78+C78),12)</f>
        <v>12</v>
      </c>
      <c r="F78" s="1005" t="n">
        <f aca="false">G76</f>
        <v>34899.5010879629</v>
      </c>
      <c r="G78" s="1005" t="n">
        <f aca="false">F78+E78*NDDaysInYEar</f>
        <v>39282.5595601851</v>
      </c>
      <c r="H78" s="992" t="s">
        <v>711</v>
      </c>
      <c r="I78" s="206" t="str">
        <f aca="false">INDEX(SignSym,MOD(B78+MATCH(H78,SignSym,0)-1,12)+1)</f>
        <v>Le</v>
      </c>
      <c r="J78" s="206" t="str">
        <f aca="false">INDEX(SignSym,MOD(B78+MATCH(I78,SignSym,0)-1,12)+1)</f>
        <v>Cn</v>
      </c>
      <c r="K78" s="206" t="str">
        <f aca="false">INDEX(SignSym,MOD(B78+MATCH(J78,SignSym,0)-1,12)+1)</f>
        <v>Ge</v>
      </c>
      <c r="L78" s="206" t="str">
        <f aca="false">INDEX(SignSym,MOD(B78+MATCH(K78,SignSym,0)-1,12)+1)</f>
        <v>Ta</v>
      </c>
      <c r="M78" s="206" t="str">
        <f aca="false">INDEX(SignSym,MOD(B78+MATCH(L78,SignSym,0)-1,12)+1)</f>
        <v>Ar</v>
      </c>
      <c r="N78" s="206" t="str">
        <f aca="false">INDEX(SignSym,MOD(B78+MATCH(M78,SignSym,0)-1,12)+1)</f>
        <v>Pi</v>
      </c>
      <c r="O78" s="206" t="str">
        <f aca="false">INDEX(SignSym,MOD(B78+MATCH(N78,SignSym,0)-1,12)+1)</f>
        <v>Aq</v>
      </c>
      <c r="P78" s="206" t="str">
        <f aca="false">INDEX(SignSym,MOD(B78+MATCH(O78,SignSym,0)-1,12)+1)</f>
        <v>Cp</v>
      </c>
      <c r="Q78" s="206" t="str">
        <f aca="false">INDEX(SignSym,MOD(B78+MATCH(P78,SignSym,0)-1,12)+1)</f>
        <v>Sg</v>
      </c>
      <c r="R78" s="206" t="str">
        <f aca="false">INDEX(SignSym,MOD(B78+MATCH(Q78,SignSym,0)-1,12)+1)</f>
        <v>Sc</v>
      </c>
      <c r="S78" s="206" t="str">
        <f aca="false">INDEX(SignSym,MOD(B78+MATCH(R78,SignSym,0)-1,12)+1)</f>
        <v>Li</v>
      </c>
    </row>
    <row r="79" s="206" customFormat="true" ht="12.75" hidden="true" customHeight="true" outlineLevel="0" collapsed="false">
      <c r="C79" s="998"/>
      <c r="D79" s="998"/>
      <c r="F79" s="1005"/>
      <c r="G79" s="1005"/>
      <c r="H79" s="1005" t="n">
        <f aca="false">F78</f>
        <v>34899.5010879629</v>
      </c>
      <c r="I79" s="1005" t="n">
        <f aca="false">H79+(E78*NDDaysInYEar/12)</f>
        <v>35264.7559606481</v>
      </c>
      <c r="J79" s="1005" t="n">
        <f aca="false">I79+(E78*NDDaysInYEar/12)</f>
        <v>35630.0108333332</v>
      </c>
      <c r="K79" s="1005" t="n">
        <f aca="false">J79+(E78*NDDaysInYEar/12)</f>
        <v>35995.2657060184</v>
      </c>
      <c r="L79" s="1005" t="n">
        <f aca="false">K79+(E78*NDDaysInYEar/12)</f>
        <v>36360.5205787036</v>
      </c>
      <c r="M79" s="1005" t="n">
        <f aca="false">L79+(E78*NDDaysInYEar/12)</f>
        <v>36725.7754513888</v>
      </c>
      <c r="N79" s="1005" t="n">
        <f aca="false">M79+(E78*NDDaysInYEar/12)</f>
        <v>37091.030324074</v>
      </c>
      <c r="O79" s="1005" t="n">
        <f aca="false">N79+(E78*NDDaysInYEar/12)</f>
        <v>37456.2851967591</v>
      </c>
      <c r="P79" s="1005" t="n">
        <f aca="false">O79+(E78*NDDaysInYEar/12)</f>
        <v>37821.5400694443</v>
      </c>
      <c r="Q79" s="1005" t="n">
        <f aca="false">P79+(E78*NDDaysInYEar/12)</f>
        <v>38186.7949421295</v>
      </c>
      <c r="R79" s="1005" t="n">
        <f aca="false">Q79+(E78*NDDaysInYEar/12)</f>
        <v>38552.0498148147</v>
      </c>
      <c r="S79" s="1005" t="n">
        <f aca="false">R79+(E78*NDDaysInYEar/12)</f>
        <v>38917.3046874999</v>
      </c>
    </row>
    <row r="80" s="206" customFormat="true" ht="15" hidden="false" customHeight="false" outlineLevel="0" collapsed="false">
      <c r="A80" s="206" t="str">
        <f aca="false">VLOOKUP(C71,NDasaSeq,10,0)</f>
        <v>Sg</v>
      </c>
      <c r="B80" s="206" t="n">
        <v>-1</v>
      </c>
      <c r="C80" s="998" t="e">
        <f aca="false">IF(MATCH(VLOOKUP(IF((A80="Aq"),VLOOKUP("AqLord",DivCharts,D70,0),IF((A80="Sc"),VLOOKUP("ScLord",DivCharts,D70,0),VLOOKUP(A80,RsInfo,9,0))),DivCharts,D70,0),RsTbl,0)=MATCH(VLOOKUP(IF((A80="Aq"),VLOOKUP("AqLord",DivCharts,D70,0),IF((A80="Sc"),VLOOKUP("ScLord",DivCharts,D70,0),VLOOKUP(A80,RsInfo,9,0))),PlanetData,8,0),RsTbl,0),1,IF(MATCH(VLOOKUP(IF((A80="Aq"),VLOOKUP("AqLord",DivCharts,D70,0),IF((A80="Sc"),VLOOKUP("ScLord",DivCharts,D70,0),VLOOKUP(A80,RsInfo,9,0))),DivCharts,D70,0),RsTbl,0)=MOD(MATCH(VLOOKUP(IF((A80="Aq"),VLOOKUP("AqLord",DivCharts,D70,0),IF((A80="Sc"),VLOOKUP("ScLord",DivCharts,D70,0),VLOOKUP(A80,RsInfo,9,0))),PlanetData,8,0),RsTbl,0)+6,12),-1,0))</f>
        <v>#N/A</v>
      </c>
      <c r="D80" s="998" t="n">
        <f aca="false">MOD((MATCH(VLOOKUP(IF((A80="Aq"),VLOOKUP("AqLord",DivCharts,D70,0),IF((A80="Sc"),VLOOKUP("ScLord",DivCharts,D70,0),VLOOKUP(A80,RsInfo,9,0))),DivCharts,D70,0),RsTbl,0)*B80)-(B80*MATCH(A80,RsTbl,0))+12,12)</f>
        <v>5</v>
      </c>
      <c r="E80" s="206" t="n">
        <f aca="false">IF(ISNA(MATCH((D80+C80),,0)),(D80+C80),12)</f>
        <v>12</v>
      </c>
      <c r="F80" s="1005" t="n">
        <f aca="false">G78</f>
        <v>39282.5595601851</v>
      </c>
      <c r="G80" s="1005" t="n">
        <f aca="false">F80+E80*NDDaysInYEar</f>
        <v>43665.6180324072</v>
      </c>
      <c r="H80" s="992" t="s">
        <v>703</v>
      </c>
      <c r="I80" s="206" t="str">
        <f aca="false">INDEX(SignSym,MOD(B80+MATCH(H80,SignSym,0)-1,12)+1)</f>
        <v>Ge</v>
      </c>
      <c r="J80" s="206" t="str">
        <f aca="false">INDEX(SignSym,MOD(B80+MATCH(I80,SignSym,0)-1,12)+1)</f>
        <v>Ta</v>
      </c>
      <c r="K80" s="206" t="str">
        <f aca="false">INDEX(SignSym,MOD(B80+MATCH(J80,SignSym,0)-1,12)+1)</f>
        <v>Ar</v>
      </c>
      <c r="L80" s="206" t="str">
        <f aca="false">INDEX(SignSym,MOD(B80+MATCH(K80,SignSym,0)-1,12)+1)</f>
        <v>Pi</v>
      </c>
      <c r="M80" s="206" t="str">
        <f aca="false">INDEX(SignSym,MOD(B80+MATCH(L80,SignSym,0)-1,12)+1)</f>
        <v>Aq</v>
      </c>
      <c r="N80" s="206" t="str">
        <f aca="false">INDEX(SignSym,MOD(B80+MATCH(M80,SignSym,0)-1,12)+1)</f>
        <v>Cp</v>
      </c>
      <c r="O80" s="206" t="str">
        <f aca="false">INDEX(SignSym,MOD(B80+MATCH(N80,SignSym,0)-1,12)+1)</f>
        <v>Sg</v>
      </c>
      <c r="P80" s="206" t="str">
        <f aca="false">INDEX(SignSym,MOD(B80+MATCH(O80,SignSym,0)-1,12)+1)</f>
        <v>Sc</v>
      </c>
      <c r="Q80" s="206" t="str">
        <f aca="false">INDEX(SignSym,MOD(B80+MATCH(P80,SignSym,0)-1,12)+1)</f>
        <v>Li</v>
      </c>
      <c r="R80" s="206" t="str">
        <f aca="false">INDEX(SignSym,MOD(B80+MATCH(Q80,SignSym,0)-1,12)+1)</f>
        <v>Vi</v>
      </c>
      <c r="S80" s="206" t="str">
        <f aca="false">INDEX(SignSym,MOD(B80+MATCH(R80,SignSym,0)-1,12)+1)</f>
        <v>Le</v>
      </c>
    </row>
    <row r="81" s="206" customFormat="true" ht="12.75" hidden="true" customHeight="true" outlineLevel="0" collapsed="false">
      <c r="C81" s="998"/>
      <c r="D81" s="998"/>
      <c r="F81" s="1005"/>
      <c r="G81" s="1005"/>
      <c r="H81" s="1005" t="n">
        <f aca="false">F80</f>
        <v>39282.5595601851</v>
      </c>
      <c r="I81" s="1005" t="n">
        <f aca="false">H81+(E80*NDDaysInYEar/12)</f>
        <v>39647.8144328702</v>
      </c>
      <c r="J81" s="1005" t="n">
        <f aca="false">I81+(E80*NDDaysInYEar/12)</f>
        <v>40013.0693055554</v>
      </c>
      <c r="K81" s="1005" t="n">
        <f aca="false">J81+(E80*NDDaysInYEar/12)</f>
        <v>40378.3241782406</v>
      </c>
      <c r="L81" s="1005" t="n">
        <f aca="false">K81+(E80*NDDaysInYEar/12)</f>
        <v>40743.5790509258</v>
      </c>
      <c r="M81" s="1005" t="n">
        <f aca="false">L81+(E80*NDDaysInYEar/12)</f>
        <v>41108.833923611</v>
      </c>
      <c r="N81" s="1005" t="n">
        <f aca="false">M81+(E80*NDDaysInYEar/12)</f>
        <v>41474.0887962961</v>
      </c>
      <c r="O81" s="1005" t="n">
        <f aca="false">N81+(E80*NDDaysInYEar/12)</f>
        <v>41839.3436689813</v>
      </c>
      <c r="P81" s="1005" t="n">
        <f aca="false">O81+(E80*NDDaysInYEar/12)</f>
        <v>42204.5985416665</v>
      </c>
      <c r="Q81" s="1005" t="n">
        <f aca="false">P81+(E80*NDDaysInYEar/12)</f>
        <v>42569.8534143517</v>
      </c>
      <c r="R81" s="1005" t="n">
        <f aca="false">Q81+(E80*NDDaysInYEar/12)</f>
        <v>42935.1082870369</v>
      </c>
      <c r="S81" s="1005" t="n">
        <f aca="false">R81+(E80*NDDaysInYEar/12)</f>
        <v>43300.3631597221</v>
      </c>
    </row>
    <row r="82" s="206" customFormat="true" ht="15" hidden="false" customHeight="false" outlineLevel="0" collapsed="false">
      <c r="A82" s="206" t="str">
        <f aca="false">VLOOKUP(C71,NDasaSeq,11,0)</f>
        <v>Ar</v>
      </c>
      <c r="B82" s="206" t="n">
        <f aca="false">VLOOKUP(A82,NDasaC,3,0)</f>
        <v>1</v>
      </c>
      <c r="C82" s="998" t="e">
        <f aca="false">IF(MATCH(VLOOKUP(IF((A82="Aq"),VLOOKUP("AqLord",DivCharts,D70,0),IF((A82="Sc"),VLOOKUP("ScLord",DivCharts,D70,0),VLOOKUP(A82,RsInfo,9,0))),DivCharts,D70,0),RsTbl,0)=MATCH(VLOOKUP(IF((A82="Aq"),VLOOKUP("AqLord",DivCharts,D70,0),IF((A82="Sc"),VLOOKUP("ScLord",DivCharts,D70,0),VLOOKUP(A82,RsInfo,9,0))),PlanetData,8,0),RsTbl,0),1,IF(MATCH(VLOOKUP(IF((A82="Aq"),VLOOKUP("AqLord",DivCharts,D70,0),IF((A82="Sc"),VLOOKUP("ScLord",DivCharts,D70,0),VLOOKUP(A82,RsInfo,9,0))),DivCharts,D70,0),RsTbl,0)=MOD(MATCH(VLOOKUP(IF((A82="Aq"),VLOOKUP("AqLord",DivCharts,D70,0),IF((A82="Sc"),VLOOKUP("ScLord",DivCharts,D70,0),VLOOKUP(A82,RsInfo,9,0))),PlanetData,8,0),RsTbl,0)+6,12),-1,0))</f>
        <v>#N/A</v>
      </c>
      <c r="D82" s="998" t="n">
        <f aca="false">MOD((MATCH(VLOOKUP(IF((A82="Aq"),VLOOKUP("AqLord",DivCharts,D70,0),IF((A82="Sc"),VLOOKUP("ScLord",DivCharts,D70,0),VLOOKUP(A82,RsInfo,9,0))),DivCharts,D70,0),RsTbl,0)*B82)-(B82*MATCH(A82,RsTbl,0))+12,12)</f>
        <v>5</v>
      </c>
      <c r="E82" s="206" t="n">
        <f aca="false">IF(ISNA(MATCH((D82+C82),,0)),(D82+C82),12)</f>
        <v>12</v>
      </c>
      <c r="F82" s="1005" t="n">
        <f aca="false">G80</f>
        <v>43665.6180324072</v>
      </c>
      <c r="G82" s="1005" t="n">
        <f aca="false">F82+E82*NDDaysInYEar</f>
        <v>48048.6765046294</v>
      </c>
      <c r="H82" s="992" t="s">
        <v>711</v>
      </c>
      <c r="I82" s="206" t="str">
        <f aca="false">INDEX(SignSym,MOD(B82+MATCH(H82,SignSym,0)-1,12)+1)</f>
        <v>Li</v>
      </c>
      <c r="J82" s="206" t="str">
        <f aca="false">INDEX(SignSym,MOD(B82+MATCH(I82,SignSym,0)-1,12)+1)</f>
        <v>Sc</v>
      </c>
      <c r="K82" s="206" t="str">
        <f aca="false">INDEX(SignSym,MOD(B82+MATCH(J82,SignSym,0)-1,12)+1)</f>
        <v>Sg</v>
      </c>
      <c r="L82" s="206" t="str">
        <f aca="false">INDEX(SignSym,MOD(B82+MATCH(K82,SignSym,0)-1,12)+1)</f>
        <v>Cp</v>
      </c>
      <c r="M82" s="206" t="str">
        <f aca="false">INDEX(SignSym,MOD(B82+MATCH(L82,SignSym,0)-1,12)+1)</f>
        <v>Aq</v>
      </c>
      <c r="N82" s="206" t="str">
        <f aca="false">INDEX(SignSym,MOD(B82+MATCH(M82,SignSym,0)-1,12)+1)</f>
        <v>Pi</v>
      </c>
      <c r="O82" s="206" t="str">
        <f aca="false">INDEX(SignSym,MOD(B82+MATCH(N82,SignSym,0)-1,12)+1)</f>
        <v>Ar</v>
      </c>
      <c r="P82" s="206" t="str">
        <f aca="false">INDEX(SignSym,MOD(B82+MATCH(O82,SignSym,0)-1,12)+1)</f>
        <v>Ta</v>
      </c>
      <c r="Q82" s="206" t="str">
        <f aca="false">INDEX(SignSym,MOD(B82+MATCH(P82,SignSym,0)-1,12)+1)</f>
        <v>Ge</v>
      </c>
      <c r="R82" s="206" t="str">
        <f aca="false">INDEX(SignSym,MOD(B82+MATCH(Q82,SignSym,0)-1,12)+1)</f>
        <v>Cn</v>
      </c>
      <c r="S82" s="206" t="str">
        <f aca="false">INDEX(SignSym,MOD(B82+MATCH(R82,SignSym,0)-1,12)+1)</f>
        <v>Le</v>
      </c>
    </row>
    <row r="83" s="206" customFormat="true" ht="15" hidden="true" customHeight="false" outlineLevel="0" collapsed="false">
      <c r="C83" s="998"/>
      <c r="D83" s="998"/>
      <c r="F83" s="1005"/>
      <c r="G83" s="1005"/>
      <c r="H83" s="1005" t="n">
        <f aca="false">F82</f>
        <v>43665.6180324072</v>
      </c>
      <c r="I83" s="1005" t="n">
        <f aca="false">H83+(E82*NDDaysInYEar/12)</f>
        <v>44030.8729050924</v>
      </c>
      <c r="J83" s="1008" t="n">
        <f aca="false">I83+(E82*NDDaysInYEar/12)</f>
        <v>44396.1277777776</v>
      </c>
      <c r="K83" s="1005" t="n">
        <f aca="false">J83+(E82*NDDaysInYEar/12)</f>
        <v>44761.3826504628</v>
      </c>
      <c r="L83" s="1005" t="n">
        <f aca="false">K83+(E82*NDDaysInYEar/12)</f>
        <v>45126.637523148</v>
      </c>
      <c r="M83" s="1005" t="n">
        <f aca="false">L83+(E82*NDDaysInYEar/12)</f>
        <v>45491.8923958331</v>
      </c>
      <c r="N83" s="1005" t="n">
        <f aca="false">M83+(E82*NDDaysInYEar/12)</f>
        <v>45857.1472685183</v>
      </c>
      <c r="O83" s="1005" t="n">
        <f aca="false">N83+(E82*NDDaysInYEar/12)</f>
        <v>46222.4021412035</v>
      </c>
      <c r="P83" s="1005" t="n">
        <f aca="false">O83+(E82*NDDaysInYEar/12)</f>
        <v>46587.6570138887</v>
      </c>
      <c r="Q83" s="1005" t="n">
        <f aca="false">P83+(E82*NDDaysInYEar/12)</f>
        <v>46952.9118865739</v>
      </c>
      <c r="R83" s="1005" t="n">
        <f aca="false">Q83+(E82*NDDaysInYEar/12)</f>
        <v>47318.1667592591</v>
      </c>
      <c r="S83" s="1005" t="n">
        <f aca="false">R83+(E82*NDDaysInYEar/12)</f>
        <v>47683.4216319442</v>
      </c>
    </row>
    <row r="84" s="206" customFormat="true" ht="15" hidden="false" customHeight="false" outlineLevel="0" collapsed="false">
      <c r="A84" s="206" t="str">
        <f aca="false">VLOOKUP(C71,NDasaSeq,12,0)</f>
        <v>Le</v>
      </c>
      <c r="B84" s="206" t="n">
        <f aca="false">VLOOKUP(A84,NDasaC,3,0)</f>
        <v>-1</v>
      </c>
      <c r="C84" s="998" t="e">
        <f aca="false">IF(MATCH(VLOOKUP(IF((A84="Aq"),VLOOKUP("AqLord",DivCharts,D70,0),IF((A84="Sc"),VLOOKUP("ScLord",DivCharts,D70,0),VLOOKUP(A84,RsInfo,9,0))),DivCharts,D70,0),RsTbl,0)=MATCH(VLOOKUP(IF((A84="Aq"),VLOOKUP("AqLord",DivCharts,D70,0),IF((A84="Sc"),VLOOKUP("ScLord",DivCharts,D70,0),VLOOKUP(A84,RsInfo,9,0))),PlanetData,8,0),RsTbl,0),1,IF(MATCH(VLOOKUP(IF((A84="Aq"),VLOOKUP("AqLord",DivCharts,D70,0),IF((A84="Sc"),VLOOKUP("ScLord",DivCharts,D70,0),VLOOKUP(A84,RsInfo,9,0))),DivCharts,D70,0),RsTbl,0)=MOD(MATCH(VLOOKUP(IF((A84="Aq"),VLOOKUP("AqLord",DivCharts,D70,0),IF((A84="Sc"),VLOOKUP("ScLord",DivCharts,D70,0),VLOOKUP(A84,RsInfo,9,0))),PlanetData,8,0),RsTbl,0)+6,12),-1,0))</f>
        <v>#N/A</v>
      </c>
      <c r="D84" s="998" t="n">
        <f aca="false">MOD((MATCH(VLOOKUP(IF((A84="Aq"),VLOOKUP("AqLord",DivCharts,D70,0),IF((A84="Sc"),VLOOKUP("ScLord",DivCharts,D70,0),VLOOKUP(A84,RsInfo,9,0))),DivCharts,D70,0),RsTbl,0)*B84)-(B84*MATCH(A84,RsTbl,0))+12,12)</f>
        <v>1</v>
      </c>
      <c r="E84" s="206" t="n">
        <f aca="false">IF(ISNA(MATCH((D84+C84),,0)),(D84+C84),12)</f>
        <v>12</v>
      </c>
      <c r="F84" s="1005" t="n">
        <f aca="false">G82</f>
        <v>48048.6765046294</v>
      </c>
      <c r="G84" s="1005" t="n">
        <f aca="false">F84+E84*NDDaysInYEar</f>
        <v>52431.7349768516</v>
      </c>
      <c r="H84" s="992" t="s">
        <v>711</v>
      </c>
      <c r="I84" s="206" t="str">
        <f aca="false">INDEX(SignSym,MOD(B84+MATCH(H84,SignSym,0)-1,12)+1)</f>
        <v>Le</v>
      </c>
      <c r="J84" s="206" t="str">
        <f aca="false">INDEX(SignSym,MOD(B84+MATCH(I84,SignSym,0)-1,12)+1)</f>
        <v>Cn</v>
      </c>
      <c r="K84" s="206" t="str">
        <f aca="false">INDEX(SignSym,MOD(B84+MATCH(J84,SignSym,0)-1,12)+1)</f>
        <v>Ge</v>
      </c>
      <c r="L84" s="206" t="str">
        <f aca="false">INDEX(SignSym,MOD(B84+MATCH(K84,SignSym,0)-1,12)+1)</f>
        <v>Ta</v>
      </c>
      <c r="M84" s="206" t="str">
        <f aca="false">INDEX(SignSym,MOD(B84+MATCH(L84,SignSym,0)-1,12)+1)</f>
        <v>Ar</v>
      </c>
      <c r="N84" s="206" t="str">
        <f aca="false">INDEX(SignSym,MOD(B84+MATCH(M84,SignSym,0)-1,12)+1)</f>
        <v>Pi</v>
      </c>
      <c r="O84" s="206" t="str">
        <f aca="false">INDEX(SignSym,MOD(B84+MATCH(N84,SignSym,0)-1,12)+1)</f>
        <v>Aq</v>
      </c>
      <c r="P84" s="206" t="str">
        <f aca="false">INDEX(SignSym,MOD(B84+MATCH(O84,SignSym,0)-1,12)+1)</f>
        <v>Cp</v>
      </c>
      <c r="Q84" s="206" t="str">
        <f aca="false">INDEX(SignSym,MOD(B84+MATCH(P84,SignSym,0)-1,12)+1)</f>
        <v>Sg</v>
      </c>
      <c r="R84" s="206" t="str">
        <f aca="false">INDEX(SignSym,MOD(B84+MATCH(Q84,SignSym,0)-1,12)+1)</f>
        <v>Sc</v>
      </c>
      <c r="S84" s="206" t="str">
        <f aca="false">INDEX(SignSym,MOD(B84+MATCH(R84,SignSym,0)-1,12)+1)</f>
        <v>Li</v>
      </c>
    </row>
    <row r="85" s="206" customFormat="true" ht="15" hidden="true" customHeight="false" outlineLevel="0" collapsed="false">
      <c r="C85" s="998"/>
      <c r="D85" s="998"/>
      <c r="F85" s="1005"/>
      <c r="G85" s="1005"/>
      <c r="H85" s="1005" t="n">
        <f aca="false">F84</f>
        <v>48048.6765046294</v>
      </c>
      <c r="I85" s="1005" t="n">
        <f aca="false">H85+(E84*NDDaysInYEar/12)</f>
        <v>48413.9313773146</v>
      </c>
      <c r="J85" s="1005" t="n">
        <f aca="false">I85+(E84*NDDaysInYEar/12)</f>
        <v>48779.1862499998</v>
      </c>
      <c r="K85" s="1005" t="n">
        <f aca="false">J85+(E84*NDDaysInYEar/12)</f>
        <v>49144.441122685</v>
      </c>
      <c r="L85" s="1005" t="n">
        <f aca="false">K85+(E84*NDDaysInYEar/12)</f>
        <v>49509.6959953701</v>
      </c>
      <c r="M85" s="1005" t="n">
        <f aca="false">L85+(E84*NDDaysInYEar/12)</f>
        <v>49874.9508680553</v>
      </c>
      <c r="N85" s="1005" t="n">
        <f aca="false">M85+(E84*NDDaysInYEar/12)</f>
        <v>50240.2057407405</v>
      </c>
      <c r="O85" s="1005" t="n">
        <f aca="false">N85+(E84*NDDaysInYEar/12)</f>
        <v>50605.4606134257</v>
      </c>
      <c r="P85" s="1005" t="n">
        <f aca="false">O85+(E84*NDDaysInYEar/12)</f>
        <v>50970.7154861109</v>
      </c>
      <c r="Q85" s="1005" t="n">
        <f aca="false">P85+(E84*NDDaysInYEar/12)</f>
        <v>51335.9703587961</v>
      </c>
      <c r="R85" s="1005" t="n">
        <f aca="false">Q85+(E84*NDDaysInYEar/12)</f>
        <v>51701.2252314812</v>
      </c>
      <c r="S85" s="1005" t="n">
        <f aca="false">R85+(E84*NDDaysInYEar/12)</f>
        <v>52066.4801041664</v>
      </c>
    </row>
    <row r="86" s="206" customFormat="true" ht="15" hidden="false" customHeight="false" outlineLevel="0" collapsed="false">
      <c r="A86" s="206" t="str">
        <f aca="false">VLOOKUP(C71,NDasaSeq,13,0)</f>
        <v>Vi</v>
      </c>
      <c r="B86" s="206" t="n">
        <f aca="false">VLOOKUP(A86,NDasaC,3,0)</f>
        <v>-1</v>
      </c>
      <c r="C86" s="998" t="e">
        <f aca="false">IF(MATCH(VLOOKUP(IF((A86="Aq"),VLOOKUP("AqLord",DivCharts,D70,0),IF((A86="Sc"),VLOOKUP("ScLord",DivCharts,D70,0),VLOOKUP(A86,RsInfo,9,0))),DivCharts,D70,0),RsTbl,0)=MATCH(VLOOKUP(IF((A86="Aq"),VLOOKUP("AqLord",DivCharts,D70,0),IF((A86="Sc"),VLOOKUP("ScLord",DivCharts,D70,0),VLOOKUP(A86,RsInfo,9,0))),PlanetData,8,0),RsTbl,0),1,IF(MATCH(VLOOKUP(IF((A86="Aq"),VLOOKUP("AqLord",DivCharts,D70,0),IF((A86="Sc"),VLOOKUP("ScLord",DivCharts,D70,0),VLOOKUP(A86,RsInfo,9,0))),DivCharts,D70,0),RsTbl,0)=MOD(MATCH(VLOOKUP(IF((A86="Aq"),VLOOKUP("AqLord",DivCharts,D70,0),IF((A86="Sc"),VLOOKUP("ScLord",DivCharts,D70,0),VLOOKUP(A86,RsInfo,9,0))),PlanetData,8,0),RsTbl,0)+6,12),-1,0))</f>
        <v>#N/A</v>
      </c>
      <c r="D86" s="998" t="n">
        <f aca="false">MOD((MATCH(VLOOKUP(IF((A86="Aq"),VLOOKUP("AqLord",DivCharts,D70,0),IF((A86="Sc"),VLOOKUP("ScLord",DivCharts,D70,0),VLOOKUP(A86,RsInfo,9,0))),DivCharts,D70,0),RsTbl,0)*B86)-(B86*MATCH(A86,RsTbl,0))+12,12)</f>
        <v>6</v>
      </c>
      <c r="E86" s="206" t="n">
        <f aca="false">IF(ISNA(MATCH((D86+C86),,0)),(D86+C86),12)</f>
        <v>12</v>
      </c>
      <c r="F86" s="1005" t="n">
        <f aca="false">G84</f>
        <v>52431.7349768516</v>
      </c>
      <c r="G86" s="1005" t="n">
        <f aca="false">F86+E86*NDDaysInYEar</f>
        <v>56814.7934490738</v>
      </c>
      <c r="H86" s="992" t="s">
        <v>699</v>
      </c>
      <c r="I86" s="206" t="str">
        <f aca="false">INDEX(SignSym,MOD(B86+MATCH(H86,SignSym,0)-1,12)+1)</f>
        <v>Cp</v>
      </c>
      <c r="J86" s="206" t="str">
        <f aca="false">INDEX(SignSym,MOD(B86+MATCH(I86,SignSym,0)-1,12)+1)</f>
        <v>Sg</v>
      </c>
      <c r="K86" s="206" t="str">
        <f aca="false">INDEX(SignSym,MOD(B86+MATCH(J86,SignSym,0)-1,12)+1)</f>
        <v>Sc</v>
      </c>
      <c r="L86" s="206" t="str">
        <f aca="false">INDEX(SignSym,MOD(B86+MATCH(K86,SignSym,0)-1,12)+1)</f>
        <v>Li</v>
      </c>
      <c r="M86" s="206" t="str">
        <f aca="false">INDEX(SignSym,MOD(B86+MATCH(L86,SignSym,0)-1,12)+1)</f>
        <v>Vi</v>
      </c>
      <c r="N86" s="206" t="str">
        <f aca="false">INDEX(SignSym,MOD(B86+MATCH(M86,SignSym,0)-1,12)+1)</f>
        <v>Le</v>
      </c>
      <c r="O86" s="206" t="str">
        <f aca="false">INDEX(SignSym,MOD(B86+MATCH(N86,SignSym,0)-1,12)+1)</f>
        <v>Cn</v>
      </c>
      <c r="P86" s="206" t="str">
        <f aca="false">INDEX(SignSym,MOD(B86+MATCH(O86,SignSym,0)-1,12)+1)</f>
        <v>Ge</v>
      </c>
      <c r="Q86" s="206" t="str">
        <f aca="false">INDEX(SignSym,MOD(B86+MATCH(P86,SignSym,0)-1,12)+1)</f>
        <v>Ta</v>
      </c>
      <c r="R86" s="206" t="str">
        <f aca="false">INDEX(SignSym,MOD(B86+MATCH(Q86,SignSym,0)-1,12)+1)</f>
        <v>Ar</v>
      </c>
      <c r="S86" s="206" t="str">
        <f aca="false">INDEX(SignSym,MOD(B86+MATCH(R86,SignSym,0)-1,12)+1)</f>
        <v>Pi</v>
      </c>
    </row>
    <row r="87" s="206" customFormat="true" ht="15" hidden="true" customHeight="false" outlineLevel="0" collapsed="false">
      <c r="C87" s="998"/>
      <c r="D87" s="998"/>
      <c r="F87" s="1005"/>
      <c r="G87" s="1005"/>
      <c r="H87" s="1005" t="n">
        <f aca="false">F86</f>
        <v>52431.7349768516</v>
      </c>
      <c r="I87" s="1005" t="n">
        <f aca="false">H87+(E86*NDDaysInYEar/12)</f>
        <v>52796.9898495368</v>
      </c>
      <c r="J87" s="1005" t="n">
        <f aca="false">I87+(E86*NDDaysInYEar/12)</f>
        <v>53162.244722222</v>
      </c>
      <c r="K87" s="1005" t="n">
        <f aca="false">J87+(E86*NDDaysInYEar/12)</f>
        <v>53527.4995949071</v>
      </c>
      <c r="L87" s="1005" t="n">
        <f aca="false">K87+(E86*NDDaysInYEar/12)</f>
        <v>53892.7544675923</v>
      </c>
      <c r="M87" s="1005" t="n">
        <f aca="false">L87+(E86*NDDaysInYEar/12)</f>
        <v>54258.0093402775</v>
      </c>
      <c r="N87" s="1005" t="n">
        <f aca="false">M87+(E86*NDDaysInYEar/12)</f>
        <v>54623.2642129627</v>
      </c>
      <c r="O87" s="1005" t="n">
        <f aca="false">N87+(E86*NDDaysInYEar/12)</f>
        <v>54988.5190856479</v>
      </c>
      <c r="P87" s="1005" t="n">
        <f aca="false">O87+(E86*NDDaysInYEar/12)</f>
        <v>55353.7739583331</v>
      </c>
      <c r="Q87" s="1005" t="n">
        <f aca="false">P87+(E86*NDDaysInYEar/12)</f>
        <v>55719.0288310182</v>
      </c>
      <c r="R87" s="1005" t="n">
        <f aca="false">Q87+(E86*NDDaysInYEar/12)</f>
        <v>56084.2837037034</v>
      </c>
      <c r="S87" s="1005" t="n">
        <f aca="false">R87+(E86*NDDaysInYEar/12)</f>
        <v>56449.5385763886</v>
      </c>
    </row>
    <row r="88" s="206" customFormat="true" ht="15" hidden="false" customHeight="false" outlineLevel="0" collapsed="false">
      <c r="A88" s="206" t="str">
        <f aca="false">VLOOKUP(C71,NDasaSeq,14,0)</f>
        <v>Cp</v>
      </c>
      <c r="B88" s="206" t="n">
        <f aca="false">VLOOKUP(A88,NDasaC,3,0)</f>
        <v>-1</v>
      </c>
      <c r="C88" s="998" t="e">
        <f aca="false">IF(MATCH(VLOOKUP(IF((A88="Aq"),VLOOKUP("AqLord",DivCharts,D70,0),IF((A88="Sc"),VLOOKUP("ScLord",DivCharts,D70,0),VLOOKUP(A88,RsInfo,9,0))),DivCharts,D70,0),RsTbl,0)=MATCH(VLOOKUP(IF((A88="Aq"),VLOOKUP("AqLord",DivCharts,D70,0),IF((A88="Sc"),VLOOKUP("ScLord",DivCharts,D70,0),VLOOKUP(A88,RsInfo,9,0))),PlanetData,8,0),RsTbl,0),1,IF(MATCH(VLOOKUP(IF((A88="Aq"),VLOOKUP("AqLord",DivCharts,D70,0),IF((A88="Sc"),VLOOKUP("ScLord",DivCharts,D70,0),VLOOKUP(A88,RsInfo,9,0))),DivCharts,D70,0),RsTbl,0)=MOD(MATCH(VLOOKUP(IF((A88="Aq"),VLOOKUP("AqLord",DivCharts,D70,0),IF((A88="Sc"),VLOOKUP("ScLord",DivCharts,D70,0),VLOOKUP(A88,RsInfo,9,0))),PlanetData,8,0),RsTbl,0)+6,12),-1,0))</f>
        <v>#N/A</v>
      </c>
      <c r="D88" s="998" t="n">
        <f aca="false">MOD((MATCH(VLOOKUP(IF((A88="Aq"),VLOOKUP("AqLord",DivCharts,D70,0),IF((A88="Sc"),VLOOKUP("ScLord",DivCharts,D70,0),VLOOKUP(A88,RsInfo,9,0))),DivCharts,D70,0),RsTbl,0)*B88)-(B88*MATCH(A88,RsTbl,0))+12,12)</f>
        <v>10</v>
      </c>
      <c r="E88" s="206" t="n">
        <f aca="false">IF(ISNA(MATCH((D88+C88),,0)),(D88+C88),12)</f>
        <v>12</v>
      </c>
      <c r="F88" s="1005" t="n">
        <f aca="false">G86</f>
        <v>56814.7934490738</v>
      </c>
      <c r="G88" s="1005" t="n">
        <f aca="false">F88+E88*NDDaysInYEar</f>
        <v>61197.851921296</v>
      </c>
      <c r="H88" s="992" t="s">
        <v>703</v>
      </c>
      <c r="I88" s="206" t="str">
        <f aca="false">INDEX(SignSym,MOD(B88+MATCH(H88,SignSym,0)-1,12)+1)</f>
        <v>Ge</v>
      </c>
      <c r="J88" s="206" t="str">
        <f aca="false">INDEX(SignSym,MOD(B88+MATCH(I88,SignSym,0)-1,12)+1)</f>
        <v>Ta</v>
      </c>
      <c r="K88" s="206" t="str">
        <f aca="false">INDEX(SignSym,MOD(B88+MATCH(J88,SignSym,0)-1,12)+1)</f>
        <v>Ar</v>
      </c>
      <c r="L88" s="206" t="str">
        <f aca="false">INDEX(SignSym,MOD(B88+MATCH(K88,SignSym,0)-1,12)+1)</f>
        <v>Pi</v>
      </c>
      <c r="M88" s="206" t="str">
        <f aca="false">INDEX(SignSym,MOD(B88+MATCH(L88,SignSym,0)-1,12)+1)</f>
        <v>Aq</v>
      </c>
      <c r="N88" s="206" t="str">
        <f aca="false">INDEX(SignSym,MOD(B88+MATCH(M88,SignSym,0)-1,12)+1)</f>
        <v>Cp</v>
      </c>
      <c r="O88" s="206" t="str">
        <f aca="false">INDEX(SignSym,MOD(B88+MATCH(N88,SignSym,0)-1,12)+1)</f>
        <v>Sg</v>
      </c>
      <c r="P88" s="206" t="str">
        <f aca="false">INDEX(SignSym,MOD(B88+MATCH(O88,SignSym,0)-1,12)+1)</f>
        <v>Sc</v>
      </c>
      <c r="Q88" s="206" t="str">
        <f aca="false">INDEX(SignSym,MOD(B88+MATCH(P88,SignSym,0)-1,12)+1)</f>
        <v>Li</v>
      </c>
      <c r="R88" s="206" t="str">
        <f aca="false">INDEX(SignSym,MOD(B88+MATCH(Q88,SignSym,0)-1,12)+1)</f>
        <v>Vi</v>
      </c>
      <c r="S88" s="206" t="str">
        <f aca="false">INDEX(SignSym,MOD(B88+MATCH(R88,SignSym,0)-1,12)+1)</f>
        <v>Le</v>
      </c>
    </row>
    <row r="89" s="206" customFormat="true" ht="15" hidden="true" customHeight="false" outlineLevel="0" collapsed="false">
      <c r="C89" s="998"/>
      <c r="D89" s="998"/>
      <c r="F89" s="1005"/>
      <c r="G89" s="1005"/>
      <c r="H89" s="1005" t="n">
        <f aca="false">F88</f>
        <v>56814.7934490738</v>
      </c>
      <c r="I89" s="1005" t="n">
        <f aca="false">H89+(E88*NDDaysInYEar/12)</f>
        <v>57180.048321759</v>
      </c>
      <c r="J89" s="1005" t="n">
        <f aca="false">I89+(E88*NDDaysInYEar/12)</f>
        <v>57545.3031944441</v>
      </c>
      <c r="K89" s="1005" t="n">
        <f aca="false">J89+(E88*NDDaysInYEar/12)</f>
        <v>57910.5580671293</v>
      </c>
      <c r="L89" s="1005" t="n">
        <f aca="false">K89+(E88*NDDaysInYEar/12)</f>
        <v>58275.8129398145</v>
      </c>
      <c r="M89" s="1005" t="n">
        <f aca="false">L89+(E88*NDDaysInYEar/12)</f>
        <v>58641.0678124997</v>
      </c>
      <c r="N89" s="1005" t="n">
        <f aca="false">M89+(E88*NDDaysInYEar/12)</f>
        <v>59006.3226851849</v>
      </c>
      <c r="O89" s="1005" t="n">
        <f aca="false">N89+(E88*NDDaysInYEar/12)</f>
        <v>59371.5775578701</v>
      </c>
      <c r="P89" s="1005" t="n">
        <f aca="false">O89+(E88*NDDaysInYEar/12)</f>
        <v>59736.8324305552</v>
      </c>
      <c r="Q89" s="1005" t="n">
        <f aca="false">P89+(E88*NDDaysInYEar/12)</f>
        <v>60102.0873032404</v>
      </c>
      <c r="R89" s="1005" t="n">
        <f aca="false">Q89+(E88*NDDaysInYEar/12)</f>
        <v>60467.3421759256</v>
      </c>
      <c r="S89" s="1005" t="n">
        <f aca="false">R89+(E88*NDDaysInYEar/12)</f>
        <v>60832.5970486108</v>
      </c>
    </row>
    <row r="90" s="206" customFormat="true" ht="15" hidden="false" customHeight="false" outlineLevel="0" collapsed="false">
      <c r="A90" s="206" t="str">
        <f aca="false">VLOOKUP(C71,NDasaSeq,15,0)</f>
        <v>Ta</v>
      </c>
      <c r="B90" s="206" t="n">
        <f aca="false">VLOOKUP(A90,NDasaC,3,0)</f>
        <v>1</v>
      </c>
      <c r="C90" s="998" t="e">
        <f aca="false">IF(MATCH(VLOOKUP(IF((A90="Aq"),VLOOKUP("AqLord",DivCharts,D70,0),IF((A90="Sc"),VLOOKUP("ScLord",DivCharts,D70,0),VLOOKUP(A90,RsInfo,9,0))),DivCharts,D70,0),RsTbl,0)=MATCH(VLOOKUP(IF((A90="Aq"),VLOOKUP("AqLord",DivCharts,D70,0),IF((A90="Sc"),VLOOKUP("ScLord",DivCharts,D70,0),VLOOKUP(A90,RsInfo,9,0))),PlanetData,8,0),RsTbl,0),1,IF(MATCH(VLOOKUP(IF((A90="Aq"),VLOOKUP("AqLord",DivCharts,D70,0),IF((A90="Sc"),VLOOKUP("ScLord",DivCharts,D70,0),VLOOKUP(A90,RsInfo,9,0))),DivCharts,D70,0),RsTbl,0)=MOD(MATCH(VLOOKUP(IF((A90="Aq"),VLOOKUP("AqLord",DivCharts,D70,0),IF((A90="Sc"),VLOOKUP("ScLord",DivCharts,D70,0),VLOOKUP(A90,RsInfo,9,0))),PlanetData,8,0),RsTbl,0)+6,12),-1,0))</f>
        <v>#N/A</v>
      </c>
      <c r="D90" s="998" t="n">
        <f aca="false">MOD((MATCH(VLOOKUP(IF((A90="Aq"),VLOOKUP("AqLord",DivCharts,D70,0),IF((A90="Sc"),VLOOKUP("ScLord",DivCharts,D70,0),VLOOKUP(A90,RsInfo,9,0))),DivCharts,D70,0),RsTbl,0)*B90)-(B90*MATCH(A90,RsTbl,0))+12,12)</f>
        <v>11</v>
      </c>
      <c r="E90" s="206" t="n">
        <f aca="false">IF(ISNA(MATCH((D90+C90),,0)),(D90+C90),12)</f>
        <v>12</v>
      </c>
      <c r="F90" s="1005" t="n">
        <f aca="false">G88</f>
        <v>61197.851921296</v>
      </c>
      <c r="G90" s="1005" t="n">
        <f aca="false">F90+E90*NDDaysInYEar</f>
        <v>65580.9103935182</v>
      </c>
      <c r="H90" s="992" t="str">
        <f aca="false">A90</f>
        <v>Ta</v>
      </c>
      <c r="I90" s="206" t="str">
        <f aca="false">INDEX(SignSym,MOD(B90+MATCH(H90,SignSym,0)-1,12)+1)</f>
        <v>Ge</v>
      </c>
      <c r="J90" s="206" t="str">
        <f aca="false">INDEX(SignSym,MOD(B90+MATCH(I90,SignSym,0)-1,12)+1)</f>
        <v>Cn</v>
      </c>
      <c r="K90" s="206" t="str">
        <f aca="false">INDEX(SignSym,MOD(B90+MATCH(J90,SignSym,0)-1,12)+1)</f>
        <v>Le</v>
      </c>
      <c r="L90" s="206" t="str">
        <f aca="false">INDEX(SignSym,MOD(B90+MATCH(K90,SignSym,0)-1,12)+1)</f>
        <v>Vi</v>
      </c>
      <c r="M90" s="206" t="str">
        <f aca="false">INDEX(SignSym,MOD(B90+MATCH(L90,SignSym,0)-1,12)+1)</f>
        <v>Li</v>
      </c>
      <c r="N90" s="206" t="str">
        <f aca="false">INDEX(SignSym,MOD(B90+MATCH(M90,SignSym,0)-1,12)+1)</f>
        <v>Sc</v>
      </c>
      <c r="O90" s="206" t="str">
        <f aca="false">INDEX(SignSym,MOD(B90+MATCH(N90,SignSym,0)-1,12)+1)</f>
        <v>Sg</v>
      </c>
      <c r="P90" s="206" t="str">
        <f aca="false">INDEX(SignSym,MOD(B90+MATCH(O90,SignSym,0)-1,12)+1)</f>
        <v>Cp</v>
      </c>
      <c r="Q90" s="206" t="str">
        <f aca="false">INDEX(SignSym,MOD(B90+MATCH(P90,SignSym,0)-1,12)+1)</f>
        <v>Aq</v>
      </c>
      <c r="R90" s="206" t="str">
        <f aca="false">INDEX(SignSym,MOD(B90+MATCH(Q90,SignSym,0)-1,12)+1)</f>
        <v>Pi</v>
      </c>
      <c r="S90" s="206" t="str">
        <f aca="false">INDEX(SignSym,MOD(B90+MATCH(R90,SignSym,0)-1,12)+1)</f>
        <v>Ar</v>
      </c>
    </row>
    <row r="91" s="206" customFormat="true" ht="12.75" hidden="true" customHeight="true" outlineLevel="0" collapsed="false">
      <c r="C91" s="998"/>
      <c r="D91" s="998"/>
      <c r="F91" s="1005"/>
      <c r="G91" s="1005"/>
      <c r="H91" s="1005" t="n">
        <f aca="false">F90</f>
        <v>61197.851921296</v>
      </c>
      <c r="I91" s="1005" t="n">
        <f aca="false">H91+(E90*NDDaysInYEar/12)</f>
        <v>61563.1067939812</v>
      </c>
      <c r="J91" s="1005" t="n">
        <f aca="false">I91+(E90*NDDaysInYEar/12)</f>
        <v>61928.3616666663</v>
      </c>
      <c r="K91" s="1005" t="n">
        <f aca="false">J91+(E90*NDDaysInYEar/12)</f>
        <v>62293.6165393515</v>
      </c>
      <c r="L91" s="1005" t="n">
        <f aca="false">K91+(E90*NDDaysInYEar/12)</f>
        <v>62658.8714120367</v>
      </c>
      <c r="M91" s="1005" t="n">
        <f aca="false">L91+(E90*NDDaysInYEar/12)</f>
        <v>63024.1262847219</v>
      </c>
      <c r="N91" s="1005" t="n">
        <f aca="false">M91+(E90*NDDaysInYEar/12)</f>
        <v>63389.3811574071</v>
      </c>
      <c r="O91" s="1005" t="n">
        <f aca="false">N91+(E90*NDDaysInYEar/12)</f>
        <v>63754.6360300922</v>
      </c>
      <c r="P91" s="1005" t="n">
        <f aca="false">O91+(E90*NDDaysInYEar/12)</f>
        <v>64119.8909027774</v>
      </c>
      <c r="Q91" s="1005" t="n">
        <f aca="false">P91+(E90*NDDaysInYEar/12)</f>
        <v>64485.1457754626</v>
      </c>
      <c r="R91" s="1005" t="n">
        <f aca="false">Q91+(E90*NDDaysInYEar/12)</f>
        <v>64850.4006481478</v>
      </c>
      <c r="S91" s="1005" t="n">
        <f aca="false">R91+(E90*NDDaysInYEar/12)</f>
        <v>65215.655520833</v>
      </c>
    </row>
    <row r="92" s="206" customFormat="true" ht="15" hidden="false" customHeight="false" outlineLevel="0" collapsed="false">
      <c r="A92" s="206" t="str">
        <f aca="false">VLOOKUP(C71,NDasaSeq,16,0)</f>
        <v>Ge</v>
      </c>
      <c r="B92" s="206" t="n">
        <f aca="false">VLOOKUP(A92,NDasaC,3,0)</f>
        <v>1</v>
      </c>
      <c r="C92" s="998" t="e">
        <f aca="false">IF(MATCH(VLOOKUP(IF((A92="Aq"),VLOOKUP("AqLord",DivCharts,D70,0),IF((A92="Sc"),VLOOKUP("ScLord",DivCharts,D70,0),VLOOKUP(A92,RsInfo,9,0))),DivCharts,D70,0),RsTbl,0)=MATCH(VLOOKUP(IF((A92="Aq"),VLOOKUP("AqLord",DivCharts,D70,0),IF((A92="Sc"),VLOOKUP("ScLord",DivCharts,D70,0),VLOOKUP(A92,RsInfo,9,0))),PlanetData,8,0),RsTbl,0),1,IF(MATCH(VLOOKUP(IF((A92="Aq"),VLOOKUP("AqLord",DivCharts,D70,0),IF((A92="Sc"),VLOOKUP("ScLord",DivCharts,D70,0),VLOOKUP(A92,RsInfo,9,0))),DivCharts,D70,0),RsTbl,0)=MOD(MATCH(VLOOKUP(IF((A92="Aq"),VLOOKUP("AqLord",DivCharts,D70,0),IF((A92="Sc"),VLOOKUP("ScLord",DivCharts,D70,0),VLOOKUP(A92,RsInfo,9,0))),PlanetData,8,0),RsTbl,0)+6,12),-1,0))</f>
        <v>#N/A</v>
      </c>
      <c r="D92" s="998" t="n">
        <f aca="false">MOD((MATCH(VLOOKUP(IF((A92="Aq"),VLOOKUP("AqLord",DivCharts,D70,0),IF((A92="Sc"),VLOOKUP("ScLord",DivCharts,D70,0),VLOOKUP(A92,RsInfo,9,0))),DivCharts,D70,0),RsTbl,0)*B92)-(B92*MATCH(A92,RsTbl,0))+12,12)</f>
        <v>9</v>
      </c>
      <c r="E92" s="206" t="n">
        <f aca="false">IF(ISNA(MATCH((D92+C92),,0)),(D92+C92),12)</f>
        <v>12</v>
      </c>
      <c r="F92" s="1005" t="n">
        <f aca="false">G90</f>
        <v>65580.9103935182</v>
      </c>
      <c r="G92" s="1005" t="n">
        <f aca="false">F92+E92*NDDaysInYEar</f>
        <v>69963.9688657403</v>
      </c>
      <c r="H92" s="992" t="str">
        <f aca="false">A92</f>
        <v>Ge</v>
      </c>
      <c r="I92" s="206" t="str">
        <f aca="false">INDEX(SignSym,MOD(B92+MATCH(H92,SignSym,0)-1,12)+1)</f>
        <v>Cn</v>
      </c>
      <c r="J92" s="206" t="str">
        <f aca="false">INDEX(SignSym,MOD(B92+MATCH(I92,SignSym,0)-1,12)+1)</f>
        <v>Le</v>
      </c>
      <c r="K92" s="206" t="str">
        <f aca="false">INDEX(SignSym,MOD(B92+MATCH(J92,SignSym,0)-1,12)+1)</f>
        <v>Vi</v>
      </c>
      <c r="L92" s="206" t="str">
        <f aca="false">INDEX(SignSym,MOD(B92+MATCH(K92,SignSym,0)-1,12)+1)</f>
        <v>Li</v>
      </c>
      <c r="M92" s="206" t="str">
        <f aca="false">INDEX(SignSym,MOD(B92+MATCH(L92,SignSym,0)-1,12)+1)</f>
        <v>Sc</v>
      </c>
      <c r="N92" s="206" t="str">
        <f aca="false">INDEX(SignSym,MOD(B92+MATCH(M92,SignSym,0)-1,12)+1)</f>
        <v>Sg</v>
      </c>
      <c r="O92" s="206" t="str">
        <f aca="false">INDEX(SignSym,MOD(B92+MATCH(N92,SignSym,0)-1,12)+1)</f>
        <v>Cp</v>
      </c>
      <c r="P92" s="206" t="str">
        <f aca="false">INDEX(SignSym,MOD(B92+MATCH(O92,SignSym,0)-1,12)+1)</f>
        <v>Aq</v>
      </c>
      <c r="Q92" s="206" t="str">
        <f aca="false">INDEX(SignSym,MOD(B92+MATCH(P92,SignSym,0)-1,12)+1)</f>
        <v>Pi</v>
      </c>
      <c r="R92" s="206" t="str">
        <f aca="false">INDEX(SignSym,MOD(B92+MATCH(Q92,SignSym,0)-1,12)+1)</f>
        <v>Ar</v>
      </c>
      <c r="S92" s="206" t="str">
        <f aca="false">INDEX(SignSym,MOD(B92+MATCH(R92,SignSym,0)-1,12)+1)</f>
        <v>Ta</v>
      </c>
    </row>
    <row r="93" s="206" customFormat="true" ht="12.75" hidden="true" customHeight="true" outlineLevel="0" collapsed="false">
      <c r="C93" s="998"/>
      <c r="D93" s="998"/>
      <c r="F93" s="1005"/>
      <c r="G93" s="1005"/>
      <c r="H93" s="1005" t="n">
        <f aca="false">F92</f>
        <v>65580.9103935182</v>
      </c>
      <c r="I93" s="1005" t="n">
        <f aca="false">H93+(E92*NDDaysInYEar/12)</f>
        <v>65946.1652662033</v>
      </c>
      <c r="J93" s="1005" t="n">
        <f aca="false">I93+(E92*NDDaysInYEar/12)</f>
        <v>66311.4201388885</v>
      </c>
      <c r="K93" s="1005" t="n">
        <f aca="false">J93+(E92*NDDaysInYEar/12)</f>
        <v>66676.6750115737</v>
      </c>
      <c r="L93" s="1005" t="n">
        <f aca="false">K93+(E92*NDDaysInYEar/12)</f>
        <v>67041.9298842589</v>
      </c>
      <c r="M93" s="1005" t="n">
        <f aca="false">L93+(E92*NDDaysInYEar/12)</f>
        <v>67407.1847569441</v>
      </c>
      <c r="N93" s="1005" t="n">
        <f aca="false">M93+(E92*NDDaysInYEar/12)</f>
        <v>67772.4396296292</v>
      </c>
      <c r="O93" s="1005" t="n">
        <f aca="false">N93+(E92*NDDaysInYEar/12)</f>
        <v>68137.6945023144</v>
      </c>
      <c r="P93" s="1005" t="n">
        <f aca="false">O93+(E92*NDDaysInYEar/12)</f>
        <v>68502.9493749996</v>
      </c>
      <c r="Q93" s="1005" t="n">
        <f aca="false">P93+(E92*NDDaysInYEar/12)</f>
        <v>68868.2042476848</v>
      </c>
      <c r="R93" s="1005" t="n">
        <f aca="false">Q93+(E92*NDDaysInYEar/12)</f>
        <v>69233.45912037</v>
      </c>
      <c r="S93" s="1005" t="n">
        <f aca="false">R93+(E92*NDDaysInYEar/12)</f>
        <v>69598.7139930552</v>
      </c>
    </row>
    <row r="94" s="206" customFormat="true" ht="15" hidden="false" customHeight="false" outlineLevel="0" collapsed="false">
      <c r="A94" s="206" t="str">
        <f aca="false">VLOOKUP(C71,NDasaSeq,17,0)</f>
        <v>Li</v>
      </c>
      <c r="B94" s="206" t="n">
        <f aca="false">VLOOKUP(A94,NDasaC,3,0)</f>
        <v>1</v>
      </c>
      <c r="C94" s="998" t="e">
        <f aca="false">IF(MATCH(VLOOKUP(IF((A94="Aq"),VLOOKUP("AqLord",DivCharts,D70,0),IF((A94="Sc"),VLOOKUP("ScLord",DivCharts,D70,0),VLOOKUP(A94,RsInfo,9,0))),DivCharts,D70,0),RsTbl,0)=MATCH(VLOOKUP(IF((A94="Aq"),VLOOKUP("AqLord",DivCharts,D70,0),IF((A94="Sc"),VLOOKUP("ScLord",DivCharts,D70,0),VLOOKUP(A94,RsInfo,9,0))),PlanetData,8,0),RsTbl,0),1,IF(MATCH(VLOOKUP(IF((A94="Aq"),VLOOKUP("AqLord",DivCharts,D70,0),IF((A94="Sc"),VLOOKUP("ScLord",DivCharts,D70,0),VLOOKUP(A94,RsInfo,9,0))),DivCharts,D70,0),RsTbl,0)=MOD(MATCH(VLOOKUP(IF((A94="Aq"),VLOOKUP("AqLord",DivCharts,D70,0),IF((A94="Sc"),VLOOKUP("ScLord",DivCharts,D70,0),VLOOKUP(A94,RsInfo,9,0))),PlanetData,8,0),RsTbl,0)+6,12),-1,0))</f>
        <v>#N/A</v>
      </c>
      <c r="D94" s="998" t="n">
        <f aca="false">MOD((MATCH(VLOOKUP(IF((A94="Aq"),VLOOKUP("AqLord",DivCharts,D70,0),IF((A94="Sc"),VLOOKUP("ScLord",DivCharts,D70,0),VLOOKUP(A94,RsInfo,9,0))),DivCharts,D70,0),RsTbl,0)*B94)-(B94*MATCH(A94,RsTbl,0))+12,12)</f>
        <v>6</v>
      </c>
      <c r="E94" s="206" t="n">
        <f aca="false">IF(ISNA(MATCH((D94+C94),,0)),(D94+C94),12)</f>
        <v>12</v>
      </c>
      <c r="F94" s="1005" t="n">
        <f aca="false">G92</f>
        <v>69963.9688657403</v>
      </c>
      <c r="G94" s="1005" t="n">
        <f aca="false">F94+E94*NDDaysInYEar</f>
        <v>74347.0273379625</v>
      </c>
      <c r="H94" s="992" t="str">
        <f aca="false">A94</f>
        <v>Li</v>
      </c>
      <c r="I94" s="206" t="str">
        <f aca="false">INDEX(SignSym,MOD(B94+MATCH(H94,SignSym,0)-1,12)+1)</f>
        <v>Sc</v>
      </c>
      <c r="J94" s="206" t="str">
        <f aca="false">INDEX(SignSym,MOD(B94+MATCH(I94,SignSym,0)-1,12)+1)</f>
        <v>Sg</v>
      </c>
      <c r="K94" s="206" t="str">
        <f aca="false">INDEX(SignSym,MOD(B94+MATCH(J94,SignSym,0)-1,12)+1)</f>
        <v>Cp</v>
      </c>
      <c r="L94" s="206" t="str">
        <f aca="false">INDEX(SignSym,MOD(B94+MATCH(K94,SignSym,0)-1,12)+1)</f>
        <v>Aq</v>
      </c>
      <c r="M94" s="206" t="str">
        <f aca="false">INDEX(SignSym,MOD(B94+MATCH(L94,SignSym,0)-1,12)+1)</f>
        <v>Pi</v>
      </c>
      <c r="N94" s="206" t="str">
        <f aca="false">INDEX(SignSym,MOD(B94+MATCH(M94,SignSym,0)-1,12)+1)</f>
        <v>Ar</v>
      </c>
      <c r="O94" s="206" t="str">
        <f aca="false">INDEX(SignSym,MOD(B94+MATCH(N94,SignSym,0)-1,12)+1)</f>
        <v>Ta</v>
      </c>
      <c r="P94" s="206" t="str">
        <f aca="false">INDEX(SignSym,MOD(B94+MATCH(O94,SignSym,0)-1,12)+1)</f>
        <v>Ge</v>
      </c>
      <c r="Q94" s="206" t="str">
        <f aca="false">INDEX(SignSym,MOD(B94+MATCH(P94,SignSym,0)-1,12)+1)</f>
        <v>Cn</v>
      </c>
      <c r="R94" s="206" t="str">
        <f aca="false">INDEX(SignSym,MOD(B94+MATCH(Q94,SignSym,0)-1,12)+1)</f>
        <v>Le</v>
      </c>
      <c r="S94" s="206" t="str">
        <f aca="false">INDEX(SignSym,MOD(B94+MATCH(R94,SignSym,0)-1,12)+1)</f>
        <v>Vi</v>
      </c>
    </row>
    <row r="95" s="206" customFormat="true" ht="12.75" hidden="true" customHeight="true" outlineLevel="0" collapsed="false">
      <c r="C95" s="998"/>
      <c r="D95" s="998"/>
      <c r="F95" s="1005"/>
      <c r="G95" s="1005"/>
      <c r="H95" s="1005" t="n">
        <f aca="false">F94</f>
        <v>69963.9688657403</v>
      </c>
      <c r="I95" s="1005" t="n">
        <f aca="false">H95+(E94*NDDaysInYEar/12)</f>
        <v>70329.2237384255</v>
      </c>
      <c r="J95" s="1005" t="n">
        <f aca="false">I95+(E94*NDDaysInYEar/12)</f>
        <v>70694.4786111107</v>
      </c>
      <c r="K95" s="1005" t="n">
        <f aca="false">J95+(E94*NDDaysInYEar/12)</f>
        <v>71059.7334837959</v>
      </c>
      <c r="L95" s="1005" t="n">
        <f aca="false">K95+(E94*NDDaysInYEar/12)</f>
        <v>71424.9883564811</v>
      </c>
      <c r="M95" s="1005" t="n">
        <f aca="false">L95+(E94*NDDaysInYEar/12)</f>
        <v>71790.2432291662</v>
      </c>
      <c r="N95" s="1005" t="n">
        <f aca="false">M95+(E94*NDDaysInYEar/12)</f>
        <v>72155.4981018514</v>
      </c>
      <c r="O95" s="1005" t="n">
        <f aca="false">N95+(E94*NDDaysInYEar/12)</f>
        <v>72520.7529745366</v>
      </c>
      <c r="P95" s="1005" t="n">
        <f aca="false">O95+(E94*NDDaysInYEar/12)</f>
        <v>72886.0078472218</v>
      </c>
      <c r="Q95" s="1005" t="n">
        <f aca="false">P95+(E94*NDDaysInYEar/12)</f>
        <v>73251.262719907</v>
      </c>
      <c r="R95" s="1005" t="n">
        <f aca="false">Q95+(E94*NDDaysInYEar/12)</f>
        <v>73616.5175925922</v>
      </c>
      <c r="S95" s="1005" t="n">
        <f aca="false">R95+(E94*NDDaysInYEar/12)</f>
        <v>73981.7724652773</v>
      </c>
    </row>
    <row r="96" s="206" customFormat="true" ht="15" hidden="false" customHeight="false" outlineLevel="0" collapsed="false">
      <c r="A96" s="206" t="str">
        <f aca="false">VLOOKUP(C71,NDasaSeq,18,0)</f>
        <v>Aq</v>
      </c>
      <c r="B96" s="206" t="n">
        <f aca="false">VLOOKUP(A96,NDasaC,3,0)</f>
        <v>-1</v>
      </c>
      <c r="C96" s="998" t="e">
        <f aca="false">IF(MATCH(VLOOKUP(IF((A96="Aq"),VLOOKUP("AqLord",DivCharts,D70,0),IF((A96="Sc"),VLOOKUP("ScLord",DivCharts,D70,0),VLOOKUP(A96,RsInfo,9,0))),DivCharts,D70,0),RsTbl,0)=MATCH(VLOOKUP(IF((A96="Aq"),VLOOKUP("AqLord",DivCharts,D70,0),IF((A96="Sc"),VLOOKUP("ScLord",DivCharts,D70,0),VLOOKUP(A96,RsInfo,9,0))),PlanetData,8,0),RsTbl,0),1,IF(MATCH(VLOOKUP(IF((A96="Aq"),VLOOKUP("AqLord",DivCharts,D70,0),IF((A96="Sc"),VLOOKUP("ScLord",DivCharts,D70,0),VLOOKUP(A96,RsInfo,9,0))),DivCharts,D70,0),RsTbl,0)=MOD(MATCH(VLOOKUP(IF((A96="Aq"),VLOOKUP("AqLord",DivCharts,D70,0),IF((A96="Sc"),VLOOKUP("ScLord",DivCharts,D70,0),VLOOKUP(A96,RsInfo,9,0))),PlanetData,8,0),RsTbl,0)+6,12),-1,0))</f>
        <v>#N/A</v>
      </c>
      <c r="D96" s="998" t="n">
        <f aca="false">MOD((MATCH(VLOOKUP(IF((A96="Aq"),VLOOKUP("AqLord",DivCharts,D70,0),IF((A96="Sc"),VLOOKUP("ScLord",DivCharts,D70,0),VLOOKUP(A96,RsInfo,9,0))),DivCharts,D70,0),RsTbl,0)*B96)-(B96*MATCH(A96,RsTbl,0))+12,12)</f>
        <v>7</v>
      </c>
      <c r="E96" s="206" t="n">
        <f aca="false">IF(ISNA(MATCH((D96+C96),,0)),(D96+C96),12)</f>
        <v>12</v>
      </c>
      <c r="F96" s="1005" t="n">
        <f aca="false">G94</f>
        <v>74347.0273379625</v>
      </c>
      <c r="G96" s="1005" t="n">
        <f aca="false">F96+E96*NDDaysInYEar</f>
        <v>78730.0858101847</v>
      </c>
      <c r="H96" s="992" t="str">
        <f aca="false">A96</f>
        <v>Aq</v>
      </c>
      <c r="I96" s="206" t="str">
        <f aca="false">INDEX(SignSym,MOD(B96+MATCH(H96,SignSym,0)-1,12)+1)</f>
        <v>Cp</v>
      </c>
      <c r="J96" s="206" t="str">
        <f aca="false">INDEX(SignSym,MOD(B96+MATCH(I96,SignSym,0)-1,12)+1)</f>
        <v>Sg</v>
      </c>
      <c r="K96" s="206" t="str">
        <f aca="false">INDEX(SignSym,MOD(B96+MATCH(J96,SignSym,0)-1,12)+1)</f>
        <v>Sc</v>
      </c>
      <c r="L96" s="206" t="str">
        <f aca="false">INDEX(SignSym,MOD(B96+MATCH(K96,SignSym,0)-1,12)+1)</f>
        <v>Li</v>
      </c>
      <c r="M96" s="206" t="str">
        <f aca="false">INDEX(SignSym,MOD(B96+MATCH(L96,SignSym,0)-1,12)+1)</f>
        <v>Vi</v>
      </c>
      <c r="N96" s="206" t="str">
        <f aca="false">INDEX(SignSym,MOD(B96+MATCH(M96,SignSym,0)-1,12)+1)</f>
        <v>Le</v>
      </c>
      <c r="O96" s="206" t="str">
        <f aca="false">INDEX(SignSym,MOD(B96+MATCH(N96,SignSym,0)-1,12)+1)</f>
        <v>Cn</v>
      </c>
      <c r="P96" s="206" t="str">
        <f aca="false">INDEX(SignSym,MOD(B96+MATCH(O96,SignSym,0)-1,12)+1)</f>
        <v>Ge</v>
      </c>
      <c r="Q96" s="206" t="str">
        <f aca="false">INDEX(SignSym,MOD(B96+MATCH(P96,SignSym,0)-1,12)+1)</f>
        <v>Ta</v>
      </c>
      <c r="R96" s="206" t="str">
        <f aca="false">INDEX(SignSym,MOD(B96+MATCH(Q96,SignSym,0)-1,12)+1)</f>
        <v>Ar</v>
      </c>
      <c r="S96" s="206" t="str">
        <f aca="false">INDEX(SignSym,MOD(B96+MATCH(R96,SignSym,0)-1,12)+1)</f>
        <v>Pi</v>
      </c>
    </row>
    <row r="97" s="206" customFormat="true" ht="15" hidden="true" customHeight="false" outlineLevel="0" collapsed="false">
      <c r="D97" s="998"/>
      <c r="H97" s="1005" t="n">
        <f aca="false">F96</f>
        <v>74347.0273379625</v>
      </c>
      <c r="I97" s="1005" t="n">
        <f aca="false">H97+(E96*NDDaysInYEar/12)</f>
        <v>74712.2822106477</v>
      </c>
      <c r="J97" s="1005" t="n">
        <f aca="false">I97+(E96*NDDaysInYEar/12)</f>
        <v>75077.5370833329</v>
      </c>
      <c r="K97" s="1005" t="n">
        <f aca="false">J97+(E96*NDDaysInYEar/12)</f>
        <v>75442.7919560181</v>
      </c>
      <c r="L97" s="1005" t="n">
        <f aca="false">K97+(E96*NDDaysInYEar/12)</f>
        <v>75808.0468287032</v>
      </c>
      <c r="M97" s="1005" t="n">
        <f aca="false">L97+(E96*NDDaysInYEar/12)</f>
        <v>76173.3017013884</v>
      </c>
      <c r="N97" s="1005" t="n">
        <f aca="false">M97+(E96*NDDaysInYEar/12)</f>
        <v>76538.5565740736</v>
      </c>
      <c r="O97" s="1005" t="n">
        <f aca="false">N97+(E96*NDDaysInYEar/12)</f>
        <v>76903.8114467588</v>
      </c>
      <c r="P97" s="1005" t="n">
        <f aca="false">O97+(E96*NDDaysInYEar/12)</f>
        <v>77269.066319444</v>
      </c>
      <c r="Q97" s="1005" t="n">
        <f aca="false">P97+(E96*NDDaysInYEar/12)</f>
        <v>77634.3211921292</v>
      </c>
      <c r="R97" s="1005" t="n">
        <f aca="false">Q97+(E96*NDDaysInYEar/12)</f>
        <v>77999.5760648143</v>
      </c>
      <c r="S97" s="1005" t="n">
        <f aca="false">R97+(E96*NDDaysInYEar/12)</f>
        <v>78364.8309374995</v>
      </c>
    </row>
    <row r="98" s="206" customFormat="true" ht="15" hidden="false" customHeight="false" outlineLevel="0" collapsed="false">
      <c r="A98" s="1004"/>
      <c r="B98" s="1004"/>
      <c r="C98" s="1004"/>
      <c r="D98" s="1004"/>
      <c r="E98" s="1004"/>
      <c r="F98" s="1004"/>
      <c r="G98" s="1004"/>
      <c r="H98" s="1004"/>
      <c r="I98" s="1004"/>
      <c r="J98" s="1004"/>
      <c r="K98" s="1004"/>
      <c r="L98" s="1004"/>
      <c r="M98" s="1004"/>
      <c r="N98" s="1004"/>
      <c r="O98" s="1004"/>
      <c r="P98" s="1004"/>
      <c r="Q98" s="1004"/>
      <c r="R98" s="1004"/>
      <c r="S98" s="1004"/>
    </row>
    <row r="99" s="206" customFormat="true" ht="15" hidden="true" customHeight="false" outlineLevel="0" collapsed="false">
      <c r="H99" s="1005"/>
      <c r="I99" s="1005"/>
      <c r="J99" s="1005"/>
      <c r="K99" s="1005"/>
      <c r="L99" s="1005"/>
      <c r="M99" s="1005"/>
      <c r="N99" s="1005"/>
      <c r="O99" s="1005"/>
      <c r="P99" s="1005"/>
      <c r="Q99" s="1005"/>
      <c r="R99" s="1005"/>
      <c r="S99" s="1005"/>
    </row>
    <row r="100" s="206" customFormat="true" ht="15" hidden="false" customHeight="false" outlineLevel="0" collapsed="false"/>
    <row r="102" s="206" customFormat="true" ht="15" hidden="false" customHeight="false" outlineLevel="0" collapsed="false">
      <c r="A102" s="988" t="s">
        <v>4213</v>
      </c>
      <c r="B102" s="988"/>
      <c r="C102" s="989" t="n">
        <v>10</v>
      </c>
      <c r="D102" s="990" t="n">
        <f aca="false">MATCH(C102,$18:$18,1)</f>
        <v>7</v>
      </c>
      <c r="I102" s="991"/>
      <c r="N102" s="991"/>
    </row>
    <row r="103" s="206" customFormat="true" ht="15" hidden="false" customHeight="false" outlineLevel="0" collapsed="false">
      <c r="A103" s="988" t="s">
        <v>4216</v>
      </c>
      <c r="B103" s="988"/>
      <c r="C103" s="992" t="s">
        <v>987</v>
      </c>
      <c r="D103" s="993"/>
      <c r="H103" s="991"/>
      <c r="I103" s="991"/>
      <c r="J103" s="991"/>
      <c r="P103" s="991"/>
    </row>
    <row r="104" s="206" customFormat="true" ht="15" hidden="false" customHeight="false" outlineLevel="0" collapsed="false">
      <c r="C104" s="991"/>
      <c r="E104" s="991"/>
      <c r="H104" s="991"/>
      <c r="I104" s="991"/>
      <c r="J104" s="991"/>
    </row>
    <row r="105" s="206" customFormat="true" ht="15" hidden="false" customHeight="false" outlineLevel="0" collapsed="false">
      <c r="A105" s="1007" t="s">
        <v>4084</v>
      </c>
      <c r="B105" s="1007" t="s">
        <v>807</v>
      </c>
      <c r="C105" s="1007" t="s">
        <v>4218</v>
      </c>
      <c r="D105" s="1007" t="s">
        <v>4219</v>
      </c>
      <c r="E105" s="1007" t="s">
        <v>400</v>
      </c>
      <c r="F105" s="1007" t="s">
        <v>730</v>
      </c>
      <c r="G105" s="1007" t="s">
        <v>805</v>
      </c>
      <c r="H105" s="1007" t="s">
        <v>4221</v>
      </c>
      <c r="I105" s="991"/>
      <c r="J105" s="991"/>
    </row>
    <row r="106" s="206" customFormat="true" ht="15" hidden="false" customHeight="false" outlineLevel="0" collapsed="false">
      <c r="A106" s="206" t="str">
        <f aca="false">VLOOKUP(C103,NDasaSeq,7,0)</f>
        <v>Cp</v>
      </c>
      <c r="B106" s="206" t="n">
        <f aca="false">VLOOKUP(A106,NDasaC,3,0)</f>
        <v>-1</v>
      </c>
      <c r="C106" s="998" t="e">
        <f aca="false">IF(MATCH(VLOOKUP(IF((A106="Aq"),VLOOKUP("AqLord",DivCharts,D102,0),IF((A106="Sc"),VLOOKUP("ScLord",DivCharts,D102,0),VLOOKUP(A106,RsInfo,9,0))),DivCharts,D102,0),RsTbl,0)=MATCH(VLOOKUP(IF((A106="Aq"),VLOOKUP("AqLord",DivCharts,D102,0),IF((A106="Sc"),VLOOKUP("ScLord",DivCharts,D102,0),VLOOKUP(A106,RsInfo,9,0))),PlanetData,8,0),RsTbl,0),1,IF(MATCH(VLOOKUP(IF((A106="Aq"),VLOOKUP("AqLord",DivCharts,D102,0),IF((A106="Sc"),VLOOKUP("ScLord",DivCharts,D102,0),VLOOKUP(A106,RsInfo,9,0))),DivCharts,D102,0),RsTbl,0)=MOD(MATCH(VLOOKUP(IF((A106="Aq"),VLOOKUP("AqLord",DivCharts,D102,0),IF((A106="Sc"),VLOOKUP("ScLord",DivCharts,D102,0),VLOOKUP(A106,RsInfo,9,0))),PlanetData,8,0),RsTbl,0)+6,12),-1,0))</f>
        <v>#N/A</v>
      </c>
      <c r="D106" s="998" t="n">
        <f aca="false">MOD((MATCH(VLOOKUP(IF((A106="Aq"),VLOOKUP("AqLord",DivCharts,D102,0),IF((A106="Sc"),VLOOKUP("ScLord",DivCharts,D102,0),VLOOKUP(A106,RsInfo,9,0))),DivCharts,D102,0),RsTbl,0)*B106)-(B106*MATCH(A106,RsTbl,0))+12,12)</f>
        <v>10</v>
      </c>
      <c r="E106" s="206" t="n">
        <f aca="false">IF(ISNA(MATCH((D106+C106),,0)),(D106+C106),12)</f>
        <v>12</v>
      </c>
      <c r="F106" s="1005" t="n">
        <f aca="false">NDDoB</f>
        <v>26133.3841435185</v>
      </c>
      <c r="G106" s="1005" t="n">
        <f aca="false">F106+E106*NDDaysInYEar</f>
        <v>30516.4426157407</v>
      </c>
      <c r="H106" s="992" t="str">
        <f aca="false">A106</f>
        <v>Cp</v>
      </c>
      <c r="I106" s="206" t="str">
        <f aca="false">INDEX(SignSym,MOD(B106+MATCH(H106,SignSym,0)-1,12)+1)</f>
        <v>Sg</v>
      </c>
      <c r="J106" s="206" t="str">
        <f aca="false">INDEX(SignSym,MOD(B106+MATCH(I106,SignSym,0)-1,12)+1)</f>
        <v>Sc</v>
      </c>
      <c r="K106" s="206" t="str">
        <f aca="false">INDEX(SignSym,MOD(B106+MATCH(J106,SignSym,0)-1,12)+1)</f>
        <v>Li</v>
      </c>
      <c r="L106" s="206" t="str">
        <f aca="false">INDEX(SignSym,MOD(B106+MATCH(K106,SignSym,0)-1,12)+1)</f>
        <v>Vi</v>
      </c>
      <c r="M106" s="206" t="str">
        <f aca="false">INDEX(SignSym,MOD(B106+MATCH(L106,SignSym,0)-1,12)+1)</f>
        <v>Le</v>
      </c>
      <c r="N106" s="206" t="str">
        <f aca="false">INDEX(SignSym,MOD(B106+MATCH(M106,SignSym,0)-1,12)+1)</f>
        <v>Cn</v>
      </c>
      <c r="O106" s="206" t="str">
        <f aca="false">INDEX(SignSym,MOD(B106+MATCH(N106,SignSym,0)-1,12)+1)</f>
        <v>Ge</v>
      </c>
      <c r="P106" s="206" t="str">
        <f aca="false">INDEX(SignSym,MOD(B106+MATCH(O106,SignSym,0)-1,12)+1)</f>
        <v>Ta</v>
      </c>
      <c r="Q106" s="206" t="str">
        <f aca="false">INDEX(SignSym,MOD(B106+MATCH(P106,SignSym,0)-1,12)+1)</f>
        <v>Ar</v>
      </c>
      <c r="R106" s="206" t="str">
        <f aca="false">INDEX(SignSym,MOD(B106+MATCH(Q106,SignSym,0)-1,12)+1)</f>
        <v>Pi</v>
      </c>
      <c r="S106" s="206" t="str">
        <f aca="false">INDEX(SignSym,MOD(B106+MATCH(R106,SignSym,0)-1,12)+1)</f>
        <v>Aq</v>
      </c>
    </row>
    <row r="107" s="206" customFormat="true" ht="12.75" hidden="true" customHeight="true" outlineLevel="0" collapsed="false">
      <c r="C107" s="998"/>
      <c r="D107" s="998"/>
      <c r="F107" s="1005"/>
      <c r="G107" s="1005"/>
      <c r="H107" s="1005" t="n">
        <f aca="false">F106</f>
        <v>26133.3841435185</v>
      </c>
      <c r="I107" s="1005" t="n">
        <f aca="false">H107+(E106*NDDaysInYEar/12)</f>
        <v>26498.6390162037</v>
      </c>
      <c r="J107" s="1005" t="n">
        <f aca="false">I107+(E106*NDDaysInYEar/12)</f>
        <v>26863.8938888889</v>
      </c>
      <c r="K107" s="1005" t="n">
        <f aca="false">J107+(E106*NDDaysInYEar/12)</f>
        <v>27229.148761574</v>
      </c>
      <c r="L107" s="1005" t="n">
        <f aca="false">K107+(E106*NDDaysInYEar/12)</f>
        <v>27594.4036342592</v>
      </c>
      <c r="M107" s="1005" t="n">
        <f aca="false">L107+(E106*NDDaysInYEar/12)</f>
        <v>27959.6585069444</v>
      </c>
      <c r="N107" s="1005" t="n">
        <f aca="false">M107+(E106*NDDaysInYEar/12)</f>
        <v>28324.9133796296</v>
      </c>
      <c r="O107" s="1005" t="n">
        <f aca="false">N107+(E106*NDDaysInYEar/12)</f>
        <v>28690.1682523148</v>
      </c>
      <c r="P107" s="1005" t="n">
        <f aca="false">O107+(E106*NDDaysInYEar/12)</f>
        <v>29055.423125</v>
      </c>
      <c r="Q107" s="1005" t="n">
        <f aca="false">P107+(E106*NDDaysInYEar/12)</f>
        <v>29420.6779976851</v>
      </c>
      <c r="R107" s="1005" t="n">
        <f aca="false">Q107+(E106*NDDaysInYEar/12)</f>
        <v>29785.9328703703</v>
      </c>
      <c r="S107" s="1005" t="n">
        <f aca="false">R107+(E106*NDDaysInYEar/12)</f>
        <v>30151.1877430555</v>
      </c>
    </row>
    <row r="108" s="206" customFormat="true" ht="15" hidden="false" customHeight="false" outlineLevel="0" collapsed="false">
      <c r="A108" s="206" t="str">
        <f aca="false">VLOOKUP(C103,NDasaSeq,8,0)</f>
        <v>Sg</v>
      </c>
      <c r="B108" s="206" t="n">
        <f aca="false">VLOOKUP(A108,NDasaC,3,0)</f>
        <v>1</v>
      </c>
      <c r="C108" s="998" t="e">
        <f aca="false">IF(MATCH(VLOOKUP(IF((A108="Aq"),VLOOKUP("AqLord",DivCharts,D102,0),IF((A108="Sc"),VLOOKUP("ScLord",DivCharts,D102,0),VLOOKUP(A108,RsInfo,9,0))),DivCharts,D102,0),RsTbl,0)=MATCH(VLOOKUP(IF((A108="Aq"),VLOOKUP("AqLord",DivCharts,D102,0),IF((A108="Sc"),VLOOKUP("ScLord",DivCharts,D102,0),VLOOKUP(A108,RsInfo,9,0))),PlanetData,8,0),RsTbl,0),1,IF(MATCH(VLOOKUP(IF((A108="Aq"),VLOOKUP("AqLord",DivCharts,D102,0),IF((A108="Sc"),VLOOKUP("ScLord",DivCharts,D102,0),VLOOKUP(A108,RsInfo,9,0))),DivCharts,D102,0),RsTbl,0)=MOD(MATCH(VLOOKUP(IF((A108="Aq"),VLOOKUP("AqLord",DivCharts,D102,0),IF((A108="Sc"),VLOOKUP("ScLord",DivCharts,D102,0),VLOOKUP(A108,RsInfo,9,0))),PlanetData,8,0),RsTbl,0)+6,12),-1,0))</f>
        <v>#N/A</v>
      </c>
      <c r="D108" s="998" t="n">
        <f aca="false">MOD((MATCH(VLOOKUP(IF((A108="Aq"),VLOOKUP("AqLord",DivCharts,D102,0),IF((A108="Sc"),VLOOKUP("ScLord",DivCharts,D102,0),VLOOKUP(A108,RsInfo,9,0))),DivCharts,D102,0),RsTbl,0)*B108)-(B108*MATCH(A108,RsTbl,0))+12,12)</f>
        <v>7</v>
      </c>
      <c r="E108" s="206" t="n">
        <f aca="false">IF(ISNA(MATCH((D108+C108),,0)),(D108+C108),12)</f>
        <v>12</v>
      </c>
      <c r="F108" s="1005" t="n">
        <f aca="false">G106</f>
        <v>30516.4426157407</v>
      </c>
      <c r="G108" s="1005" t="n">
        <f aca="false">F108+E108*NDDaysInYEar</f>
        <v>34899.5010879629</v>
      </c>
      <c r="H108" s="992" t="str">
        <f aca="false">A108</f>
        <v>Sg</v>
      </c>
      <c r="I108" s="206" t="str">
        <f aca="false">INDEX(SignSym,MOD(B108+MATCH(H108,SignSym,0)-1,12)+1)</f>
        <v>Cp</v>
      </c>
      <c r="J108" s="206" t="str">
        <f aca="false">INDEX(SignSym,MOD(B108+MATCH(I108,SignSym,0)-1,12)+1)</f>
        <v>Aq</v>
      </c>
      <c r="K108" s="206" t="str">
        <f aca="false">INDEX(SignSym,MOD(B108+MATCH(J108,SignSym,0)-1,12)+1)</f>
        <v>Pi</v>
      </c>
      <c r="L108" s="206" t="str">
        <f aca="false">INDEX(SignSym,MOD(B108+MATCH(K108,SignSym,0)-1,12)+1)</f>
        <v>Ar</v>
      </c>
      <c r="M108" s="206" t="str">
        <f aca="false">INDEX(SignSym,MOD(B108+MATCH(L108,SignSym,0)-1,12)+1)</f>
        <v>Ta</v>
      </c>
      <c r="N108" s="206" t="str">
        <f aca="false">INDEX(SignSym,MOD(B108+MATCH(M108,SignSym,0)-1,12)+1)</f>
        <v>Ge</v>
      </c>
      <c r="O108" s="206" t="str">
        <f aca="false">INDEX(SignSym,MOD(B108+MATCH(N108,SignSym,0)-1,12)+1)</f>
        <v>Cn</v>
      </c>
      <c r="P108" s="206" t="str">
        <f aca="false">INDEX(SignSym,MOD(B108+MATCH(O108,SignSym,0)-1,12)+1)</f>
        <v>Le</v>
      </c>
      <c r="Q108" s="206" t="str">
        <f aca="false">INDEX(SignSym,MOD(B108+MATCH(P108,SignSym,0)-1,12)+1)</f>
        <v>Vi</v>
      </c>
      <c r="R108" s="206" t="str">
        <f aca="false">INDEX(SignSym,MOD(B108+MATCH(Q108,SignSym,0)-1,12)+1)</f>
        <v>Li</v>
      </c>
      <c r="S108" s="206" t="str">
        <f aca="false">INDEX(SignSym,MOD(B108+MATCH(R108,SignSym,0)-1,12)+1)</f>
        <v>Sc</v>
      </c>
    </row>
    <row r="109" s="206" customFormat="true" ht="12.75" hidden="true" customHeight="true" outlineLevel="0" collapsed="false">
      <c r="C109" s="998"/>
      <c r="D109" s="998"/>
      <c r="F109" s="1005"/>
      <c r="G109" s="1005"/>
      <c r="H109" s="1005" t="n">
        <f aca="false">F108</f>
        <v>30516.4426157407</v>
      </c>
      <c r="I109" s="1005" t="n">
        <f aca="false">H109+(E108*NDDaysInYEar/12)</f>
        <v>30881.6974884259</v>
      </c>
      <c r="J109" s="1005" t="n">
        <f aca="false">I109+(E108*NDDaysInYEar/12)</f>
        <v>31246.9523611111</v>
      </c>
      <c r="K109" s="1005" t="n">
        <f aca="false">J109+(E108*NDDaysInYEar/12)</f>
        <v>31612.2072337962</v>
      </c>
      <c r="L109" s="1005" t="n">
        <f aca="false">K109+(E108*NDDaysInYEar/12)</f>
        <v>31977.4621064814</v>
      </c>
      <c r="M109" s="1005" t="n">
        <f aca="false">L109+(E108*NDDaysInYEar/12)</f>
        <v>32342.7169791666</v>
      </c>
      <c r="N109" s="1005" t="n">
        <f aca="false">M109+(E108*NDDaysInYEar/12)</f>
        <v>32707.9718518518</v>
      </c>
      <c r="O109" s="1005" t="n">
        <f aca="false">N109+(E108*NDDaysInYEar/12)</f>
        <v>33073.226724537</v>
      </c>
      <c r="P109" s="1005" t="n">
        <f aca="false">O109+(E108*NDDaysInYEar/12)</f>
        <v>33438.4815972221</v>
      </c>
      <c r="Q109" s="1005" t="n">
        <f aca="false">P109+(E108*NDDaysInYEar/12)</f>
        <v>33803.7364699073</v>
      </c>
      <c r="R109" s="1005" t="n">
        <f aca="false">Q109+(E108*NDDaysInYEar/12)</f>
        <v>34168.9913425925</v>
      </c>
      <c r="S109" s="1005" t="n">
        <f aca="false">R109+(E108*NDDaysInYEar/12)</f>
        <v>34534.2462152777</v>
      </c>
    </row>
    <row r="110" s="206" customFormat="true" ht="15" hidden="false" customHeight="false" outlineLevel="0" collapsed="false">
      <c r="A110" s="206" t="str">
        <f aca="false">VLOOKUP(C103,NDasaSeq,9,0)</f>
        <v>Sc</v>
      </c>
      <c r="B110" s="206" t="n">
        <f aca="false">VLOOKUP(A110,NDasaC,3,0)</f>
        <v>1</v>
      </c>
      <c r="C110" s="998" t="e">
        <f aca="false">IF(MATCH(VLOOKUP(IF((A110="Aq"),VLOOKUP("AqLord",DivCharts,D102,0),IF((A110="Sc"),VLOOKUP("ScLord",DivCharts,D102,0),VLOOKUP(A110,RsInfo,9,0))),DivCharts,D102,0),RsTbl,0)=MATCH(VLOOKUP(IF((A110="Aq"),VLOOKUP("AqLord",DivCharts,D102,0),IF((A110="Sc"),VLOOKUP("ScLord",DivCharts,D102,0),VLOOKUP(A110,RsInfo,9,0))),PlanetData,8,0),RsTbl,0),1,IF(MATCH(VLOOKUP(IF((A110="Aq"),VLOOKUP("AqLord",DivCharts,D102,0),IF((A110="Sc"),VLOOKUP("ScLord",DivCharts,D102,0),VLOOKUP(A110,RsInfo,9,0))),DivCharts,D102,0),RsTbl,0)=MOD(MATCH(VLOOKUP(IF((A110="Aq"),VLOOKUP("AqLord",DivCharts,D102,0),IF((A110="Sc"),VLOOKUP("ScLord",DivCharts,D102,0),VLOOKUP(A110,RsInfo,9,0))),PlanetData,8,0),RsTbl,0)+6,12),-1,0))</f>
        <v>#N/A</v>
      </c>
      <c r="D110" s="998" t="n">
        <f aca="false">MOD((MATCH(VLOOKUP(IF((A110="Aq"),VLOOKUP("AqLord",DivCharts,D102,0),IF((A110="Sc"),VLOOKUP("ScLord",DivCharts,D102,0),VLOOKUP(A110,RsInfo,9,0))),DivCharts,D102,0),RsTbl,0)*B110)-(B110*MATCH(A110,RsTbl,0))+12,12)</f>
        <v>2</v>
      </c>
      <c r="E110" s="206" t="n">
        <f aca="false">IF(ISNA(MATCH((D110+C110),,0)),(D110+C110),12)</f>
        <v>12</v>
      </c>
      <c r="F110" s="1005" t="n">
        <f aca="false">G108</f>
        <v>34899.5010879629</v>
      </c>
      <c r="G110" s="1005" t="n">
        <f aca="false">F110+E110*NDDaysInYEar</f>
        <v>39282.5595601851</v>
      </c>
      <c r="H110" s="992" t="str">
        <f aca="false">A110</f>
        <v>Sc</v>
      </c>
      <c r="I110" s="206" t="str">
        <f aca="false">INDEX(SignSym,MOD(B110+MATCH(H110,SignSym,0)-1,12)+1)</f>
        <v>Sg</v>
      </c>
      <c r="J110" s="206" t="str">
        <f aca="false">INDEX(SignSym,MOD(B110+MATCH(I110,SignSym,0)-1,12)+1)</f>
        <v>Cp</v>
      </c>
      <c r="K110" s="206" t="str">
        <f aca="false">INDEX(SignSym,MOD(B110+MATCH(J110,SignSym,0)-1,12)+1)</f>
        <v>Aq</v>
      </c>
      <c r="L110" s="206" t="str">
        <f aca="false">INDEX(SignSym,MOD(B110+MATCH(K110,SignSym,0)-1,12)+1)</f>
        <v>Pi</v>
      </c>
      <c r="M110" s="206" t="str">
        <f aca="false">INDEX(SignSym,MOD(B110+MATCH(L110,SignSym,0)-1,12)+1)</f>
        <v>Ar</v>
      </c>
      <c r="N110" s="206" t="str">
        <f aca="false">INDEX(SignSym,MOD(B110+MATCH(M110,SignSym,0)-1,12)+1)</f>
        <v>Ta</v>
      </c>
      <c r="O110" s="206" t="str">
        <f aca="false">INDEX(SignSym,MOD(B110+MATCH(N110,SignSym,0)-1,12)+1)</f>
        <v>Ge</v>
      </c>
      <c r="P110" s="206" t="str">
        <f aca="false">INDEX(SignSym,MOD(B110+MATCH(O110,SignSym,0)-1,12)+1)</f>
        <v>Cn</v>
      </c>
      <c r="Q110" s="206" t="str">
        <f aca="false">INDEX(SignSym,MOD(B110+MATCH(P110,SignSym,0)-1,12)+1)</f>
        <v>Le</v>
      </c>
      <c r="R110" s="206" t="str">
        <f aca="false">INDEX(SignSym,MOD(B110+MATCH(Q110,SignSym,0)-1,12)+1)</f>
        <v>Vi</v>
      </c>
      <c r="S110" s="206" t="str">
        <f aca="false">INDEX(SignSym,MOD(B110+MATCH(R110,SignSym,0)-1,12)+1)</f>
        <v>Li</v>
      </c>
    </row>
    <row r="111" s="206" customFormat="true" ht="12.75" hidden="true" customHeight="true" outlineLevel="0" collapsed="false">
      <c r="C111" s="998"/>
      <c r="D111" s="998"/>
      <c r="F111" s="1005"/>
      <c r="G111" s="1005"/>
      <c r="H111" s="1005" t="n">
        <f aca="false">F110</f>
        <v>34899.5010879629</v>
      </c>
      <c r="I111" s="1005" t="n">
        <f aca="false">H111+(E110*NDDaysInYEar/12)</f>
        <v>35264.7559606481</v>
      </c>
      <c r="J111" s="1005" t="n">
        <f aca="false">I111+(E110*NDDaysInYEar/12)</f>
        <v>35630.0108333332</v>
      </c>
      <c r="K111" s="1005" t="n">
        <f aca="false">J111+(E110*NDDaysInYEar/12)</f>
        <v>35995.2657060184</v>
      </c>
      <c r="L111" s="1005" t="n">
        <f aca="false">K111+(E110*NDDaysInYEar/12)</f>
        <v>36360.5205787036</v>
      </c>
      <c r="M111" s="1005" t="n">
        <f aca="false">L111+(E110*NDDaysInYEar/12)</f>
        <v>36725.7754513888</v>
      </c>
      <c r="N111" s="1005" t="n">
        <f aca="false">M111+(E110*NDDaysInYEar/12)</f>
        <v>37091.030324074</v>
      </c>
      <c r="O111" s="1005" t="n">
        <f aca="false">N111+(E110*NDDaysInYEar/12)</f>
        <v>37456.2851967591</v>
      </c>
      <c r="P111" s="1005" t="n">
        <f aca="false">O111+(E110*NDDaysInYEar/12)</f>
        <v>37821.5400694443</v>
      </c>
      <c r="Q111" s="1005" t="n">
        <f aca="false">P111+(E110*NDDaysInYEar/12)</f>
        <v>38186.7949421295</v>
      </c>
      <c r="R111" s="1005" t="n">
        <f aca="false">Q111+(E110*NDDaysInYEar/12)</f>
        <v>38552.0498148147</v>
      </c>
      <c r="S111" s="1005" t="n">
        <f aca="false">R111+(E110*NDDaysInYEar/12)</f>
        <v>38917.3046874999</v>
      </c>
    </row>
    <row r="112" s="206" customFormat="true" ht="15" hidden="false" customHeight="false" outlineLevel="0" collapsed="false">
      <c r="A112" s="206" t="str">
        <f aca="false">VLOOKUP(C103,NDasaSeq,10,0)</f>
        <v>Li</v>
      </c>
      <c r="B112" s="206" t="n">
        <f aca="false">VLOOKUP(A112,NDasaC,3,0)</f>
        <v>1</v>
      </c>
      <c r="C112" s="998" t="e">
        <f aca="false">IF(MATCH(VLOOKUP(IF((A112="Aq"),VLOOKUP("AqLord",DivCharts,D102,0),IF((A112="Sc"),VLOOKUP("ScLord",DivCharts,D102,0),VLOOKUP(A112,RsInfo,9,0))),DivCharts,D102,0),RsTbl,0)=MATCH(VLOOKUP(IF((A112="Aq"),VLOOKUP("AqLord",DivCharts,D102,0),IF((A112="Sc"),VLOOKUP("ScLord",DivCharts,D102,0),VLOOKUP(A112,RsInfo,9,0))),PlanetData,8,0),RsTbl,0),1,IF(MATCH(VLOOKUP(IF((A112="Aq"),VLOOKUP("AqLord",DivCharts,D102,0),IF((A112="Sc"),VLOOKUP("ScLord",DivCharts,D102,0),VLOOKUP(A112,RsInfo,9,0))),DivCharts,D102,0),RsTbl,0)=MOD(MATCH(VLOOKUP(IF((A112="Aq"),VLOOKUP("AqLord",DivCharts,D102,0),IF((A112="Sc"),VLOOKUP("ScLord",DivCharts,D102,0),VLOOKUP(A112,RsInfo,9,0))),PlanetData,8,0),RsTbl,0)+6,12),-1,0))</f>
        <v>#N/A</v>
      </c>
      <c r="D112" s="998" t="n">
        <v>9</v>
      </c>
      <c r="E112" s="206" t="n">
        <f aca="false">IF(ISNA(MATCH((D112+C112),,0)),(D112+C112),12)</f>
        <v>12</v>
      </c>
      <c r="F112" s="1005" t="n">
        <f aca="false">G110</f>
        <v>39282.5595601851</v>
      </c>
      <c r="G112" s="1005" t="n">
        <f aca="false">F112+E112*NDDaysInYEar</f>
        <v>43665.6180324072</v>
      </c>
      <c r="H112" s="992" t="str">
        <f aca="false">A112</f>
        <v>Li</v>
      </c>
      <c r="I112" s="206" t="str">
        <f aca="false">INDEX(SignSym,MOD(B112+MATCH(H112,SignSym,0)-1,12)+1)</f>
        <v>Sc</v>
      </c>
      <c r="J112" s="206" t="str">
        <f aca="false">INDEX(SignSym,MOD(B112+MATCH(I112,SignSym,0)-1,12)+1)</f>
        <v>Sg</v>
      </c>
      <c r="K112" s="206" t="str">
        <f aca="false">INDEX(SignSym,MOD(B112+MATCH(J112,SignSym,0)-1,12)+1)</f>
        <v>Cp</v>
      </c>
      <c r="L112" s="206" t="str">
        <f aca="false">INDEX(SignSym,MOD(B112+MATCH(K112,SignSym,0)-1,12)+1)</f>
        <v>Aq</v>
      </c>
      <c r="M112" s="206" t="str">
        <f aca="false">INDEX(SignSym,MOD(B112+MATCH(L112,SignSym,0)-1,12)+1)</f>
        <v>Pi</v>
      </c>
      <c r="N112" s="206" t="str">
        <f aca="false">INDEX(SignSym,MOD(B112+MATCH(M112,SignSym,0)-1,12)+1)</f>
        <v>Ar</v>
      </c>
      <c r="O112" s="206" t="str">
        <f aca="false">INDEX(SignSym,MOD(B112+MATCH(N112,SignSym,0)-1,12)+1)</f>
        <v>Ta</v>
      </c>
      <c r="P112" s="206" t="str">
        <f aca="false">INDEX(SignSym,MOD(B112+MATCH(O112,SignSym,0)-1,12)+1)</f>
        <v>Ge</v>
      </c>
      <c r="Q112" s="206" t="str">
        <f aca="false">INDEX(SignSym,MOD(B112+MATCH(P112,SignSym,0)-1,12)+1)</f>
        <v>Cn</v>
      </c>
      <c r="R112" s="206" t="str">
        <f aca="false">INDEX(SignSym,MOD(B112+MATCH(Q112,SignSym,0)-1,12)+1)</f>
        <v>Le</v>
      </c>
      <c r="S112" s="206" t="str">
        <f aca="false">INDEX(SignSym,MOD(B112+MATCH(R112,SignSym,0)-1,12)+1)</f>
        <v>Vi</v>
      </c>
    </row>
    <row r="113" s="206" customFormat="true" ht="12.75" hidden="true" customHeight="true" outlineLevel="0" collapsed="false">
      <c r="C113" s="998"/>
      <c r="D113" s="998"/>
      <c r="F113" s="1005"/>
      <c r="G113" s="1005"/>
      <c r="H113" s="1005" t="n">
        <f aca="false">F112</f>
        <v>39282.5595601851</v>
      </c>
      <c r="I113" s="1005" t="n">
        <f aca="false">H113+(E112*NDDaysInYEar/12)</f>
        <v>39647.8144328702</v>
      </c>
      <c r="J113" s="1005" t="n">
        <f aca="false">I113+(E112*NDDaysInYEar/12)</f>
        <v>40013.0693055554</v>
      </c>
      <c r="K113" s="1005" t="n">
        <f aca="false">J113+(E112*NDDaysInYEar/12)</f>
        <v>40378.3241782406</v>
      </c>
      <c r="L113" s="1005" t="n">
        <f aca="false">K113+(E112*NDDaysInYEar/12)</f>
        <v>40743.5790509258</v>
      </c>
      <c r="M113" s="1005" t="n">
        <f aca="false">L113+(E112*NDDaysInYEar/12)</f>
        <v>41108.833923611</v>
      </c>
      <c r="N113" s="1005" t="n">
        <f aca="false">M113+(E112*NDDaysInYEar/12)</f>
        <v>41474.0887962961</v>
      </c>
      <c r="O113" s="1005" t="n">
        <f aca="false">N113+(E112*NDDaysInYEar/12)</f>
        <v>41839.3436689813</v>
      </c>
      <c r="P113" s="1005" t="n">
        <f aca="false">O113+(E112*NDDaysInYEar/12)</f>
        <v>42204.5985416665</v>
      </c>
      <c r="Q113" s="1005" t="n">
        <f aca="false">P113+(E112*NDDaysInYEar/12)</f>
        <v>42569.8534143517</v>
      </c>
      <c r="R113" s="1005" t="n">
        <f aca="false">Q113+(E112*NDDaysInYEar/12)</f>
        <v>42935.1082870369</v>
      </c>
      <c r="S113" s="1005" t="n">
        <f aca="false">R113+(E112*NDDaysInYEar/12)</f>
        <v>43300.3631597221</v>
      </c>
    </row>
    <row r="114" s="206" customFormat="true" ht="15" hidden="false" customHeight="false" outlineLevel="0" collapsed="false">
      <c r="A114" s="206" t="str">
        <f aca="false">VLOOKUP(C103,NDasaSeq,11,0)</f>
        <v>Vi</v>
      </c>
      <c r="B114" s="206" t="n">
        <f aca="false">VLOOKUP(A114,NDasaC,3,0)</f>
        <v>-1</v>
      </c>
      <c r="C114" s="998" t="e">
        <f aca="false">IF(MATCH(VLOOKUP(IF((A114="Aq"),VLOOKUP("AqLord",DivCharts,D102,0),IF((A114="Sc"),VLOOKUP("ScLord",DivCharts,D102,0),VLOOKUP(A114,RsInfo,9,0))),DivCharts,D102,0),RsTbl,0)=MATCH(VLOOKUP(IF((A114="Aq"),VLOOKUP("AqLord",DivCharts,D102,0),IF((A114="Sc"),VLOOKUP("ScLord",DivCharts,D102,0),VLOOKUP(A114,RsInfo,9,0))),PlanetData,8,0),RsTbl,0),1,IF(MATCH(VLOOKUP(IF((A114="Aq"),VLOOKUP("AqLord",DivCharts,D102,0),IF((A114="Sc"),VLOOKUP("ScLord",DivCharts,D102,0),VLOOKUP(A114,RsInfo,9,0))),DivCharts,D102,0),RsTbl,0)=MOD(MATCH(VLOOKUP(IF((A114="Aq"),VLOOKUP("AqLord",DivCharts,D102,0),IF((A114="Sc"),VLOOKUP("ScLord",DivCharts,D102,0),VLOOKUP(A114,RsInfo,9,0))),PlanetData,8,0),RsTbl,0)+6,12),-1,0))</f>
        <v>#N/A</v>
      </c>
      <c r="D114" s="998" t="n">
        <f aca="false">MOD((MATCH(VLOOKUP(IF((A114="Aq"),VLOOKUP("AqLord",DivCharts,D102,0),IF((A114="Sc"),VLOOKUP("ScLord",DivCharts,D102,0),VLOOKUP(A114,RsInfo,9,0))),DivCharts,D102,0),RsTbl,0)*B114)-(B114*MATCH(A114,RsTbl,0))+12,12)</f>
        <v>2</v>
      </c>
      <c r="E114" s="206" t="n">
        <f aca="false">IF(ISNA(MATCH((D114+C114),,0)),(D114+C114),12)</f>
        <v>12</v>
      </c>
      <c r="F114" s="1005" t="n">
        <f aca="false">G112</f>
        <v>43665.6180324072</v>
      </c>
      <c r="G114" s="1005" t="n">
        <f aca="false">F114+E114*NDDaysInYEar</f>
        <v>48048.6765046294</v>
      </c>
      <c r="H114" s="992" t="s">
        <v>689</v>
      </c>
      <c r="I114" s="206" t="str">
        <f aca="false">INDEX(SignSym,MOD(B114+MATCH(H114,SignSym,0)-1,12)+1)</f>
        <v>Pi</v>
      </c>
      <c r="J114" s="206" t="str">
        <f aca="false">INDEX(SignSym,MOD(B114+MATCH(I114,SignSym,0)-1,12)+1)</f>
        <v>Aq</v>
      </c>
      <c r="K114" s="206" t="str">
        <f aca="false">INDEX(SignSym,MOD(B114+MATCH(J114,SignSym,0)-1,12)+1)</f>
        <v>Cp</v>
      </c>
      <c r="L114" s="206" t="str">
        <f aca="false">INDEX(SignSym,MOD(B114+MATCH(K114,SignSym,0)-1,12)+1)</f>
        <v>Sg</v>
      </c>
      <c r="M114" s="206" t="str">
        <f aca="false">INDEX(SignSym,MOD(B114+MATCH(L114,SignSym,0)-1,12)+1)</f>
        <v>Sc</v>
      </c>
      <c r="N114" s="206" t="str">
        <f aca="false">INDEX(SignSym,MOD(B114+MATCH(M114,SignSym,0)-1,12)+1)</f>
        <v>Li</v>
      </c>
      <c r="O114" s="206" t="str">
        <f aca="false">INDEX(SignSym,MOD(B114+MATCH(N114,SignSym,0)-1,12)+1)</f>
        <v>Vi</v>
      </c>
      <c r="P114" s="206" t="str">
        <f aca="false">INDEX(SignSym,MOD(B114+MATCH(O114,SignSym,0)-1,12)+1)</f>
        <v>Le</v>
      </c>
      <c r="Q114" s="206" t="str">
        <f aca="false">INDEX(SignSym,MOD(B114+MATCH(P114,SignSym,0)-1,12)+1)</f>
        <v>Cn</v>
      </c>
      <c r="R114" s="206" t="str">
        <f aca="false">INDEX(SignSym,MOD(B114+MATCH(Q114,SignSym,0)-1,12)+1)</f>
        <v>Ge</v>
      </c>
      <c r="S114" s="206" t="str">
        <f aca="false">INDEX(SignSym,MOD(B114+MATCH(R114,SignSym,0)-1,12)+1)</f>
        <v>Ta</v>
      </c>
    </row>
    <row r="115" s="206" customFormat="true" ht="15" hidden="true" customHeight="false" outlineLevel="0" collapsed="false">
      <c r="C115" s="998"/>
      <c r="D115" s="998"/>
      <c r="F115" s="1005"/>
      <c r="G115" s="1005"/>
      <c r="H115" s="1005" t="n">
        <f aca="false">F114</f>
        <v>43665.6180324072</v>
      </c>
      <c r="I115" s="1005" t="n">
        <f aca="false">H115+(E114*NDDaysInYEar/12)</f>
        <v>44030.8729050924</v>
      </c>
      <c r="J115" s="1005" t="n">
        <f aca="false">I115+(E114*NDDaysInYEar/12)</f>
        <v>44396.1277777776</v>
      </c>
      <c r="K115" s="1005" t="n">
        <f aca="false">J115+(E114*NDDaysInYEar/12)</f>
        <v>44761.3826504628</v>
      </c>
      <c r="L115" s="1005" t="n">
        <f aca="false">K115+(E114*NDDaysInYEar/12)</f>
        <v>45126.637523148</v>
      </c>
      <c r="M115" s="1005" t="n">
        <f aca="false">L115+(E114*NDDaysInYEar/12)</f>
        <v>45491.8923958331</v>
      </c>
      <c r="N115" s="1005" t="n">
        <f aca="false">M115+(E114*NDDaysInYEar/12)</f>
        <v>45857.1472685183</v>
      </c>
      <c r="O115" s="1005" t="n">
        <f aca="false">N115+(E114*NDDaysInYEar/12)</f>
        <v>46222.4021412035</v>
      </c>
      <c r="P115" s="1005" t="n">
        <f aca="false">O115+(E114*NDDaysInYEar/12)</f>
        <v>46587.6570138887</v>
      </c>
      <c r="Q115" s="1005" t="n">
        <f aca="false">P115+(E114*NDDaysInYEar/12)</f>
        <v>46952.9118865739</v>
      </c>
      <c r="R115" s="1005" t="n">
        <f aca="false">Q115+(E114*NDDaysInYEar/12)</f>
        <v>47318.1667592591</v>
      </c>
      <c r="S115" s="1005" t="n">
        <f aca="false">R115+(E114*NDDaysInYEar/12)</f>
        <v>47683.4216319442</v>
      </c>
    </row>
    <row r="116" s="206" customFormat="true" ht="15" hidden="false" customHeight="false" outlineLevel="0" collapsed="false">
      <c r="A116" s="206" t="str">
        <f aca="false">VLOOKUP(C103,NDasaSeq,12,0)</f>
        <v>Le</v>
      </c>
      <c r="B116" s="206" t="n">
        <f aca="false">VLOOKUP(A116,NDasaC,3,0)</f>
        <v>-1</v>
      </c>
      <c r="C116" s="998" t="e">
        <f aca="false">IF(MATCH(VLOOKUP(IF((A116="Aq"),VLOOKUP("AqLord",DivCharts,D102,0),IF((A116="Sc"),VLOOKUP("ScLord",DivCharts,D102,0),VLOOKUP(A116,RsInfo,9,0))),DivCharts,D102,0),RsTbl,0)=MATCH(VLOOKUP(IF((A116="Aq"),VLOOKUP("AqLord",DivCharts,D102,0),IF((A116="Sc"),VLOOKUP("ScLord",DivCharts,D102,0),VLOOKUP(A116,RsInfo,9,0))),PlanetData,8,0),RsTbl,0),1,IF(MATCH(VLOOKUP(IF((A116="Aq"),VLOOKUP("AqLord",DivCharts,D102,0),IF((A116="Sc"),VLOOKUP("ScLord",DivCharts,D102,0),VLOOKUP(A116,RsInfo,9,0))),DivCharts,D102,0),RsTbl,0)=MOD(MATCH(VLOOKUP(IF((A116="Aq"),VLOOKUP("AqLord",DivCharts,D102,0),IF((A116="Sc"),VLOOKUP("ScLord",DivCharts,D102,0),VLOOKUP(A116,RsInfo,9,0))),PlanetData,8,0),RsTbl,0)+6,12),-1,0))</f>
        <v>#N/A</v>
      </c>
      <c r="D116" s="998" t="n">
        <f aca="false">MOD((MATCH(VLOOKUP(IF((A116="Aq"),VLOOKUP("AqLord",DivCharts,D102,0),IF((A116="Sc"),VLOOKUP("ScLord",DivCharts,D102,0),VLOOKUP(A116,RsInfo,9,0))),DivCharts,D102,0),RsTbl,0)*B116)-(B116*MATCH(A116,RsTbl,0))+12,12)</f>
        <v>10</v>
      </c>
      <c r="E116" s="206" t="n">
        <f aca="false">IF(ISNA(MATCH((D116+C116),,0)),(D116+C116),12)</f>
        <v>12</v>
      </c>
      <c r="F116" s="1005" t="n">
        <f aca="false">G114</f>
        <v>48048.6765046294</v>
      </c>
      <c r="G116" s="1005" t="n">
        <f aca="false">F116+E116*NDDaysInYEar</f>
        <v>52431.7349768516</v>
      </c>
      <c r="H116" s="992" t="s">
        <v>711</v>
      </c>
      <c r="I116" s="206" t="str">
        <f aca="false">INDEX(SignSym,MOD(B116+MATCH(H116,SignSym,0)-1,12)+1)</f>
        <v>Le</v>
      </c>
      <c r="J116" s="206" t="str">
        <f aca="false">INDEX(SignSym,MOD(B116+MATCH(I116,SignSym,0)-1,12)+1)</f>
        <v>Cn</v>
      </c>
      <c r="K116" s="206" t="str">
        <f aca="false">INDEX(SignSym,MOD(B116+MATCH(J116,SignSym,0)-1,12)+1)</f>
        <v>Ge</v>
      </c>
      <c r="L116" s="206" t="str">
        <f aca="false">INDEX(SignSym,MOD(B116+MATCH(K116,SignSym,0)-1,12)+1)</f>
        <v>Ta</v>
      </c>
      <c r="M116" s="206" t="str">
        <f aca="false">INDEX(SignSym,MOD(B116+MATCH(L116,SignSym,0)-1,12)+1)</f>
        <v>Ar</v>
      </c>
      <c r="N116" s="206" t="str">
        <f aca="false">INDEX(SignSym,MOD(B116+MATCH(M116,SignSym,0)-1,12)+1)</f>
        <v>Pi</v>
      </c>
      <c r="O116" s="206" t="str">
        <f aca="false">INDEX(SignSym,MOD(B116+MATCH(N116,SignSym,0)-1,12)+1)</f>
        <v>Aq</v>
      </c>
      <c r="P116" s="206" t="str">
        <f aca="false">INDEX(SignSym,MOD(B116+MATCH(O116,SignSym,0)-1,12)+1)</f>
        <v>Cp</v>
      </c>
      <c r="Q116" s="206" t="str">
        <f aca="false">INDEX(SignSym,MOD(B116+MATCH(P116,SignSym,0)-1,12)+1)</f>
        <v>Sg</v>
      </c>
      <c r="R116" s="206" t="str">
        <f aca="false">INDEX(SignSym,MOD(B116+MATCH(Q116,SignSym,0)-1,12)+1)</f>
        <v>Sc</v>
      </c>
      <c r="S116" s="206" t="str">
        <f aca="false">INDEX(SignSym,MOD(B116+MATCH(R116,SignSym,0)-1,12)+1)</f>
        <v>Li</v>
      </c>
    </row>
    <row r="117" s="206" customFormat="true" ht="15" hidden="true" customHeight="false" outlineLevel="0" collapsed="false">
      <c r="C117" s="998"/>
      <c r="D117" s="998"/>
      <c r="F117" s="1005"/>
      <c r="G117" s="1005"/>
      <c r="H117" s="1005" t="n">
        <f aca="false">F116</f>
        <v>48048.6765046294</v>
      </c>
      <c r="I117" s="1005" t="n">
        <f aca="false">H117+(E116*NDDaysInYEar/12)</f>
        <v>48413.9313773146</v>
      </c>
      <c r="J117" s="1005" t="n">
        <f aca="false">I117+(E116*NDDaysInYEar/12)</f>
        <v>48779.1862499998</v>
      </c>
      <c r="K117" s="1005" t="n">
        <f aca="false">J117+(E116*NDDaysInYEar/12)</f>
        <v>49144.441122685</v>
      </c>
      <c r="L117" s="1005" t="n">
        <f aca="false">K117+(E116*NDDaysInYEar/12)</f>
        <v>49509.6959953701</v>
      </c>
      <c r="M117" s="1005" t="n">
        <f aca="false">L117+(E116*NDDaysInYEar/12)</f>
        <v>49874.9508680553</v>
      </c>
      <c r="N117" s="1005" t="n">
        <f aca="false">M117+(E116*NDDaysInYEar/12)</f>
        <v>50240.2057407405</v>
      </c>
      <c r="O117" s="1005" t="n">
        <f aca="false">N117+(E116*NDDaysInYEar/12)</f>
        <v>50605.4606134257</v>
      </c>
      <c r="P117" s="1005" t="n">
        <f aca="false">O117+(E116*NDDaysInYEar/12)</f>
        <v>50970.7154861109</v>
      </c>
      <c r="Q117" s="1005" t="n">
        <f aca="false">P117+(E116*NDDaysInYEar/12)</f>
        <v>51335.9703587961</v>
      </c>
      <c r="R117" s="1005" t="n">
        <f aca="false">Q117+(E116*NDDaysInYEar/12)</f>
        <v>51701.2252314812</v>
      </c>
      <c r="S117" s="1005" t="n">
        <f aca="false">R117+(E116*NDDaysInYEar/12)</f>
        <v>52066.4801041664</v>
      </c>
    </row>
    <row r="118" s="206" customFormat="true" ht="15" hidden="false" customHeight="false" outlineLevel="0" collapsed="false">
      <c r="A118" s="206" t="str">
        <f aca="false">VLOOKUP(C103,NDasaSeq,13,0)</f>
        <v>Cn</v>
      </c>
      <c r="B118" s="206" t="n">
        <f aca="false">VLOOKUP(A118,NDasaC,3,0)</f>
        <v>-1</v>
      </c>
      <c r="C118" s="998" t="e">
        <f aca="false">IF(MATCH(VLOOKUP(IF((A118="Aq"),VLOOKUP("AqLord",DivCharts,D102,0),IF((A118="Sc"),VLOOKUP("ScLord",DivCharts,D102,0),VLOOKUP(A118,RsInfo,9,0))),DivCharts,D102,0),RsTbl,0)=MATCH(VLOOKUP(IF((A118="Aq"),VLOOKUP("AqLord",DivCharts,D102,0),IF((A118="Sc"),VLOOKUP("ScLord",DivCharts,D102,0),VLOOKUP(A118,RsInfo,9,0))),PlanetData,8,0),RsTbl,0),1,IF(MATCH(VLOOKUP(IF((A118="Aq"),VLOOKUP("AqLord",DivCharts,D102,0),IF((A118="Sc"),VLOOKUP("ScLord",DivCharts,D102,0),VLOOKUP(A118,RsInfo,9,0))),DivCharts,D102,0),RsTbl,0)=MOD(MATCH(VLOOKUP(IF((A118="Aq"),VLOOKUP("AqLord",DivCharts,D102,0),IF((A118="Sc"),VLOOKUP("ScLord",DivCharts,D102,0),VLOOKUP(A118,RsInfo,9,0))),PlanetData,8,0),RsTbl,0)+6,12),-1,0))</f>
        <v>#N/A</v>
      </c>
      <c r="D118" s="998" t="n">
        <f aca="false">MOD((MATCH(VLOOKUP(IF((A118="Aq"),VLOOKUP("AqLord",DivCharts,D102,0),IF((A118="Sc"),VLOOKUP("ScLord",DivCharts,D102,0),VLOOKUP(A118,RsInfo,9,0))),DivCharts,D102,0),RsTbl,0)*B118)-(B118*MATCH(A118,RsTbl,0))+12,12)</f>
        <v>0</v>
      </c>
      <c r="E118" s="206" t="n">
        <f aca="false">IF(ISNA(MATCH((D118+C118),,0)),(D118+C118),12)</f>
        <v>12</v>
      </c>
      <c r="F118" s="1005" t="n">
        <f aca="false">G116</f>
        <v>52431.7349768516</v>
      </c>
      <c r="G118" s="1005" t="n">
        <f aca="false">F118+E118*NDDaysInYEar</f>
        <v>56814.7934490738</v>
      </c>
      <c r="H118" s="992" t="s">
        <v>699</v>
      </c>
      <c r="I118" s="206" t="str">
        <f aca="false">INDEX(SignSym,MOD(B118+MATCH(H118,SignSym,0)-1,12)+1)</f>
        <v>Cp</v>
      </c>
      <c r="J118" s="206" t="str">
        <f aca="false">INDEX(SignSym,MOD(B118+MATCH(I118,SignSym,0)-1,12)+1)</f>
        <v>Sg</v>
      </c>
      <c r="K118" s="206" t="str">
        <f aca="false">INDEX(SignSym,MOD(B118+MATCH(J118,SignSym,0)-1,12)+1)</f>
        <v>Sc</v>
      </c>
      <c r="L118" s="206" t="str">
        <f aca="false">INDEX(SignSym,MOD(B118+MATCH(K118,SignSym,0)-1,12)+1)</f>
        <v>Li</v>
      </c>
      <c r="M118" s="206" t="str">
        <f aca="false">INDEX(SignSym,MOD(B118+MATCH(L118,SignSym,0)-1,12)+1)</f>
        <v>Vi</v>
      </c>
      <c r="N118" s="206" t="str">
        <f aca="false">INDEX(SignSym,MOD(B118+MATCH(M118,SignSym,0)-1,12)+1)</f>
        <v>Le</v>
      </c>
      <c r="O118" s="206" t="str">
        <f aca="false">INDEX(SignSym,MOD(B118+MATCH(N118,SignSym,0)-1,12)+1)</f>
        <v>Cn</v>
      </c>
      <c r="P118" s="206" t="str">
        <f aca="false">INDEX(SignSym,MOD(B118+MATCH(O118,SignSym,0)-1,12)+1)</f>
        <v>Ge</v>
      </c>
      <c r="Q118" s="206" t="str">
        <f aca="false">INDEX(SignSym,MOD(B118+MATCH(P118,SignSym,0)-1,12)+1)</f>
        <v>Ta</v>
      </c>
      <c r="R118" s="206" t="str">
        <f aca="false">INDEX(SignSym,MOD(B118+MATCH(Q118,SignSym,0)-1,12)+1)</f>
        <v>Ar</v>
      </c>
      <c r="S118" s="206" t="str">
        <f aca="false">INDEX(SignSym,MOD(B118+MATCH(R118,SignSym,0)-1,12)+1)</f>
        <v>Pi</v>
      </c>
    </row>
    <row r="119" s="206" customFormat="true" ht="15" hidden="true" customHeight="false" outlineLevel="0" collapsed="false">
      <c r="C119" s="998"/>
      <c r="D119" s="998"/>
      <c r="F119" s="1005"/>
      <c r="G119" s="1005"/>
      <c r="H119" s="1005" t="n">
        <f aca="false">F118</f>
        <v>52431.7349768516</v>
      </c>
      <c r="I119" s="1005" t="n">
        <f aca="false">H119+(E118*NDDaysInYEar/12)</f>
        <v>52796.9898495368</v>
      </c>
      <c r="J119" s="1005" t="n">
        <f aca="false">I119+(E118*NDDaysInYEar/12)</f>
        <v>53162.244722222</v>
      </c>
      <c r="K119" s="1005" t="n">
        <f aca="false">J119+(E118*NDDaysInYEar/12)</f>
        <v>53527.4995949071</v>
      </c>
      <c r="L119" s="1005" t="n">
        <f aca="false">K119+(E118*NDDaysInYEar/12)</f>
        <v>53892.7544675923</v>
      </c>
      <c r="M119" s="1005" t="n">
        <f aca="false">L119+(E118*NDDaysInYEar/12)</f>
        <v>54258.0093402775</v>
      </c>
      <c r="N119" s="1005" t="n">
        <f aca="false">M119+(E118*NDDaysInYEar/12)</f>
        <v>54623.2642129627</v>
      </c>
      <c r="O119" s="1005" t="n">
        <f aca="false">N119+(E118*NDDaysInYEar/12)</f>
        <v>54988.5190856479</v>
      </c>
      <c r="P119" s="1005" t="n">
        <f aca="false">O119+(E118*NDDaysInYEar/12)</f>
        <v>55353.7739583331</v>
      </c>
      <c r="Q119" s="1005" t="n">
        <f aca="false">P119+(E118*NDDaysInYEar/12)</f>
        <v>55719.0288310182</v>
      </c>
      <c r="R119" s="1005" t="n">
        <f aca="false">Q119+(E118*NDDaysInYEar/12)</f>
        <v>56084.2837037034</v>
      </c>
      <c r="S119" s="1005" t="n">
        <f aca="false">R119+(E118*NDDaysInYEar/12)</f>
        <v>56449.5385763886</v>
      </c>
    </row>
    <row r="120" s="206" customFormat="true" ht="15" hidden="false" customHeight="false" outlineLevel="0" collapsed="false">
      <c r="A120" s="206" t="str">
        <f aca="false">VLOOKUP(C103,NDasaSeq,14,0)</f>
        <v>Ge</v>
      </c>
      <c r="B120" s="206" t="n">
        <f aca="false">VLOOKUP(A120,NDasaC,3,0)</f>
        <v>1</v>
      </c>
      <c r="C120" s="998" t="e">
        <f aca="false">IF(MATCH(VLOOKUP(IF((A120="Aq"),VLOOKUP("AqLord",DivCharts,D102,0),IF((A120="Sc"),VLOOKUP("ScLord",DivCharts,D102,0),VLOOKUP(A120,RsInfo,9,0))),DivCharts,D102,0),RsTbl,0)=MATCH(VLOOKUP(IF((A120="Aq"),VLOOKUP("AqLord",DivCharts,D102,0),IF((A120="Sc"),VLOOKUP("ScLord",DivCharts,D102,0),VLOOKUP(A120,RsInfo,9,0))),PlanetData,8,0),RsTbl,0),1,IF(MATCH(VLOOKUP(IF((A120="Aq"),VLOOKUP("AqLord",DivCharts,D102,0),IF((A120="Sc"),VLOOKUP("ScLord",DivCharts,D102,0),VLOOKUP(A120,RsInfo,9,0))),DivCharts,D102,0),RsTbl,0)=MOD(MATCH(VLOOKUP(IF((A120="Aq"),VLOOKUP("AqLord",DivCharts,D102,0),IF((A120="Sc"),VLOOKUP("ScLord",DivCharts,D102,0),VLOOKUP(A120,RsInfo,9,0))),PlanetData,8,0),RsTbl,0)+6,12),-1,0))</f>
        <v>#N/A</v>
      </c>
      <c r="D120" s="998" t="n">
        <f aca="false">MOD((MATCH(VLOOKUP(IF((A120="Aq"),VLOOKUP("AqLord",DivCharts,D102,0),IF((A120="Sc"),VLOOKUP("ScLord",DivCharts,D102,0),VLOOKUP(A120,RsInfo,9,0))),DivCharts,D102,0),RsTbl,0)*B120)-(B120*MATCH(A120,RsTbl,0))+12,12)</f>
        <v>1</v>
      </c>
      <c r="E120" s="206" t="n">
        <f aca="false">IF(ISNA(MATCH((D120+C120),,0)),(D120+C120),12)</f>
        <v>12</v>
      </c>
      <c r="F120" s="1005" t="n">
        <f aca="false">G118</f>
        <v>56814.7934490738</v>
      </c>
      <c r="G120" s="1005" t="n">
        <f aca="false">F120+E120*NDDaysInYEar</f>
        <v>61197.851921296</v>
      </c>
      <c r="H120" s="992" t="s">
        <v>703</v>
      </c>
      <c r="I120" s="206" t="str">
        <f aca="false">INDEX(SignSym,MOD(B120+MATCH(H120,SignSym,0)-1,12)+1)</f>
        <v>Le</v>
      </c>
      <c r="J120" s="206" t="str">
        <f aca="false">INDEX(SignSym,MOD(B120+MATCH(I120,SignSym,0)-1,12)+1)</f>
        <v>Vi</v>
      </c>
      <c r="K120" s="206" t="str">
        <f aca="false">INDEX(SignSym,MOD(B120+MATCH(J120,SignSym,0)-1,12)+1)</f>
        <v>Li</v>
      </c>
      <c r="L120" s="206" t="str">
        <f aca="false">INDEX(SignSym,MOD(B120+MATCH(K120,SignSym,0)-1,12)+1)</f>
        <v>Sc</v>
      </c>
      <c r="M120" s="206" t="str">
        <f aca="false">INDEX(SignSym,MOD(B120+MATCH(L120,SignSym,0)-1,12)+1)</f>
        <v>Sg</v>
      </c>
      <c r="N120" s="206" t="str">
        <f aca="false">INDEX(SignSym,MOD(B120+MATCH(M120,SignSym,0)-1,12)+1)</f>
        <v>Cp</v>
      </c>
      <c r="O120" s="206" t="str">
        <f aca="false">INDEX(SignSym,MOD(B120+MATCH(N120,SignSym,0)-1,12)+1)</f>
        <v>Aq</v>
      </c>
      <c r="P120" s="206" t="str">
        <f aca="false">INDEX(SignSym,MOD(B120+MATCH(O120,SignSym,0)-1,12)+1)</f>
        <v>Pi</v>
      </c>
      <c r="Q120" s="206" t="str">
        <f aca="false">INDEX(SignSym,MOD(B120+MATCH(P120,SignSym,0)-1,12)+1)</f>
        <v>Ar</v>
      </c>
      <c r="R120" s="206" t="str">
        <f aca="false">INDEX(SignSym,MOD(B120+MATCH(Q120,SignSym,0)-1,12)+1)</f>
        <v>Ta</v>
      </c>
      <c r="S120" s="206" t="str">
        <f aca="false">INDEX(SignSym,MOD(B120+MATCH(R120,SignSym,0)-1,12)+1)</f>
        <v>Ge</v>
      </c>
    </row>
    <row r="121" s="206" customFormat="true" ht="15" hidden="true" customHeight="false" outlineLevel="0" collapsed="false">
      <c r="C121" s="998"/>
      <c r="D121" s="998"/>
      <c r="F121" s="1005"/>
      <c r="G121" s="1005"/>
      <c r="H121" s="1005" t="n">
        <f aca="false">F120</f>
        <v>56814.7934490738</v>
      </c>
      <c r="I121" s="1005" t="n">
        <f aca="false">H121+(E120*NDDaysInYEar/12)</f>
        <v>57180.048321759</v>
      </c>
      <c r="J121" s="1005" t="n">
        <f aca="false">I121+(E120*NDDaysInYEar/12)</f>
        <v>57545.3031944441</v>
      </c>
      <c r="K121" s="1005" t="n">
        <f aca="false">J121+(E120*NDDaysInYEar/12)</f>
        <v>57910.5580671293</v>
      </c>
      <c r="L121" s="1005" t="n">
        <f aca="false">K121+(E120*NDDaysInYEar/12)</f>
        <v>58275.8129398145</v>
      </c>
      <c r="M121" s="1005" t="n">
        <f aca="false">L121+(E120*NDDaysInYEar/12)</f>
        <v>58641.0678124997</v>
      </c>
      <c r="N121" s="1005" t="n">
        <f aca="false">M121+(E120*NDDaysInYEar/12)</f>
        <v>59006.3226851849</v>
      </c>
      <c r="O121" s="1005" t="n">
        <f aca="false">N121+(E120*NDDaysInYEar/12)</f>
        <v>59371.5775578701</v>
      </c>
      <c r="P121" s="1005" t="n">
        <f aca="false">O121+(E120*NDDaysInYEar/12)</f>
        <v>59736.8324305552</v>
      </c>
      <c r="Q121" s="1005" t="n">
        <f aca="false">P121+(E120*NDDaysInYEar/12)</f>
        <v>60102.0873032404</v>
      </c>
      <c r="R121" s="1005" t="n">
        <f aca="false">Q121+(E120*NDDaysInYEar/12)</f>
        <v>60467.3421759256</v>
      </c>
      <c r="S121" s="1005" t="n">
        <f aca="false">R121+(E120*NDDaysInYEar/12)</f>
        <v>60832.5970486108</v>
      </c>
    </row>
    <row r="122" s="206" customFormat="true" ht="15" hidden="false" customHeight="false" outlineLevel="0" collapsed="false">
      <c r="A122" s="206" t="str">
        <f aca="false">VLOOKUP(C103,NDasaSeq,15,0)</f>
        <v>Ta</v>
      </c>
      <c r="B122" s="206" t="n">
        <f aca="false">VLOOKUP(A122,NDasaC,3,0)</f>
        <v>1</v>
      </c>
      <c r="C122" s="998" t="e">
        <f aca="false">IF(MATCH(VLOOKUP(IF((A122="Aq"),VLOOKUP("AqLord",DivCharts,D102,0),IF((A122="Sc"),VLOOKUP("ScLord",DivCharts,D102,0),VLOOKUP(A122,RsInfo,9,0))),DivCharts,D102,0),RsTbl,0)=MATCH(VLOOKUP(IF((A122="Aq"),VLOOKUP("AqLord",DivCharts,D102,0),IF((A122="Sc"),VLOOKUP("ScLord",DivCharts,D102,0),VLOOKUP(A122,RsInfo,9,0))),PlanetData,8,0),RsTbl,0),1,IF(MATCH(VLOOKUP(IF((A122="Aq"),VLOOKUP("AqLord",DivCharts,D102,0),IF((A122="Sc"),VLOOKUP("ScLord",DivCharts,D102,0),VLOOKUP(A122,RsInfo,9,0))),DivCharts,D102,0),RsTbl,0)=MOD(MATCH(VLOOKUP(IF((A122="Aq"),VLOOKUP("AqLord",DivCharts,D102,0),IF((A122="Sc"),VLOOKUP("ScLord",DivCharts,D102,0),VLOOKUP(A122,RsInfo,9,0))),PlanetData,8,0),RsTbl,0)+6,12),-1,0))</f>
        <v>#N/A</v>
      </c>
      <c r="D122" s="998" t="n">
        <f aca="false">MOD((MATCH(VLOOKUP(IF((A122="Aq"),VLOOKUP("AqLord",DivCharts,D102,0),IF((A122="Sc"),VLOOKUP("ScLord",DivCharts,D102,0),VLOOKUP(A122,RsInfo,9,0))),DivCharts,D102,0),RsTbl,0)*B122)-(B122*MATCH(A122,RsTbl,0))+12,12)</f>
        <v>4</v>
      </c>
      <c r="E122" s="206" t="n">
        <f aca="false">IF(ISNA(MATCH((D122+C122),,0)),(D122+C122),12)</f>
        <v>12</v>
      </c>
      <c r="F122" s="1005" t="n">
        <f aca="false">G120</f>
        <v>61197.851921296</v>
      </c>
      <c r="G122" s="1005" t="n">
        <f aca="false">F122+E122*NDDaysInYEar</f>
        <v>65580.9103935182</v>
      </c>
      <c r="H122" s="992" t="str">
        <f aca="false">A122</f>
        <v>Ta</v>
      </c>
      <c r="I122" s="206" t="str">
        <f aca="false">INDEX(SignSym,MOD(B122+MATCH(H122,SignSym,0)-1,12)+1)</f>
        <v>Ge</v>
      </c>
      <c r="J122" s="206" t="str">
        <f aca="false">INDEX(SignSym,MOD(B122+MATCH(I122,SignSym,0)-1,12)+1)</f>
        <v>Cn</v>
      </c>
      <c r="K122" s="206" t="str">
        <f aca="false">INDEX(SignSym,MOD(B122+MATCH(J122,SignSym,0)-1,12)+1)</f>
        <v>Le</v>
      </c>
      <c r="L122" s="206" t="str">
        <f aca="false">INDEX(SignSym,MOD(B122+MATCH(K122,SignSym,0)-1,12)+1)</f>
        <v>Vi</v>
      </c>
      <c r="M122" s="206" t="str">
        <f aca="false">INDEX(SignSym,MOD(B122+MATCH(L122,SignSym,0)-1,12)+1)</f>
        <v>Li</v>
      </c>
      <c r="N122" s="206" t="str">
        <f aca="false">INDEX(SignSym,MOD(B122+MATCH(M122,SignSym,0)-1,12)+1)</f>
        <v>Sc</v>
      </c>
      <c r="O122" s="206" t="str">
        <f aca="false">INDEX(SignSym,MOD(B122+MATCH(N122,SignSym,0)-1,12)+1)</f>
        <v>Sg</v>
      </c>
      <c r="P122" s="206" t="str">
        <f aca="false">INDEX(SignSym,MOD(B122+MATCH(O122,SignSym,0)-1,12)+1)</f>
        <v>Cp</v>
      </c>
      <c r="Q122" s="206" t="str">
        <f aca="false">INDEX(SignSym,MOD(B122+MATCH(P122,SignSym,0)-1,12)+1)</f>
        <v>Aq</v>
      </c>
      <c r="R122" s="206" t="str">
        <f aca="false">INDEX(SignSym,MOD(B122+MATCH(Q122,SignSym,0)-1,12)+1)</f>
        <v>Pi</v>
      </c>
      <c r="S122" s="206" t="str">
        <f aca="false">INDEX(SignSym,MOD(B122+MATCH(R122,SignSym,0)-1,12)+1)</f>
        <v>Ar</v>
      </c>
    </row>
    <row r="123" s="206" customFormat="true" ht="12.75" hidden="true" customHeight="true" outlineLevel="0" collapsed="false">
      <c r="C123" s="998"/>
      <c r="D123" s="998"/>
      <c r="F123" s="1005"/>
      <c r="G123" s="1005"/>
      <c r="H123" s="1005" t="n">
        <f aca="false">F122</f>
        <v>61197.851921296</v>
      </c>
      <c r="I123" s="1005" t="n">
        <f aca="false">H123+(E122*NDDaysInYEar/12)</f>
        <v>61563.1067939812</v>
      </c>
      <c r="J123" s="1005" t="n">
        <f aca="false">I123+(E122*NDDaysInYEar/12)</f>
        <v>61928.3616666663</v>
      </c>
      <c r="K123" s="1005" t="n">
        <f aca="false">J123+(E122*NDDaysInYEar/12)</f>
        <v>62293.6165393515</v>
      </c>
      <c r="L123" s="1005" t="n">
        <f aca="false">K123+(E122*NDDaysInYEar/12)</f>
        <v>62658.8714120367</v>
      </c>
      <c r="M123" s="1005" t="n">
        <f aca="false">L123+(E122*NDDaysInYEar/12)</f>
        <v>63024.1262847219</v>
      </c>
      <c r="N123" s="1005" t="n">
        <f aca="false">M123+(E122*NDDaysInYEar/12)</f>
        <v>63389.3811574071</v>
      </c>
      <c r="O123" s="1005" t="n">
        <f aca="false">N123+(E122*NDDaysInYEar/12)</f>
        <v>63754.6360300922</v>
      </c>
      <c r="P123" s="1005" t="n">
        <f aca="false">O123+(E122*NDDaysInYEar/12)</f>
        <v>64119.8909027774</v>
      </c>
      <c r="Q123" s="1005" t="n">
        <f aca="false">P123+(E122*NDDaysInYEar/12)</f>
        <v>64485.1457754626</v>
      </c>
      <c r="R123" s="1005" t="n">
        <f aca="false">Q123+(E122*NDDaysInYEar/12)</f>
        <v>64850.4006481478</v>
      </c>
      <c r="S123" s="1005" t="n">
        <f aca="false">R123+(E122*NDDaysInYEar/12)</f>
        <v>65215.655520833</v>
      </c>
    </row>
    <row r="124" s="206" customFormat="true" ht="15" hidden="false" customHeight="false" outlineLevel="0" collapsed="false">
      <c r="A124" s="206" t="str">
        <f aca="false">VLOOKUP(C103,NDasaSeq,16,0)</f>
        <v>Ar</v>
      </c>
      <c r="B124" s="206" t="n">
        <f aca="false">VLOOKUP(A124,NDasaC,3,0)</f>
        <v>1</v>
      </c>
      <c r="C124" s="998" t="e">
        <f aca="false">IF(MATCH(VLOOKUP(IF((A124="Aq"),VLOOKUP("AqLord",DivCharts,D102,0),IF((A124="Sc"),VLOOKUP("ScLord",DivCharts,D102,0),VLOOKUP(A124,RsInfo,9,0))),DivCharts,D102,0),RsTbl,0)=MATCH(VLOOKUP(IF((A124="Aq"),VLOOKUP("AqLord",DivCharts,D102,0),IF((A124="Sc"),VLOOKUP("ScLord",DivCharts,D102,0),VLOOKUP(A124,RsInfo,9,0))),PlanetData,8,0),RsTbl,0),1,IF(MATCH(VLOOKUP(IF((A124="Aq"),VLOOKUP("AqLord",DivCharts,D102,0),IF((A124="Sc"),VLOOKUP("ScLord",DivCharts,D102,0),VLOOKUP(A124,RsInfo,9,0))),DivCharts,D102,0),RsTbl,0)=MOD(MATCH(VLOOKUP(IF((A124="Aq"),VLOOKUP("AqLord",DivCharts,D102,0),IF((A124="Sc"),VLOOKUP("ScLord",DivCharts,D102,0),VLOOKUP(A124,RsInfo,9,0))),PlanetData,8,0),RsTbl,0)+6,12),-1,0))</f>
        <v>#N/A</v>
      </c>
      <c r="D124" s="998" t="n">
        <f aca="false">MOD((MATCH(VLOOKUP(IF((A124="Aq"),VLOOKUP("AqLord",DivCharts,D102,0),IF((A124="Sc"),VLOOKUP("ScLord",DivCharts,D102,0),VLOOKUP(A124,RsInfo,9,0))),DivCharts,D102,0),RsTbl,0)*B124)-(B124*MATCH(A124,RsTbl,0))+12,12)</f>
        <v>9</v>
      </c>
      <c r="E124" s="206" t="n">
        <f aca="false">IF(ISNA(MATCH((D124+C124),,0)),(D124+C124),12)</f>
        <v>12</v>
      </c>
      <c r="F124" s="1005" t="n">
        <f aca="false">G122</f>
        <v>65580.9103935182</v>
      </c>
      <c r="G124" s="1005" t="n">
        <f aca="false">F124+E124*NDDaysInYEar</f>
        <v>69963.9688657403</v>
      </c>
      <c r="H124" s="992" t="str">
        <f aca="false">A124</f>
        <v>Ar</v>
      </c>
      <c r="I124" s="206" t="str">
        <f aca="false">INDEX(SignSym,MOD(B124+MATCH(H124,SignSym,0)-1,12)+1)</f>
        <v>Ta</v>
      </c>
      <c r="J124" s="206" t="str">
        <f aca="false">INDEX(SignSym,MOD(B124+MATCH(I124,SignSym,0)-1,12)+1)</f>
        <v>Ge</v>
      </c>
      <c r="K124" s="206" t="str">
        <f aca="false">INDEX(SignSym,MOD(B124+MATCH(J124,SignSym,0)-1,12)+1)</f>
        <v>Cn</v>
      </c>
      <c r="L124" s="206" t="str">
        <f aca="false">INDEX(SignSym,MOD(B124+MATCH(K124,SignSym,0)-1,12)+1)</f>
        <v>Le</v>
      </c>
      <c r="M124" s="206" t="str">
        <f aca="false">INDEX(SignSym,MOD(B124+MATCH(L124,SignSym,0)-1,12)+1)</f>
        <v>Vi</v>
      </c>
      <c r="N124" s="206" t="str">
        <f aca="false">INDEX(SignSym,MOD(B124+MATCH(M124,SignSym,0)-1,12)+1)</f>
        <v>Li</v>
      </c>
      <c r="O124" s="206" t="str">
        <f aca="false">INDEX(SignSym,MOD(B124+MATCH(N124,SignSym,0)-1,12)+1)</f>
        <v>Sc</v>
      </c>
      <c r="P124" s="206" t="str">
        <f aca="false">INDEX(SignSym,MOD(B124+MATCH(O124,SignSym,0)-1,12)+1)</f>
        <v>Sg</v>
      </c>
      <c r="Q124" s="206" t="str">
        <f aca="false">INDEX(SignSym,MOD(B124+MATCH(P124,SignSym,0)-1,12)+1)</f>
        <v>Cp</v>
      </c>
      <c r="R124" s="206" t="str">
        <f aca="false">INDEX(SignSym,MOD(B124+MATCH(Q124,SignSym,0)-1,12)+1)</f>
        <v>Aq</v>
      </c>
      <c r="S124" s="206" t="str">
        <f aca="false">INDEX(SignSym,MOD(B124+MATCH(R124,SignSym,0)-1,12)+1)</f>
        <v>Pi</v>
      </c>
    </row>
    <row r="125" s="206" customFormat="true" ht="12.75" hidden="true" customHeight="true" outlineLevel="0" collapsed="false">
      <c r="C125" s="998"/>
      <c r="D125" s="998"/>
      <c r="F125" s="1005"/>
      <c r="G125" s="1005"/>
      <c r="H125" s="1005" t="n">
        <f aca="false">F124</f>
        <v>65580.9103935182</v>
      </c>
      <c r="I125" s="1005" t="n">
        <f aca="false">H125+(E124*NDDaysInYEar/12)</f>
        <v>65946.1652662033</v>
      </c>
      <c r="J125" s="1005" t="n">
        <f aca="false">I125+(E124*NDDaysInYEar/12)</f>
        <v>66311.4201388885</v>
      </c>
      <c r="K125" s="1005" t="n">
        <f aca="false">J125+(E124*NDDaysInYEar/12)</f>
        <v>66676.6750115737</v>
      </c>
      <c r="L125" s="1005" t="n">
        <f aca="false">K125+(E124*NDDaysInYEar/12)</f>
        <v>67041.9298842589</v>
      </c>
      <c r="M125" s="1005" t="n">
        <f aca="false">L125+(E124*NDDaysInYEar/12)</f>
        <v>67407.1847569441</v>
      </c>
      <c r="N125" s="1005" t="n">
        <f aca="false">M125+(E124*NDDaysInYEar/12)</f>
        <v>67772.4396296292</v>
      </c>
      <c r="O125" s="1005" t="n">
        <f aca="false">N125+(E124*NDDaysInYEar/12)</f>
        <v>68137.6945023144</v>
      </c>
      <c r="P125" s="1005" t="n">
        <f aca="false">O125+(E124*NDDaysInYEar/12)</f>
        <v>68502.9493749996</v>
      </c>
      <c r="Q125" s="1005" t="n">
        <f aca="false">P125+(E124*NDDaysInYEar/12)</f>
        <v>68868.2042476848</v>
      </c>
      <c r="R125" s="1005" t="n">
        <f aca="false">Q125+(E124*NDDaysInYEar/12)</f>
        <v>69233.45912037</v>
      </c>
      <c r="S125" s="1005" t="n">
        <f aca="false">R125+(E124*NDDaysInYEar/12)</f>
        <v>69598.7139930552</v>
      </c>
    </row>
    <row r="126" s="206" customFormat="true" ht="15" hidden="false" customHeight="false" outlineLevel="0" collapsed="false">
      <c r="A126" s="206" t="str">
        <f aca="false">VLOOKUP(C103,NDasaSeq,17,0)</f>
        <v>Pi</v>
      </c>
      <c r="B126" s="206" t="n">
        <f aca="false">VLOOKUP(A126,NDasaC,3,0)</f>
        <v>-1</v>
      </c>
      <c r="C126" s="998" t="e">
        <f aca="false">IF(MATCH(VLOOKUP(IF((A126="Aq"),VLOOKUP("AqLord",DivCharts,D102,0),IF((A126="Sc"),VLOOKUP("ScLord",DivCharts,D102,0),VLOOKUP(A126,RsInfo,9,0))),DivCharts,D102,0),RsTbl,0)=MATCH(VLOOKUP(IF((A126="Aq"),VLOOKUP("AqLord",DivCharts,D102,0),IF((A126="Sc"),VLOOKUP("ScLord",DivCharts,D102,0),VLOOKUP(A126,RsInfo,9,0))),PlanetData,8,0),RsTbl,0),1,IF(MATCH(VLOOKUP(IF((A126="Aq"),VLOOKUP("AqLord",DivCharts,D102,0),IF((A126="Sc"),VLOOKUP("ScLord",DivCharts,D102,0),VLOOKUP(A126,RsInfo,9,0))),DivCharts,D102,0),RsTbl,0)=MOD(MATCH(VLOOKUP(IF((A126="Aq"),VLOOKUP("AqLord",DivCharts,D102,0),IF((A126="Sc"),VLOOKUP("ScLord",DivCharts,D102,0),VLOOKUP(A126,RsInfo,9,0))),PlanetData,8,0),RsTbl,0)+6,12),-1,0))</f>
        <v>#N/A</v>
      </c>
      <c r="D126" s="998" t="n">
        <f aca="false">MOD((MATCH(VLOOKUP(IF((A126="Aq"),VLOOKUP("AqLord",DivCharts,D102,0),IF((A126="Sc"),VLOOKUP("ScLord",DivCharts,D102,0),VLOOKUP(A126,RsInfo,9,0))),DivCharts,D102,0),RsTbl,0)*B126)-(B126*MATCH(A126,RsTbl,0))+12,12)</f>
        <v>8</v>
      </c>
      <c r="E126" s="206" t="n">
        <f aca="false">IF(ISNA(MATCH((D126+C126),,0)),(D126+C126),12)</f>
        <v>12</v>
      </c>
      <c r="F126" s="1005" t="n">
        <f aca="false">G124</f>
        <v>69963.9688657403</v>
      </c>
      <c r="G126" s="1005" t="n">
        <f aca="false">F126+E126*NDDaysInYEar</f>
        <v>74347.0273379625</v>
      </c>
      <c r="H126" s="992" t="str">
        <f aca="false">A126</f>
        <v>Pi</v>
      </c>
      <c r="I126" s="206" t="str">
        <f aca="false">INDEX(SignSym,MOD(B126+MATCH(H126,SignSym,0)-1,12)+1)</f>
        <v>Aq</v>
      </c>
      <c r="J126" s="206" t="str">
        <f aca="false">INDEX(SignSym,MOD(B126+MATCH(I126,SignSym,0)-1,12)+1)</f>
        <v>Cp</v>
      </c>
      <c r="K126" s="206" t="str">
        <f aca="false">INDEX(SignSym,MOD(B126+MATCH(J126,SignSym,0)-1,12)+1)</f>
        <v>Sg</v>
      </c>
      <c r="L126" s="206" t="str">
        <f aca="false">INDEX(SignSym,MOD(B126+MATCH(K126,SignSym,0)-1,12)+1)</f>
        <v>Sc</v>
      </c>
      <c r="M126" s="206" t="str">
        <f aca="false">INDEX(SignSym,MOD(B126+MATCH(L126,SignSym,0)-1,12)+1)</f>
        <v>Li</v>
      </c>
      <c r="N126" s="206" t="str">
        <f aca="false">INDEX(SignSym,MOD(B126+MATCH(M126,SignSym,0)-1,12)+1)</f>
        <v>Vi</v>
      </c>
      <c r="O126" s="206" t="str">
        <f aca="false">INDEX(SignSym,MOD(B126+MATCH(N126,SignSym,0)-1,12)+1)</f>
        <v>Le</v>
      </c>
      <c r="P126" s="206" t="str">
        <f aca="false">INDEX(SignSym,MOD(B126+MATCH(O126,SignSym,0)-1,12)+1)</f>
        <v>Cn</v>
      </c>
      <c r="Q126" s="206" t="str">
        <f aca="false">INDEX(SignSym,MOD(B126+MATCH(P126,SignSym,0)-1,12)+1)</f>
        <v>Ge</v>
      </c>
      <c r="R126" s="206" t="str">
        <f aca="false">INDEX(SignSym,MOD(B126+MATCH(Q126,SignSym,0)-1,12)+1)</f>
        <v>Ta</v>
      </c>
      <c r="S126" s="206" t="str">
        <f aca="false">INDEX(SignSym,MOD(B126+MATCH(R126,SignSym,0)-1,12)+1)</f>
        <v>Ar</v>
      </c>
    </row>
    <row r="127" s="206" customFormat="true" ht="12.75" hidden="true" customHeight="true" outlineLevel="0" collapsed="false">
      <c r="C127" s="998"/>
      <c r="D127" s="998"/>
      <c r="F127" s="1005"/>
      <c r="G127" s="1005"/>
      <c r="H127" s="1005" t="n">
        <f aca="false">F126</f>
        <v>69963.9688657403</v>
      </c>
      <c r="I127" s="1005" t="n">
        <f aca="false">H127+(E126*NDDaysInYEar/12)</f>
        <v>70329.2237384255</v>
      </c>
      <c r="J127" s="1005" t="n">
        <f aca="false">I127+(E126*NDDaysInYEar/12)</f>
        <v>70694.4786111107</v>
      </c>
      <c r="K127" s="1005" t="n">
        <f aca="false">J127+(E126*NDDaysInYEar/12)</f>
        <v>71059.7334837959</v>
      </c>
      <c r="L127" s="1005" t="n">
        <f aca="false">K127+(E126*NDDaysInYEar/12)</f>
        <v>71424.9883564811</v>
      </c>
      <c r="M127" s="1005" t="n">
        <f aca="false">L127+(E126*NDDaysInYEar/12)</f>
        <v>71790.2432291662</v>
      </c>
      <c r="N127" s="1005" t="n">
        <f aca="false">M127+(E126*NDDaysInYEar/12)</f>
        <v>72155.4981018514</v>
      </c>
      <c r="O127" s="1005" t="n">
        <f aca="false">N127+(E126*NDDaysInYEar/12)</f>
        <v>72520.7529745366</v>
      </c>
      <c r="P127" s="1005" t="n">
        <f aca="false">O127+(E126*NDDaysInYEar/12)</f>
        <v>72886.0078472218</v>
      </c>
      <c r="Q127" s="1005" t="n">
        <f aca="false">P127+(E126*NDDaysInYEar/12)</f>
        <v>73251.262719907</v>
      </c>
      <c r="R127" s="1005" t="n">
        <f aca="false">Q127+(E126*NDDaysInYEar/12)</f>
        <v>73616.5175925922</v>
      </c>
      <c r="S127" s="1005" t="n">
        <f aca="false">R127+(E126*NDDaysInYEar/12)</f>
        <v>73981.7724652773</v>
      </c>
    </row>
    <row r="128" s="206" customFormat="true" ht="15" hidden="false" customHeight="false" outlineLevel="0" collapsed="false">
      <c r="A128" s="206" t="str">
        <f aca="false">VLOOKUP(C103,NDasaSeq,18,0)</f>
        <v>Aq</v>
      </c>
      <c r="B128" s="206" t="n">
        <f aca="false">VLOOKUP(A128,NDasaC,3,0)</f>
        <v>-1</v>
      </c>
      <c r="C128" s="998" t="e">
        <f aca="false">IF(MATCH(VLOOKUP(IF((A128="Aq"),VLOOKUP("AqLord",DivCharts,D102,0),IF((A128="Sc"),VLOOKUP("ScLord",DivCharts,D102,0),VLOOKUP(A128,RsInfo,9,0))),DivCharts,D102,0),RsTbl,0)=MATCH(VLOOKUP(IF((A128="Aq"),VLOOKUP("AqLord",DivCharts,D102,0),IF((A128="Sc"),VLOOKUP("ScLord",DivCharts,D102,0),VLOOKUP(A128,RsInfo,9,0))),PlanetData,8,0),RsTbl,0),1,IF(MATCH(VLOOKUP(IF((A128="Aq"),VLOOKUP("AqLord",DivCharts,D102,0),IF((A128="Sc"),VLOOKUP("ScLord",DivCharts,D102,0),VLOOKUP(A128,RsInfo,9,0))),DivCharts,D102,0),RsTbl,0)=MOD(MATCH(VLOOKUP(IF((A128="Aq"),VLOOKUP("AqLord",DivCharts,D102,0),IF((A128="Sc"),VLOOKUP("ScLord",DivCharts,D102,0),VLOOKUP(A128,RsInfo,9,0))),PlanetData,8,0),RsTbl,0)+6,12),-1,0))</f>
        <v>#N/A</v>
      </c>
      <c r="D128" s="998" t="n">
        <f aca="false">MOD((MATCH(VLOOKUP(IF((A128="Aq"),VLOOKUP("AqLord",DivCharts,D102,0),IF((A128="Sc"),VLOOKUP("ScLord",DivCharts,D102,0),VLOOKUP(A128,RsInfo,9,0))),DivCharts,D102,0),RsTbl,0)*B128)-(B128*MATCH(A128,RsTbl,0))+12,12)</f>
        <v>3</v>
      </c>
      <c r="E128" s="206" t="n">
        <f aca="false">IF(ISNA(MATCH((D128+C128),,0)),(D128+C128),12)</f>
        <v>12</v>
      </c>
      <c r="F128" s="1005" t="n">
        <f aca="false">G126</f>
        <v>74347.0273379625</v>
      </c>
      <c r="G128" s="1005" t="n">
        <f aca="false">F128+E128*NDDaysInYEar</f>
        <v>78730.0858101847</v>
      </c>
      <c r="H128" s="992" t="str">
        <f aca="false">A128</f>
        <v>Aq</v>
      </c>
      <c r="I128" s="206" t="str">
        <f aca="false">INDEX(SignSym,MOD(B128+MATCH(H128,SignSym,0)-1,12)+1)</f>
        <v>Cp</v>
      </c>
      <c r="J128" s="206" t="str">
        <f aca="false">INDEX(SignSym,MOD(B128+MATCH(I128,SignSym,0)-1,12)+1)</f>
        <v>Sg</v>
      </c>
      <c r="K128" s="206" t="str">
        <f aca="false">INDEX(SignSym,MOD(B128+MATCH(J128,SignSym,0)-1,12)+1)</f>
        <v>Sc</v>
      </c>
      <c r="L128" s="206" t="str">
        <f aca="false">INDEX(SignSym,MOD(B128+MATCH(K128,SignSym,0)-1,12)+1)</f>
        <v>Li</v>
      </c>
      <c r="M128" s="206" t="str">
        <f aca="false">INDEX(SignSym,MOD(B128+MATCH(L128,SignSym,0)-1,12)+1)</f>
        <v>Vi</v>
      </c>
      <c r="N128" s="206" t="str">
        <f aca="false">INDEX(SignSym,MOD(B128+MATCH(M128,SignSym,0)-1,12)+1)</f>
        <v>Le</v>
      </c>
      <c r="O128" s="206" t="str">
        <f aca="false">INDEX(SignSym,MOD(B128+MATCH(N128,SignSym,0)-1,12)+1)</f>
        <v>Cn</v>
      </c>
      <c r="P128" s="206" t="str">
        <f aca="false">INDEX(SignSym,MOD(B128+MATCH(O128,SignSym,0)-1,12)+1)</f>
        <v>Ge</v>
      </c>
      <c r="Q128" s="206" t="str">
        <f aca="false">INDEX(SignSym,MOD(B128+MATCH(P128,SignSym,0)-1,12)+1)</f>
        <v>Ta</v>
      </c>
      <c r="R128" s="206" t="str">
        <f aca="false">INDEX(SignSym,MOD(B128+MATCH(Q128,SignSym,0)-1,12)+1)</f>
        <v>Ar</v>
      </c>
      <c r="S128" s="206" t="str">
        <f aca="false">INDEX(SignSym,MOD(B128+MATCH(R128,SignSym,0)-1,12)+1)</f>
        <v>Pi</v>
      </c>
    </row>
    <row r="129" s="206" customFormat="true" ht="15" hidden="true" customHeight="false" outlineLevel="0" collapsed="false">
      <c r="D129" s="998"/>
      <c r="H129" s="1005" t="n">
        <f aca="false">F128</f>
        <v>74347.0273379625</v>
      </c>
      <c r="I129" s="1005" t="n">
        <f aca="false">H129+(E128*NDDaysInYEar/12)</f>
        <v>74712.2822106477</v>
      </c>
      <c r="J129" s="1005" t="n">
        <f aca="false">I129+(E128*NDDaysInYEar/12)</f>
        <v>75077.5370833329</v>
      </c>
      <c r="K129" s="1005" t="n">
        <f aca="false">J129+(E128*NDDaysInYEar/12)</f>
        <v>75442.7919560181</v>
      </c>
      <c r="L129" s="1005" t="n">
        <f aca="false">K129+(E128*NDDaysInYEar/12)</f>
        <v>75808.0468287032</v>
      </c>
      <c r="M129" s="1005" t="n">
        <f aca="false">L129+(E128*NDDaysInYEar/12)</f>
        <v>76173.3017013884</v>
      </c>
      <c r="N129" s="1005" t="n">
        <f aca="false">M129+(E128*NDDaysInYEar/12)</f>
        <v>76538.5565740736</v>
      </c>
      <c r="O129" s="1005" t="n">
        <f aca="false">N129+(E128*NDDaysInYEar/12)</f>
        <v>76903.8114467588</v>
      </c>
      <c r="P129" s="1005" t="n">
        <f aca="false">O129+(E128*NDDaysInYEar/12)</f>
        <v>77269.066319444</v>
      </c>
      <c r="Q129" s="1005" t="n">
        <f aca="false">P129+(E128*NDDaysInYEar/12)</f>
        <v>77634.3211921292</v>
      </c>
      <c r="R129" s="1005" t="n">
        <f aca="false">Q129+(E128*NDDaysInYEar/12)</f>
        <v>77999.5760648143</v>
      </c>
      <c r="S129" s="1005" t="n">
        <f aca="false">R129+(E128*NDDaysInYEar/12)</f>
        <v>78364.8309374995</v>
      </c>
    </row>
    <row r="130" s="206" customFormat="true" ht="15" hidden="false" customHeight="false" outlineLevel="0" collapsed="false">
      <c r="A130" s="1004"/>
      <c r="B130" s="1004"/>
      <c r="C130" s="1004"/>
      <c r="D130" s="1004"/>
      <c r="E130" s="1004"/>
      <c r="F130" s="1004"/>
      <c r="G130" s="1004"/>
      <c r="H130" s="1004"/>
      <c r="I130" s="1004"/>
      <c r="J130" s="1004"/>
      <c r="K130" s="1004"/>
      <c r="L130" s="1004"/>
      <c r="M130" s="1004"/>
      <c r="N130" s="1004"/>
      <c r="O130" s="1004"/>
      <c r="P130" s="1004"/>
      <c r="Q130" s="1004"/>
      <c r="R130" s="1004"/>
      <c r="S130" s="1004"/>
    </row>
    <row r="131" s="206" customFormat="true" ht="15" hidden="true" customHeight="false" outlineLevel="0" collapsed="false">
      <c r="H131" s="1005"/>
      <c r="I131" s="1005"/>
      <c r="J131" s="1005"/>
      <c r="K131" s="1005"/>
      <c r="L131" s="1005"/>
      <c r="M131" s="1005"/>
      <c r="N131" s="1005"/>
      <c r="O131" s="1005"/>
      <c r="P131" s="1005"/>
      <c r="Q131" s="1005"/>
      <c r="R131" s="1005"/>
      <c r="S131" s="1005"/>
    </row>
    <row r="132" s="206" customFormat="true" ht="15" hidden="false" customHeight="false" outlineLevel="0" collapsed="false"/>
    <row r="135" s="206" customFormat="true" ht="15" hidden="false" customHeight="false" outlineLevel="0" collapsed="false">
      <c r="A135" s="988" t="s">
        <v>4213</v>
      </c>
      <c r="B135" s="988"/>
      <c r="C135" s="989" t="n">
        <v>20</v>
      </c>
      <c r="D135" s="990" t="n">
        <f aca="false">MATCH(C135,$18:$18,1)</f>
        <v>10</v>
      </c>
      <c r="I135" s="991"/>
      <c r="N135" s="991"/>
    </row>
    <row r="136" s="206" customFormat="true" ht="15" hidden="false" customHeight="false" outlineLevel="0" collapsed="false">
      <c r="A136" s="988" t="s">
        <v>4216</v>
      </c>
      <c r="B136" s="988"/>
      <c r="C136" s="992" t="s">
        <v>987</v>
      </c>
      <c r="D136" s="993"/>
      <c r="H136" s="991"/>
      <c r="I136" s="991"/>
      <c r="J136" s="991"/>
      <c r="P136" s="991"/>
    </row>
    <row r="137" s="206" customFormat="true" ht="15" hidden="false" customHeight="false" outlineLevel="0" collapsed="false">
      <c r="C137" s="991"/>
      <c r="E137" s="991"/>
      <c r="H137" s="991"/>
      <c r="I137" s="991"/>
      <c r="J137" s="991"/>
    </row>
    <row r="138" s="206" customFormat="true" ht="15" hidden="false" customHeight="false" outlineLevel="0" collapsed="false">
      <c r="A138" s="1007" t="s">
        <v>4084</v>
      </c>
      <c r="B138" s="1007" t="s">
        <v>807</v>
      </c>
      <c r="C138" s="1007" t="s">
        <v>4218</v>
      </c>
      <c r="D138" s="1007" t="s">
        <v>4219</v>
      </c>
      <c r="E138" s="1007" t="s">
        <v>400</v>
      </c>
      <c r="F138" s="1007" t="s">
        <v>730</v>
      </c>
      <c r="G138" s="1007" t="s">
        <v>805</v>
      </c>
      <c r="H138" s="1007" t="s">
        <v>4221</v>
      </c>
      <c r="I138" s="991"/>
      <c r="J138" s="991"/>
    </row>
    <row r="139" s="206" customFormat="true" ht="15" hidden="false" customHeight="false" outlineLevel="0" collapsed="false">
      <c r="A139" s="206" t="str">
        <f aca="false">VLOOKUP(C136,NDasaSeq,7,0)</f>
        <v>Cp</v>
      </c>
      <c r="B139" s="206" t="n">
        <f aca="false">VLOOKUP(A139,NDasaC,3,0)</f>
        <v>-1</v>
      </c>
      <c r="C139" s="998" t="e">
        <f aca="false">IF(MATCH(VLOOKUP(IF((A139="Aq"),VLOOKUP("AqLord",DivCharts,D135,0),IF((A139="Sc"),VLOOKUP("ScLord",DivCharts,D135,0),VLOOKUP(A139,RsInfo,9,0))),DivCharts,D135,0),RsTbl,0)=MATCH(VLOOKUP(IF((A139="Aq"),VLOOKUP("AqLord",DivCharts,D135,0),IF((A139="Sc"),VLOOKUP("ScLord",DivCharts,D135,0),VLOOKUP(A139,RsInfo,9,0))),PlanetData,8,0),RsTbl,0),1,IF(MATCH(VLOOKUP(IF((A139="Aq"),VLOOKUP("AqLord",DivCharts,D135,0),IF((A139="Sc"),VLOOKUP("ScLord",DivCharts,D135,0),VLOOKUP(A139,RsInfo,9,0))),DivCharts,D135,0),RsTbl,0)=MOD(MATCH(VLOOKUP(IF((A139="Aq"),VLOOKUP("AqLord",DivCharts,D135,0),IF((A139="Sc"),VLOOKUP("ScLord",DivCharts,D135,0),VLOOKUP(A139,RsInfo,9,0))),PlanetData,8,0),RsTbl,0)+6,12),-1,0))</f>
        <v>#N/A</v>
      </c>
      <c r="D139" s="998" t="n">
        <f aca="false">MOD((MATCH(VLOOKUP(IF((A139="Aq"),VLOOKUP("AqLord",DivCharts,D135,0),IF((A139="Sc"),VLOOKUP("ScLord",DivCharts,D135,0),VLOOKUP(A139,RsInfo,9,0))),DivCharts,D135,0),RsTbl,0)*B139)-(B139*MATCH(A139,RsTbl,0))+12,12)</f>
        <v>7</v>
      </c>
      <c r="E139" s="206" t="n">
        <f aca="false">IF(ISNA(MATCH((D139+C139),,0)),(D139+C139),12)</f>
        <v>12</v>
      </c>
      <c r="F139" s="1005" t="n">
        <f aca="false">NDDoB</f>
        <v>26133.3841435185</v>
      </c>
      <c r="G139" s="1005" t="n">
        <f aca="false">F139+E139*NDDaysInYEar</f>
        <v>30516.4426157407</v>
      </c>
      <c r="H139" s="992" t="str">
        <f aca="false">A139</f>
        <v>Cp</v>
      </c>
      <c r="I139" s="206" t="str">
        <f aca="false">INDEX(SignSym,MOD(B139+MATCH(H139,SignSym,0)-1,12)+1)</f>
        <v>Sg</v>
      </c>
      <c r="J139" s="206" t="str">
        <f aca="false">INDEX(SignSym,MOD(B139+MATCH(I139,SignSym,0)-1,12)+1)</f>
        <v>Sc</v>
      </c>
      <c r="K139" s="206" t="str">
        <f aca="false">INDEX(SignSym,MOD(B139+MATCH(J139,SignSym,0)-1,12)+1)</f>
        <v>Li</v>
      </c>
      <c r="L139" s="206" t="str">
        <f aca="false">INDEX(SignSym,MOD(B139+MATCH(K139,SignSym,0)-1,12)+1)</f>
        <v>Vi</v>
      </c>
      <c r="M139" s="206" t="str">
        <f aca="false">INDEX(SignSym,MOD(B139+MATCH(L139,SignSym,0)-1,12)+1)</f>
        <v>Le</v>
      </c>
      <c r="N139" s="206" t="str">
        <f aca="false">INDEX(SignSym,MOD(B139+MATCH(M139,SignSym,0)-1,12)+1)</f>
        <v>Cn</v>
      </c>
      <c r="O139" s="206" t="str">
        <f aca="false">INDEX(SignSym,MOD(B139+MATCH(N139,SignSym,0)-1,12)+1)</f>
        <v>Ge</v>
      </c>
      <c r="P139" s="206" t="str">
        <f aca="false">INDEX(SignSym,MOD(B139+MATCH(O139,SignSym,0)-1,12)+1)</f>
        <v>Ta</v>
      </c>
      <c r="Q139" s="206" t="str">
        <f aca="false">INDEX(SignSym,MOD(B139+MATCH(P139,SignSym,0)-1,12)+1)</f>
        <v>Ar</v>
      </c>
      <c r="R139" s="206" t="str">
        <f aca="false">INDEX(SignSym,MOD(B139+MATCH(Q139,SignSym,0)-1,12)+1)</f>
        <v>Pi</v>
      </c>
      <c r="S139" s="206" t="str">
        <f aca="false">INDEX(SignSym,MOD(B139+MATCH(R139,SignSym,0)-1,12)+1)</f>
        <v>Aq</v>
      </c>
    </row>
    <row r="140" s="206" customFormat="true" ht="12.75" hidden="true" customHeight="true" outlineLevel="0" collapsed="false">
      <c r="C140" s="998"/>
      <c r="D140" s="998"/>
      <c r="F140" s="1005"/>
      <c r="G140" s="1005"/>
      <c r="H140" s="1005" t="n">
        <f aca="false">F139</f>
        <v>26133.3841435185</v>
      </c>
      <c r="I140" s="1005" t="n">
        <f aca="false">H140+(E139*NDDaysInYEar/12)</f>
        <v>26498.6390162037</v>
      </c>
      <c r="J140" s="1005" t="n">
        <f aca="false">I140+(E139*NDDaysInYEar/12)</f>
        <v>26863.8938888889</v>
      </c>
      <c r="K140" s="1005" t="n">
        <f aca="false">J140+(E139*NDDaysInYEar/12)</f>
        <v>27229.148761574</v>
      </c>
      <c r="L140" s="1005" t="n">
        <f aca="false">K140+(E139*NDDaysInYEar/12)</f>
        <v>27594.4036342592</v>
      </c>
      <c r="M140" s="1005" t="n">
        <f aca="false">L140+(E139*NDDaysInYEar/12)</f>
        <v>27959.6585069444</v>
      </c>
      <c r="N140" s="1005" t="n">
        <f aca="false">M140+(E139*NDDaysInYEar/12)</f>
        <v>28324.9133796296</v>
      </c>
      <c r="O140" s="1005" t="n">
        <f aca="false">N140+(E139*NDDaysInYEar/12)</f>
        <v>28690.1682523148</v>
      </c>
      <c r="P140" s="1005" t="n">
        <f aca="false">O140+(E139*NDDaysInYEar/12)</f>
        <v>29055.423125</v>
      </c>
      <c r="Q140" s="1005" t="n">
        <f aca="false">P140+(E139*NDDaysInYEar/12)</f>
        <v>29420.6779976851</v>
      </c>
      <c r="R140" s="1005" t="n">
        <f aca="false">Q140+(E139*NDDaysInYEar/12)</f>
        <v>29785.9328703703</v>
      </c>
      <c r="S140" s="1005" t="n">
        <f aca="false">R140+(E139*NDDaysInYEar/12)</f>
        <v>30151.1877430555</v>
      </c>
    </row>
    <row r="141" s="206" customFormat="true" ht="15" hidden="false" customHeight="false" outlineLevel="0" collapsed="false">
      <c r="A141" s="206" t="str">
        <f aca="false">VLOOKUP(C136,NDasaSeq,8,0)</f>
        <v>Sg</v>
      </c>
      <c r="B141" s="206" t="n">
        <f aca="false">VLOOKUP(A141,NDasaC,3,0)</f>
        <v>1</v>
      </c>
      <c r="C141" s="998" t="e">
        <f aca="false">IF(MATCH(VLOOKUP(IF((A141="Aq"),VLOOKUP("AqLord",DivCharts,D135,0),IF((A141="Sc"),VLOOKUP("ScLord",DivCharts,D135,0),VLOOKUP(A141,RsInfo,9,0))),DivCharts,D135,0),RsTbl,0)=MATCH(VLOOKUP(IF((A141="Aq"),VLOOKUP("AqLord",DivCharts,D135,0),IF((A141="Sc"),VLOOKUP("ScLord",DivCharts,D135,0),VLOOKUP(A141,RsInfo,9,0))),PlanetData,8,0),RsTbl,0),1,IF(MATCH(VLOOKUP(IF((A141="Aq"),VLOOKUP("AqLord",DivCharts,D135,0),IF((A141="Sc"),VLOOKUP("ScLord",DivCharts,D135,0),VLOOKUP(A141,RsInfo,9,0))),DivCharts,D135,0),RsTbl,0)=MOD(MATCH(VLOOKUP(IF((A141="Aq"),VLOOKUP("AqLord",DivCharts,D135,0),IF((A141="Sc"),VLOOKUP("ScLord",DivCharts,D135,0),VLOOKUP(A141,RsInfo,9,0))),PlanetData,8,0),RsTbl,0)+6,12),-1,0))</f>
        <v>#N/A</v>
      </c>
      <c r="D141" s="998" t="n">
        <f aca="false">MOD((MATCH(VLOOKUP(IF((A141="Aq"),VLOOKUP("AqLord",DivCharts,D135,0),IF((A141="Sc"),VLOOKUP("ScLord",DivCharts,D135,0),VLOOKUP(A141,RsInfo,9,0))),DivCharts,D135,0),RsTbl,0)*B141)-(B141*MATCH(A141,RsTbl,0))+12,12)</f>
        <v>2</v>
      </c>
      <c r="E141" s="206" t="n">
        <f aca="false">IF(ISNA(MATCH((D141+C141),,0)),(D141+C141),12)</f>
        <v>12</v>
      </c>
      <c r="F141" s="1005" t="n">
        <f aca="false">G139</f>
        <v>30516.4426157407</v>
      </c>
      <c r="G141" s="1005" t="n">
        <f aca="false">F141+E141*NDDaysInYEar</f>
        <v>34899.5010879629</v>
      </c>
      <c r="H141" s="992" t="str">
        <f aca="false">A141</f>
        <v>Sg</v>
      </c>
      <c r="I141" s="206" t="str">
        <f aca="false">INDEX(SignSym,MOD(B141+MATCH(H141,SignSym,0)-1,12)+1)</f>
        <v>Cp</v>
      </c>
      <c r="J141" s="206" t="str">
        <f aca="false">INDEX(SignSym,MOD(B141+MATCH(I141,SignSym,0)-1,12)+1)</f>
        <v>Aq</v>
      </c>
      <c r="K141" s="206" t="str">
        <f aca="false">INDEX(SignSym,MOD(B141+MATCH(J141,SignSym,0)-1,12)+1)</f>
        <v>Pi</v>
      </c>
      <c r="L141" s="206" t="str">
        <f aca="false">INDEX(SignSym,MOD(B141+MATCH(K141,SignSym,0)-1,12)+1)</f>
        <v>Ar</v>
      </c>
      <c r="M141" s="206" t="str">
        <f aca="false">INDEX(SignSym,MOD(B141+MATCH(L141,SignSym,0)-1,12)+1)</f>
        <v>Ta</v>
      </c>
      <c r="N141" s="206" t="str">
        <f aca="false">INDEX(SignSym,MOD(B141+MATCH(M141,SignSym,0)-1,12)+1)</f>
        <v>Ge</v>
      </c>
      <c r="O141" s="206" t="str">
        <f aca="false">INDEX(SignSym,MOD(B141+MATCH(N141,SignSym,0)-1,12)+1)</f>
        <v>Cn</v>
      </c>
      <c r="P141" s="206" t="str">
        <f aca="false">INDEX(SignSym,MOD(B141+MATCH(O141,SignSym,0)-1,12)+1)</f>
        <v>Le</v>
      </c>
      <c r="Q141" s="206" t="str">
        <f aca="false">INDEX(SignSym,MOD(B141+MATCH(P141,SignSym,0)-1,12)+1)</f>
        <v>Vi</v>
      </c>
      <c r="R141" s="206" t="str">
        <f aca="false">INDEX(SignSym,MOD(B141+MATCH(Q141,SignSym,0)-1,12)+1)</f>
        <v>Li</v>
      </c>
      <c r="S141" s="206" t="str">
        <f aca="false">INDEX(SignSym,MOD(B141+MATCH(R141,SignSym,0)-1,12)+1)</f>
        <v>Sc</v>
      </c>
    </row>
    <row r="142" s="206" customFormat="true" ht="12.75" hidden="true" customHeight="true" outlineLevel="0" collapsed="false">
      <c r="C142" s="998"/>
      <c r="D142" s="998"/>
      <c r="F142" s="1005"/>
      <c r="G142" s="1005"/>
      <c r="H142" s="1005" t="n">
        <f aca="false">F141</f>
        <v>30516.4426157407</v>
      </c>
      <c r="I142" s="1005" t="n">
        <f aca="false">H142+(E141*NDDaysInYEar/12)</f>
        <v>30881.6974884259</v>
      </c>
      <c r="J142" s="1005" t="n">
        <f aca="false">I142+(E141*NDDaysInYEar/12)</f>
        <v>31246.9523611111</v>
      </c>
      <c r="K142" s="1005" t="n">
        <f aca="false">J142+(E141*NDDaysInYEar/12)</f>
        <v>31612.2072337962</v>
      </c>
      <c r="L142" s="1005" t="n">
        <f aca="false">K142+(E141*NDDaysInYEar/12)</f>
        <v>31977.4621064814</v>
      </c>
      <c r="M142" s="1005" t="n">
        <f aca="false">L142+(E141*NDDaysInYEar/12)</f>
        <v>32342.7169791666</v>
      </c>
      <c r="N142" s="1005" t="n">
        <f aca="false">M142+(E141*NDDaysInYEar/12)</f>
        <v>32707.9718518518</v>
      </c>
      <c r="O142" s="1005" t="n">
        <f aca="false">N142+(E141*NDDaysInYEar/12)</f>
        <v>33073.226724537</v>
      </c>
      <c r="P142" s="1005" t="n">
        <f aca="false">O142+(E141*NDDaysInYEar/12)</f>
        <v>33438.4815972221</v>
      </c>
      <c r="Q142" s="1005" t="n">
        <f aca="false">P142+(E141*NDDaysInYEar/12)</f>
        <v>33803.7364699073</v>
      </c>
      <c r="R142" s="1005" t="n">
        <f aca="false">Q142+(E141*NDDaysInYEar/12)</f>
        <v>34168.9913425925</v>
      </c>
      <c r="S142" s="1005" t="n">
        <f aca="false">R142+(E141*NDDaysInYEar/12)</f>
        <v>34534.2462152777</v>
      </c>
    </row>
    <row r="143" s="206" customFormat="true" ht="15" hidden="false" customHeight="false" outlineLevel="0" collapsed="false">
      <c r="A143" s="206" t="str">
        <f aca="false">VLOOKUP(C136,NDasaSeq,9,0)</f>
        <v>Sc</v>
      </c>
      <c r="B143" s="206" t="n">
        <f aca="false">VLOOKUP(A143,NDasaC,3,0)</f>
        <v>1</v>
      </c>
      <c r="C143" s="998" t="e">
        <f aca="false">IF(MATCH(VLOOKUP(IF((A143="Aq"),VLOOKUP("AqLord",DivCharts,D135,0),IF((A143="Sc"),VLOOKUP("ScLord",DivCharts,D135,0),VLOOKUP(A143,RsInfo,9,0))),DivCharts,D135,0),RsTbl,0)=MATCH(VLOOKUP(IF((A143="Aq"),VLOOKUP("AqLord",DivCharts,D135,0),IF((A143="Sc"),VLOOKUP("ScLord",DivCharts,D135,0),VLOOKUP(A143,RsInfo,9,0))),PlanetData,8,0),RsTbl,0),1,IF(MATCH(VLOOKUP(IF((A143="Aq"),VLOOKUP("AqLord",DivCharts,D135,0),IF((A143="Sc"),VLOOKUP("ScLord",DivCharts,D135,0),VLOOKUP(A143,RsInfo,9,0))),DivCharts,D135,0),RsTbl,0)=MOD(MATCH(VLOOKUP(IF((A143="Aq"),VLOOKUP("AqLord",DivCharts,D135,0),IF((A143="Sc"),VLOOKUP("ScLord",DivCharts,D135,0),VLOOKUP(A143,RsInfo,9,0))),PlanetData,8,0),RsTbl,0)+6,12),-1,0))</f>
        <v>#N/A</v>
      </c>
      <c r="D143" s="998" t="n">
        <f aca="false">MOD((MATCH(VLOOKUP(IF((A143="Aq"),VLOOKUP("AqLord",DivCharts,D135,0),IF((A143="Sc"),VLOOKUP("ScLord",DivCharts,D135,0),VLOOKUP(A143,RsInfo,9,0))),DivCharts,D135,0),RsTbl,0)*B143)-(B143*MATCH(A143,RsTbl,0))+12,12)</f>
        <v>11</v>
      </c>
      <c r="E143" s="206" t="n">
        <f aca="false">IF(ISNA(MATCH((D143+C143),,0)),(D143+C143),12)</f>
        <v>12</v>
      </c>
      <c r="F143" s="1005" t="n">
        <f aca="false">G141</f>
        <v>34899.5010879629</v>
      </c>
      <c r="G143" s="1005" t="n">
        <f aca="false">F143+E143*NDDaysInYEar</f>
        <v>39282.5595601851</v>
      </c>
      <c r="H143" s="992" t="str">
        <f aca="false">A143</f>
        <v>Sc</v>
      </c>
      <c r="I143" s="206" t="str">
        <f aca="false">INDEX(SignSym,MOD(B143+MATCH(H143,SignSym,0)-1,12)+1)</f>
        <v>Sg</v>
      </c>
      <c r="J143" s="206" t="str">
        <f aca="false">INDEX(SignSym,MOD(B143+MATCH(I143,SignSym,0)-1,12)+1)</f>
        <v>Cp</v>
      </c>
      <c r="K143" s="206" t="str">
        <f aca="false">INDEX(SignSym,MOD(B143+MATCH(J143,SignSym,0)-1,12)+1)</f>
        <v>Aq</v>
      </c>
      <c r="L143" s="206" t="str">
        <f aca="false">INDEX(SignSym,MOD(B143+MATCH(K143,SignSym,0)-1,12)+1)</f>
        <v>Pi</v>
      </c>
      <c r="M143" s="206" t="str">
        <f aca="false">INDEX(SignSym,MOD(B143+MATCH(L143,SignSym,0)-1,12)+1)</f>
        <v>Ar</v>
      </c>
      <c r="N143" s="206" t="str">
        <f aca="false">INDEX(SignSym,MOD(B143+MATCH(M143,SignSym,0)-1,12)+1)</f>
        <v>Ta</v>
      </c>
      <c r="O143" s="206" t="str">
        <f aca="false">INDEX(SignSym,MOD(B143+MATCH(N143,SignSym,0)-1,12)+1)</f>
        <v>Ge</v>
      </c>
      <c r="P143" s="206" t="str">
        <f aca="false">INDEX(SignSym,MOD(B143+MATCH(O143,SignSym,0)-1,12)+1)</f>
        <v>Cn</v>
      </c>
      <c r="Q143" s="206" t="str">
        <f aca="false">INDEX(SignSym,MOD(B143+MATCH(P143,SignSym,0)-1,12)+1)</f>
        <v>Le</v>
      </c>
      <c r="R143" s="206" t="str">
        <f aca="false">INDEX(SignSym,MOD(B143+MATCH(Q143,SignSym,0)-1,12)+1)</f>
        <v>Vi</v>
      </c>
      <c r="S143" s="206" t="str">
        <f aca="false">INDEX(SignSym,MOD(B143+MATCH(R143,SignSym,0)-1,12)+1)</f>
        <v>Li</v>
      </c>
    </row>
    <row r="144" s="206" customFormat="true" ht="12.75" hidden="true" customHeight="true" outlineLevel="0" collapsed="false">
      <c r="C144" s="998"/>
      <c r="D144" s="998"/>
      <c r="F144" s="1005"/>
      <c r="G144" s="1005"/>
      <c r="H144" s="1005" t="n">
        <f aca="false">F143</f>
        <v>34899.5010879629</v>
      </c>
      <c r="I144" s="1005" t="n">
        <f aca="false">H144+(E143*NDDaysInYEar/12)</f>
        <v>35264.7559606481</v>
      </c>
      <c r="J144" s="1005" t="n">
        <f aca="false">I144+(E143*NDDaysInYEar/12)</f>
        <v>35630.0108333332</v>
      </c>
      <c r="K144" s="1005" t="n">
        <f aca="false">J144+(E143*NDDaysInYEar/12)</f>
        <v>35995.2657060184</v>
      </c>
      <c r="L144" s="1005" t="n">
        <f aca="false">K144+(E143*NDDaysInYEar/12)</f>
        <v>36360.5205787036</v>
      </c>
      <c r="M144" s="1005" t="n">
        <f aca="false">L144+(E143*NDDaysInYEar/12)</f>
        <v>36725.7754513888</v>
      </c>
      <c r="N144" s="1005" t="n">
        <f aca="false">M144+(E143*NDDaysInYEar/12)</f>
        <v>37091.030324074</v>
      </c>
      <c r="O144" s="1005" t="n">
        <f aca="false">N144+(E143*NDDaysInYEar/12)</f>
        <v>37456.2851967591</v>
      </c>
      <c r="P144" s="1005" t="n">
        <f aca="false">O144+(E143*NDDaysInYEar/12)</f>
        <v>37821.5400694443</v>
      </c>
      <c r="Q144" s="1005" t="n">
        <f aca="false">P144+(E143*NDDaysInYEar/12)</f>
        <v>38186.7949421295</v>
      </c>
      <c r="R144" s="1005" t="n">
        <f aca="false">Q144+(E143*NDDaysInYEar/12)</f>
        <v>38552.0498148147</v>
      </c>
      <c r="S144" s="1005" t="n">
        <f aca="false">R144+(E143*NDDaysInYEar/12)</f>
        <v>38917.3046874999</v>
      </c>
    </row>
    <row r="145" s="206" customFormat="true" ht="15" hidden="false" customHeight="false" outlineLevel="0" collapsed="false">
      <c r="A145" s="206" t="str">
        <f aca="false">VLOOKUP(C136,NDasaSeq,10,0)</f>
        <v>Li</v>
      </c>
      <c r="B145" s="206" t="n">
        <f aca="false">VLOOKUP(A145,NDasaC,3,0)</f>
        <v>1</v>
      </c>
      <c r="C145" s="998" t="e">
        <f aca="false">IF(MATCH(VLOOKUP(IF((A145="Aq"),VLOOKUP("AqLord",DivCharts,D135,0),IF((A145="Sc"),VLOOKUP("ScLord",DivCharts,D135,0),VLOOKUP(A145,RsInfo,9,0))),DivCharts,D135,0),RsTbl,0)=MATCH(VLOOKUP(IF((A145="Aq"),VLOOKUP("AqLord",DivCharts,D135,0),IF((A145="Sc"),VLOOKUP("ScLord",DivCharts,D135,0),VLOOKUP(A145,RsInfo,9,0))),PlanetData,8,0),RsTbl,0),1,IF(MATCH(VLOOKUP(IF((A145="Aq"),VLOOKUP("AqLord",DivCharts,D135,0),IF((A145="Sc"),VLOOKUP("ScLord",DivCharts,D135,0),VLOOKUP(A145,RsInfo,9,0))),DivCharts,D135,0),RsTbl,0)=MOD(MATCH(VLOOKUP(IF((A145="Aq"),VLOOKUP("AqLord",DivCharts,D135,0),IF((A145="Sc"),VLOOKUP("ScLord",DivCharts,D135,0),VLOOKUP(A145,RsInfo,9,0))),PlanetData,8,0),RsTbl,0)+6,12),-1,0))</f>
        <v>#N/A</v>
      </c>
      <c r="D145" s="998" t="n">
        <f aca="false">MOD((MATCH(VLOOKUP(IF((A145="Aq"),VLOOKUP("AqLord",DivCharts,D135,0),IF((A145="Sc"),VLOOKUP("ScLord",DivCharts,D135,0),VLOOKUP(A145,RsInfo,9,0))),DivCharts,D135,0),RsTbl,0)*B145)-(B145*MATCH(A145,RsTbl,0))+12,12)</f>
        <v>0</v>
      </c>
      <c r="E145" s="206" t="n">
        <f aca="false">IF(ISNA(MATCH((D145+C145),,0)),(D145+C145),12)</f>
        <v>12</v>
      </c>
      <c r="F145" s="1005" t="n">
        <f aca="false">G143</f>
        <v>39282.5595601851</v>
      </c>
      <c r="G145" s="1005" t="n">
        <f aca="false">F145+E145*NDDaysInYEar</f>
        <v>43665.6180324072</v>
      </c>
      <c r="H145" s="992" t="str">
        <f aca="false">A145</f>
        <v>Li</v>
      </c>
      <c r="I145" s="206" t="str">
        <f aca="false">INDEX(SignSym,MOD(B145+MATCH(H145,SignSym,0)-1,12)+1)</f>
        <v>Sc</v>
      </c>
      <c r="J145" s="206" t="str">
        <f aca="false">INDEX(SignSym,MOD(B145+MATCH(I145,SignSym,0)-1,12)+1)</f>
        <v>Sg</v>
      </c>
      <c r="K145" s="206" t="str">
        <f aca="false">INDEX(SignSym,MOD(B145+MATCH(J145,SignSym,0)-1,12)+1)</f>
        <v>Cp</v>
      </c>
      <c r="L145" s="206" t="str">
        <f aca="false">INDEX(SignSym,MOD(B145+MATCH(K145,SignSym,0)-1,12)+1)</f>
        <v>Aq</v>
      </c>
      <c r="M145" s="206" t="str">
        <f aca="false">INDEX(SignSym,MOD(B145+MATCH(L145,SignSym,0)-1,12)+1)</f>
        <v>Pi</v>
      </c>
      <c r="N145" s="206" t="str">
        <f aca="false">INDEX(SignSym,MOD(B145+MATCH(M145,SignSym,0)-1,12)+1)</f>
        <v>Ar</v>
      </c>
      <c r="O145" s="206" t="str">
        <f aca="false">INDEX(SignSym,MOD(B145+MATCH(N145,SignSym,0)-1,12)+1)</f>
        <v>Ta</v>
      </c>
      <c r="P145" s="206" t="str">
        <f aca="false">INDEX(SignSym,MOD(B145+MATCH(O145,SignSym,0)-1,12)+1)</f>
        <v>Ge</v>
      </c>
      <c r="Q145" s="206" t="str">
        <f aca="false">INDEX(SignSym,MOD(B145+MATCH(P145,SignSym,0)-1,12)+1)</f>
        <v>Cn</v>
      </c>
      <c r="R145" s="206" t="str">
        <f aca="false">INDEX(SignSym,MOD(B145+MATCH(Q145,SignSym,0)-1,12)+1)</f>
        <v>Le</v>
      </c>
      <c r="S145" s="206" t="str">
        <f aca="false">INDEX(SignSym,MOD(B145+MATCH(R145,SignSym,0)-1,12)+1)</f>
        <v>Vi</v>
      </c>
    </row>
    <row r="146" s="206" customFormat="true" ht="12.75" hidden="true" customHeight="true" outlineLevel="0" collapsed="false">
      <c r="C146" s="998"/>
      <c r="D146" s="998"/>
      <c r="F146" s="1005"/>
      <c r="G146" s="1005"/>
      <c r="H146" s="1005" t="n">
        <f aca="false">F145</f>
        <v>39282.5595601851</v>
      </c>
      <c r="I146" s="1005" t="n">
        <f aca="false">H146+(E145*NDDaysInYEar/12)</f>
        <v>39647.8144328702</v>
      </c>
      <c r="J146" s="1005" t="n">
        <f aca="false">I146+(E145*NDDaysInYEar/12)</f>
        <v>40013.0693055554</v>
      </c>
      <c r="K146" s="1005" t="n">
        <f aca="false">J146+(E145*NDDaysInYEar/12)</f>
        <v>40378.3241782406</v>
      </c>
      <c r="L146" s="1005" t="n">
        <f aca="false">K146+(E145*NDDaysInYEar/12)</f>
        <v>40743.5790509258</v>
      </c>
      <c r="M146" s="1005" t="n">
        <f aca="false">L146+(E145*NDDaysInYEar/12)</f>
        <v>41108.833923611</v>
      </c>
      <c r="N146" s="1005" t="n">
        <f aca="false">M146+(E145*NDDaysInYEar/12)</f>
        <v>41474.0887962961</v>
      </c>
      <c r="O146" s="1005" t="n">
        <f aca="false">N146+(E145*NDDaysInYEar/12)</f>
        <v>41839.3436689813</v>
      </c>
      <c r="P146" s="1005" t="n">
        <f aca="false">O146+(E145*NDDaysInYEar/12)</f>
        <v>42204.5985416665</v>
      </c>
      <c r="Q146" s="1005" t="n">
        <f aca="false">P146+(E145*NDDaysInYEar/12)</f>
        <v>42569.8534143517</v>
      </c>
      <c r="R146" s="1005" t="n">
        <f aca="false">Q146+(E145*NDDaysInYEar/12)</f>
        <v>42935.1082870369</v>
      </c>
      <c r="S146" s="1005" t="n">
        <f aca="false">R146+(E145*NDDaysInYEar/12)</f>
        <v>43300.3631597221</v>
      </c>
    </row>
    <row r="147" s="206" customFormat="true" ht="15" hidden="false" customHeight="false" outlineLevel="0" collapsed="false">
      <c r="A147" s="206" t="str">
        <f aca="false">VLOOKUP(C136,NDasaSeq,11,0)</f>
        <v>Vi</v>
      </c>
      <c r="B147" s="206" t="n">
        <f aca="false">VLOOKUP(A147,NDasaC,3,0)</f>
        <v>-1</v>
      </c>
      <c r="C147" s="998" t="e">
        <f aca="false">IF(MATCH(VLOOKUP(IF((A147="Aq"),VLOOKUP("AqLord",DivCharts,D135,0),IF((A147="Sc"),VLOOKUP("ScLord",DivCharts,D135,0),VLOOKUP(A147,RsInfo,9,0))),DivCharts,D135,0),RsTbl,0)=MATCH(VLOOKUP(IF((A147="Aq"),VLOOKUP("AqLord",DivCharts,D135,0),IF((A147="Sc"),VLOOKUP("ScLord",DivCharts,D135,0),VLOOKUP(A147,RsInfo,9,0))),PlanetData,8,0),RsTbl,0),1,IF(MATCH(VLOOKUP(IF((A147="Aq"),VLOOKUP("AqLord",DivCharts,D135,0),IF((A147="Sc"),VLOOKUP("ScLord",DivCharts,D135,0),VLOOKUP(A147,RsInfo,9,0))),DivCharts,D135,0),RsTbl,0)=MOD(MATCH(VLOOKUP(IF((A147="Aq"),VLOOKUP("AqLord",DivCharts,D135,0),IF((A147="Sc"),VLOOKUP("ScLord",DivCharts,D135,0),VLOOKUP(A147,RsInfo,9,0))),PlanetData,8,0),RsTbl,0)+6,12),-1,0))</f>
        <v>#N/A</v>
      </c>
      <c r="D147" s="998" t="n">
        <f aca="false">MOD((MATCH(VLOOKUP(IF((A147="Aq"),VLOOKUP("AqLord",DivCharts,D135,0),IF((A147="Sc"),VLOOKUP("ScLord",DivCharts,D135,0),VLOOKUP(A147,RsInfo,9,0))),DivCharts,D135,0),RsTbl,0)*B147)-(B147*MATCH(A147,RsTbl,0))+12,12)</f>
        <v>11</v>
      </c>
      <c r="E147" s="206" t="n">
        <f aca="false">IF(ISNA(MATCH((D147+C147),,0)),(D147+C147),12)</f>
        <v>12</v>
      </c>
      <c r="F147" s="1005" t="n">
        <f aca="false">G145</f>
        <v>43665.6180324072</v>
      </c>
      <c r="G147" s="1005" t="n">
        <f aca="false">F147+E147*NDDaysInYEar</f>
        <v>48048.6765046294</v>
      </c>
      <c r="H147" s="992" t="s">
        <v>689</v>
      </c>
      <c r="I147" s="206" t="str">
        <f aca="false">INDEX(SignSym,MOD(B147+MATCH(H147,SignSym,0)-1,12)+1)</f>
        <v>Pi</v>
      </c>
      <c r="J147" s="206" t="str">
        <f aca="false">INDEX(SignSym,MOD(B147+MATCH(I147,SignSym,0)-1,12)+1)</f>
        <v>Aq</v>
      </c>
      <c r="K147" s="206" t="str">
        <f aca="false">INDEX(SignSym,MOD(B147+MATCH(J147,SignSym,0)-1,12)+1)</f>
        <v>Cp</v>
      </c>
      <c r="L147" s="206" t="str">
        <f aca="false">INDEX(SignSym,MOD(B147+MATCH(K147,SignSym,0)-1,12)+1)</f>
        <v>Sg</v>
      </c>
      <c r="M147" s="206" t="str">
        <f aca="false">INDEX(SignSym,MOD(B147+MATCH(L147,SignSym,0)-1,12)+1)</f>
        <v>Sc</v>
      </c>
      <c r="N147" s="206" t="str">
        <f aca="false">INDEX(SignSym,MOD(B147+MATCH(M147,SignSym,0)-1,12)+1)</f>
        <v>Li</v>
      </c>
      <c r="O147" s="206" t="str">
        <f aca="false">INDEX(SignSym,MOD(B147+MATCH(N147,SignSym,0)-1,12)+1)</f>
        <v>Vi</v>
      </c>
      <c r="P147" s="206" t="str">
        <f aca="false">INDEX(SignSym,MOD(B147+MATCH(O147,SignSym,0)-1,12)+1)</f>
        <v>Le</v>
      </c>
      <c r="Q147" s="206" t="str">
        <f aca="false">INDEX(SignSym,MOD(B147+MATCH(P147,SignSym,0)-1,12)+1)</f>
        <v>Cn</v>
      </c>
      <c r="R147" s="206" t="str">
        <f aca="false">INDEX(SignSym,MOD(B147+MATCH(Q147,SignSym,0)-1,12)+1)</f>
        <v>Ge</v>
      </c>
      <c r="S147" s="206" t="str">
        <f aca="false">INDEX(SignSym,MOD(B147+MATCH(R147,SignSym,0)-1,12)+1)</f>
        <v>Ta</v>
      </c>
    </row>
    <row r="148" s="206" customFormat="true" ht="15" hidden="true" customHeight="false" outlineLevel="0" collapsed="false">
      <c r="C148" s="998"/>
      <c r="D148" s="998"/>
      <c r="F148" s="1005"/>
      <c r="G148" s="1005"/>
      <c r="H148" s="1005" t="n">
        <f aca="false">F147</f>
        <v>43665.6180324072</v>
      </c>
      <c r="I148" s="1005" t="n">
        <f aca="false">H148+(E147*NDDaysInYEar/12)</f>
        <v>44030.8729050924</v>
      </c>
      <c r="J148" s="1005" t="n">
        <f aca="false">I148+(E147*NDDaysInYEar/12)</f>
        <v>44396.1277777776</v>
      </c>
      <c r="K148" s="1005" t="n">
        <f aca="false">J148+(E147*NDDaysInYEar/12)</f>
        <v>44761.3826504628</v>
      </c>
      <c r="L148" s="1005" t="n">
        <f aca="false">K148+(E147*NDDaysInYEar/12)</f>
        <v>45126.637523148</v>
      </c>
      <c r="M148" s="1005" t="n">
        <f aca="false">L148+(E147*NDDaysInYEar/12)</f>
        <v>45491.8923958331</v>
      </c>
      <c r="N148" s="1005" t="n">
        <f aca="false">M148+(E147*NDDaysInYEar/12)</f>
        <v>45857.1472685183</v>
      </c>
      <c r="O148" s="1005" t="n">
        <f aca="false">N148+(E147*NDDaysInYEar/12)</f>
        <v>46222.4021412035</v>
      </c>
      <c r="P148" s="1005" t="n">
        <f aca="false">O148+(E147*NDDaysInYEar/12)</f>
        <v>46587.6570138887</v>
      </c>
      <c r="Q148" s="1005" t="n">
        <f aca="false">P148+(E147*NDDaysInYEar/12)</f>
        <v>46952.9118865739</v>
      </c>
      <c r="R148" s="1005" t="n">
        <f aca="false">Q148+(E147*NDDaysInYEar/12)</f>
        <v>47318.1667592591</v>
      </c>
      <c r="S148" s="1005" t="n">
        <f aca="false">R148+(E147*NDDaysInYEar/12)</f>
        <v>47683.4216319442</v>
      </c>
    </row>
    <row r="149" s="206" customFormat="true" ht="15" hidden="false" customHeight="false" outlineLevel="0" collapsed="false">
      <c r="A149" s="206" t="str">
        <f aca="false">VLOOKUP(C136,NDasaSeq,12,0)</f>
        <v>Le</v>
      </c>
      <c r="B149" s="206" t="n">
        <f aca="false">VLOOKUP(A149,NDasaC,3,0)</f>
        <v>-1</v>
      </c>
      <c r="C149" s="998" t="e">
        <f aca="false">IF(MATCH(VLOOKUP(IF((A149="Aq"),VLOOKUP("AqLord",DivCharts,D135,0),IF((A149="Sc"),VLOOKUP("ScLord",DivCharts,D135,0),VLOOKUP(A149,RsInfo,9,0))),DivCharts,D135,0),RsTbl,0)=MATCH(VLOOKUP(IF((A149="Aq"),VLOOKUP("AqLord",DivCharts,D135,0),IF((A149="Sc"),VLOOKUP("ScLord",DivCharts,D135,0),VLOOKUP(A149,RsInfo,9,0))),PlanetData,8,0),RsTbl,0),1,IF(MATCH(VLOOKUP(IF((A149="Aq"),VLOOKUP("AqLord",DivCharts,D135,0),IF((A149="Sc"),VLOOKUP("ScLord",DivCharts,D135,0),VLOOKUP(A149,RsInfo,9,0))),DivCharts,D135,0),RsTbl,0)=MOD(MATCH(VLOOKUP(IF((A149="Aq"),VLOOKUP("AqLord",DivCharts,D135,0),IF((A149="Sc"),VLOOKUP("ScLord",DivCharts,D135,0),VLOOKUP(A149,RsInfo,9,0))),PlanetData,8,0),RsTbl,0)+6,12),-1,0))</f>
        <v>#N/A</v>
      </c>
      <c r="D149" s="998" t="n">
        <f aca="false">MOD((MATCH(VLOOKUP(IF((A149="Aq"),VLOOKUP("AqLord",DivCharts,D135,0),IF((A149="Sc"),VLOOKUP("ScLord",DivCharts,D135,0),VLOOKUP(A149,RsInfo,9,0))),DivCharts,D135,0),RsTbl,0)*B149)-(B149*MATCH(A149,RsTbl,0))+12,12)</f>
        <v>3</v>
      </c>
      <c r="E149" s="206" t="n">
        <f aca="false">IF(ISNA(MATCH((D149+C149),,0)),(D149+C149),12)</f>
        <v>12</v>
      </c>
      <c r="F149" s="1005" t="n">
        <f aca="false">G147</f>
        <v>48048.6765046294</v>
      </c>
      <c r="G149" s="1005" t="n">
        <f aca="false">F149+E149*NDDaysInYEar</f>
        <v>52431.7349768516</v>
      </c>
      <c r="H149" s="992" t="s">
        <v>711</v>
      </c>
      <c r="I149" s="206" t="str">
        <f aca="false">INDEX(SignSym,MOD(B149+MATCH(H149,SignSym,0)-1,12)+1)</f>
        <v>Le</v>
      </c>
      <c r="J149" s="206" t="str">
        <f aca="false">INDEX(SignSym,MOD(B149+MATCH(I149,SignSym,0)-1,12)+1)</f>
        <v>Cn</v>
      </c>
      <c r="K149" s="206" t="str">
        <f aca="false">INDEX(SignSym,MOD(B149+MATCH(J149,SignSym,0)-1,12)+1)</f>
        <v>Ge</v>
      </c>
      <c r="L149" s="206" t="str">
        <f aca="false">INDEX(SignSym,MOD(B149+MATCH(K149,SignSym,0)-1,12)+1)</f>
        <v>Ta</v>
      </c>
      <c r="M149" s="206" t="str">
        <f aca="false">INDEX(SignSym,MOD(B149+MATCH(L149,SignSym,0)-1,12)+1)</f>
        <v>Ar</v>
      </c>
      <c r="N149" s="206" t="str">
        <f aca="false">INDEX(SignSym,MOD(B149+MATCH(M149,SignSym,0)-1,12)+1)</f>
        <v>Pi</v>
      </c>
      <c r="O149" s="206" t="str">
        <f aca="false">INDEX(SignSym,MOD(B149+MATCH(N149,SignSym,0)-1,12)+1)</f>
        <v>Aq</v>
      </c>
      <c r="P149" s="206" t="str">
        <f aca="false">INDEX(SignSym,MOD(B149+MATCH(O149,SignSym,0)-1,12)+1)</f>
        <v>Cp</v>
      </c>
      <c r="Q149" s="206" t="str">
        <f aca="false">INDEX(SignSym,MOD(B149+MATCH(P149,SignSym,0)-1,12)+1)</f>
        <v>Sg</v>
      </c>
      <c r="R149" s="206" t="str">
        <f aca="false">INDEX(SignSym,MOD(B149+MATCH(Q149,SignSym,0)-1,12)+1)</f>
        <v>Sc</v>
      </c>
      <c r="S149" s="206" t="str">
        <f aca="false">INDEX(SignSym,MOD(B149+MATCH(R149,SignSym,0)-1,12)+1)</f>
        <v>Li</v>
      </c>
    </row>
    <row r="150" s="206" customFormat="true" ht="15" hidden="true" customHeight="false" outlineLevel="0" collapsed="false">
      <c r="C150" s="998"/>
      <c r="D150" s="998"/>
      <c r="F150" s="1005"/>
      <c r="G150" s="1005"/>
      <c r="H150" s="1005" t="n">
        <f aca="false">F149</f>
        <v>48048.6765046294</v>
      </c>
      <c r="I150" s="1005" t="n">
        <f aca="false">H150+(E149*NDDaysInYEar/12)</f>
        <v>48413.9313773146</v>
      </c>
      <c r="J150" s="1005" t="n">
        <f aca="false">I150+(E149*NDDaysInYEar/12)</f>
        <v>48779.1862499998</v>
      </c>
      <c r="K150" s="1005" t="n">
        <f aca="false">J150+(E149*NDDaysInYEar/12)</f>
        <v>49144.441122685</v>
      </c>
      <c r="L150" s="1005" t="n">
        <f aca="false">K150+(E149*NDDaysInYEar/12)</f>
        <v>49509.6959953701</v>
      </c>
      <c r="M150" s="1005" t="n">
        <f aca="false">L150+(E149*NDDaysInYEar/12)</f>
        <v>49874.9508680553</v>
      </c>
      <c r="N150" s="1005" t="n">
        <f aca="false">M150+(E149*NDDaysInYEar/12)</f>
        <v>50240.2057407405</v>
      </c>
      <c r="O150" s="1005" t="n">
        <f aca="false">N150+(E149*NDDaysInYEar/12)</f>
        <v>50605.4606134257</v>
      </c>
      <c r="P150" s="1005" t="n">
        <f aca="false">O150+(E149*NDDaysInYEar/12)</f>
        <v>50970.7154861109</v>
      </c>
      <c r="Q150" s="1005" t="n">
        <f aca="false">P150+(E149*NDDaysInYEar/12)</f>
        <v>51335.9703587961</v>
      </c>
      <c r="R150" s="1005" t="n">
        <f aca="false">Q150+(E149*NDDaysInYEar/12)</f>
        <v>51701.2252314812</v>
      </c>
      <c r="S150" s="1005" t="n">
        <f aca="false">R150+(E149*NDDaysInYEar/12)</f>
        <v>52066.4801041664</v>
      </c>
    </row>
    <row r="151" s="206" customFormat="true" ht="15" hidden="false" customHeight="false" outlineLevel="0" collapsed="false">
      <c r="A151" s="206" t="str">
        <f aca="false">VLOOKUP(C136,NDasaSeq,13,0)</f>
        <v>Cn</v>
      </c>
      <c r="B151" s="206" t="n">
        <f aca="false">VLOOKUP(A151,NDasaC,3,0)</f>
        <v>-1</v>
      </c>
      <c r="C151" s="998" t="e">
        <f aca="false">IF(MATCH(VLOOKUP(IF((A151="Aq"),VLOOKUP("AqLord",DivCharts,D135,0),IF((A151="Sc"),VLOOKUP("ScLord",DivCharts,D135,0),VLOOKUP(A151,RsInfo,9,0))),DivCharts,D135,0),RsTbl,0)=MATCH(VLOOKUP(IF((A151="Aq"),VLOOKUP("AqLord",DivCharts,D135,0),IF((A151="Sc"),VLOOKUP("ScLord",DivCharts,D135,0),VLOOKUP(A151,RsInfo,9,0))),PlanetData,8,0),RsTbl,0),1,IF(MATCH(VLOOKUP(IF((A151="Aq"),VLOOKUP("AqLord",DivCharts,D135,0),IF((A151="Sc"),VLOOKUP("ScLord",DivCharts,D135,0),VLOOKUP(A151,RsInfo,9,0))),DivCharts,D135,0),RsTbl,0)=MOD(MATCH(VLOOKUP(IF((A151="Aq"),VLOOKUP("AqLord",DivCharts,D135,0),IF((A151="Sc"),VLOOKUP("ScLord",DivCharts,D135,0),VLOOKUP(A151,RsInfo,9,0))),PlanetData,8,0),RsTbl,0)+6,12),-1,0))</f>
        <v>#N/A</v>
      </c>
      <c r="D151" s="998" t="n">
        <f aca="false">MOD((MATCH(VLOOKUP(IF((A151="Aq"),VLOOKUP("AqLord",DivCharts,D135,0),IF((A151="Sc"),VLOOKUP("ScLord",DivCharts,D135,0),VLOOKUP(A151,RsInfo,9,0))),DivCharts,D135,0),RsTbl,0)*B151)-(B151*MATCH(A151,RsTbl,0))+12,12)</f>
        <v>4</v>
      </c>
      <c r="E151" s="206" t="n">
        <f aca="false">IF(ISNA(MATCH((D151+C151),,0)),(D151+C151),12)</f>
        <v>12</v>
      </c>
      <c r="F151" s="1005" t="n">
        <f aca="false">G149</f>
        <v>52431.7349768516</v>
      </c>
      <c r="G151" s="1005" t="n">
        <f aca="false">F151+E151*NDDaysInYEar</f>
        <v>56814.7934490738</v>
      </c>
      <c r="H151" s="992" t="s">
        <v>699</v>
      </c>
      <c r="I151" s="206" t="str">
        <f aca="false">INDEX(SignSym,MOD(B151+MATCH(H151,SignSym,0)-1,12)+1)</f>
        <v>Cp</v>
      </c>
      <c r="J151" s="206" t="str">
        <f aca="false">INDEX(SignSym,MOD(B151+MATCH(I151,SignSym,0)-1,12)+1)</f>
        <v>Sg</v>
      </c>
      <c r="K151" s="206" t="str">
        <f aca="false">INDEX(SignSym,MOD(B151+MATCH(J151,SignSym,0)-1,12)+1)</f>
        <v>Sc</v>
      </c>
      <c r="L151" s="206" t="str">
        <f aca="false">INDEX(SignSym,MOD(B151+MATCH(K151,SignSym,0)-1,12)+1)</f>
        <v>Li</v>
      </c>
      <c r="M151" s="206" t="str">
        <f aca="false">INDEX(SignSym,MOD(B151+MATCH(L151,SignSym,0)-1,12)+1)</f>
        <v>Vi</v>
      </c>
      <c r="N151" s="206" t="str">
        <f aca="false">INDEX(SignSym,MOD(B151+MATCH(M151,SignSym,0)-1,12)+1)</f>
        <v>Le</v>
      </c>
      <c r="O151" s="206" t="str">
        <f aca="false">INDEX(SignSym,MOD(B151+MATCH(N151,SignSym,0)-1,12)+1)</f>
        <v>Cn</v>
      </c>
      <c r="P151" s="206" t="str">
        <f aca="false">INDEX(SignSym,MOD(B151+MATCH(O151,SignSym,0)-1,12)+1)</f>
        <v>Ge</v>
      </c>
      <c r="Q151" s="206" t="str">
        <f aca="false">INDEX(SignSym,MOD(B151+MATCH(P151,SignSym,0)-1,12)+1)</f>
        <v>Ta</v>
      </c>
      <c r="R151" s="206" t="str">
        <f aca="false">INDEX(SignSym,MOD(B151+MATCH(Q151,SignSym,0)-1,12)+1)</f>
        <v>Ar</v>
      </c>
      <c r="S151" s="206" t="str">
        <f aca="false">INDEX(SignSym,MOD(B151+MATCH(R151,SignSym,0)-1,12)+1)</f>
        <v>Pi</v>
      </c>
    </row>
    <row r="152" s="206" customFormat="true" ht="15" hidden="true" customHeight="false" outlineLevel="0" collapsed="false">
      <c r="C152" s="998"/>
      <c r="D152" s="998"/>
      <c r="F152" s="1005"/>
      <c r="G152" s="1005"/>
      <c r="H152" s="1005" t="n">
        <f aca="false">F151</f>
        <v>52431.7349768516</v>
      </c>
      <c r="I152" s="1005" t="n">
        <f aca="false">H152+(E151*NDDaysInYEar/12)</f>
        <v>52796.9898495368</v>
      </c>
      <c r="J152" s="1005" t="n">
        <f aca="false">I152+(E151*NDDaysInYEar/12)</f>
        <v>53162.244722222</v>
      </c>
      <c r="K152" s="1005" t="n">
        <f aca="false">J152+(E151*NDDaysInYEar/12)</f>
        <v>53527.4995949071</v>
      </c>
      <c r="L152" s="1005" t="n">
        <f aca="false">K152+(E151*NDDaysInYEar/12)</f>
        <v>53892.7544675923</v>
      </c>
      <c r="M152" s="1005" t="n">
        <f aca="false">L152+(E151*NDDaysInYEar/12)</f>
        <v>54258.0093402775</v>
      </c>
      <c r="N152" s="1005" t="n">
        <f aca="false">M152+(E151*NDDaysInYEar/12)</f>
        <v>54623.2642129627</v>
      </c>
      <c r="O152" s="1005" t="n">
        <f aca="false">N152+(E151*NDDaysInYEar/12)</f>
        <v>54988.5190856479</v>
      </c>
      <c r="P152" s="1005" t="n">
        <f aca="false">O152+(E151*NDDaysInYEar/12)</f>
        <v>55353.7739583331</v>
      </c>
      <c r="Q152" s="1005" t="n">
        <f aca="false">P152+(E151*NDDaysInYEar/12)</f>
        <v>55719.0288310182</v>
      </c>
      <c r="R152" s="1005" t="n">
        <f aca="false">Q152+(E151*NDDaysInYEar/12)</f>
        <v>56084.2837037034</v>
      </c>
      <c r="S152" s="1005" t="n">
        <f aca="false">R152+(E151*NDDaysInYEar/12)</f>
        <v>56449.5385763886</v>
      </c>
    </row>
    <row r="153" s="206" customFormat="true" ht="15" hidden="false" customHeight="false" outlineLevel="0" collapsed="false">
      <c r="A153" s="206" t="str">
        <f aca="false">VLOOKUP(C136,NDasaSeq,14,0)</f>
        <v>Ge</v>
      </c>
      <c r="B153" s="206" t="n">
        <f aca="false">VLOOKUP(A153,NDasaC,3,0)</f>
        <v>1</v>
      </c>
      <c r="C153" s="998" t="e">
        <f aca="false">IF(MATCH(VLOOKUP(IF((A153="Aq"),VLOOKUP("AqLord",DivCharts,D135,0),IF((A153="Sc"),VLOOKUP("ScLord",DivCharts,D135,0),VLOOKUP(A153,RsInfo,9,0))),DivCharts,D135,0),RsTbl,0)=MATCH(VLOOKUP(IF((A153="Aq"),VLOOKUP("AqLord",DivCharts,D135,0),IF((A153="Sc"),VLOOKUP("ScLord",DivCharts,D135,0),VLOOKUP(A153,RsInfo,9,0))),PlanetData,8,0),RsTbl,0),1,IF(MATCH(VLOOKUP(IF((A153="Aq"),VLOOKUP("AqLord",DivCharts,D135,0),IF((A153="Sc"),VLOOKUP("ScLord",DivCharts,D135,0),VLOOKUP(A153,RsInfo,9,0))),DivCharts,D135,0),RsTbl,0)=MOD(MATCH(VLOOKUP(IF((A153="Aq"),VLOOKUP("AqLord",DivCharts,D135,0),IF((A153="Sc"),VLOOKUP("ScLord",DivCharts,D135,0),VLOOKUP(A153,RsInfo,9,0))),PlanetData,8,0),RsTbl,0)+6,12),-1,0))</f>
        <v>#N/A</v>
      </c>
      <c r="D153" s="998" t="n">
        <f aca="false">MOD((MATCH(VLOOKUP(IF((A153="Aq"),VLOOKUP("AqLord",DivCharts,D135,0),IF((A153="Sc"),VLOOKUP("ScLord",DivCharts,D135,0),VLOOKUP(A153,RsInfo,9,0))),DivCharts,D135,0),RsTbl,0)*B153)-(B153*MATCH(A153,RsTbl,0))+12,12)</f>
        <v>4</v>
      </c>
      <c r="E153" s="206" t="n">
        <f aca="false">IF(ISNA(MATCH((D153+C153),,0)),(D153+C153),12)</f>
        <v>12</v>
      </c>
      <c r="F153" s="1005" t="n">
        <f aca="false">G151</f>
        <v>56814.7934490738</v>
      </c>
      <c r="G153" s="1005" t="n">
        <f aca="false">F153+E153*NDDaysInYEar</f>
        <v>61197.851921296</v>
      </c>
      <c r="H153" s="992" t="s">
        <v>703</v>
      </c>
      <c r="I153" s="206" t="str">
        <f aca="false">INDEX(SignSym,MOD(B153+MATCH(H153,SignSym,0)-1,12)+1)</f>
        <v>Le</v>
      </c>
      <c r="J153" s="206" t="str">
        <f aca="false">INDEX(SignSym,MOD(B153+MATCH(I153,SignSym,0)-1,12)+1)</f>
        <v>Vi</v>
      </c>
      <c r="K153" s="206" t="str">
        <f aca="false">INDEX(SignSym,MOD(B153+MATCH(J153,SignSym,0)-1,12)+1)</f>
        <v>Li</v>
      </c>
      <c r="L153" s="206" t="str">
        <f aca="false">INDEX(SignSym,MOD(B153+MATCH(K153,SignSym,0)-1,12)+1)</f>
        <v>Sc</v>
      </c>
      <c r="M153" s="206" t="str">
        <f aca="false">INDEX(SignSym,MOD(B153+MATCH(L153,SignSym,0)-1,12)+1)</f>
        <v>Sg</v>
      </c>
      <c r="N153" s="206" t="str">
        <f aca="false">INDEX(SignSym,MOD(B153+MATCH(M153,SignSym,0)-1,12)+1)</f>
        <v>Cp</v>
      </c>
      <c r="O153" s="206" t="str">
        <f aca="false">INDEX(SignSym,MOD(B153+MATCH(N153,SignSym,0)-1,12)+1)</f>
        <v>Aq</v>
      </c>
      <c r="P153" s="206" t="str">
        <f aca="false">INDEX(SignSym,MOD(B153+MATCH(O153,SignSym,0)-1,12)+1)</f>
        <v>Pi</v>
      </c>
      <c r="Q153" s="206" t="str">
        <f aca="false">INDEX(SignSym,MOD(B153+MATCH(P153,SignSym,0)-1,12)+1)</f>
        <v>Ar</v>
      </c>
      <c r="R153" s="206" t="str">
        <f aca="false">INDEX(SignSym,MOD(B153+MATCH(Q153,SignSym,0)-1,12)+1)</f>
        <v>Ta</v>
      </c>
      <c r="S153" s="206" t="str">
        <f aca="false">INDEX(SignSym,MOD(B153+MATCH(R153,SignSym,0)-1,12)+1)</f>
        <v>Ge</v>
      </c>
    </row>
    <row r="154" s="206" customFormat="true" ht="15" hidden="true" customHeight="false" outlineLevel="0" collapsed="false">
      <c r="C154" s="998"/>
      <c r="D154" s="998"/>
      <c r="F154" s="1005"/>
      <c r="G154" s="1005"/>
      <c r="H154" s="1005" t="n">
        <f aca="false">F153</f>
        <v>56814.7934490738</v>
      </c>
      <c r="I154" s="1005" t="n">
        <f aca="false">H154+(E153*NDDaysInYEar/12)</f>
        <v>57180.048321759</v>
      </c>
      <c r="J154" s="1005" t="n">
        <f aca="false">I154+(E153*NDDaysInYEar/12)</f>
        <v>57545.3031944441</v>
      </c>
      <c r="K154" s="1005" t="n">
        <f aca="false">J154+(E153*NDDaysInYEar/12)</f>
        <v>57910.5580671293</v>
      </c>
      <c r="L154" s="1005" t="n">
        <f aca="false">K154+(E153*NDDaysInYEar/12)</f>
        <v>58275.8129398145</v>
      </c>
      <c r="M154" s="1005" t="n">
        <f aca="false">L154+(E153*NDDaysInYEar/12)</f>
        <v>58641.0678124997</v>
      </c>
      <c r="N154" s="1005" t="n">
        <f aca="false">M154+(E153*NDDaysInYEar/12)</f>
        <v>59006.3226851849</v>
      </c>
      <c r="O154" s="1005" t="n">
        <f aca="false">N154+(E153*NDDaysInYEar/12)</f>
        <v>59371.5775578701</v>
      </c>
      <c r="P154" s="1005" t="n">
        <f aca="false">O154+(E153*NDDaysInYEar/12)</f>
        <v>59736.8324305552</v>
      </c>
      <c r="Q154" s="1005" t="n">
        <f aca="false">P154+(E153*NDDaysInYEar/12)</f>
        <v>60102.0873032404</v>
      </c>
      <c r="R154" s="1005" t="n">
        <f aca="false">Q154+(E153*NDDaysInYEar/12)</f>
        <v>60467.3421759256</v>
      </c>
      <c r="S154" s="1005" t="n">
        <f aca="false">R154+(E153*NDDaysInYEar/12)</f>
        <v>60832.5970486108</v>
      </c>
    </row>
    <row r="155" s="206" customFormat="true" ht="15" hidden="false" customHeight="false" outlineLevel="0" collapsed="false">
      <c r="A155" s="206" t="str">
        <f aca="false">VLOOKUP(C136,NDasaSeq,15,0)</f>
        <v>Ta</v>
      </c>
      <c r="B155" s="206" t="n">
        <f aca="false">VLOOKUP(A155,NDasaC,3,0)</f>
        <v>1</v>
      </c>
      <c r="C155" s="998" t="e">
        <f aca="false">IF(MATCH(VLOOKUP(IF((A155="Aq"),VLOOKUP("AqLord",DivCharts,D135,0),IF((A155="Sc"),VLOOKUP("ScLord",DivCharts,D135,0),VLOOKUP(A155,RsInfo,9,0))),DivCharts,D135,0),RsTbl,0)=MATCH(VLOOKUP(IF((A155="Aq"),VLOOKUP("AqLord",DivCharts,D135,0),IF((A155="Sc"),VLOOKUP("ScLord",DivCharts,D135,0),VLOOKUP(A155,RsInfo,9,0))),PlanetData,8,0),RsTbl,0),1,IF(MATCH(VLOOKUP(IF((A155="Aq"),VLOOKUP("AqLord",DivCharts,D135,0),IF((A155="Sc"),VLOOKUP("ScLord",DivCharts,D135,0),VLOOKUP(A155,RsInfo,9,0))),DivCharts,D135,0),RsTbl,0)=MOD(MATCH(VLOOKUP(IF((A155="Aq"),VLOOKUP("AqLord",DivCharts,D135,0),IF((A155="Sc"),VLOOKUP("ScLord",DivCharts,D135,0),VLOOKUP(A155,RsInfo,9,0))),PlanetData,8,0),RsTbl,0)+6,12),-1,0))</f>
        <v>#N/A</v>
      </c>
      <c r="D155" s="998" t="n">
        <f aca="false">MOD((MATCH(VLOOKUP(IF((A155="Aq"),VLOOKUP("AqLord",DivCharts,D135,0),IF((A155="Sc"),VLOOKUP("ScLord",DivCharts,D135,0),VLOOKUP(A155,RsInfo,9,0))),DivCharts,D135,0),RsTbl,0)*B155)-(B155*MATCH(A155,RsTbl,0))+12,12)</f>
        <v>5</v>
      </c>
      <c r="E155" s="206" t="n">
        <f aca="false">IF(ISNA(MATCH((D155+C155),,0)),(D155+C155),12)</f>
        <v>12</v>
      </c>
      <c r="F155" s="1005" t="n">
        <f aca="false">G153</f>
        <v>61197.851921296</v>
      </c>
      <c r="G155" s="1005" t="n">
        <f aca="false">F155+E155*NDDaysInYEar</f>
        <v>65580.9103935182</v>
      </c>
      <c r="H155" s="992" t="str">
        <f aca="false">A155</f>
        <v>Ta</v>
      </c>
      <c r="I155" s="206" t="str">
        <f aca="false">INDEX(SignSym,MOD(B155+MATCH(H155,SignSym,0)-1,12)+1)</f>
        <v>Ge</v>
      </c>
      <c r="J155" s="206" t="str">
        <f aca="false">INDEX(SignSym,MOD(B155+MATCH(I155,SignSym,0)-1,12)+1)</f>
        <v>Cn</v>
      </c>
      <c r="K155" s="206" t="str">
        <f aca="false">INDEX(SignSym,MOD(B155+MATCH(J155,SignSym,0)-1,12)+1)</f>
        <v>Le</v>
      </c>
      <c r="L155" s="206" t="str">
        <f aca="false">INDEX(SignSym,MOD(B155+MATCH(K155,SignSym,0)-1,12)+1)</f>
        <v>Vi</v>
      </c>
      <c r="M155" s="206" t="str">
        <f aca="false">INDEX(SignSym,MOD(B155+MATCH(L155,SignSym,0)-1,12)+1)</f>
        <v>Li</v>
      </c>
      <c r="N155" s="206" t="str">
        <f aca="false">INDEX(SignSym,MOD(B155+MATCH(M155,SignSym,0)-1,12)+1)</f>
        <v>Sc</v>
      </c>
      <c r="O155" s="206" t="str">
        <f aca="false">INDEX(SignSym,MOD(B155+MATCH(N155,SignSym,0)-1,12)+1)</f>
        <v>Sg</v>
      </c>
      <c r="P155" s="206" t="str">
        <f aca="false">INDEX(SignSym,MOD(B155+MATCH(O155,SignSym,0)-1,12)+1)</f>
        <v>Cp</v>
      </c>
      <c r="Q155" s="206" t="str">
        <f aca="false">INDEX(SignSym,MOD(B155+MATCH(P155,SignSym,0)-1,12)+1)</f>
        <v>Aq</v>
      </c>
      <c r="R155" s="206" t="str">
        <f aca="false">INDEX(SignSym,MOD(B155+MATCH(Q155,SignSym,0)-1,12)+1)</f>
        <v>Pi</v>
      </c>
      <c r="S155" s="206" t="str">
        <f aca="false">INDEX(SignSym,MOD(B155+MATCH(R155,SignSym,0)-1,12)+1)</f>
        <v>Ar</v>
      </c>
    </row>
    <row r="156" s="206" customFormat="true" ht="12.75" hidden="true" customHeight="true" outlineLevel="0" collapsed="false">
      <c r="C156" s="998"/>
      <c r="D156" s="998"/>
      <c r="F156" s="1005"/>
      <c r="G156" s="1005"/>
      <c r="H156" s="1005" t="n">
        <f aca="false">F155</f>
        <v>61197.851921296</v>
      </c>
      <c r="I156" s="1005" t="n">
        <f aca="false">H156+(E155*NDDaysInYEar/12)</f>
        <v>61563.1067939812</v>
      </c>
      <c r="J156" s="1005" t="n">
        <f aca="false">I156+(E155*NDDaysInYEar/12)</f>
        <v>61928.3616666663</v>
      </c>
      <c r="K156" s="1005" t="n">
        <f aca="false">J156+(E155*NDDaysInYEar/12)</f>
        <v>62293.6165393515</v>
      </c>
      <c r="L156" s="1005" t="n">
        <f aca="false">K156+(E155*NDDaysInYEar/12)</f>
        <v>62658.8714120367</v>
      </c>
      <c r="M156" s="1005" t="n">
        <f aca="false">L156+(E155*NDDaysInYEar/12)</f>
        <v>63024.1262847219</v>
      </c>
      <c r="N156" s="1005" t="n">
        <f aca="false">M156+(E155*NDDaysInYEar/12)</f>
        <v>63389.3811574071</v>
      </c>
      <c r="O156" s="1005" t="n">
        <f aca="false">N156+(E155*NDDaysInYEar/12)</f>
        <v>63754.6360300922</v>
      </c>
      <c r="P156" s="1005" t="n">
        <f aca="false">O156+(E155*NDDaysInYEar/12)</f>
        <v>64119.8909027774</v>
      </c>
      <c r="Q156" s="1005" t="n">
        <f aca="false">P156+(E155*NDDaysInYEar/12)</f>
        <v>64485.1457754626</v>
      </c>
      <c r="R156" s="1005" t="n">
        <f aca="false">Q156+(E155*NDDaysInYEar/12)</f>
        <v>64850.4006481478</v>
      </c>
      <c r="S156" s="1005" t="n">
        <f aca="false">R156+(E155*NDDaysInYEar/12)</f>
        <v>65215.655520833</v>
      </c>
    </row>
    <row r="157" s="206" customFormat="true" ht="15" hidden="false" customHeight="false" outlineLevel="0" collapsed="false">
      <c r="A157" s="206" t="str">
        <f aca="false">VLOOKUP(C136,NDasaSeq,16,0)</f>
        <v>Ar</v>
      </c>
      <c r="B157" s="206" t="n">
        <f aca="false">VLOOKUP(A157,NDasaC,3,0)</f>
        <v>1</v>
      </c>
      <c r="C157" s="998" t="e">
        <f aca="false">IF(MATCH(VLOOKUP(IF((A157="Aq"),VLOOKUP("AqLord",DivCharts,D135,0),IF((A157="Sc"),VLOOKUP("ScLord",DivCharts,D135,0),VLOOKUP(A157,RsInfo,9,0))),DivCharts,D135,0),RsTbl,0)=MATCH(VLOOKUP(IF((A157="Aq"),VLOOKUP("AqLord",DivCharts,D135,0),IF((A157="Sc"),VLOOKUP("ScLord",DivCharts,D135,0),VLOOKUP(A157,RsInfo,9,0))),PlanetData,8,0),RsTbl,0),1,IF(MATCH(VLOOKUP(IF((A157="Aq"),VLOOKUP("AqLord",DivCharts,D135,0),IF((A157="Sc"),VLOOKUP("ScLord",DivCharts,D135,0),VLOOKUP(A157,RsInfo,9,0))),DivCharts,D135,0),RsTbl,0)=MOD(MATCH(VLOOKUP(IF((A157="Aq"),VLOOKUP("AqLord",DivCharts,D135,0),IF((A157="Sc"),VLOOKUP("ScLord",DivCharts,D135,0),VLOOKUP(A157,RsInfo,9,0))),PlanetData,8,0),RsTbl,0)+6,12),-1,0))</f>
        <v>#N/A</v>
      </c>
      <c r="D157" s="998" t="n">
        <f aca="false">MOD((MATCH(VLOOKUP(IF((A157="Aq"),VLOOKUP("AqLord",DivCharts,D135,0),IF((A157="Sc"),VLOOKUP("ScLord",DivCharts,D135,0),VLOOKUP(A157,RsInfo,9,0))),DivCharts,D135,0),RsTbl,0)*B157)-(B157*MATCH(A157,RsTbl,0))+12,12)</f>
        <v>6</v>
      </c>
      <c r="E157" s="206" t="n">
        <f aca="false">IF(ISNA(MATCH((D157+C157),,0)),(D157+C157),12)</f>
        <v>12</v>
      </c>
      <c r="F157" s="1005" t="n">
        <f aca="false">G155</f>
        <v>65580.9103935182</v>
      </c>
      <c r="G157" s="1005" t="n">
        <f aca="false">F157+E157*NDDaysInYEar</f>
        <v>69963.9688657403</v>
      </c>
      <c r="H157" s="992" t="str">
        <f aca="false">A157</f>
        <v>Ar</v>
      </c>
      <c r="I157" s="206" t="str">
        <f aca="false">INDEX(SignSym,MOD(B157+MATCH(H157,SignSym,0)-1,12)+1)</f>
        <v>Ta</v>
      </c>
      <c r="J157" s="206" t="str">
        <f aca="false">INDEX(SignSym,MOD(B157+MATCH(I157,SignSym,0)-1,12)+1)</f>
        <v>Ge</v>
      </c>
      <c r="K157" s="206" t="str">
        <f aca="false">INDEX(SignSym,MOD(B157+MATCH(J157,SignSym,0)-1,12)+1)</f>
        <v>Cn</v>
      </c>
      <c r="L157" s="206" t="str">
        <f aca="false">INDEX(SignSym,MOD(B157+MATCH(K157,SignSym,0)-1,12)+1)</f>
        <v>Le</v>
      </c>
      <c r="M157" s="206" t="str">
        <f aca="false">INDEX(SignSym,MOD(B157+MATCH(L157,SignSym,0)-1,12)+1)</f>
        <v>Vi</v>
      </c>
      <c r="N157" s="206" t="str">
        <f aca="false">INDEX(SignSym,MOD(B157+MATCH(M157,SignSym,0)-1,12)+1)</f>
        <v>Li</v>
      </c>
      <c r="O157" s="206" t="str">
        <f aca="false">INDEX(SignSym,MOD(B157+MATCH(N157,SignSym,0)-1,12)+1)</f>
        <v>Sc</v>
      </c>
      <c r="P157" s="206" t="str">
        <f aca="false">INDEX(SignSym,MOD(B157+MATCH(O157,SignSym,0)-1,12)+1)</f>
        <v>Sg</v>
      </c>
      <c r="Q157" s="206" t="str">
        <f aca="false">INDEX(SignSym,MOD(B157+MATCH(P157,SignSym,0)-1,12)+1)</f>
        <v>Cp</v>
      </c>
      <c r="R157" s="206" t="str">
        <f aca="false">INDEX(SignSym,MOD(B157+MATCH(Q157,SignSym,0)-1,12)+1)</f>
        <v>Aq</v>
      </c>
      <c r="S157" s="206" t="str">
        <f aca="false">INDEX(SignSym,MOD(B157+MATCH(R157,SignSym,0)-1,12)+1)</f>
        <v>Pi</v>
      </c>
    </row>
    <row r="158" s="206" customFormat="true" ht="12.75" hidden="true" customHeight="true" outlineLevel="0" collapsed="false">
      <c r="C158" s="998"/>
      <c r="D158" s="998"/>
      <c r="F158" s="1005"/>
      <c r="G158" s="1005"/>
      <c r="H158" s="1005" t="n">
        <f aca="false">F157</f>
        <v>65580.9103935182</v>
      </c>
      <c r="I158" s="1005" t="n">
        <f aca="false">H158+(E157*NDDaysInYEar/12)</f>
        <v>65946.1652662033</v>
      </c>
      <c r="J158" s="1005" t="n">
        <f aca="false">I158+(E157*NDDaysInYEar/12)</f>
        <v>66311.4201388885</v>
      </c>
      <c r="K158" s="1005" t="n">
        <f aca="false">J158+(E157*NDDaysInYEar/12)</f>
        <v>66676.6750115737</v>
      </c>
      <c r="L158" s="1005" t="n">
        <f aca="false">K158+(E157*NDDaysInYEar/12)</f>
        <v>67041.9298842589</v>
      </c>
      <c r="M158" s="1005" t="n">
        <f aca="false">L158+(E157*NDDaysInYEar/12)</f>
        <v>67407.1847569441</v>
      </c>
      <c r="N158" s="1005" t="n">
        <f aca="false">M158+(E157*NDDaysInYEar/12)</f>
        <v>67772.4396296292</v>
      </c>
      <c r="O158" s="1005" t="n">
        <f aca="false">N158+(E157*NDDaysInYEar/12)</f>
        <v>68137.6945023144</v>
      </c>
      <c r="P158" s="1005" t="n">
        <f aca="false">O158+(E157*NDDaysInYEar/12)</f>
        <v>68502.9493749996</v>
      </c>
      <c r="Q158" s="1005" t="n">
        <f aca="false">P158+(E157*NDDaysInYEar/12)</f>
        <v>68868.2042476848</v>
      </c>
      <c r="R158" s="1005" t="n">
        <f aca="false">Q158+(E157*NDDaysInYEar/12)</f>
        <v>69233.45912037</v>
      </c>
      <c r="S158" s="1005" t="n">
        <f aca="false">R158+(E157*NDDaysInYEar/12)</f>
        <v>69598.7139930552</v>
      </c>
    </row>
    <row r="159" s="206" customFormat="true" ht="15" hidden="false" customHeight="false" outlineLevel="0" collapsed="false">
      <c r="A159" s="206" t="str">
        <f aca="false">VLOOKUP(C136,NDasaSeq,17,0)</f>
        <v>Pi</v>
      </c>
      <c r="B159" s="206" t="n">
        <f aca="false">VLOOKUP(A159,NDasaC,3,0)</f>
        <v>-1</v>
      </c>
      <c r="C159" s="998" t="e">
        <f aca="false">IF(MATCH(VLOOKUP(IF((A159="Aq"),VLOOKUP("AqLord",DivCharts,D135,0),IF((A159="Sc"),VLOOKUP("ScLord",DivCharts,D135,0),VLOOKUP(A159,RsInfo,9,0))),DivCharts,D135,0),RsTbl,0)=MATCH(VLOOKUP(IF((A159="Aq"),VLOOKUP("AqLord",DivCharts,D135,0),IF((A159="Sc"),VLOOKUP("ScLord",DivCharts,D135,0),VLOOKUP(A159,RsInfo,9,0))),PlanetData,8,0),RsTbl,0),1,IF(MATCH(VLOOKUP(IF((A159="Aq"),VLOOKUP("AqLord",DivCharts,D135,0),IF((A159="Sc"),VLOOKUP("ScLord",DivCharts,D135,0),VLOOKUP(A159,RsInfo,9,0))),DivCharts,D135,0),RsTbl,0)=MOD(MATCH(VLOOKUP(IF((A159="Aq"),VLOOKUP("AqLord",DivCharts,D135,0),IF((A159="Sc"),VLOOKUP("ScLord",DivCharts,D135,0),VLOOKUP(A159,RsInfo,9,0))),PlanetData,8,0),RsTbl,0)+6,12),-1,0))</f>
        <v>#N/A</v>
      </c>
      <c r="D159" s="998" t="n">
        <f aca="false">MOD((MATCH(VLOOKUP(IF((A159="Aq"),VLOOKUP("AqLord",DivCharts,D135,0),IF((A159="Sc"),VLOOKUP("ScLord",DivCharts,D135,0),VLOOKUP(A159,RsInfo,9,0))),DivCharts,D135,0),RsTbl,0)*B159)-(B159*MATCH(A159,RsTbl,0))+12,12)</f>
        <v>1</v>
      </c>
      <c r="E159" s="206" t="n">
        <f aca="false">IF(ISNA(MATCH((D159+C159),,0)),(D159+C159),12)</f>
        <v>12</v>
      </c>
      <c r="F159" s="1005" t="n">
        <f aca="false">G157</f>
        <v>69963.9688657403</v>
      </c>
      <c r="G159" s="1005" t="n">
        <f aca="false">F159+E159*NDDaysInYEar</f>
        <v>74347.0273379625</v>
      </c>
      <c r="H159" s="992" t="str">
        <f aca="false">A159</f>
        <v>Pi</v>
      </c>
      <c r="I159" s="206" t="str">
        <f aca="false">INDEX(SignSym,MOD(B159+MATCH(H159,SignSym,0)-1,12)+1)</f>
        <v>Aq</v>
      </c>
      <c r="J159" s="206" t="str">
        <f aca="false">INDEX(SignSym,MOD(B159+MATCH(I159,SignSym,0)-1,12)+1)</f>
        <v>Cp</v>
      </c>
      <c r="K159" s="206" t="str">
        <f aca="false">INDEX(SignSym,MOD(B159+MATCH(J159,SignSym,0)-1,12)+1)</f>
        <v>Sg</v>
      </c>
      <c r="L159" s="206" t="str">
        <f aca="false">INDEX(SignSym,MOD(B159+MATCH(K159,SignSym,0)-1,12)+1)</f>
        <v>Sc</v>
      </c>
      <c r="M159" s="206" t="str">
        <f aca="false">INDEX(SignSym,MOD(B159+MATCH(L159,SignSym,0)-1,12)+1)</f>
        <v>Li</v>
      </c>
      <c r="N159" s="206" t="str">
        <f aca="false">INDEX(SignSym,MOD(B159+MATCH(M159,SignSym,0)-1,12)+1)</f>
        <v>Vi</v>
      </c>
      <c r="O159" s="206" t="str">
        <f aca="false">INDEX(SignSym,MOD(B159+MATCH(N159,SignSym,0)-1,12)+1)</f>
        <v>Le</v>
      </c>
      <c r="P159" s="206" t="str">
        <f aca="false">INDEX(SignSym,MOD(B159+MATCH(O159,SignSym,0)-1,12)+1)</f>
        <v>Cn</v>
      </c>
      <c r="Q159" s="206" t="str">
        <f aca="false">INDEX(SignSym,MOD(B159+MATCH(P159,SignSym,0)-1,12)+1)</f>
        <v>Ge</v>
      </c>
      <c r="R159" s="206" t="str">
        <f aca="false">INDEX(SignSym,MOD(B159+MATCH(Q159,SignSym,0)-1,12)+1)</f>
        <v>Ta</v>
      </c>
      <c r="S159" s="206" t="str">
        <f aca="false">INDEX(SignSym,MOD(B159+MATCH(R159,SignSym,0)-1,12)+1)</f>
        <v>Ar</v>
      </c>
    </row>
    <row r="160" s="206" customFormat="true" ht="12.75" hidden="true" customHeight="true" outlineLevel="0" collapsed="false">
      <c r="C160" s="998"/>
      <c r="D160" s="998"/>
      <c r="F160" s="1005"/>
      <c r="G160" s="1005"/>
      <c r="H160" s="1005" t="n">
        <f aca="false">F159</f>
        <v>69963.9688657403</v>
      </c>
      <c r="I160" s="1005" t="n">
        <f aca="false">H160+(E159*NDDaysInYEar/12)</f>
        <v>70329.2237384255</v>
      </c>
      <c r="J160" s="1005" t="n">
        <f aca="false">I160+(E159*NDDaysInYEar/12)</f>
        <v>70694.4786111107</v>
      </c>
      <c r="K160" s="1005" t="n">
        <f aca="false">J160+(E159*NDDaysInYEar/12)</f>
        <v>71059.7334837959</v>
      </c>
      <c r="L160" s="1005" t="n">
        <f aca="false">K160+(E159*NDDaysInYEar/12)</f>
        <v>71424.9883564811</v>
      </c>
      <c r="M160" s="1005" t="n">
        <f aca="false">L160+(E159*NDDaysInYEar/12)</f>
        <v>71790.2432291662</v>
      </c>
      <c r="N160" s="1005" t="n">
        <f aca="false">M160+(E159*NDDaysInYEar/12)</f>
        <v>72155.4981018514</v>
      </c>
      <c r="O160" s="1005" t="n">
        <f aca="false">N160+(E159*NDDaysInYEar/12)</f>
        <v>72520.7529745366</v>
      </c>
      <c r="P160" s="1005" t="n">
        <f aca="false">O160+(E159*NDDaysInYEar/12)</f>
        <v>72886.0078472218</v>
      </c>
      <c r="Q160" s="1005" t="n">
        <f aca="false">P160+(E159*NDDaysInYEar/12)</f>
        <v>73251.262719907</v>
      </c>
      <c r="R160" s="1005" t="n">
        <f aca="false">Q160+(E159*NDDaysInYEar/12)</f>
        <v>73616.5175925922</v>
      </c>
      <c r="S160" s="1005" t="n">
        <f aca="false">R160+(E159*NDDaysInYEar/12)</f>
        <v>73981.7724652773</v>
      </c>
    </row>
    <row r="161" s="206" customFormat="true" ht="15" hidden="false" customHeight="false" outlineLevel="0" collapsed="false">
      <c r="A161" s="206" t="str">
        <f aca="false">VLOOKUP(C136,NDasaSeq,18,0)</f>
        <v>Aq</v>
      </c>
      <c r="B161" s="206" t="n">
        <f aca="false">VLOOKUP(A161,NDasaC,3,0)</f>
        <v>-1</v>
      </c>
      <c r="C161" s="998" t="e">
        <f aca="false">IF(MATCH(VLOOKUP(IF((A161="Aq"),VLOOKUP("AqLord",DivCharts,D135,0),IF((A161="Sc"),VLOOKUP("ScLord",DivCharts,D135,0),VLOOKUP(A161,RsInfo,9,0))),DivCharts,D135,0),RsTbl,0)=MATCH(VLOOKUP(IF((A161="Aq"),VLOOKUP("AqLord",DivCharts,D135,0),IF((A161="Sc"),VLOOKUP("ScLord",DivCharts,D135,0),VLOOKUP(A161,RsInfo,9,0))),PlanetData,8,0),RsTbl,0),1,IF(MATCH(VLOOKUP(IF((A161="Aq"),VLOOKUP("AqLord",DivCharts,D135,0),IF((A161="Sc"),VLOOKUP("ScLord",DivCharts,D135,0),VLOOKUP(A161,RsInfo,9,0))),DivCharts,D135,0),RsTbl,0)=MOD(MATCH(VLOOKUP(IF((A161="Aq"),VLOOKUP("AqLord",DivCharts,D135,0),IF((A161="Sc"),VLOOKUP("ScLord",DivCharts,D135,0),VLOOKUP(A161,RsInfo,9,0))),PlanetData,8,0),RsTbl,0)+6,12),-1,0))</f>
        <v>#N/A</v>
      </c>
      <c r="D161" s="998" t="n">
        <f aca="false">MOD((MATCH(VLOOKUP(IF((A161="Aq"),VLOOKUP("AqLord",DivCharts,D135,0),IF((A161="Sc"),VLOOKUP("ScLord",DivCharts,D135,0),VLOOKUP(A161,RsInfo,9,0))),DivCharts,D135,0),RsTbl,0)*B161)-(B161*MATCH(A161,RsTbl,0))+12,12)</f>
        <v>8</v>
      </c>
      <c r="E161" s="206" t="n">
        <f aca="false">IF(ISNA(MATCH((D161+C161),,0)),(D161+C161),12)</f>
        <v>12</v>
      </c>
      <c r="F161" s="1005" t="n">
        <f aca="false">G159</f>
        <v>74347.0273379625</v>
      </c>
      <c r="G161" s="1005" t="n">
        <f aca="false">F161+E161*NDDaysInYEar</f>
        <v>78730.0858101847</v>
      </c>
      <c r="H161" s="992" t="str">
        <f aca="false">A161</f>
        <v>Aq</v>
      </c>
      <c r="I161" s="206" t="str">
        <f aca="false">INDEX(SignSym,MOD(B161+MATCH(H161,SignSym,0)-1,12)+1)</f>
        <v>Cp</v>
      </c>
      <c r="J161" s="206" t="str">
        <f aca="false">INDEX(SignSym,MOD(B161+MATCH(I161,SignSym,0)-1,12)+1)</f>
        <v>Sg</v>
      </c>
      <c r="K161" s="206" t="str">
        <f aca="false">INDEX(SignSym,MOD(B161+MATCH(J161,SignSym,0)-1,12)+1)</f>
        <v>Sc</v>
      </c>
      <c r="L161" s="206" t="str">
        <f aca="false">INDEX(SignSym,MOD(B161+MATCH(K161,SignSym,0)-1,12)+1)</f>
        <v>Li</v>
      </c>
      <c r="M161" s="206" t="str">
        <f aca="false">INDEX(SignSym,MOD(B161+MATCH(L161,SignSym,0)-1,12)+1)</f>
        <v>Vi</v>
      </c>
      <c r="N161" s="206" t="str">
        <f aca="false">INDEX(SignSym,MOD(B161+MATCH(M161,SignSym,0)-1,12)+1)</f>
        <v>Le</v>
      </c>
      <c r="O161" s="206" t="str">
        <f aca="false">INDEX(SignSym,MOD(B161+MATCH(N161,SignSym,0)-1,12)+1)</f>
        <v>Cn</v>
      </c>
      <c r="P161" s="206" t="str">
        <f aca="false">INDEX(SignSym,MOD(B161+MATCH(O161,SignSym,0)-1,12)+1)</f>
        <v>Ge</v>
      </c>
      <c r="Q161" s="206" t="str">
        <f aca="false">INDEX(SignSym,MOD(B161+MATCH(P161,SignSym,0)-1,12)+1)</f>
        <v>Ta</v>
      </c>
      <c r="R161" s="206" t="str">
        <f aca="false">INDEX(SignSym,MOD(B161+MATCH(Q161,SignSym,0)-1,12)+1)</f>
        <v>Ar</v>
      </c>
      <c r="S161" s="206" t="str">
        <f aca="false">INDEX(SignSym,MOD(B161+MATCH(R161,SignSym,0)-1,12)+1)</f>
        <v>Pi</v>
      </c>
    </row>
    <row r="162" s="206" customFormat="true" ht="15" hidden="true" customHeight="false" outlineLevel="0" collapsed="false">
      <c r="D162" s="998"/>
      <c r="H162" s="1005" t="n">
        <f aca="false">F161</f>
        <v>74347.0273379625</v>
      </c>
      <c r="I162" s="1005" t="n">
        <f aca="false">H162+(E161*NDDaysInYEar/12)</f>
        <v>74712.2822106477</v>
      </c>
      <c r="J162" s="1005" t="n">
        <f aca="false">I162+(E161*NDDaysInYEar/12)</f>
        <v>75077.5370833329</v>
      </c>
      <c r="K162" s="1005" t="n">
        <f aca="false">J162+(E161*NDDaysInYEar/12)</f>
        <v>75442.7919560181</v>
      </c>
      <c r="L162" s="1005" t="n">
        <f aca="false">K162+(E161*NDDaysInYEar/12)</f>
        <v>75808.0468287032</v>
      </c>
      <c r="M162" s="1005" t="n">
        <f aca="false">L162+(E161*NDDaysInYEar/12)</f>
        <v>76173.3017013884</v>
      </c>
      <c r="N162" s="1005" t="n">
        <f aca="false">M162+(E161*NDDaysInYEar/12)</f>
        <v>76538.5565740736</v>
      </c>
      <c r="O162" s="1005" t="n">
        <f aca="false">N162+(E161*NDDaysInYEar/12)</f>
        <v>76903.8114467588</v>
      </c>
      <c r="P162" s="1005" t="n">
        <f aca="false">O162+(E161*NDDaysInYEar/12)</f>
        <v>77269.066319444</v>
      </c>
      <c r="Q162" s="1005" t="n">
        <f aca="false">P162+(E161*NDDaysInYEar/12)</f>
        <v>77634.3211921292</v>
      </c>
      <c r="R162" s="1005" t="n">
        <f aca="false">Q162+(E161*NDDaysInYEar/12)</f>
        <v>77999.5760648143</v>
      </c>
      <c r="S162" s="1005" t="n">
        <f aca="false">R162+(E161*NDDaysInYEar/12)</f>
        <v>78364.8309374995</v>
      </c>
    </row>
    <row r="163" s="206" customFormat="true" ht="15" hidden="false" customHeight="false" outlineLevel="0" collapsed="false">
      <c r="A163" s="1004"/>
      <c r="B163" s="1004"/>
      <c r="C163" s="1004"/>
      <c r="D163" s="1004"/>
      <c r="E163" s="1004"/>
      <c r="F163" s="1004"/>
      <c r="G163" s="1004"/>
      <c r="H163" s="1004"/>
      <c r="I163" s="1004"/>
      <c r="J163" s="1004"/>
      <c r="K163" s="1004"/>
      <c r="L163" s="1004"/>
      <c r="M163" s="1004"/>
      <c r="N163" s="1004"/>
      <c r="O163" s="1004"/>
      <c r="P163" s="1004"/>
      <c r="Q163" s="1004"/>
      <c r="R163" s="1004"/>
      <c r="S163" s="1004"/>
    </row>
    <row r="164" s="206" customFormat="true" ht="15" hidden="true" customHeight="false" outlineLevel="0" collapsed="false">
      <c r="H164" s="1005"/>
      <c r="I164" s="1005"/>
      <c r="J164" s="1005"/>
      <c r="K164" s="1005"/>
      <c r="L164" s="1005"/>
      <c r="M164" s="1005"/>
      <c r="N164" s="1005"/>
      <c r="O164" s="1005"/>
      <c r="P164" s="1005"/>
      <c r="Q164" s="1005"/>
      <c r="R164" s="1005"/>
      <c r="S164" s="1005"/>
    </row>
    <row r="165" s="206" customFormat="true" ht="15" hidden="false" customHeight="false" outlineLevel="0" collapsed="false"/>
    <row r="170" customFormat="false" ht="15" hidden="false" customHeight="false" outlineLevel="0" collapsed="false">
      <c r="A170" s="985" t="s">
        <v>4223</v>
      </c>
      <c r="B170" s="986"/>
      <c r="C170" s="986"/>
      <c r="D170" s="986"/>
      <c r="E170" s="986"/>
      <c r="F170" s="986"/>
      <c r="G170" s="986"/>
      <c r="H170" s="986"/>
      <c r="I170" s="986"/>
      <c r="J170" s="986"/>
      <c r="K170" s="986"/>
      <c r="L170" s="987"/>
      <c r="M170" s="986"/>
      <c r="N170" s="986"/>
      <c r="O170" s="986"/>
      <c r="P170" s="986"/>
      <c r="Q170" s="986"/>
      <c r="R170" s="986"/>
      <c r="S170" s="986"/>
    </row>
    <row r="171" s="206" customFormat="true" ht="15" hidden="false" customHeight="false" outlineLevel="0" collapsed="false">
      <c r="A171" s="988" t="s">
        <v>4213</v>
      </c>
      <c r="B171" s="988"/>
      <c r="C171" s="989" t="n">
        <v>24</v>
      </c>
      <c r="D171" s="990" t="n">
        <f aca="false">MATCH(C171,$18:$18,1)</f>
        <v>11</v>
      </c>
      <c r="I171" s="991"/>
      <c r="N171" s="991"/>
    </row>
    <row r="172" s="206" customFormat="true" ht="15" hidden="false" customHeight="false" outlineLevel="0" collapsed="false">
      <c r="A172" s="988" t="s">
        <v>4216</v>
      </c>
      <c r="B172" s="988"/>
      <c r="C172" s="992" t="s">
        <v>997</v>
      </c>
      <c r="D172" s="993"/>
      <c r="H172" s="991"/>
      <c r="I172" s="991"/>
      <c r="J172" s="991"/>
      <c r="P172" s="991"/>
    </row>
    <row r="173" s="206" customFormat="true" ht="15" hidden="false" customHeight="false" outlineLevel="0" collapsed="false">
      <c r="C173" s="991"/>
      <c r="E173" s="991"/>
      <c r="H173" s="991"/>
      <c r="I173" s="991"/>
      <c r="J173" s="991"/>
    </row>
    <row r="174" s="206" customFormat="true" ht="15" hidden="false" customHeight="false" outlineLevel="0" collapsed="false">
      <c r="A174" s="1007" t="s">
        <v>4084</v>
      </c>
      <c r="B174" s="1007" t="s">
        <v>807</v>
      </c>
      <c r="C174" s="1007" t="s">
        <v>4218</v>
      </c>
      <c r="D174" s="1007" t="s">
        <v>4219</v>
      </c>
      <c r="E174" s="1007" t="s">
        <v>400</v>
      </c>
      <c r="F174" s="1007" t="s">
        <v>730</v>
      </c>
      <c r="G174" s="1007" t="s">
        <v>805</v>
      </c>
      <c r="H174" s="1007" t="s">
        <v>4221</v>
      </c>
      <c r="I174" s="991"/>
      <c r="J174" s="991"/>
    </row>
    <row r="175" s="206" customFormat="true" ht="15" hidden="false" customHeight="false" outlineLevel="0" collapsed="false">
      <c r="A175" s="206" t="str">
        <f aca="false">VLOOKUP(C172,NDasaSeq,7,0)</f>
        <v>Aq</v>
      </c>
      <c r="B175" s="206" t="n">
        <f aca="false">VLOOKUP(A175,NDasaC,3,0)</f>
        <v>-1</v>
      </c>
      <c r="C175" s="998" t="e">
        <f aca="false">IF(MATCH(VLOOKUP(IF((A175="Aq"),VLOOKUP("AqLord",DivCharts,D171,0),IF((A175="Sc"),VLOOKUP("ScLord",DivCharts,D171,0),VLOOKUP(A175,RsInfo,9,0))),DivCharts,D171,0),RsTbl,0)=MATCH(VLOOKUP(IF((A175="Aq"),VLOOKUP("AqLord",DivCharts,D171,0),IF((A175="Sc"),VLOOKUP("ScLord",DivCharts,D171,0),VLOOKUP(A175,RsInfo,9,0))),PlanetData,8,0),RsTbl,0),1,IF(MATCH(VLOOKUP(IF((A175="Aq"),VLOOKUP("AqLord",DivCharts,D171,0),IF((A175="Sc"),VLOOKUP("ScLord",DivCharts,D171,0),VLOOKUP(A175,RsInfo,9,0))),DivCharts,D171,0),RsTbl,0)=MOD(MATCH(VLOOKUP(IF((A175="Aq"),VLOOKUP("AqLord",DivCharts,D171,0),IF((A175="Sc"),VLOOKUP("ScLord",DivCharts,D171,0),VLOOKUP(A175,RsInfo,9,0))),PlanetData,8,0),RsTbl,0)+6,12),-1,0))</f>
        <v>#N/A</v>
      </c>
      <c r="D175" s="998" t="n">
        <f aca="false">MOD((MATCH(VLOOKUP(IF((A175="Aq"),VLOOKUP("AqLord",DivCharts,D171,0),IF((A175="Sc"),VLOOKUP("ScLord",DivCharts,D171,0),VLOOKUP(A175,RsInfo,9,0))),DivCharts,D171,0),RsTbl,0)*B175)-(B175*MATCH(A175,RsTbl,0))+12,12)</f>
        <v>2</v>
      </c>
      <c r="E175" s="206" t="n">
        <f aca="false">IF(ISNA(MATCH((D175+C175),,0)),(D175+C175),12)</f>
        <v>12</v>
      </c>
      <c r="F175" s="1005" t="n">
        <v>11569</v>
      </c>
      <c r="G175" s="1005" t="n">
        <f aca="false">F175+E175*NDDaysInYEar</f>
        <v>15952.0584722222</v>
      </c>
      <c r="H175" s="992" t="str">
        <f aca="false">A175</f>
        <v>Aq</v>
      </c>
      <c r="I175" s="206" t="str">
        <f aca="false">INDEX(SignSym,MOD(B175+MATCH(H175,SignSym,0)-1,12)+1)</f>
        <v>Cp</v>
      </c>
      <c r="J175" s="206" t="str">
        <f aca="false">INDEX(SignSym,MOD(B175+MATCH(I175,SignSym,0)-1,12)+1)</f>
        <v>Sg</v>
      </c>
      <c r="K175" s="206" t="str">
        <f aca="false">INDEX(SignSym,MOD(B175+MATCH(J175,SignSym,0)-1,12)+1)</f>
        <v>Sc</v>
      </c>
      <c r="L175" s="206" t="str">
        <f aca="false">INDEX(SignSym,MOD(B175+MATCH(K175,SignSym,0)-1,12)+1)</f>
        <v>Li</v>
      </c>
      <c r="M175" s="206" t="str">
        <f aca="false">INDEX(SignSym,MOD(B175+MATCH(L175,SignSym,0)-1,12)+1)</f>
        <v>Vi</v>
      </c>
      <c r="N175" s="206" t="str">
        <f aca="false">INDEX(SignSym,MOD(B175+MATCH(M175,SignSym,0)-1,12)+1)</f>
        <v>Le</v>
      </c>
      <c r="O175" s="206" t="str">
        <f aca="false">INDEX(SignSym,MOD(B175+MATCH(N175,SignSym,0)-1,12)+1)</f>
        <v>Cn</v>
      </c>
      <c r="P175" s="206" t="str">
        <f aca="false">INDEX(SignSym,MOD(B175+MATCH(O175,SignSym,0)-1,12)+1)</f>
        <v>Ge</v>
      </c>
      <c r="Q175" s="206" t="str">
        <f aca="false">INDEX(SignSym,MOD(B175+MATCH(P175,SignSym,0)-1,12)+1)</f>
        <v>Ta</v>
      </c>
      <c r="R175" s="206" t="str">
        <f aca="false">INDEX(SignSym,MOD(B175+MATCH(Q175,SignSym,0)-1,12)+1)</f>
        <v>Ar</v>
      </c>
      <c r="S175" s="206" t="str">
        <f aca="false">INDEX(SignSym,MOD(B175+MATCH(R175,SignSym,0)-1,12)+1)</f>
        <v>Pi</v>
      </c>
    </row>
    <row r="176" s="206" customFormat="true" ht="12.75" hidden="true" customHeight="true" outlineLevel="0" collapsed="false">
      <c r="C176" s="998"/>
      <c r="D176" s="998"/>
      <c r="F176" s="1005"/>
      <c r="G176" s="1005"/>
      <c r="H176" s="1005" t="n">
        <f aca="false">F175</f>
        <v>11569</v>
      </c>
      <c r="I176" s="1005" t="n">
        <f aca="false">H176+(E175*NDDaysInYEar/12)</f>
        <v>11934.2548726852</v>
      </c>
      <c r="J176" s="1005" t="n">
        <f aca="false">I176+(E175*NDDaysInYEar/12)</f>
        <v>12299.5097453704</v>
      </c>
      <c r="K176" s="1005" t="n">
        <f aca="false">J176+(E175*NDDaysInYEar/12)</f>
        <v>12664.7646180556</v>
      </c>
      <c r="L176" s="1005" t="n">
        <f aca="false">K176+(E175*NDDaysInYEar/12)</f>
        <v>13030.0194907407</v>
      </c>
      <c r="M176" s="1005" t="n">
        <f aca="false">L176+(E175*NDDaysInYEar/12)</f>
        <v>13395.2743634259</v>
      </c>
      <c r="N176" s="1005" t="n">
        <f aca="false">M176+(E175*NDDaysInYEar/12)</f>
        <v>13760.5292361111</v>
      </c>
      <c r="O176" s="1005" t="n">
        <f aca="false">N176+(E175*NDDaysInYEar/12)</f>
        <v>14125.7841087963</v>
      </c>
      <c r="P176" s="1005" t="n">
        <f aca="false">O176+(E175*NDDaysInYEar/12)</f>
        <v>14491.0389814815</v>
      </c>
      <c r="Q176" s="1005" t="n">
        <f aca="false">P176+(E175*NDDaysInYEar/12)</f>
        <v>14856.2938541667</v>
      </c>
      <c r="R176" s="1005" t="n">
        <f aca="false">Q176+(E175*NDDaysInYEar/12)</f>
        <v>15221.5487268519</v>
      </c>
      <c r="S176" s="1005" t="n">
        <f aca="false">R176+(E175*NDDaysInYEar/12)</f>
        <v>15586.803599537</v>
      </c>
    </row>
    <row r="177" s="206" customFormat="true" ht="15" hidden="false" customHeight="false" outlineLevel="0" collapsed="false">
      <c r="A177" s="206" t="str">
        <f aca="false">VLOOKUP(C172,NDasaSeq,8,0)</f>
        <v>Cn</v>
      </c>
      <c r="B177" s="206" t="n">
        <f aca="false">VLOOKUP(A177,NDasaC,3,0)</f>
        <v>-1</v>
      </c>
      <c r="C177" s="998" t="e">
        <f aca="false">IF(MATCH(VLOOKUP(IF((A177="Aq"),VLOOKUP("AqLord",DivCharts,D171,0),IF((A177="Sc"),VLOOKUP("ScLord",DivCharts,D171,0),VLOOKUP(A177,RsInfo,9,0))),DivCharts,D171,0),RsTbl,0)=MATCH(VLOOKUP(IF((A177="Aq"),VLOOKUP("AqLord",DivCharts,D171,0),IF((A177="Sc"),VLOOKUP("ScLord",DivCharts,D171,0),VLOOKUP(A177,RsInfo,9,0))),PlanetData,8,0),RsTbl,0),1,IF(MATCH(VLOOKUP(IF((A177="Aq"),VLOOKUP("AqLord",DivCharts,D171,0),IF((A177="Sc"),VLOOKUP("ScLord",DivCharts,D171,0),VLOOKUP(A177,RsInfo,9,0))),DivCharts,D171,0),RsTbl,0)=MOD(MATCH(VLOOKUP(IF((A177="Aq"),VLOOKUP("AqLord",DivCharts,D171,0),IF((A177="Sc"),VLOOKUP("ScLord",DivCharts,D171,0),VLOOKUP(A177,RsInfo,9,0))),PlanetData,8,0),RsTbl,0)+6,12),-1,0))</f>
        <v>#N/A</v>
      </c>
      <c r="D177" s="998" t="n">
        <f aca="false">MOD((MATCH(VLOOKUP(IF((A177="Aq"),VLOOKUP("AqLord",DivCharts,D171,0),IF((A177="Sc"),VLOOKUP("ScLord",DivCharts,D171,0),VLOOKUP(A177,RsInfo,9,0))),DivCharts,D171,0),RsTbl,0)*B177)-(B177*MATCH(A177,RsTbl,0))+12,12)</f>
        <v>8</v>
      </c>
      <c r="E177" s="206" t="n">
        <f aca="false">IF(ISNA(MATCH((D177+C177),,0)),(D177+C177),12)</f>
        <v>12</v>
      </c>
      <c r="F177" s="1005" t="n">
        <f aca="false">G175</f>
        <v>15952.0584722222</v>
      </c>
      <c r="G177" s="1005" t="n">
        <f aca="false">F177+E177*NDDaysInYEar</f>
        <v>20335.1169444444</v>
      </c>
      <c r="H177" s="992" t="str">
        <f aca="false">A177</f>
        <v>Cn</v>
      </c>
      <c r="I177" s="206" t="str">
        <f aca="false">INDEX(SignSym,MOD(B177+MATCH(H177,SignSym,0)-1,12)+1)</f>
        <v>Ge</v>
      </c>
      <c r="J177" s="206" t="str">
        <f aca="false">INDEX(SignSym,MOD(B177+MATCH(I177,SignSym,0)-1,12)+1)</f>
        <v>Ta</v>
      </c>
      <c r="K177" s="206" t="str">
        <f aca="false">INDEX(SignSym,MOD(B177+MATCH(J177,SignSym,0)-1,12)+1)</f>
        <v>Ar</v>
      </c>
      <c r="L177" s="206" t="str">
        <f aca="false">INDEX(SignSym,MOD(B177+MATCH(K177,SignSym,0)-1,12)+1)</f>
        <v>Pi</v>
      </c>
      <c r="M177" s="206" t="str">
        <f aca="false">INDEX(SignSym,MOD(B177+MATCH(L177,SignSym,0)-1,12)+1)</f>
        <v>Aq</v>
      </c>
      <c r="N177" s="206" t="str">
        <f aca="false">INDEX(SignSym,MOD(B177+MATCH(M177,SignSym,0)-1,12)+1)</f>
        <v>Cp</v>
      </c>
      <c r="O177" s="206" t="str">
        <f aca="false">INDEX(SignSym,MOD(B177+MATCH(N177,SignSym,0)-1,12)+1)</f>
        <v>Sg</v>
      </c>
      <c r="P177" s="206" t="str">
        <f aca="false">INDEX(SignSym,MOD(B177+MATCH(O177,SignSym,0)-1,12)+1)</f>
        <v>Sc</v>
      </c>
      <c r="Q177" s="206" t="str">
        <f aca="false">INDEX(SignSym,MOD(B177+MATCH(P177,SignSym,0)-1,12)+1)</f>
        <v>Li</v>
      </c>
      <c r="R177" s="206" t="str">
        <f aca="false">INDEX(SignSym,MOD(B177+MATCH(Q177,SignSym,0)-1,12)+1)</f>
        <v>Vi</v>
      </c>
      <c r="S177" s="206" t="str">
        <f aca="false">INDEX(SignSym,MOD(B177+MATCH(R177,SignSym,0)-1,12)+1)</f>
        <v>Le</v>
      </c>
    </row>
    <row r="178" s="206" customFormat="true" ht="12.75" hidden="true" customHeight="true" outlineLevel="0" collapsed="false">
      <c r="C178" s="998"/>
      <c r="D178" s="998"/>
      <c r="F178" s="1005"/>
      <c r="G178" s="1005"/>
      <c r="H178" s="1005" t="n">
        <f aca="false">F177</f>
        <v>15952.0584722222</v>
      </c>
      <c r="I178" s="1005" t="n">
        <f aca="false">H178+(E177*NDDaysInYEar/12)</f>
        <v>16317.3133449074</v>
      </c>
      <c r="J178" s="1005" t="n">
        <f aca="false">I178+(E177*NDDaysInYEar/12)</f>
        <v>16682.5682175926</v>
      </c>
      <c r="K178" s="1005" t="n">
        <f aca="false">J178+(E177*NDDaysInYEar/12)</f>
        <v>17047.8230902777</v>
      </c>
      <c r="L178" s="1005" t="n">
        <f aca="false">K178+(E177*NDDaysInYEar/12)</f>
        <v>17413.0779629629</v>
      </c>
      <c r="M178" s="1005" t="n">
        <f aca="false">L178+(E177*NDDaysInYEar/12)</f>
        <v>17778.3328356481</v>
      </c>
      <c r="N178" s="1005" t="n">
        <f aca="false">M178+(E177*NDDaysInYEar/12)</f>
        <v>18143.5877083333</v>
      </c>
      <c r="O178" s="1005" t="n">
        <f aca="false">N178+(E177*NDDaysInYEar/12)</f>
        <v>18508.8425810185</v>
      </c>
      <c r="P178" s="1005" t="n">
        <f aca="false">O178+(E177*NDDaysInYEar/12)</f>
        <v>18874.0974537036</v>
      </c>
      <c r="Q178" s="1005" t="n">
        <f aca="false">P178+(E177*NDDaysInYEar/12)</f>
        <v>19239.3523263888</v>
      </c>
      <c r="R178" s="1005" t="n">
        <f aca="false">Q178+(E177*NDDaysInYEar/12)</f>
        <v>19604.607199074</v>
      </c>
      <c r="S178" s="1005" t="n">
        <f aca="false">R178+(E177*NDDaysInYEar/12)</f>
        <v>19969.8620717592</v>
      </c>
    </row>
    <row r="179" s="206" customFormat="true" ht="15" hidden="false" customHeight="false" outlineLevel="0" collapsed="false">
      <c r="A179" s="206" t="str">
        <f aca="false">VLOOKUP(C172,NDasaSeq,9,0)</f>
        <v>Sg</v>
      </c>
      <c r="B179" s="206" t="n">
        <f aca="false">VLOOKUP(A179,NDasaC,3,0)</f>
        <v>1</v>
      </c>
      <c r="C179" s="998" t="e">
        <f aca="false">IF(MATCH(VLOOKUP(IF((A179="Aq"),VLOOKUP("AqLord",DivCharts,D171,0),IF((A179="Sc"),VLOOKUP("ScLord",DivCharts,D171,0),VLOOKUP(A179,RsInfo,9,0))),DivCharts,D171,0),RsTbl,0)=MATCH(VLOOKUP(IF((A179="Aq"),VLOOKUP("AqLord",DivCharts,D171,0),IF((A179="Sc"),VLOOKUP("ScLord",DivCharts,D171,0),VLOOKUP(A179,RsInfo,9,0))),PlanetData,8,0),RsTbl,0),1,IF(MATCH(VLOOKUP(IF((A179="Aq"),VLOOKUP("AqLord",DivCharts,D171,0),IF((A179="Sc"),VLOOKUP("ScLord",DivCharts,D171,0),VLOOKUP(A179,RsInfo,9,0))),DivCharts,D171,0),RsTbl,0)=MOD(MATCH(VLOOKUP(IF((A179="Aq"),VLOOKUP("AqLord",DivCharts,D171,0),IF((A179="Sc"),VLOOKUP("ScLord",DivCharts,D171,0),VLOOKUP(A179,RsInfo,9,0))),PlanetData,8,0),RsTbl,0)+6,12),-1,0))</f>
        <v>#N/A</v>
      </c>
      <c r="D179" s="998" t="n">
        <f aca="false">MOD((MATCH(VLOOKUP(IF((A179="Aq"),VLOOKUP("AqLord",DivCharts,D171,0),IF((A179="Sc"),VLOOKUP("ScLord",DivCharts,D171,0),VLOOKUP(A179,RsInfo,9,0))),DivCharts,D171,0),RsTbl,0)*B179)-(B179*MATCH(A179,RsTbl,0))+12,12)</f>
        <v>6</v>
      </c>
      <c r="E179" s="206" t="n">
        <f aca="false">IF(ISNA(MATCH((D179+C179),,0)),(D179+C179),12)</f>
        <v>12</v>
      </c>
      <c r="F179" s="1005" t="n">
        <f aca="false">G177</f>
        <v>20335.1169444444</v>
      </c>
      <c r="G179" s="1005" t="n">
        <f aca="false">F179+E179*NDDaysInYEar</f>
        <v>24718.1754166666</v>
      </c>
      <c r="H179" s="992" t="str">
        <f aca="false">A179</f>
        <v>Sg</v>
      </c>
      <c r="I179" s="206" t="str">
        <f aca="false">INDEX(SignSym,MOD(B179+MATCH(H179,SignSym,0)-1,12)+1)</f>
        <v>Cp</v>
      </c>
      <c r="J179" s="206" t="str">
        <f aca="false">INDEX(SignSym,MOD(B179+MATCH(I179,SignSym,0)-1,12)+1)</f>
        <v>Aq</v>
      </c>
      <c r="K179" s="206" t="str">
        <f aca="false">INDEX(SignSym,MOD(B179+MATCH(J179,SignSym,0)-1,12)+1)</f>
        <v>Pi</v>
      </c>
      <c r="L179" s="206" t="str">
        <f aca="false">INDEX(SignSym,MOD(B179+MATCH(K179,SignSym,0)-1,12)+1)</f>
        <v>Ar</v>
      </c>
      <c r="M179" s="206" t="str">
        <f aca="false">INDEX(SignSym,MOD(B179+MATCH(L179,SignSym,0)-1,12)+1)</f>
        <v>Ta</v>
      </c>
      <c r="N179" s="206" t="str">
        <f aca="false">INDEX(SignSym,MOD(B179+MATCH(M179,SignSym,0)-1,12)+1)</f>
        <v>Ge</v>
      </c>
      <c r="O179" s="206" t="str">
        <f aca="false">INDEX(SignSym,MOD(B179+MATCH(N179,SignSym,0)-1,12)+1)</f>
        <v>Cn</v>
      </c>
      <c r="P179" s="206" t="str">
        <f aca="false">INDEX(SignSym,MOD(B179+MATCH(O179,SignSym,0)-1,12)+1)</f>
        <v>Le</v>
      </c>
      <c r="Q179" s="206" t="str">
        <f aca="false">INDEX(SignSym,MOD(B179+MATCH(P179,SignSym,0)-1,12)+1)</f>
        <v>Vi</v>
      </c>
      <c r="R179" s="206" t="str">
        <f aca="false">INDEX(SignSym,MOD(B179+MATCH(Q179,SignSym,0)-1,12)+1)</f>
        <v>Li</v>
      </c>
      <c r="S179" s="206" t="str">
        <f aca="false">INDEX(SignSym,MOD(B179+MATCH(R179,SignSym,0)-1,12)+1)</f>
        <v>Sc</v>
      </c>
    </row>
    <row r="180" s="206" customFormat="true" ht="12.75" hidden="true" customHeight="true" outlineLevel="0" collapsed="false">
      <c r="C180" s="998"/>
      <c r="D180" s="998"/>
      <c r="F180" s="1005"/>
      <c r="G180" s="1005"/>
      <c r="H180" s="1005" t="n">
        <f aca="false">F179</f>
        <v>20335.1169444444</v>
      </c>
      <c r="I180" s="1005" t="n">
        <f aca="false">H180+(E179*NDDaysInYEar/12)</f>
        <v>20700.3718171296</v>
      </c>
      <c r="J180" s="1005" t="n">
        <f aca="false">I180+(E179*NDDaysInYEar/12)</f>
        <v>21065.6266898147</v>
      </c>
      <c r="K180" s="1005" t="n">
        <f aca="false">J180+(E179*NDDaysInYEar/12)</f>
        <v>21430.8815624999</v>
      </c>
      <c r="L180" s="1005" t="n">
        <f aca="false">K180+(E179*NDDaysInYEar/12)</f>
        <v>21796.1364351851</v>
      </c>
      <c r="M180" s="1005" t="n">
        <f aca="false">L180+(E179*NDDaysInYEar/12)</f>
        <v>22161.3913078703</v>
      </c>
      <c r="N180" s="1005" t="n">
        <f aca="false">M180+(E179*NDDaysInYEar/12)</f>
        <v>22526.6461805555</v>
      </c>
      <c r="O180" s="1005" t="n">
        <f aca="false">N180+(E179*NDDaysInYEar/12)</f>
        <v>22891.9010532406</v>
      </c>
      <c r="P180" s="1005" t="n">
        <f aca="false">O180+(E179*NDDaysInYEar/12)</f>
        <v>23257.1559259258</v>
      </c>
      <c r="Q180" s="1005" t="n">
        <f aca="false">P180+(E179*NDDaysInYEar/12)</f>
        <v>23622.410798611</v>
      </c>
      <c r="R180" s="1005" t="n">
        <f aca="false">Q180+(E179*NDDaysInYEar/12)</f>
        <v>23987.6656712962</v>
      </c>
      <c r="S180" s="1005" t="n">
        <f aca="false">R180+(E179*NDDaysInYEar/12)</f>
        <v>24352.9205439814</v>
      </c>
    </row>
    <row r="181" s="206" customFormat="true" ht="15" hidden="false" customHeight="false" outlineLevel="0" collapsed="false">
      <c r="A181" s="206" t="str">
        <f aca="false">VLOOKUP(C172,NDasaSeq,10,0)</f>
        <v>Ta</v>
      </c>
      <c r="B181" s="206" t="n">
        <f aca="false">VLOOKUP(A181,NDasaC,3,0)</f>
        <v>1</v>
      </c>
      <c r="C181" s="998" t="e">
        <f aca="false">IF(MATCH(VLOOKUP(IF((A181="Aq"),VLOOKUP("AqLord",DivCharts,D171,0),IF((A181="Sc"),VLOOKUP("ScLord",DivCharts,D171,0),VLOOKUP(A181,RsInfo,9,0))),DivCharts,D171,0),RsTbl,0)=MATCH(VLOOKUP(IF((A181="Aq"),VLOOKUP("AqLord",DivCharts,D171,0),IF((A181="Sc"),VLOOKUP("ScLord",DivCharts,D171,0),VLOOKUP(A181,RsInfo,9,0))),PlanetData,8,0),RsTbl,0),1,IF(MATCH(VLOOKUP(IF((A181="Aq"),VLOOKUP("AqLord",DivCharts,D171,0),IF((A181="Sc"),VLOOKUP("ScLord",DivCharts,D171,0),VLOOKUP(A181,RsInfo,9,0))),DivCharts,D171,0),RsTbl,0)=MOD(MATCH(VLOOKUP(IF((A181="Aq"),VLOOKUP("AqLord",DivCharts,D171,0),IF((A181="Sc"),VLOOKUP("ScLord",DivCharts,D171,0),VLOOKUP(A181,RsInfo,9,0))),PlanetData,8,0),RsTbl,0)+6,12),-1,0))</f>
        <v>#N/A</v>
      </c>
      <c r="D181" s="998" t="n">
        <f aca="false">MOD((MATCH(VLOOKUP(IF((A181="Aq"),VLOOKUP("AqLord",DivCharts,D171,0),IF((A181="Sc"),VLOOKUP("ScLord",DivCharts,D171,0),VLOOKUP(A181,RsInfo,9,0))),DivCharts,D171,0),RsTbl,0)*B181)-(B181*MATCH(A181,RsTbl,0))+12,12)</f>
        <v>8</v>
      </c>
      <c r="E181" s="206" t="n">
        <f aca="false">IF(ISNA(MATCH((D181+C181),,0)),(D181+C181),12)</f>
        <v>12</v>
      </c>
      <c r="F181" s="1005" t="n">
        <f aca="false">G179</f>
        <v>24718.1754166666</v>
      </c>
      <c r="G181" s="1005" t="n">
        <f aca="false">F181+E181*NDDaysInYEar</f>
        <v>29101.2338888887</v>
      </c>
      <c r="H181" s="992" t="str">
        <f aca="false">A181</f>
        <v>Ta</v>
      </c>
      <c r="I181" s="206" t="str">
        <f aca="false">INDEX(SignSym,MOD(B181+MATCH(H181,SignSym,0)-1,12)+1)</f>
        <v>Ge</v>
      </c>
      <c r="J181" s="206" t="str">
        <f aca="false">INDEX(SignSym,MOD(B181+MATCH(I181,SignSym,0)-1,12)+1)</f>
        <v>Cn</v>
      </c>
      <c r="K181" s="206" t="str">
        <f aca="false">INDEX(SignSym,MOD(B181+MATCH(J181,SignSym,0)-1,12)+1)</f>
        <v>Le</v>
      </c>
      <c r="L181" s="206" t="str">
        <f aca="false">INDEX(SignSym,MOD(B181+MATCH(K181,SignSym,0)-1,12)+1)</f>
        <v>Vi</v>
      </c>
      <c r="M181" s="206" t="str">
        <f aca="false">INDEX(SignSym,MOD(B181+MATCH(L181,SignSym,0)-1,12)+1)</f>
        <v>Li</v>
      </c>
      <c r="N181" s="206" t="str">
        <f aca="false">INDEX(SignSym,MOD(B181+MATCH(M181,SignSym,0)-1,12)+1)</f>
        <v>Sc</v>
      </c>
      <c r="O181" s="206" t="str">
        <f aca="false">INDEX(SignSym,MOD(B181+MATCH(N181,SignSym,0)-1,12)+1)</f>
        <v>Sg</v>
      </c>
      <c r="P181" s="206" t="str">
        <f aca="false">INDEX(SignSym,MOD(B181+MATCH(O181,SignSym,0)-1,12)+1)</f>
        <v>Cp</v>
      </c>
      <c r="Q181" s="206" t="str">
        <f aca="false">INDEX(SignSym,MOD(B181+MATCH(P181,SignSym,0)-1,12)+1)</f>
        <v>Aq</v>
      </c>
      <c r="R181" s="206" t="str">
        <f aca="false">INDEX(SignSym,MOD(B181+MATCH(Q181,SignSym,0)-1,12)+1)</f>
        <v>Pi</v>
      </c>
      <c r="S181" s="206" t="str">
        <f aca="false">INDEX(SignSym,MOD(B181+MATCH(R181,SignSym,0)-1,12)+1)</f>
        <v>Ar</v>
      </c>
    </row>
    <row r="182" s="206" customFormat="true" ht="12.75" hidden="true" customHeight="true" outlineLevel="0" collapsed="false">
      <c r="C182" s="998"/>
      <c r="D182" s="998"/>
      <c r="F182" s="1005"/>
      <c r="G182" s="1005"/>
      <c r="H182" s="1005" t="n">
        <f aca="false">F181</f>
        <v>24718.1754166666</v>
      </c>
      <c r="I182" s="1005" t="n">
        <f aca="false">H182+(E181*NDDaysInYEar/12)</f>
        <v>25083.4302893517</v>
      </c>
      <c r="J182" s="1005" t="n">
        <f aca="false">I182+(E181*NDDaysInYEar/12)</f>
        <v>25448.6851620369</v>
      </c>
      <c r="K182" s="1005" t="n">
        <f aca="false">J182+(E181*NDDaysInYEar/12)</f>
        <v>25813.9400347221</v>
      </c>
      <c r="L182" s="1005" t="n">
        <f aca="false">K182+(E181*NDDaysInYEar/12)</f>
        <v>26179.1949074073</v>
      </c>
      <c r="M182" s="1005" t="n">
        <f aca="false">L182+(E181*NDDaysInYEar/12)</f>
        <v>26544.4497800925</v>
      </c>
      <c r="N182" s="1005" t="n">
        <f aca="false">M182+(E181*NDDaysInYEar/12)</f>
        <v>26909.7046527776</v>
      </c>
      <c r="O182" s="1005" t="n">
        <f aca="false">N182+(E181*NDDaysInYEar/12)</f>
        <v>27274.9595254628</v>
      </c>
      <c r="P182" s="1005" t="n">
        <f aca="false">O182+(E181*NDDaysInYEar/12)</f>
        <v>27640.214398148</v>
      </c>
      <c r="Q182" s="1005" t="n">
        <f aca="false">P182+(E181*NDDaysInYEar/12)</f>
        <v>28005.4692708332</v>
      </c>
      <c r="R182" s="1005" t="n">
        <f aca="false">Q182+(E181*NDDaysInYEar/12)</f>
        <v>28370.7241435184</v>
      </c>
      <c r="S182" s="1005" t="n">
        <f aca="false">R182+(E181*NDDaysInYEar/12)</f>
        <v>28735.9790162036</v>
      </c>
    </row>
    <row r="183" s="206" customFormat="true" ht="15" hidden="false" customHeight="false" outlineLevel="0" collapsed="false">
      <c r="A183" s="206" t="str">
        <f aca="false">VLOOKUP(C172,NDasaSeq,11,0)</f>
        <v>Li</v>
      </c>
      <c r="B183" s="206" t="n">
        <f aca="false">VLOOKUP(A183,NDasaC,3,0)</f>
        <v>1</v>
      </c>
      <c r="C183" s="998" t="e">
        <f aca="false">IF(MATCH(VLOOKUP(IF((A183="Aq"),VLOOKUP("AqLord",DivCharts,D171,0),IF((A183="Sc"),VLOOKUP("ScLord",DivCharts,D171,0),VLOOKUP(A183,RsInfo,9,0))),DivCharts,D171,0),RsTbl,0)=MATCH(VLOOKUP(IF((A183="Aq"),VLOOKUP("AqLord",DivCharts,D171,0),IF((A183="Sc"),VLOOKUP("ScLord",DivCharts,D171,0),VLOOKUP(A183,RsInfo,9,0))),PlanetData,8,0),RsTbl,0),1,IF(MATCH(VLOOKUP(IF((A183="Aq"),VLOOKUP("AqLord",DivCharts,D171,0),IF((A183="Sc"),VLOOKUP("ScLord",DivCharts,D171,0),VLOOKUP(A183,RsInfo,9,0))),DivCharts,D171,0),RsTbl,0)=MOD(MATCH(VLOOKUP(IF((A183="Aq"),VLOOKUP("AqLord",DivCharts,D171,0),IF((A183="Sc"),VLOOKUP("ScLord",DivCharts,D171,0),VLOOKUP(A183,RsInfo,9,0))),PlanetData,8,0),RsTbl,0)+6,12),-1,0))</f>
        <v>#N/A</v>
      </c>
      <c r="D183" s="998" t="n">
        <f aca="false">MOD((MATCH(VLOOKUP(IF((A183="Aq"),VLOOKUP("AqLord",DivCharts,D171,0),IF((A183="Sc"),VLOOKUP("ScLord",DivCharts,D171,0),VLOOKUP(A183,RsInfo,9,0))),DivCharts,D171,0),RsTbl,0)*B183)-(B183*MATCH(A183,RsTbl,0))+12,12)</f>
        <v>3</v>
      </c>
      <c r="E183" s="206" t="n">
        <f aca="false">IF(ISNA(MATCH((D183+C183),,0)),(D183+C183),12)</f>
        <v>12</v>
      </c>
      <c r="F183" s="1005" t="n">
        <f aca="false">G181</f>
        <v>29101.2338888887</v>
      </c>
      <c r="G183" s="1005" t="n">
        <f aca="false">F183+E183*NDDaysInYEar</f>
        <v>33484.2923611109</v>
      </c>
      <c r="H183" s="992" t="str">
        <f aca="false">A183</f>
        <v>Li</v>
      </c>
      <c r="I183" s="206" t="str">
        <f aca="false">INDEX(SignSym,MOD(B183+MATCH(H183,SignSym,0)-1,12)+1)</f>
        <v>Sc</v>
      </c>
      <c r="J183" s="206" t="str">
        <f aca="false">INDEX(SignSym,MOD(B183+MATCH(I183,SignSym,0)-1,12)+1)</f>
        <v>Sg</v>
      </c>
      <c r="K183" s="206" t="str">
        <f aca="false">INDEX(SignSym,MOD(B183+MATCH(J183,SignSym,0)-1,12)+1)</f>
        <v>Cp</v>
      </c>
      <c r="L183" s="206" t="str">
        <f aca="false">INDEX(SignSym,MOD(B183+MATCH(K183,SignSym,0)-1,12)+1)</f>
        <v>Aq</v>
      </c>
      <c r="M183" s="206" t="str">
        <f aca="false">INDEX(SignSym,MOD(B183+MATCH(L183,SignSym,0)-1,12)+1)</f>
        <v>Pi</v>
      </c>
      <c r="N183" s="206" t="str">
        <f aca="false">INDEX(SignSym,MOD(B183+MATCH(M183,SignSym,0)-1,12)+1)</f>
        <v>Ar</v>
      </c>
      <c r="O183" s="206" t="str">
        <f aca="false">INDEX(SignSym,MOD(B183+MATCH(N183,SignSym,0)-1,12)+1)</f>
        <v>Ta</v>
      </c>
      <c r="P183" s="206" t="str">
        <f aca="false">INDEX(SignSym,MOD(B183+MATCH(O183,SignSym,0)-1,12)+1)</f>
        <v>Ge</v>
      </c>
      <c r="Q183" s="206" t="str">
        <f aca="false">INDEX(SignSym,MOD(B183+MATCH(P183,SignSym,0)-1,12)+1)</f>
        <v>Cn</v>
      </c>
      <c r="R183" s="206" t="str">
        <f aca="false">INDEX(SignSym,MOD(B183+MATCH(Q183,SignSym,0)-1,12)+1)</f>
        <v>Le</v>
      </c>
      <c r="S183" s="206" t="str">
        <f aca="false">INDEX(SignSym,MOD(B183+MATCH(R183,SignSym,0)-1,12)+1)</f>
        <v>Vi</v>
      </c>
    </row>
    <row r="184" s="206" customFormat="true" ht="15" hidden="true" customHeight="false" outlineLevel="0" collapsed="false">
      <c r="C184" s="998"/>
      <c r="D184" s="998"/>
      <c r="F184" s="1005"/>
      <c r="G184" s="1005"/>
      <c r="H184" s="1005" t="n">
        <f aca="false">F183</f>
        <v>29101.2338888887</v>
      </c>
      <c r="I184" s="1005" t="n">
        <f aca="false">H184+(E183*NDDaysInYEar/12)</f>
        <v>29466.4887615739</v>
      </c>
      <c r="J184" s="1005" t="n">
        <f aca="false">I184+(E183*NDDaysInYEar/12)</f>
        <v>29831.7436342591</v>
      </c>
      <c r="K184" s="1005" t="n">
        <f aca="false">J184+(E183*NDDaysInYEar/12)</f>
        <v>30196.9985069443</v>
      </c>
      <c r="L184" s="1005" t="n">
        <f aca="false">K184+(E183*NDDaysInYEar/12)</f>
        <v>30562.2533796295</v>
      </c>
      <c r="M184" s="1005" t="n">
        <f aca="false">L184+(E183*NDDaysInYEar/12)</f>
        <v>30927.5082523147</v>
      </c>
      <c r="N184" s="1005" t="n">
        <f aca="false">M184+(E183*NDDaysInYEar/12)</f>
        <v>31292.7631249998</v>
      </c>
      <c r="O184" s="1005" t="n">
        <f aca="false">N184+(E183*NDDaysInYEar/12)</f>
        <v>31658.017997685</v>
      </c>
      <c r="P184" s="1005" t="n">
        <f aca="false">O184+(E183*NDDaysInYEar/12)</f>
        <v>32023.2728703702</v>
      </c>
      <c r="Q184" s="1005" t="n">
        <f aca="false">P184+(E183*NDDaysInYEar/12)</f>
        <v>32388.5277430554</v>
      </c>
      <c r="R184" s="1005" t="n">
        <f aca="false">Q184+(E183*NDDaysInYEar/12)</f>
        <v>32753.7826157406</v>
      </c>
      <c r="S184" s="1005" t="n">
        <f aca="false">R184+(E183*NDDaysInYEar/12)</f>
        <v>33119.0374884257</v>
      </c>
    </row>
    <row r="185" s="206" customFormat="true" ht="15" hidden="false" customHeight="false" outlineLevel="0" collapsed="false">
      <c r="A185" s="206" t="str">
        <f aca="false">VLOOKUP(C172,NDasaSeq,12,0)</f>
        <v>Pi</v>
      </c>
      <c r="B185" s="206" t="n">
        <f aca="false">VLOOKUP(A185,NDasaC,3,0)</f>
        <v>-1</v>
      </c>
      <c r="C185" s="998" t="e">
        <f aca="false">IF(MATCH(VLOOKUP(IF((A185="Aq"),VLOOKUP("AqLord",DivCharts,D171,0),IF((A185="Sc"),VLOOKUP("ScLord",DivCharts,D171,0),VLOOKUP(A185,RsInfo,9,0))),DivCharts,D171,0),RsTbl,0)=MATCH(VLOOKUP(IF((A185="Aq"),VLOOKUP("AqLord",DivCharts,D171,0),IF((A185="Sc"),VLOOKUP("ScLord",DivCharts,D171,0),VLOOKUP(A185,RsInfo,9,0))),PlanetData,8,0),RsTbl,0),1,IF(MATCH(VLOOKUP(IF((A185="Aq"),VLOOKUP("AqLord",DivCharts,D171,0),IF((A185="Sc"),VLOOKUP("ScLord",DivCharts,D171,0),VLOOKUP(A185,RsInfo,9,0))),DivCharts,D171,0),RsTbl,0)=MOD(MATCH(VLOOKUP(IF((A185="Aq"),VLOOKUP("AqLord",DivCharts,D171,0),IF((A185="Sc"),VLOOKUP("ScLord",DivCharts,D171,0),VLOOKUP(A185,RsInfo,9,0))),PlanetData,8,0),RsTbl,0)+6,12),-1,0))</f>
        <v>#N/A</v>
      </c>
      <c r="D185" s="998" t="n">
        <f aca="false">MOD((MATCH(VLOOKUP(IF((A185="Aq"),VLOOKUP("AqLord",DivCharts,D171,0),IF((A185="Sc"),VLOOKUP("ScLord",DivCharts,D171,0),VLOOKUP(A185,RsInfo,9,0))),DivCharts,D171,0),RsTbl,0)*B185)-(B185*MATCH(A185,RsTbl,0))+12,12)</f>
        <v>9</v>
      </c>
      <c r="E185" s="206" t="n">
        <f aca="false">IF(ISNA(MATCH((D185+C185),,0)),(D185+C185),12)</f>
        <v>12</v>
      </c>
      <c r="F185" s="1005" t="n">
        <f aca="false">G183</f>
        <v>33484.2923611109</v>
      </c>
      <c r="G185" s="1005" t="n">
        <f aca="false">F185+E185*NDDaysInYEar</f>
        <v>37867.3508333331</v>
      </c>
      <c r="H185" s="992" t="s">
        <v>703</v>
      </c>
      <c r="I185" s="206" t="str">
        <f aca="false">INDEX(SignSym,MOD(B185+MATCH(H185,SignSym,0)-1,12)+1)</f>
        <v>Ge</v>
      </c>
      <c r="J185" s="206" t="str">
        <f aca="false">INDEX(SignSym,MOD(B185+MATCH(I185,SignSym,0)-1,12)+1)</f>
        <v>Ta</v>
      </c>
      <c r="K185" s="206" t="str">
        <f aca="false">INDEX(SignSym,MOD(B185+MATCH(J185,SignSym,0)-1,12)+1)</f>
        <v>Ar</v>
      </c>
      <c r="L185" s="206" t="str">
        <f aca="false">INDEX(SignSym,MOD(B185+MATCH(K185,SignSym,0)-1,12)+1)</f>
        <v>Pi</v>
      </c>
      <c r="M185" s="206" t="str">
        <f aca="false">INDEX(SignSym,MOD(B185+MATCH(L185,SignSym,0)-1,12)+1)</f>
        <v>Aq</v>
      </c>
      <c r="N185" s="206" t="str">
        <f aca="false">INDEX(SignSym,MOD(B185+MATCH(M185,SignSym,0)-1,12)+1)</f>
        <v>Cp</v>
      </c>
      <c r="O185" s="206" t="str">
        <f aca="false">INDEX(SignSym,MOD(B185+MATCH(N185,SignSym,0)-1,12)+1)</f>
        <v>Sg</v>
      </c>
      <c r="P185" s="206" t="str">
        <f aca="false">INDEX(SignSym,MOD(B185+MATCH(O185,SignSym,0)-1,12)+1)</f>
        <v>Sc</v>
      </c>
      <c r="Q185" s="206" t="str">
        <f aca="false">INDEX(SignSym,MOD(B185+MATCH(P185,SignSym,0)-1,12)+1)</f>
        <v>Li</v>
      </c>
      <c r="R185" s="206" t="str">
        <f aca="false">INDEX(SignSym,MOD(B185+MATCH(Q185,SignSym,0)-1,12)+1)</f>
        <v>Vi</v>
      </c>
      <c r="S185" s="206" t="str">
        <f aca="false">INDEX(SignSym,MOD(B185+MATCH(R185,SignSym,0)-1,12)+1)</f>
        <v>Le</v>
      </c>
    </row>
    <row r="186" s="206" customFormat="true" ht="15" hidden="true" customHeight="false" outlineLevel="0" collapsed="false">
      <c r="C186" s="998"/>
      <c r="D186" s="998"/>
      <c r="F186" s="1005"/>
      <c r="G186" s="1005"/>
      <c r="H186" s="1005" t="n">
        <f aca="false">F185</f>
        <v>33484.2923611109</v>
      </c>
      <c r="I186" s="1005" t="n">
        <f aca="false">H186+(E185*NDDaysInYEar/12)</f>
        <v>33849.5472337961</v>
      </c>
      <c r="J186" s="1005" t="n">
        <f aca="false">I186+(E185*NDDaysInYEar/12)</f>
        <v>34214.8021064813</v>
      </c>
      <c r="K186" s="1005" t="n">
        <f aca="false">J186+(E185*NDDaysInYEar/12)</f>
        <v>34580.0569791665</v>
      </c>
      <c r="L186" s="1005" t="n">
        <f aca="false">K186+(E185*NDDaysInYEar/12)</f>
        <v>34945.3118518517</v>
      </c>
      <c r="M186" s="1005" t="n">
        <f aca="false">L186+(E185*NDDaysInYEar/12)</f>
        <v>35310.5667245368</v>
      </c>
      <c r="N186" s="1005" t="n">
        <f aca="false">M186+(E185*NDDaysInYEar/12)</f>
        <v>35675.821597222</v>
      </c>
      <c r="O186" s="1005" t="n">
        <f aca="false">N186+(E185*NDDaysInYEar/12)</f>
        <v>36041.0764699072</v>
      </c>
      <c r="P186" s="1005" t="n">
        <f aca="false">O186+(E185*NDDaysInYEar/12)</f>
        <v>36406.3313425924</v>
      </c>
      <c r="Q186" s="1005" t="n">
        <f aca="false">P186+(E185*NDDaysInYEar/12)</f>
        <v>36771.5862152776</v>
      </c>
      <c r="R186" s="1005" t="n">
        <f aca="false">Q186+(E185*NDDaysInYEar/12)</f>
        <v>37136.8410879627</v>
      </c>
      <c r="S186" s="1005" t="n">
        <f aca="false">R186+(E185*NDDaysInYEar/12)</f>
        <v>37502.0959606479</v>
      </c>
    </row>
    <row r="187" s="206" customFormat="true" ht="15" hidden="false" customHeight="false" outlineLevel="0" collapsed="false">
      <c r="A187" s="206" t="str">
        <f aca="false">VLOOKUP(C172,NDasaSeq,13,0)</f>
        <v>Le</v>
      </c>
      <c r="B187" s="206" t="n">
        <f aca="false">VLOOKUP(A187,NDasaC,3,0)</f>
        <v>-1</v>
      </c>
      <c r="C187" s="998" t="e">
        <f aca="false">IF(MATCH(VLOOKUP(IF((A187="Aq"),VLOOKUP("AqLord",DivCharts,D171,0),IF((A187="Sc"),VLOOKUP("ScLord",DivCharts,D171,0),VLOOKUP(A187,RsInfo,9,0))),DivCharts,D171,0),RsTbl,0)=MATCH(VLOOKUP(IF((A187="Aq"),VLOOKUP("AqLord",DivCharts,D171,0),IF((A187="Sc"),VLOOKUP("ScLord",DivCharts,D171,0),VLOOKUP(A187,RsInfo,9,0))),PlanetData,8,0),RsTbl,0),1,IF(MATCH(VLOOKUP(IF((A187="Aq"),VLOOKUP("AqLord",DivCharts,D171,0),IF((A187="Sc"),VLOOKUP("ScLord",DivCharts,D171,0),VLOOKUP(A187,RsInfo,9,0))),DivCharts,D171,0),RsTbl,0)=MOD(MATCH(VLOOKUP(IF((A187="Aq"),VLOOKUP("AqLord",DivCharts,D171,0),IF((A187="Sc"),VLOOKUP("ScLord",DivCharts,D171,0),VLOOKUP(A187,RsInfo,9,0))),PlanetData,8,0),RsTbl,0)+6,12),-1,0))</f>
        <v>#N/A</v>
      </c>
      <c r="D187" s="998" t="n">
        <f aca="false">MOD((MATCH(VLOOKUP(IF((A187="Aq"),VLOOKUP("AqLord",DivCharts,D171,0),IF((A187="Sc"),VLOOKUP("ScLord",DivCharts,D171,0),VLOOKUP(A187,RsInfo,9,0))),DivCharts,D171,0),RsTbl,0)*B187)-(B187*MATCH(A187,RsTbl,0))+12,12)</f>
        <v>6</v>
      </c>
      <c r="E187" s="206" t="n">
        <f aca="false">IF(ISNA(MATCH((D187+C187),,0)),(D187+C187),12)</f>
        <v>12</v>
      </c>
      <c r="F187" s="1005" t="n">
        <f aca="false">G185</f>
        <v>37867.3508333331</v>
      </c>
      <c r="G187" s="1005" t="n">
        <f aca="false">F187+E187*NDDaysInYEar</f>
        <v>42250.4093055553</v>
      </c>
      <c r="H187" s="992" t="s">
        <v>699</v>
      </c>
      <c r="I187" s="206" t="str">
        <f aca="false">INDEX(SignSym,MOD(B187+MATCH(H187,SignSym,0)-1,12)+1)</f>
        <v>Cp</v>
      </c>
      <c r="J187" s="206" t="str">
        <f aca="false">INDEX(SignSym,MOD(B187+MATCH(I187,SignSym,0)-1,12)+1)</f>
        <v>Sg</v>
      </c>
      <c r="K187" s="206" t="str">
        <f aca="false">INDEX(SignSym,MOD(B187+MATCH(J187,SignSym,0)-1,12)+1)</f>
        <v>Sc</v>
      </c>
      <c r="L187" s="206" t="str">
        <f aca="false">INDEX(SignSym,MOD(B187+MATCH(K187,SignSym,0)-1,12)+1)</f>
        <v>Li</v>
      </c>
      <c r="M187" s="206" t="str">
        <f aca="false">INDEX(SignSym,MOD(B187+MATCH(L187,SignSym,0)-1,12)+1)</f>
        <v>Vi</v>
      </c>
      <c r="N187" s="206" t="str">
        <f aca="false">INDEX(SignSym,MOD(B187+MATCH(M187,SignSym,0)-1,12)+1)</f>
        <v>Le</v>
      </c>
      <c r="O187" s="206" t="str">
        <f aca="false">INDEX(SignSym,MOD(B187+MATCH(N187,SignSym,0)-1,12)+1)</f>
        <v>Cn</v>
      </c>
      <c r="P187" s="206" t="str">
        <f aca="false">INDEX(SignSym,MOD(B187+MATCH(O187,SignSym,0)-1,12)+1)</f>
        <v>Ge</v>
      </c>
      <c r="Q187" s="206" t="str">
        <f aca="false">INDEX(SignSym,MOD(B187+MATCH(P187,SignSym,0)-1,12)+1)</f>
        <v>Ta</v>
      </c>
      <c r="R187" s="206" t="str">
        <f aca="false">INDEX(SignSym,MOD(B187+MATCH(Q187,SignSym,0)-1,12)+1)</f>
        <v>Ar</v>
      </c>
      <c r="S187" s="206" t="str">
        <f aca="false">INDEX(SignSym,MOD(B187+MATCH(R187,SignSym,0)-1,12)+1)</f>
        <v>Pi</v>
      </c>
    </row>
    <row r="188" s="206" customFormat="true" ht="15" hidden="true" customHeight="false" outlineLevel="0" collapsed="false">
      <c r="C188" s="998"/>
      <c r="D188" s="998"/>
      <c r="F188" s="1005"/>
      <c r="G188" s="1005"/>
      <c r="H188" s="1005" t="n">
        <f aca="false">F187</f>
        <v>37867.3508333331</v>
      </c>
      <c r="I188" s="1005" t="n">
        <f aca="false">H188+(E187*NDDaysInYEar/12)</f>
        <v>38232.6057060183</v>
      </c>
      <c r="J188" s="1005" t="n">
        <f aca="false">I188+(E187*NDDaysInYEar/12)</f>
        <v>38597.8605787035</v>
      </c>
      <c r="K188" s="1005" t="n">
        <f aca="false">J188+(E187*NDDaysInYEar/12)</f>
        <v>38963.1154513887</v>
      </c>
      <c r="L188" s="1005" t="n">
        <f aca="false">K188+(E187*NDDaysInYEar/12)</f>
        <v>39328.3703240738</v>
      </c>
      <c r="M188" s="1005" t="n">
        <f aca="false">L188+(E187*NDDaysInYEar/12)</f>
        <v>39693.625196759</v>
      </c>
      <c r="N188" s="1005" t="n">
        <f aca="false">M188+(E187*NDDaysInYEar/12)</f>
        <v>40058.8800694442</v>
      </c>
      <c r="O188" s="1005" t="n">
        <f aca="false">N188+(E187*NDDaysInYEar/12)</f>
        <v>40424.1349421294</v>
      </c>
      <c r="P188" s="1005" t="n">
        <f aca="false">O188+(E187*NDDaysInYEar/12)</f>
        <v>40789.3898148146</v>
      </c>
      <c r="Q188" s="1005" t="n">
        <f aca="false">P188+(E187*NDDaysInYEar/12)</f>
        <v>41154.6446874997</v>
      </c>
      <c r="R188" s="1005" t="n">
        <f aca="false">Q188+(E187*NDDaysInYEar/12)</f>
        <v>41519.8995601849</v>
      </c>
      <c r="S188" s="1005" t="n">
        <f aca="false">R188+(E187*NDDaysInYEar/12)</f>
        <v>41885.1544328701</v>
      </c>
    </row>
    <row r="189" s="206" customFormat="true" ht="15" hidden="false" customHeight="false" outlineLevel="0" collapsed="false">
      <c r="A189" s="206" t="str">
        <f aca="false">VLOOKUP(C172,NDasaSeq,14,0)</f>
        <v>Cp</v>
      </c>
      <c r="B189" s="206" t="n">
        <f aca="false">VLOOKUP(A189,NDasaC,3,0)</f>
        <v>-1</v>
      </c>
      <c r="C189" s="998" t="e">
        <f aca="false">IF(MATCH(VLOOKUP(IF((A189="Aq"),VLOOKUP("AqLord",DivCharts,D171,0),IF((A189="Sc"),VLOOKUP("ScLord",DivCharts,D171,0),VLOOKUP(A189,RsInfo,9,0))),DivCharts,D171,0),RsTbl,0)=MATCH(VLOOKUP(IF((A189="Aq"),VLOOKUP("AqLord",DivCharts,D171,0),IF((A189="Sc"),VLOOKUP("ScLord",DivCharts,D171,0),VLOOKUP(A189,RsInfo,9,0))),PlanetData,8,0),RsTbl,0),1,IF(MATCH(VLOOKUP(IF((A189="Aq"),VLOOKUP("AqLord",DivCharts,D171,0),IF((A189="Sc"),VLOOKUP("ScLord",DivCharts,D171,0),VLOOKUP(A189,RsInfo,9,0))),DivCharts,D171,0),RsTbl,0)=MOD(MATCH(VLOOKUP(IF((A189="Aq"),VLOOKUP("AqLord",DivCharts,D171,0),IF((A189="Sc"),VLOOKUP("ScLord",DivCharts,D171,0),VLOOKUP(A189,RsInfo,9,0))),PlanetData,8,0),RsTbl,0)+6,12),-1,0))</f>
        <v>#N/A</v>
      </c>
      <c r="D189" s="998" t="n">
        <f aca="false">MOD((MATCH(VLOOKUP(IF((A189="Aq"),VLOOKUP("AqLord",DivCharts,D171,0),IF((A189="Sc"),VLOOKUP("ScLord",DivCharts,D171,0),VLOOKUP(A189,RsInfo,9,0))),DivCharts,D171,0),RsTbl,0)*B189)-(B189*MATCH(A189,RsTbl,0))+12,12)</f>
        <v>1</v>
      </c>
      <c r="E189" s="206" t="n">
        <f aca="false">IF(ISNA(MATCH((D189+C189),,0)),(D189+C189),12)</f>
        <v>12</v>
      </c>
      <c r="F189" s="1005" t="n">
        <f aca="false">G187</f>
        <v>42250.4093055553</v>
      </c>
      <c r="G189" s="1005" t="n">
        <f aca="false">F189+E189*NDDaysInYEar</f>
        <v>46633.4677777775</v>
      </c>
      <c r="H189" s="992" t="s">
        <v>693</v>
      </c>
      <c r="I189" s="206" t="str">
        <f aca="false">INDEX(SignSym,MOD(B189+MATCH(H189,SignSym,0)-1,12)+1)</f>
        <v>Ar</v>
      </c>
      <c r="J189" s="206" t="str">
        <f aca="false">INDEX(SignSym,MOD(B189+MATCH(I189,SignSym,0)-1,12)+1)</f>
        <v>Pi</v>
      </c>
      <c r="K189" s="206" t="str">
        <f aca="false">INDEX(SignSym,MOD(B189+MATCH(J189,SignSym,0)-1,12)+1)</f>
        <v>Aq</v>
      </c>
      <c r="L189" s="206" t="str">
        <f aca="false">INDEX(SignSym,MOD(B189+MATCH(K189,SignSym,0)-1,12)+1)</f>
        <v>Cp</v>
      </c>
      <c r="M189" s="206" t="str">
        <f aca="false">INDEX(SignSym,MOD(B189+MATCH(L189,SignSym,0)-1,12)+1)</f>
        <v>Sg</v>
      </c>
      <c r="N189" s="206" t="str">
        <f aca="false">INDEX(SignSym,MOD(B189+MATCH(M189,SignSym,0)-1,12)+1)</f>
        <v>Sc</v>
      </c>
      <c r="O189" s="206" t="str">
        <f aca="false">INDEX(SignSym,MOD(B189+MATCH(N189,SignSym,0)-1,12)+1)</f>
        <v>Li</v>
      </c>
      <c r="P189" s="206" t="str">
        <f aca="false">INDEX(SignSym,MOD(B189+MATCH(O189,SignSym,0)-1,12)+1)</f>
        <v>Vi</v>
      </c>
      <c r="Q189" s="206" t="str">
        <f aca="false">INDEX(SignSym,MOD(B189+MATCH(P189,SignSym,0)-1,12)+1)</f>
        <v>Le</v>
      </c>
      <c r="R189" s="206" t="str">
        <f aca="false">INDEX(SignSym,MOD(B189+MATCH(Q189,SignSym,0)-1,12)+1)</f>
        <v>Cn</v>
      </c>
      <c r="S189" s="206" t="str">
        <f aca="false">INDEX(SignSym,MOD(B189+MATCH(R189,SignSym,0)-1,12)+1)</f>
        <v>Ge</v>
      </c>
    </row>
    <row r="190" s="206" customFormat="true" ht="15" hidden="true" customHeight="false" outlineLevel="0" collapsed="false">
      <c r="C190" s="998"/>
      <c r="D190" s="998"/>
      <c r="F190" s="1005"/>
      <c r="G190" s="1005"/>
      <c r="H190" s="1005" t="n">
        <f aca="false">F189</f>
        <v>42250.4093055553</v>
      </c>
      <c r="I190" s="1005" t="n">
        <f aca="false">H190+(E189*NDDaysInYEar/12)</f>
        <v>42615.6641782405</v>
      </c>
      <c r="J190" s="1005" t="n">
        <f aca="false">I190+(E189*NDDaysInYEar/12)</f>
        <v>42980.9190509257</v>
      </c>
      <c r="K190" s="1005" t="n">
        <f aca="false">J190+(E189*NDDaysInYEar/12)</f>
        <v>43346.1739236108</v>
      </c>
      <c r="L190" s="1005" t="n">
        <f aca="false">K190+(E189*NDDaysInYEar/12)</f>
        <v>43711.428796296</v>
      </c>
      <c r="M190" s="1005" t="n">
        <f aca="false">L190+(E189*NDDaysInYEar/12)</f>
        <v>44076.6836689812</v>
      </c>
      <c r="N190" s="1005" t="n">
        <f aca="false">M190+(E189*NDDaysInYEar/12)</f>
        <v>44441.9385416664</v>
      </c>
      <c r="O190" s="1005" t="n">
        <f aca="false">N190+(E189*NDDaysInYEar/12)</f>
        <v>44807.1934143516</v>
      </c>
      <c r="P190" s="1005" t="n">
        <f aca="false">O190+(E189*NDDaysInYEar/12)</f>
        <v>45172.4482870367</v>
      </c>
      <c r="Q190" s="1005" t="n">
        <f aca="false">P190+(E189*NDDaysInYEar/12)</f>
        <v>45537.7031597219</v>
      </c>
      <c r="R190" s="1005" t="n">
        <f aca="false">Q190+(E189*NDDaysInYEar/12)</f>
        <v>45902.9580324071</v>
      </c>
      <c r="S190" s="1005" t="n">
        <f aca="false">R190+(E189*NDDaysInYEar/12)</f>
        <v>46268.2129050923</v>
      </c>
    </row>
    <row r="191" s="206" customFormat="true" ht="15" hidden="false" customHeight="false" outlineLevel="0" collapsed="false">
      <c r="A191" s="206" t="str">
        <f aca="false">VLOOKUP(C172,NDasaSeq,15,0)</f>
        <v>Ge</v>
      </c>
      <c r="B191" s="206" t="n">
        <f aca="false">VLOOKUP(A191,NDasaC,3,0)</f>
        <v>1</v>
      </c>
      <c r="C191" s="998" t="e">
        <f aca="false">IF(MATCH(VLOOKUP(IF((A191="Aq"),VLOOKUP("AqLord",DivCharts,D171,0),IF((A191="Sc"),VLOOKUP("ScLord",DivCharts,D171,0),VLOOKUP(A191,RsInfo,9,0))),DivCharts,D171,0),RsTbl,0)=MATCH(VLOOKUP(IF((A191="Aq"),VLOOKUP("AqLord",DivCharts,D171,0),IF((A191="Sc"),VLOOKUP("ScLord",DivCharts,D171,0),VLOOKUP(A191,RsInfo,9,0))),PlanetData,8,0),RsTbl,0),1,IF(MATCH(VLOOKUP(IF((A191="Aq"),VLOOKUP("AqLord",DivCharts,D171,0),IF((A191="Sc"),VLOOKUP("ScLord",DivCharts,D171,0),VLOOKUP(A191,RsInfo,9,0))),DivCharts,D171,0),RsTbl,0)=MOD(MATCH(VLOOKUP(IF((A191="Aq"),VLOOKUP("AqLord",DivCharts,D171,0),IF((A191="Sc"),VLOOKUP("ScLord",DivCharts,D171,0),VLOOKUP(A191,RsInfo,9,0))),PlanetData,8,0),RsTbl,0)+6,12),-1,0))</f>
        <v>#N/A</v>
      </c>
      <c r="D191" s="998" t="n">
        <f aca="false">MOD((MATCH(VLOOKUP(IF((A191="Aq"),VLOOKUP("AqLord",DivCharts,D171,0),IF((A191="Sc"),VLOOKUP("ScLord",DivCharts,D171,0),VLOOKUP(A191,RsInfo,9,0))),DivCharts,D171,0),RsTbl,0)*B191)-(B191*MATCH(A191,RsTbl,0))+12,12)</f>
        <v>8</v>
      </c>
      <c r="E191" s="206" t="n">
        <f aca="false">IF(ISNA(MATCH((D191+C191),,0)),(D191+C191),12)</f>
        <v>12</v>
      </c>
      <c r="F191" s="1005" t="n">
        <f aca="false">G189</f>
        <v>46633.4677777775</v>
      </c>
      <c r="G191" s="1005" t="n">
        <f aca="false">F191+E191*NDDaysInYEar</f>
        <v>51016.5262499997</v>
      </c>
      <c r="H191" s="992" t="str">
        <f aca="false">A191</f>
        <v>Ge</v>
      </c>
      <c r="I191" s="206" t="str">
        <f aca="false">INDEX(SignSym,MOD(B191+MATCH(H191,SignSym,0)-1,12)+1)</f>
        <v>Cn</v>
      </c>
      <c r="J191" s="206" t="str">
        <f aca="false">INDEX(SignSym,MOD(B191+MATCH(I191,SignSym,0)-1,12)+1)</f>
        <v>Le</v>
      </c>
      <c r="K191" s="206" t="str">
        <f aca="false">INDEX(SignSym,MOD(B191+MATCH(J191,SignSym,0)-1,12)+1)</f>
        <v>Vi</v>
      </c>
      <c r="L191" s="206" t="str">
        <f aca="false">INDEX(SignSym,MOD(B191+MATCH(K191,SignSym,0)-1,12)+1)</f>
        <v>Li</v>
      </c>
      <c r="M191" s="206" t="str">
        <f aca="false">INDEX(SignSym,MOD(B191+MATCH(L191,SignSym,0)-1,12)+1)</f>
        <v>Sc</v>
      </c>
      <c r="N191" s="206" t="str">
        <f aca="false">INDEX(SignSym,MOD(B191+MATCH(M191,SignSym,0)-1,12)+1)</f>
        <v>Sg</v>
      </c>
      <c r="O191" s="206" t="str">
        <f aca="false">INDEX(SignSym,MOD(B191+MATCH(N191,SignSym,0)-1,12)+1)</f>
        <v>Cp</v>
      </c>
      <c r="P191" s="206" t="str">
        <f aca="false">INDEX(SignSym,MOD(B191+MATCH(O191,SignSym,0)-1,12)+1)</f>
        <v>Aq</v>
      </c>
      <c r="Q191" s="206" t="str">
        <f aca="false">INDEX(SignSym,MOD(B191+MATCH(P191,SignSym,0)-1,12)+1)</f>
        <v>Pi</v>
      </c>
      <c r="R191" s="206" t="str">
        <f aca="false">INDEX(SignSym,MOD(B191+MATCH(Q191,SignSym,0)-1,12)+1)</f>
        <v>Ar</v>
      </c>
      <c r="S191" s="206" t="str">
        <f aca="false">INDEX(SignSym,MOD(B191+MATCH(R191,SignSym,0)-1,12)+1)</f>
        <v>Ta</v>
      </c>
    </row>
    <row r="192" s="206" customFormat="true" ht="12.75" hidden="true" customHeight="true" outlineLevel="0" collapsed="false">
      <c r="C192" s="998"/>
      <c r="D192" s="998"/>
      <c r="F192" s="1005"/>
      <c r="G192" s="1005"/>
      <c r="H192" s="1005" t="n">
        <f aca="false">F191</f>
        <v>46633.4677777775</v>
      </c>
      <c r="I192" s="1005" t="n">
        <f aca="false">H192+(E191*NDDaysInYEar/12)</f>
        <v>46998.7226504627</v>
      </c>
      <c r="J192" s="1005" t="n">
        <f aca="false">I192+(E191*NDDaysInYEar/12)</f>
        <v>47363.9775231478</v>
      </c>
      <c r="K192" s="1005" t="n">
        <f aca="false">J192+(E191*NDDaysInYEar/12)</f>
        <v>47729.232395833</v>
      </c>
      <c r="L192" s="1005" t="n">
        <f aca="false">K192+(E191*NDDaysInYEar/12)</f>
        <v>48094.4872685182</v>
      </c>
      <c r="M192" s="1005" t="n">
        <f aca="false">L192+(E191*NDDaysInYEar/12)</f>
        <v>48459.7421412034</v>
      </c>
      <c r="N192" s="1005" t="n">
        <f aca="false">M192+(E191*NDDaysInYEar/12)</f>
        <v>48824.9970138886</v>
      </c>
      <c r="O192" s="1005" t="n">
        <f aca="false">N192+(E191*NDDaysInYEar/12)</f>
        <v>49190.2518865737</v>
      </c>
      <c r="P192" s="1005" t="n">
        <f aca="false">O192+(E191*NDDaysInYEar/12)</f>
        <v>49555.5067592589</v>
      </c>
      <c r="Q192" s="1005" t="n">
        <f aca="false">P192+(E191*NDDaysInYEar/12)</f>
        <v>49920.7616319441</v>
      </c>
      <c r="R192" s="1005" t="n">
        <f aca="false">Q192+(E191*NDDaysInYEar/12)</f>
        <v>50286.0165046293</v>
      </c>
      <c r="S192" s="1005" t="n">
        <f aca="false">R192+(E191*NDDaysInYEar/12)</f>
        <v>50651.2713773145</v>
      </c>
    </row>
    <row r="193" s="206" customFormat="true" ht="15" hidden="false" customHeight="false" outlineLevel="0" collapsed="false">
      <c r="A193" s="206" t="str">
        <f aca="false">VLOOKUP(C172,NDasaSeq,16,0)</f>
        <v>Sc</v>
      </c>
      <c r="B193" s="206" t="n">
        <f aca="false">VLOOKUP(A193,NDasaC,3,0)</f>
        <v>1</v>
      </c>
      <c r="C193" s="998" t="e">
        <f aca="false">IF(MATCH(VLOOKUP(IF((A193="Aq"),VLOOKUP("AqLord",DivCharts,D171,0),IF((A193="Sc"),VLOOKUP("ScLord",DivCharts,D171,0),VLOOKUP(A193,RsInfo,9,0))),DivCharts,D171,0),RsTbl,0)=MATCH(VLOOKUP(IF((A193="Aq"),VLOOKUP("AqLord",DivCharts,D171,0),IF((A193="Sc"),VLOOKUP("ScLord",DivCharts,D171,0),VLOOKUP(A193,RsInfo,9,0))),PlanetData,8,0),RsTbl,0),1,IF(MATCH(VLOOKUP(IF((A193="Aq"),VLOOKUP("AqLord",DivCharts,D171,0),IF((A193="Sc"),VLOOKUP("ScLord",DivCharts,D171,0),VLOOKUP(A193,RsInfo,9,0))),DivCharts,D171,0),RsTbl,0)=MOD(MATCH(VLOOKUP(IF((A193="Aq"),VLOOKUP("AqLord",DivCharts,D171,0),IF((A193="Sc"),VLOOKUP("ScLord",DivCharts,D171,0),VLOOKUP(A193,RsInfo,9,0))),PlanetData,8,0),RsTbl,0)+6,12),-1,0))</f>
        <v>#N/A</v>
      </c>
      <c r="D193" s="998" t="n">
        <f aca="false">MOD((MATCH(VLOOKUP(IF((A193="Aq"),VLOOKUP("AqLord",DivCharts,D171,0),IF((A193="Sc"),VLOOKUP("ScLord",DivCharts,D171,0),VLOOKUP(A193,RsInfo,9,0))),DivCharts,D171,0),RsTbl,0)*B193)-(B193*MATCH(A193,RsTbl,0))+12,12)</f>
        <v>8</v>
      </c>
      <c r="E193" s="206" t="n">
        <f aca="false">IF(ISNA(MATCH((D193+C193),,0)),(D193+C193),12)</f>
        <v>12</v>
      </c>
      <c r="F193" s="1005" t="n">
        <f aca="false">G191</f>
        <v>51016.5262499997</v>
      </c>
      <c r="G193" s="1005" t="n">
        <f aca="false">F193+E193*NDDaysInYEar</f>
        <v>55399.5847222218</v>
      </c>
      <c r="H193" s="992" t="str">
        <f aca="false">A193</f>
        <v>Sc</v>
      </c>
      <c r="I193" s="206" t="str">
        <f aca="false">INDEX(SignSym,MOD(B193+MATCH(H193,SignSym,0)-1,12)+1)</f>
        <v>Sg</v>
      </c>
      <c r="J193" s="206" t="str">
        <f aca="false">INDEX(SignSym,MOD(B193+MATCH(I193,SignSym,0)-1,12)+1)</f>
        <v>Cp</v>
      </c>
      <c r="K193" s="206" t="str">
        <f aca="false">INDEX(SignSym,MOD(B193+MATCH(J193,SignSym,0)-1,12)+1)</f>
        <v>Aq</v>
      </c>
      <c r="L193" s="206" t="str">
        <f aca="false">INDEX(SignSym,MOD(B193+MATCH(K193,SignSym,0)-1,12)+1)</f>
        <v>Pi</v>
      </c>
      <c r="M193" s="206" t="str">
        <f aca="false">INDEX(SignSym,MOD(B193+MATCH(L193,SignSym,0)-1,12)+1)</f>
        <v>Ar</v>
      </c>
      <c r="N193" s="206" t="str">
        <f aca="false">INDEX(SignSym,MOD(B193+MATCH(M193,SignSym,0)-1,12)+1)</f>
        <v>Ta</v>
      </c>
      <c r="O193" s="206" t="str">
        <f aca="false">INDEX(SignSym,MOD(B193+MATCH(N193,SignSym,0)-1,12)+1)</f>
        <v>Ge</v>
      </c>
      <c r="P193" s="206" t="str">
        <f aca="false">INDEX(SignSym,MOD(B193+MATCH(O193,SignSym,0)-1,12)+1)</f>
        <v>Cn</v>
      </c>
      <c r="Q193" s="206" t="str">
        <f aca="false">INDEX(SignSym,MOD(B193+MATCH(P193,SignSym,0)-1,12)+1)</f>
        <v>Le</v>
      </c>
      <c r="R193" s="206" t="str">
        <f aca="false">INDEX(SignSym,MOD(B193+MATCH(Q193,SignSym,0)-1,12)+1)</f>
        <v>Vi</v>
      </c>
      <c r="S193" s="206" t="str">
        <f aca="false">INDEX(SignSym,MOD(B193+MATCH(R193,SignSym,0)-1,12)+1)</f>
        <v>Li</v>
      </c>
    </row>
    <row r="194" s="206" customFormat="true" ht="12.75" hidden="true" customHeight="true" outlineLevel="0" collapsed="false">
      <c r="C194" s="998"/>
      <c r="D194" s="998"/>
      <c r="F194" s="1005"/>
      <c r="G194" s="1005"/>
      <c r="H194" s="1005" t="n">
        <f aca="false">F193</f>
        <v>51016.5262499997</v>
      </c>
      <c r="I194" s="1005" t="n">
        <f aca="false">H194+(E193*NDDaysInYEar/12)</f>
        <v>51381.7811226848</v>
      </c>
      <c r="J194" s="1005" t="n">
        <f aca="false">I194+(E193*NDDaysInYEar/12)</f>
        <v>51747.03599537</v>
      </c>
      <c r="K194" s="1005" t="n">
        <f aca="false">J194+(E193*NDDaysInYEar/12)</f>
        <v>52112.2908680552</v>
      </c>
      <c r="L194" s="1005" t="n">
        <f aca="false">K194+(E193*NDDaysInYEar/12)</f>
        <v>52477.5457407404</v>
      </c>
      <c r="M194" s="1005" t="n">
        <f aca="false">L194+(E193*NDDaysInYEar/12)</f>
        <v>52842.8006134256</v>
      </c>
      <c r="N194" s="1005" t="n">
        <f aca="false">M194+(E193*NDDaysInYEar/12)</f>
        <v>53208.0554861107</v>
      </c>
      <c r="O194" s="1005" t="n">
        <f aca="false">N194+(E193*NDDaysInYEar/12)</f>
        <v>53573.3103587959</v>
      </c>
      <c r="P194" s="1005" t="n">
        <f aca="false">O194+(E193*NDDaysInYEar/12)</f>
        <v>53938.5652314811</v>
      </c>
      <c r="Q194" s="1005" t="n">
        <f aca="false">P194+(E193*NDDaysInYEar/12)</f>
        <v>54303.8201041663</v>
      </c>
      <c r="R194" s="1005" t="n">
        <f aca="false">Q194+(E193*NDDaysInYEar/12)</f>
        <v>54669.0749768515</v>
      </c>
      <c r="S194" s="1005" t="n">
        <f aca="false">R194+(E193*NDDaysInYEar/12)</f>
        <v>55034.3298495367</v>
      </c>
    </row>
    <row r="195" s="206" customFormat="true" ht="15" hidden="false" customHeight="false" outlineLevel="0" collapsed="false">
      <c r="A195" s="206" t="str">
        <f aca="false">VLOOKUP(C172,NDasaSeq,17,0)</f>
        <v>Ar</v>
      </c>
      <c r="B195" s="206" t="n">
        <f aca="false">VLOOKUP(A195,NDasaC,3,0)</f>
        <v>1</v>
      </c>
      <c r="C195" s="998" t="e">
        <f aca="false">IF(MATCH(VLOOKUP(IF((A195="Aq"),VLOOKUP("AqLord",DivCharts,D171,0),IF((A195="Sc"),VLOOKUP("ScLord",DivCharts,D171,0),VLOOKUP(A195,RsInfo,9,0))),DivCharts,D171,0),RsTbl,0)=MATCH(VLOOKUP(IF((A195="Aq"),VLOOKUP("AqLord",DivCharts,D171,0),IF((A195="Sc"),VLOOKUP("ScLord",DivCharts,D171,0),VLOOKUP(A195,RsInfo,9,0))),PlanetData,8,0),RsTbl,0),1,IF(MATCH(VLOOKUP(IF((A195="Aq"),VLOOKUP("AqLord",DivCharts,D171,0),IF((A195="Sc"),VLOOKUP("ScLord",DivCharts,D171,0),VLOOKUP(A195,RsInfo,9,0))),DivCharts,D171,0),RsTbl,0)=MOD(MATCH(VLOOKUP(IF((A195="Aq"),VLOOKUP("AqLord",DivCharts,D171,0),IF((A195="Sc"),VLOOKUP("ScLord",DivCharts,D171,0),VLOOKUP(A195,RsInfo,9,0))),PlanetData,8,0),RsTbl,0)+6,12),-1,0))</f>
        <v>#N/A</v>
      </c>
      <c r="D195" s="998" t="n">
        <f aca="false">MOD((MATCH(VLOOKUP(IF((A195="Aq"),VLOOKUP("AqLord",DivCharts,D171,0),IF((A195="Sc"),VLOOKUP("ScLord",DivCharts,D171,0),VLOOKUP(A195,RsInfo,9,0))),DivCharts,D171,0),RsTbl,0)*B195)-(B195*MATCH(A195,RsTbl,0))+12,12)</f>
        <v>3</v>
      </c>
      <c r="E195" s="206" t="n">
        <f aca="false">IF(ISNA(MATCH((D195+C195),,0)),(D195+C195),12)</f>
        <v>12</v>
      </c>
      <c r="F195" s="1005" t="n">
        <f aca="false">G193</f>
        <v>55399.5847222218</v>
      </c>
      <c r="G195" s="1005" t="n">
        <f aca="false">F195+E195*NDDaysInYEar</f>
        <v>59782.643194444</v>
      </c>
      <c r="H195" s="992" t="str">
        <f aca="false">A195</f>
        <v>Ar</v>
      </c>
      <c r="I195" s="206" t="str">
        <f aca="false">INDEX(SignSym,MOD(B195+MATCH(H195,SignSym,0)-1,12)+1)</f>
        <v>Ta</v>
      </c>
      <c r="J195" s="206" t="str">
        <f aca="false">INDEX(SignSym,MOD(B195+MATCH(I195,SignSym,0)-1,12)+1)</f>
        <v>Ge</v>
      </c>
      <c r="K195" s="206" t="str">
        <f aca="false">INDEX(SignSym,MOD(B195+MATCH(J195,SignSym,0)-1,12)+1)</f>
        <v>Cn</v>
      </c>
      <c r="L195" s="206" t="str">
        <f aca="false">INDEX(SignSym,MOD(B195+MATCH(K195,SignSym,0)-1,12)+1)</f>
        <v>Le</v>
      </c>
      <c r="M195" s="206" t="str">
        <f aca="false">INDEX(SignSym,MOD(B195+MATCH(L195,SignSym,0)-1,12)+1)</f>
        <v>Vi</v>
      </c>
      <c r="N195" s="206" t="str">
        <f aca="false">INDEX(SignSym,MOD(B195+MATCH(M195,SignSym,0)-1,12)+1)</f>
        <v>Li</v>
      </c>
      <c r="O195" s="206" t="str">
        <f aca="false">INDEX(SignSym,MOD(B195+MATCH(N195,SignSym,0)-1,12)+1)</f>
        <v>Sc</v>
      </c>
      <c r="P195" s="206" t="str">
        <f aca="false">INDEX(SignSym,MOD(B195+MATCH(O195,SignSym,0)-1,12)+1)</f>
        <v>Sg</v>
      </c>
      <c r="Q195" s="206" t="str">
        <f aca="false">INDEX(SignSym,MOD(B195+MATCH(P195,SignSym,0)-1,12)+1)</f>
        <v>Cp</v>
      </c>
      <c r="R195" s="206" t="str">
        <f aca="false">INDEX(SignSym,MOD(B195+MATCH(Q195,SignSym,0)-1,12)+1)</f>
        <v>Aq</v>
      </c>
      <c r="S195" s="206" t="str">
        <f aca="false">INDEX(SignSym,MOD(B195+MATCH(R195,SignSym,0)-1,12)+1)</f>
        <v>Pi</v>
      </c>
    </row>
    <row r="196" s="206" customFormat="true" ht="12.75" hidden="true" customHeight="true" outlineLevel="0" collapsed="false">
      <c r="C196" s="998"/>
      <c r="D196" s="998"/>
      <c r="F196" s="1005"/>
      <c r="G196" s="1005"/>
      <c r="H196" s="1005" t="n">
        <f aca="false">F195</f>
        <v>55399.5847222218</v>
      </c>
      <c r="I196" s="1005" t="n">
        <f aca="false">H196+(E195*NDDaysInYEar/12)</f>
        <v>55764.839594907</v>
      </c>
      <c r="J196" s="1005" t="n">
        <f aca="false">I196+(E195*NDDaysInYEar/12)</f>
        <v>56130.0944675922</v>
      </c>
      <c r="K196" s="1005" t="n">
        <f aca="false">J196+(E195*NDDaysInYEar/12)</f>
        <v>56495.3493402774</v>
      </c>
      <c r="L196" s="1005" t="n">
        <f aca="false">K196+(E195*NDDaysInYEar/12)</f>
        <v>56860.6042129626</v>
      </c>
      <c r="M196" s="1005" t="n">
        <f aca="false">L196+(E195*NDDaysInYEar/12)</f>
        <v>57225.8590856477</v>
      </c>
      <c r="N196" s="1005" t="n">
        <f aca="false">M196+(E195*NDDaysInYEar/12)</f>
        <v>57591.1139583329</v>
      </c>
      <c r="O196" s="1005" t="n">
        <f aca="false">N196+(E195*NDDaysInYEar/12)</f>
        <v>57956.3688310181</v>
      </c>
      <c r="P196" s="1005" t="n">
        <f aca="false">O196+(E195*NDDaysInYEar/12)</f>
        <v>58321.6237037033</v>
      </c>
      <c r="Q196" s="1005" t="n">
        <f aca="false">P196+(E195*NDDaysInYEar/12)</f>
        <v>58686.8785763885</v>
      </c>
      <c r="R196" s="1005" t="n">
        <f aca="false">Q196+(E195*NDDaysInYEar/12)</f>
        <v>59052.1334490737</v>
      </c>
      <c r="S196" s="1005" t="n">
        <f aca="false">R196+(E195*NDDaysInYEar/12)</f>
        <v>59417.3883217588</v>
      </c>
    </row>
    <row r="197" s="206" customFormat="true" ht="15" hidden="false" customHeight="false" outlineLevel="0" collapsed="false">
      <c r="A197" s="206" t="str">
        <f aca="false">VLOOKUP(C172,NDasaSeq,18,0)</f>
        <v>Vi</v>
      </c>
      <c r="B197" s="206" t="n">
        <f aca="false">VLOOKUP(A197,NDasaC,3,0)</f>
        <v>-1</v>
      </c>
      <c r="C197" s="998" t="e">
        <f aca="false">IF(MATCH(VLOOKUP(IF((A197="Aq"),VLOOKUP("AqLord",DivCharts,D171,0),IF((A197="Sc"),VLOOKUP("ScLord",DivCharts,D171,0),VLOOKUP(A197,RsInfo,9,0))),DivCharts,D171,0),RsTbl,0)=MATCH(VLOOKUP(IF((A197="Aq"),VLOOKUP("AqLord",DivCharts,D171,0),IF((A197="Sc"),VLOOKUP("ScLord",DivCharts,D171,0),VLOOKUP(A197,RsInfo,9,0))),PlanetData,8,0),RsTbl,0),1,IF(MATCH(VLOOKUP(IF((A197="Aq"),VLOOKUP("AqLord",DivCharts,D171,0),IF((A197="Sc"),VLOOKUP("ScLord",DivCharts,D171,0),VLOOKUP(A197,RsInfo,9,0))),DivCharts,D171,0),RsTbl,0)=MOD(MATCH(VLOOKUP(IF((A197="Aq"),VLOOKUP("AqLord",DivCharts,D171,0),IF((A197="Sc"),VLOOKUP("ScLord",DivCharts,D171,0),VLOOKUP(A197,RsInfo,9,0))),PlanetData,8,0),RsTbl,0)+6,12),-1,0))</f>
        <v>#N/A</v>
      </c>
      <c r="D197" s="998" t="n">
        <f aca="false">MOD((MATCH(VLOOKUP(IF((A197="Aq"),VLOOKUP("AqLord",DivCharts,D171,0),IF((A197="Sc"),VLOOKUP("ScLord",DivCharts,D171,0),VLOOKUP(A197,RsInfo,9,0))),DivCharts,D171,0),RsTbl,0)*B197)-(B197*MATCH(A197,RsTbl,0))+12,12)</f>
        <v>7</v>
      </c>
      <c r="E197" s="206" t="n">
        <f aca="false">IF(ISNA(MATCH((D197+C197),,0)),(D197+C197),12)</f>
        <v>12</v>
      </c>
      <c r="F197" s="1005" t="n">
        <f aca="false">G195</f>
        <v>59782.643194444</v>
      </c>
      <c r="G197" s="1005" t="n">
        <f aca="false">F197+E197*NDDaysInYEar</f>
        <v>64165.7016666662</v>
      </c>
      <c r="H197" s="992" t="str">
        <f aca="false">A197</f>
        <v>Vi</v>
      </c>
      <c r="I197" s="206" t="str">
        <f aca="false">INDEX(SignSym,MOD(B197+MATCH(H197,SignSym,0)-1,12)+1)</f>
        <v>Le</v>
      </c>
      <c r="J197" s="206" t="str">
        <f aca="false">INDEX(SignSym,MOD(B197+MATCH(I197,SignSym,0)-1,12)+1)</f>
        <v>Cn</v>
      </c>
      <c r="K197" s="206" t="str">
        <f aca="false">INDEX(SignSym,MOD(B197+MATCH(J197,SignSym,0)-1,12)+1)</f>
        <v>Ge</v>
      </c>
      <c r="L197" s="206" t="str">
        <f aca="false">INDEX(SignSym,MOD(B197+MATCH(K197,SignSym,0)-1,12)+1)</f>
        <v>Ta</v>
      </c>
      <c r="M197" s="206" t="str">
        <f aca="false">INDEX(SignSym,MOD(B197+MATCH(L197,SignSym,0)-1,12)+1)</f>
        <v>Ar</v>
      </c>
      <c r="N197" s="206" t="str">
        <f aca="false">INDEX(SignSym,MOD(B197+MATCH(M197,SignSym,0)-1,12)+1)</f>
        <v>Pi</v>
      </c>
      <c r="O197" s="206" t="str">
        <f aca="false">INDEX(SignSym,MOD(B197+MATCH(N197,SignSym,0)-1,12)+1)</f>
        <v>Aq</v>
      </c>
      <c r="P197" s="206" t="str">
        <f aca="false">INDEX(SignSym,MOD(B197+MATCH(O197,SignSym,0)-1,12)+1)</f>
        <v>Cp</v>
      </c>
      <c r="Q197" s="206" t="str">
        <f aca="false">INDEX(SignSym,MOD(B197+MATCH(P197,SignSym,0)-1,12)+1)</f>
        <v>Sg</v>
      </c>
      <c r="R197" s="206" t="str">
        <f aca="false">INDEX(SignSym,MOD(B197+MATCH(Q197,SignSym,0)-1,12)+1)</f>
        <v>Sc</v>
      </c>
      <c r="S197" s="206" t="str">
        <f aca="false">INDEX(SignSym,MOD(B197+MATCH(R197,SignSym,0)-1,12)+1)</f>
        <v>Li</v>
      </c>
    </row>
    <row r="198" s="206" customFormat="true" ht="15" hidden="true" customHeight="false" outlineLevel="0" collapsed="false">
      <c r="D198" s="998"/>
      <c r="H198" s="1005" t="n">
        <f aca="false">F197</f>
        <v>59782.643194444</v>
      </c>
      <c r="I198" s="1005" t="n">
        <f aca="false">H198+(E197*NDDaysInYEar/12)</f>
        <v>60147.8980671292</v>
      </c>
      <c r="J198" s="1005" t="n">
        <f aca="false">I198+(E197*NDDaysInYEar/12)</f>
        <v>60513.1529398144</v>
      </c>
      <c r="K198" s="1005" t="n">
        <f aca="false">J198+(E197*NDDaysInYEar/12)</f>
        <v>60878.4078124996</v>
      </c>
      <c r="L198" s="1005" t="n">
        <f aca="false">K198+(E197*NDDaysInYEar/12)</f>
        <v>61243.6626851848</v>
      </c>
      <c r="M198" s="1005" t="n">
        <f aca="false">L198+(E197*NDDaysInYEar/12)</f>
        <v>61608.9175578699</v>
      </c>
      <c r="N198" s="1005" t="n">
        <f aca="false">M198+(E197*NDDaysInYEar/12)</f>
        <v>61974.1724305551</v>
      </c>
      <c r="O198" s="1005" t="n">
        <f aca="false">N198+(E197*NDDaysInYEar/12)</f>
        <v>62339.4273032403</v>
      </c>
      <c r="P198" s="1005" t="n">
        <f aca="false">O198+(E197*NDDaysInYEar/12)</f>
        <v>62704.6821759255</v>
      </c>
      <c r="Q198" s="1005" t="n">
        <f aca="false">P198+(E197*NDDaysInYEar/12)</f>
        <v>63069.9370486107</v>
      </c>
      <c r="R198" s="1005" t="n">
        <f aca="false">Q198+(E197*NDDaysInYEar/12)</f>
        <v>63435.1919212958</v>
      </c>
      <c r="S198" s="1005" t="n">
        <f aca="false">R198+(E197*NDDaysInYEar/12)</f>
        <v>63800.446793981</v>
      </c>
    </row>
    <row r="199" s="206" customFormat="true" ht="15" hidden="false" customHeight="false" outlineLevel="0" collapsed="false">
      <c r="A199" s="1004"/>
      <c r="B199" s="1004"/>
      <c r="C199" s="1004"/>
      <c r="D199" s="1004"/>
      <c r="E199" s="1004"/>
      <c r="F199" s="1004"/>
      <c r="G199" s="1004"/>
      <c r="H199" s="1004"/>
      <c r="I199" s="1004"/>
      <c r="J199" s="1004"/>
      <c r="K199" s="1004"/>
      <c r="L199" s="1004"/>
      <c r="M199" s="1004"/>
      <c r="N199" s="1004"/>
      <c r="O199" s="1004"/>
      <c r="P199" s="1004"/>
      <c r="Q199" s="1004"/>
      <c r="R199" s="1004"/>
      <c r="S199" s="1004"/>
    </row>
    <row r="200" s="206" customFormat="true" ht="15" hidden="true" customHeight="false" outlineLevel="0" collapsed="false">
      <c r="H200" s="1005"/>
      <c r="I200" s="1005"/>
      <c r="J200" s="1005"/>
      <c r="K200" s="1005"/>
      <c r="L200" s="1005"/>
      <c r="M200" s="1005"/>
      <c r="N200" s="1005"/>
      <c r="O200" s="1005"/>
      <c r="P200" s="1005"/>
      <c r="Q200" s="1005"/>
      <c r="R200" s="1005"/>
      <c r="S200" s="1005"/>
    </row>
    <row r="201" s="206" customFormat="true" ht="15" hidden="false" customHeight="false" outlineLevel="0" collapsed="false"/>
    <row r="205" customFormat="false" ht="15" hidden="false" customHeight="false" outlineLevel="0" collapsed="false">
      <c r="A205" s="985" t="s">
        <v>4212</v>
      </c>
      <c r="B205" s="986"/>
      <c r="C205" s="986"/>
      <c r="D205" s="986"/>
      <c r="E205" s="986"/>
      <c r="F205" s="986"/>
      <c r="G205" s="986"/>
      <c r="H205" s="986"/>
      <c r="I205" s="986"/>
      <c r="J205" s="986"/>
      <c r="K205" s="986"/>
      <c r="L205" s="987"/>
      <c r="M205" s="986"/>
      <c r="N205" s="986"/>
      <c r="O205" s="986"/>
      <c r="P205" s="986"/>
      <c r="Q205" s="986"/>
      <c r="R205" s="986"/>
      <c r="S205" s="986"/>
    </row>
    <row r="206" s="206" customFormat="true" ht="15" hidden="false" customHeight="false" outlineLevel="0" collapsed="false">
      <c r="A206" s="988" t="s">
        <v>4213</v>
      </c>
      <c r="B206" s="988"/>
      <c r="C206" s="989" t="n">
        <v>9</v>
      </c>
      <c r="D206" s="990" t="n">
        <f aca="false">MATCH(C206,$18:$18,1)</f>
        <v>6</v>
      </c>
      <c r="I206" s="991"/>
      <c r="N206" s="991"/>
    </row>
    <row r="207" s="206" customFormat="true" ht="15" hidden="false" customHeight="false" outlineLevel="0" collapsed="false">
      <c r="A207" s="988" t="s">
        <v>4216</v>
      </c>
      <c r="B207" s="988"/>
      <c r="C207" s="992" t="s">
        <v>1006</v>
      </c>
      <c r="D207" s="993"/>
      <c r="H207" s="991"/>
      <c r="I207" s="991"/>
      <c r="J207" s="991"/>
      <c r="P207" s="991"/>
    </row>
    <row r="208" s="206" customFormat="true" ht="15" hidden="false" customHeight="false" outlineLevel="0" collapsed="false">
      <c r="C208" s="991"/>
      <c r="E208" s="991"/>
      <c r="H208" s="991"/>
      <c r="I208" s="991"/>
      <c r="J208" s="991"/>
    </row>
    <row r="209" s="206" customFormat="true" ht="15" hidden="false" customHeight="false" outlineLevel="0" collapsed="false">
      <c r="A209" s="1007" t="s">
        <v>4084</v>
      </c>
      <c r="B209" s="1007" t="s">
        <v>807</v>
      </c>
      <c r="C209" s="1007" t="s">
        <v>4218</v>
      </c>
      <c r="D209" s="1007" t="s">
        <v>4219</v>
      </c>
      <c r="E209" s="1007" t="s">
        <v>400</v>
      </c>
      <c r="F209" s="1007" t="s">
        <v>730</v>
      </c>
      <c r="G209" s="1007" t="s">
        <v>805</v>
      </c>
      <c r="H209" s="1007" t="s">
        <v>4221</v>
      </c>
      <c r="I209" s="991"/>
      <c r="J209" s="991"/>
    </row>
    <row r="210" s="206" customFormat="true" ht="15" hidden="false" customHeight="false" outlineLevel="0" collapsed="false">
      <c r="A210" s="206" t="str">
        <f aca="false">VLOOKUP(C207,NDasaSeq,7,0)</f>
        <v>Pi</v>
      </c>
      <c r="B210" s="206" t="n">
        <f aca="false">VLOOKUP(A210,NDasaC,3,0)</f>
        <v>-1</v>
      </c>
      <c r="C210" s="998" t="e">
        <f aca="false">IF(MATCH(VLOOKUP(IF((A210="Aq"),VLOOKUP("AqLord",DivCharts,D206,0),IF((A210="Sc"),VLOOKUP("ScLord",DivCharts,D206,0),VLOOKUP(A210,RsInfo,9,0))),DivCharts,D206,0),RsTbl,0)=MATCH(VLOOKUP(IF((A210="Aq"),VLOOKUP("AqLord",DivCharts,D206,0),IF((A210="Sc"),VLOOKUP("ScLord",DivCharts,D206,0),VLOOKUP(A210,RsInfo,9,0))),PlanetData,8,0),RsTbl,0),1,IF(MATCH(VLOOKUP(IF((A210="Aq"),VLOOKUP("AqLord",DivCharts,D206,0),IF((A210="Sc"),VLOOKUP("ScLord",DivCharts,D206,0),VLOOKUP(A210,RsInfo,9,0))),DivCharts,D206,0),RsTbl,0)=MOD(MATCH(VLOOKUP(IF((A210="Aq"),VLOOKUP("AqLord",DivCharts,D206,0),IF((A210="Sc"),VLOOKUP("ScLord",DivCharts,D206,0),VLOOKUP(A210,RsInfo,9,0))),PlanetData,8,0),RsTbl,0)+6,12),-1,0))</f>
        <v>#N/A</v>
      </c>
      <c r="D210" s="998" t="n">
        <f aca="false">MOD((MATCH(VLOOKUP(IF((A210="Aq"),VLOOKUP("AqLord",DivCharts,D206,0),IF((A210="Sc"),VLOOKUP("ScLord",DivCharts,D206,0),VLOOKUP(A210,RsInfo,9,0))),DivCharts,D206,0),RsTbl,0)*B210)-(B210*MATCH(A210,RsTbl,0))+12,12)</f>
        <v>8</v>
      </c>
      <c r="E210" s="206" t="n">
        <f aca="false">IF(ISNA(MATCH((D210+C210),,0)),(D210+C210),12)</f>
        <v>12</v>
      </c>
      <c r="F210" s="1005" t="n">
        <f aca="false">NDDoB</f>
        <v>26133.3841435185</v>
      </c>
      <c r="G210" s="1005" t="n">
        <f aca="false">F210+E210*NDDaysInYEar</f>
        <v>30516.4426157407</v>
      </c>
      <c r="H210" s="992" t="str">
        <f aca="false">A210</f>
        <v>Pi</v>
      </c>
      <c r="I210" s="206" t="str">
        <f aca="false">INDEX(SignSym,MOD(B210+MATCH(H210,SignSym,0)-1,12)+1)</f>
        <v>Aq</v>
      </c>
      <c r="J210" s="206" t="str">
        <f aca="false">INDEX(SignSym,MOD(B210+MATCH(I210,SignSym,0)-1,12)+1)</f>
        <v>Cp</v>
      </c>
      <c r="K210" s="206" t="str">
        <f aca="false">INDEX(SignSym,MOD(B210+MATCH(J210,SignSym,0)-1,12)+1)</f>
        <v>Sg</v>
      </c>
      <c r="L210" s="206" t="str">
        <f aca="false">INDEX(SignSym,MOD(B210+MATCH(K210,SignSym,0)-1,12)+1)</f>
        <v>Sc</v>
      </c>
      <c r="M210" s="206" t="str">
        <f aca="false">INDEX(SignSym,MOD(B210+MATCH(L210,SignSym,0)-1,12)+1)</f>
        <v>Li</v>
      </c>
      <c r="N210" s="206" t="str">
        <f aca="false">INDEX(SignSym,MOD(B210+MATCH(M210,SignSym,0)-1,12)+1)</f>
        <v>Vi</v>
      </c>
      <c r="O210" s="206" t="str">
        <f aca="false">INDEX(SignSym,MOD(B210+MATCH(N210,SignSym,0)-1,12)+1)</f>
        <v>Le</v>
      </c>
      <c r="P210" s="206" t="str">
        <f aca="false">INDEX(SignSym,MOD(B210+MATCH(O210,SignSym,0)-1,12)+1)</f>
        <v>Cn</v>
      </c>
      <c r="Q210" s="206" t="str">
        <f aca="false">INDEX(SignSym,MOD(B210+MATCH(P210,SignSym,0)-1,12)+1)</f>
        <v>Ge</v>
      </c>
      <c r="R210" s="206" t="str">
        <f aca="false">INDEX(SignSym,MOD(B210+MATCH(Q210,SignSym,0)-1,12)+1)</f>
        <v>Ta</v>
      </c>
      <c r="S210" s="206" t="str">
        <f aca="false">INDEX(SignSym,MOD(B210+MATCH(R210,SignSym,0)-1,12)+1)</f>
        <v>Ar</v>
      </c>
    </row>
    <row r="211" s="206" customFormat="true" ht="12.75" hidden="true" customHeight="true" outlineLevel="0" collapsed="false">
      <c r="C211" s="998"/>
      <c r="D211" s="998"/>
      <c r="F211" s="1005"/>
      <c r="G211" s="1005"/>
      <c r="H211" s="1005" t="n">
        <f aca="false">F210</f>
        <v>26133.3841435185</v>
      </c>
      <c r="I211" s="1005" t="n">
        <f aca="false">H211+(E210*NDDaysInYEar/12)</f>
        <v>26498.6390162037</v>
      </c>
      <c r="J211" s="1005" t="n">
        <f aca="false">I211+(E210*NDDaysInYEar/12)</f>
        <v>26863.8938888889</v>
      </c>
      <c r="K211" s="1005" t="n">
        <f aca="false">J211+(E210*NDDaysInYEar/12)</f>
        <v>27229.148761574</v>
      </c>
      <c r="L211" s="1005" t="n">
        <f aca="false">K211+(E210*NDDaysInYEar/12)</f>
        <v>27594.4036342592</v>
      </c>
      <c r="M211" s="1005" t="n">
        <f aca="false">L211+(E210*NDDaysInYEar/12)</f>
        <v>27959.6585069444</v>
      </c>
      <c r="N211" s="1005" t="n">
        <f aca="false">M211+(E210*NDDaysInYEar/12)</f>
        <v>28324.9133796296</v>
      </c>
      <c r="O211" s="1005" t="n">
        <f aca="false">N211+(E210*NDDaysInYEar/12)</f>
        <v>28690.1682523148</v>
      </c>
      <c r="P211" s="1005" t="n">
        <f aca="false">O211+(E210*NDDaysInYEar/12)</f>
        <v>29055.423125</v>
      </c>
      <c r="Q211" s="1005" t="n">
        <f aca="false">P211+(E210*NDDaysInYEar/12)</f>
        <v>29420.6779976851</v>
      </c>
      <c r="R211" s="1005" t="n">
        <f aca="false">Q211+(E210*NDDaysInYEar/12)</f>
        <v>29785.9328703703</v>
      </c>
      <c r="S211" s="1005" t="n">
        <f aca="false">R211+(E210*NDDaysInYEar/12)</f>
        <v>30151.1877430555</v>
      </c>
    </row>
    <row r="212" s="206" customFormat="true" ht="15" hidden="false" customHeight="false" outlineLevel="0" collapsed="false">
      <c r="A212" s="206" t="s">
        <v>689</v>
      </c>
      <c r="B212" s="206" t="n">
        <f aca="false">VLOOKUP(A212,NDasaC,3,0)</f>
        <v>1</v>
      </c>
      <c r="C212" s="998" t="e">
        <f aca="false">IF(MATCH(VLOOKUP(IF((A212="Aq"),VLOOKUP("AqLord",DivCharts,D206,0),IF((A212="Sc"),VLOOKUP("ScLord",DivCharts,D206,0),VLOOKUP(A212,RsInfo,9,0))),DivCharts,D206,0),RsTbl,0)=MATCH(VLOOKUP(IF((A212="Aq"),VLOOKUP("AqLord",DivCharts,D206,0),IF((A212="Sc"),VLOOKUP("ScLord",DivCharts,D206,0),VLOOKUP(A212,RsInfo,9,0))),PlanetData,8,0),RsTbl,0),1,IF(MATCH(VLOOKUP(IF((A212="Aq"),VLOOKUP("AqLord",DivCharts,D206,0),IF((A212="Sc"),VLOOKUP("ScLord",DivCharts,D206,0),VLOOKUP(A212,RsInfo,9,0))),DivCharts,D206,0),RsTbl,0)=MOD(MATCH(VLOOKUP(IF((A212="Aq"),VLOOKUP("AqLord",DivCharts,D206,0),IF((A212="Sc"),VLOOKUP("ScLord",DivCharts,D206,0),VLOOKUP(A212,RsInfo,9,0))),PlanetData,8,0),RsTbl,0)+6,12),-1,0))</f>
        <v>#N/A</v>
      </c>
      <c r="D212" s="998" t="n">
        <f aca="false">MOD((MATCH(VLOOKUP(IF((A212="Aq"),VLOOKUP("AqLord",DivCharts,D206,0),IF((A212="Sc"),VLOOKUP("ScLord",DivCharts,D206,0),VLOOKUP(A212,RsInfo,9,0))),DivCharts,D206,0),RsTbl,0)*B212)-(B212*MATCH(A212,RsTbl,0))+12,12)</f>
        <v>5</v>
      </c>
      <c r="E212" s="206" t="n">
        <f aca="false">IF(ISNA(MATCH((D212+C212),,0)),(D212+C212),12)</f>
        <v>12</v>
      </c>
      <c r="F212" s="1005" t="n">
        <f aca="false">G210</f>
        <v>30516.4426157407</v>
      </c>
      <c r="G212" s="1005" t="n">
        <f aca="false">F212+E212*NDDaysInYEar</f>
        <v>34899.5010879629</v>
      </c>
      <c r="H212" s="992" t="str">
        <f aca="false">A212</f>
        <v>Ar</v>
      </c>
      <c r="I212" s="206" t="str">
        <f aca="false">INDEX(SignSym,MOD(B212+MATCH(H212,SignSym,0)-1,12)+1)</f>
        <v>Ta</v>
      </c>
      <c r="J212" s="206" t="str">
        <f aca="false">INDEX(SignSym,MOD(B212+MATCH(I212,SignSym,0)-1,12)+1)</f>
        <v>Ge</v>
      </c>
      <c r="K212" s="206" t="str">
        <f aca="false">INDEX(SignSym,MOD(B212+MATCH(J212,SignSym,0)-1,12)+1)</f>
        <v>Cn</v>
      </c>
      <c r="L212" s="206" t="str">
        <f aca="false">INDEX(SignSym,MOD(B212+MATCH(K212,SignSym,0)-1,12)+1)</f>
        <v>Le</v>
      </c>
      <c r="M212" s="206" t="str">
        <f aca="false">INDEX(SignSym,MOD(B212+MATCH(L212,SignSym,0)-1,12)+1)</f>
        <v>Vi</v>
      </c>
      <c r="N212" s="206" t="str">
        <f aca="false">INDEX(SignSym,MOD(B212+MATCH(M212,SignSym,0)-1,12)+1)</f>
        <v>Li</v>
      </c>
      <c r="O212" s="206" t="str">
        <f aca="false">INDEX(SignSym,MOD(B212+MATCH(N212,SignSym,0)-1,12)+1)</f>
        <v>Sc</v>
      </c>
      <c r="P212" s="206" t="str">
        <f aca="false">INDEX(SignSym,MOD(B212+MATCH(O212,SignSym,0)-1,12)+1)</f>
        <v>Sg</v>
      </c>
      <c r="Q212" s="206" t="str">
        <f aca="false">INDEX(SignSym,MOD(B212+MATCH(P212,SignSym,0)-1,12)+1)</f>
        <v>Cp</v>
      </c>
      <c r="R212" s="206" t="str">
        <f aca="false">INDEX(SignSym,MOD(B212+MATCH(Q212,SignSym,0)-1,12)+1)</f>
        <v>Aq</v>
      </c>
      <c r="S212" s="206" t="str">
        <f aca="false">INDEX(SignSym,MOD(B212+MATCH(R212,SignSym,0)-1,12)+1)</f>
        <v>Pi</v>
      </c>
    </row>
    <row r="213" s="206" customFormat="true" ht="12.75" hidden="true" customHeight="true" outlineLevel="0" collapsed="false">
      <c r="C213" s="998"/>
      <c r="D213" s="998"/>
      <c r="F213" s="1005"/>
      <c r="G213" s="1005"/>
      <c r="H213" s="1005" t="n">
        <f aca="false">F212</f>
        <v>30516.4426157407</v>
      </c>
      <c r="I213" s="1005" t="n">
        <f aca="false">H213+(E212*NDDaysInYEar/12)</f>
        <v>30881.6974884259</v>
      </c>
      <c r="J213" s="1005" t="n">
        <f aca="false">I213+(E212*NDDaysInYEar/12)</f>
        <v>31246.9523611111</v>
      </c>
      <c r="K213" s="1005" t="n">
        <f aca="false">J213+(E212*NDDaysInYEar/12)</f>
        <v>31612.2072337962</v>
      </c>
      <c r="L213" s="1005" t="n">
        <f aca="false">K213+(E212*NDDaysInYEar/12)</f>
        <v>31977.4621064814</v>
      </c>
      <c r="M213" s="1005" t="n">
        <f aca="false">L213+(E212*NDDaysInYEar/12)</f>
        <v>32342.7169791666</v>
      </c>
      <c r="N213" s="1005" t="n">
        <f aca="false">M213+(E212*NDDaysInYEar/12)</f>
        <v>32707.9718518518</v>
      </c>
      <c r="O213" s="1005" t="n">
        <f aca="false">N213+(E212*NDDaysInYEar/12)</f>
        <v>33073.226724537</v>
      </c>
      <c r="P213" s="1005" t="n">
        <f aca="false">O213+(E212*NDDaysInYEar/12)</f>
        <v>33438.4815972221</v>
      </c>
      <c r="Q213" s="1005" t="n">
        <f aca="false">P213+(E212*NDDaysInYEar/12)</f>
        <v>33803.7364699073</v>
      </c>
      <c r="R213" s="1005" t="n">
        <f aca="false">Q213+(E212*NDDaysInYEar/12)</f>
        <v>34168.9913425925</v>
      </c>
      <c r="S213" s="1005" t="n">
        <f aca="false">R213+(E212*NDDaysInYEar/12)</f>
        <v>34534.2462152777</v>
      </c>
    </row>
    <row r="214" s="206" customFormat="true" ht="15" hidden="false" customHeight="false" outlineLevel="0" collapsed="false">
      <c r="A214" s="206" t="s">
        <v>693</v>
      </c>
      <c r="B214" s="206" t="n">
        <v>-1</v>
      </c>
      <c r="C214" s="998" t="e">
        <f aca="false">IF(MATCH(VLOOKUP(IF((A214="Aq"),VLOOKUP("AqLord",DivCharts,D206,0),IF((A214="Sc"),VLOOKUP("ScLord",DivCharts,D206,0),VLOOKUP(A214,RsInfo,9,0))),DivCharts,D206,0),RsTbl,0)=MATCH(VLOOKUP(IF((A214="Aq"),VLOOKUP("AqLord",DivCharts,D206,0),IF((A214="Sc"),VLOOKUP("ScLord",DivCharts,D206,0),VLOOKUP(A214,RsInfo,9,0))),PlanetData,8,0),RsTbl,0),1,IF(MATCH(VLOOKUP(IF((A214="Aq"),VLOOKUP("AqLord",DivCharts,D206,0),IF((A214="Sc"),VLOOKUP("ScLord",DivCharts,D206,0),VLOOKUP(A214,RsInfo,9,0))),DivCharts,D206,0),RsTbl,0)=MOD(MATCH(VLOOKUP(IF((A214="Aq"),VLOOKUP("AqLord",DivCharts,D206,0),IF((A214="Sc"),VLOOKUP("ScLord",DivCharts,D206,0),VLOOKUP(A214,RsInfo,9,0))),PlanetData,8,0),RsTbl,0)+6,12),-1,0))</f>
        <v>#N/A</v>
      </c>
      <c r="D214" s="998" t="n">
        <f aca="false">MOD((MATCH(VLOOKUP(IF((A214="Aq"),VLOOKUP("AqLord",DivCharts,D206,0),IF((A214="Sc"),VLOOKUP("ScLord",DivCharts,D206,0),VLOOKUP(A214,RsInfo,9,0))),DivCharts,D206,0),RsTbl,0)*B214)-(B214*MATCH(A214,RsTbl,0))+12,12)</f>
        <v>1</v>
      </c>
      <c r="E214" s="206" t="n">
        <f aca="false">IF(ISNA(MATCH((D214+C214),,0)),(D214+C214),12)</f>
        <v>12</v>
      </c>
      <c r="F214" s="1005" t="n">
        <f aca="false">G212</f>
        <v>34899.5010879629</v>
      </c>
      <c r="G214" s="1005" t="n">
        <f aca="false">F214+E214*NDDaysInYEar</f>
        <v>39282.5595601851</v>
      </c>
      <c r="H214" s="992" t="s">
        <v>711</v>
      </c>
      <c r="I214" s="206" t="str">
        <f aca="false">INDEX(SignSym,MOD(B214+MATCH(H214,SignSym,0)-1,12)+1)</f>
        <v>Le</v>
      </c>
      <c r="J214" s="206" t="str">
        <f aca="false">INDEX(SignSym,MOD(B214+MATCH(I214,SignSym,0)-1,12)+1)</f>
        <v>Cn</v>
      </c>
      <c r="K214" s="206" t="str">
        <f aca="false">INDEX(SignSym,MOD(B214+MATCH(J214,SignSym,0)-1,12)+1)</f>
        <v>Ge</v>
      </c>
      <c r="L214" s="206" t="str">
        <f aca="false">INDEX(SignSym,MOD(B214+MATCH(K214,SignSym,0)-1,12)+1)</f>
        <v>Ta</v>
      </c>
      <c r="M214" s="206" t="str">
        <f aca="false">INDEX(SignSym,MOD(B214+MATCH(L214,SignSym,0)-1,12)+1)</f>
        <v>Ar</v>
      </c>
      <c r="N214" s="206" t="str">
        <f aca="false">INDEX(SignSym,MOD(B214+MATCH(M214,SignSym,0)-1,12)+1)</f>
        <v>Pi</v>
      </c>
      <c r="O214" s="206" t="str">
        <f aca="false">INDEX(SignSym,MOD(B214+MATCH(N214,SignSym,0)-1,12)+1)</f>
        <v>Aq</v>
      </c>
      <c r="P214" s="206" t="str">
        <f aca="false">INDEX(SignSym,MOD(B214+MATCH(O214,SignSym,0)-1,12)+1)</f>
        <v>Cp</v>
      </c>
      <c r="Q214" s="206" t="str">
        <f aca="false">INDEX(SignSym,MOD(B214+MATCH(P214,SignSym,0)-1,12)+1)</f>
        <v>Sg</v>
      </c>
      <c r="R214" s="206" t="str">
        <f aca="false">INDEX(SignSym,MOD(B214+MATCH(Q214,SignSym,0)-1,12)+1)</f>
        <v>Sc</v>
      </c>
      <c r="S214" s="206" t="str">
        <f aca="false">INDEX(SignSym,MOD(B214+MATCH(R214,SignSym,0)-1,12)+1)</f>
        <v>Li</v>
      </c>
    </row>
    <row r="215" s="206" customFormat="true" ht="12.75" hidden="true" customHeight="true" outlineLevel="0" collapsed="false">
      <c r="C215" s="998"/>
      <c r="D215" s="998"/>
      <c r="F215" s="1005"/>
      <c r="G215" s="1005"/>
      <c r="H215" s="1005" t="n">
        <f aca="false">F214</f>
        <v>34899.5010879629</v>
      </c>
      <c r="I215" s="1005" t="n">
        <f aca="false">H215+(E214*NDDaysInYEar/12)</f>
        <v>35264.7559606481</v>
      </c>
      <c r="J215" s="1005" t="n">
        <f aca="false">I215+(E214*NDDaysInYEar/12)</f>
        <v>35630.0108333332</v>
      </c>
      <c r="K215" s="1005" t="n">
        <f aca="false">J215+(E214*NDDaysInYEar/12)</f>
        <v>35995.2657060184</v>
      </c>
      <c r="L215" s="1005" t="n">
        <f aca="false">K215+(E214*NDDaysInYEar/12)</f>
        <v>36360.5205787036</v>
      </c>
      <c r="M215" s="1005" t="n">
        <f aca="false">L215+(E214*NDDaysInYEar/12)</f>
        <v>36725.7754513888</v>
      </c>
      <c r="N215" s="1005" t="n">
        <f aca="false">M215+(E214*NDDaysInYEar/12)</f>
        <v>37091.030324074</v>
      </c>
      <c r="O215" s="1005" t="n">
        <f aca="false">N215+(E214*NDDaysInYEar/12)</f>
        <v>37456.2851967591</v>
      </c>
      <c r="P215" s="1005" t="n">
        <f aca="false">O215+(E214*NDDaysInYEar/12)</f>
        <v>37821.5400694443</v>
      </c>
      <c r="Q215" s="1005" t="n">
        <f aca="false">P215+(E214*NDDaysInYEar/12)</f>
        <v>38186.7949421295</v>
      </c>
      <c r="R215" s="1005" t="n">
        <f aca="false">Q215+(E214*NDDaysInYEar/12)</f>
        <v>38552.0498148147</v>
      </c>
      <c r="S215" s="1005" t="n">
        <f aca="false">R215+(E214*NDDaysInYEar/12)</f>
        <v>38917.3046874999</v>
      </c>
    </row>
    <row r="216" s="206" customFormat="true" ht="15" hidden="false" customHeight="false" outlineLevel="0" collapsed="false">
      <c r="A216" s="206" t="s">
        <v>695</v>
      </c>
      <c r="B216" s="206" t="n">
        <v>-1</v>
      </c>
      <c r="C216" s="998" t="e">
        <f aca="false">IF(MATCH(VLOOKUP(IF((A216="Aq"),VLOOKUP("AqLord",DivCharts,D206,0),IF((A216="Sc"),VLOOKUP("ScLord",DivCharts,D206,0),VLOOKUP(A216,RsInfo,9,0))),DivCharts,D206,0),RsTbl,0)=MATCH(VLOOKUP(IF((A216="Aq"),VLOOKUP("AqLord",DivCharts,D206,0),IF((A216="Sc"),VLOOKUP("ScLord",DivCharts,D206,0),VLOOKUP(A216,RsInfo,9,0))),PlanetData,8,0),RsTbl,0),1,IF(MATCH(VLOOKUP(IF((A216="Aq"),VLOOKUP("AqLord",DivCharts,D206,0),IF((A216="Sc"),VLOOKUP("ScLord",DivCharts,D206,0),VLOOKUP(A216,RsInfo,9,0))),DivCharts,D206,0),RsTbl,0)=MOD(MATCH(VLOOKUP(IF((A216="Aq"),VLOOKUP("AqLord",DivCharts,D206,0),IF((A216="Sc"),VLOOKUP("ScLord",DivCharts,D206,0),VLOOKUP(A216,RsInfo,9,0))),PlanetData,8,0),RsTbl,0)+6,12),-1,0))</f>
        <v>#N/A</v>
      </c>
      <c r="D216" s="998" t="n">
        <f aca="false">MOD((MATCH(VLOOKUP(IF((A216="Aq"),VLOOKUP("AqLord",DivCharts,D206,0),IF((A216="Sc"),VLOOKUP("ScLord",DivCharts,D206,0),VLOOKUP(A216,RsInfo,9,0))),DivCharts,D206,0),RsTbl,0)*B216)-(B216*MATCH(A216,RsTbl,0))+12,12)</f>
        <v>3</v>
      </c>
      <c r="E216" s="206" t="n">
        <f aca="false">IF(ISNA(MATCH((D216+C216),,0)),(D216+C216),12)</f>
        <v>12</v>
      </c>
      <c r="F216" s="1005" t="n">
        <f aca="false">G214</f>
        <v>39282.5595601851</v>
      </c>
      <c r="G216" s="1005" t="n">
        <f aca="false">F216+E216*NDDaysInYEar</f>
        <v>43665.6180324072</v>
      </c>
      <c r="H216" s="992" t="s">
        <v>703</v>
      </c>
      <c r="I216" s="206" t="str">
        <f aca="false">INDEX(SignSym,MOD(B216+MATCH(H216,SignSym,0)-1,12)+1)</f>
        <v>Ge</v>
      </c>
      <c r="J216" s="206" t="str">
        <f aca="false">INDEX(SignSym,MOD(B216+MATCH(I216,SignSym,0)-1,12)+1)</f>
        <v>Ta</v>
      </c>
      <c r="K216" s="206" t="str">
        <f aca="false">INDEX(SignSym,MOD(B216+MATCH(J216,SignSym,0)-1,12)+1)</f>
        <v>Ar</v>
      </c>
      <c r="L216" s="206" t="str">
        <f aca="false">INDEX(SignSym,MOD(B216+MATCH(K216,SignSym,0)-1,12)+1)</f>
        <v>Pi</v>
      </c>
      <c r="M216" s="206" t="str">
        <f aca="false">INDEX(SignSym,MOD(B216+MATCH(L216,SignSym,0)-1,12)+1)</f>
        <v>Aq</v>
      </c>
      <c r="N216" s="206" t="str">
        <f aca="false">INDEX(SignSym,MOD(B216+MATCH(M216,SignSym,0)-1,12)+1)</f>
        <v>Cp</v>
      </c>
      <c r="O216" s="206" t="str">
        <f aca="false">INDEX(SignSym,MOD(B216+MATCH(N216,SignSym,0)-1,12)+1)</f>
        <v>Sg</v>
      </c>
      <c r="P216" s="206" t="str">
        <f aca="false">INDEX(SignSym,MOD(B216+MATCH(O216,SignSym,0)-1,12)+1)</f>
        <v>Sc</v>
      </c>
      <c r="Q216" s="206" t="str">
        <f aca="false">INDEX(SignSym,MOD(B216+MATCH(P216,SignSym,0)-1,12)+1)</f>
        <v>Li</v>
      </c>
      <c r="R216" s="206" t="str">
        <f aca="false">INDEX(SignSym,MOD(B216+MATCH(Q216,SignSym,0)-1,12)+1)</f>
        <v>Vi</v>
      </c>
      <c r="S216" s="206" t="str">
        <f aca="false">INDEX(SignSym,MOD(B216+MATCH(R216,SignSym,0)-1,12)+1)</f>
        <v>Le</v>
      </c>
    </row>
    <row r="217" s="206" customFormat="true" ht="12.75" hidden="true" customHeight="true" outlineLevel="0" collapsed="false">
      <c r="C217" s="998"/>
      <c r="D217" s="998"/>
      <c r="F217" s="1005"/>
      <c r="G217" s="1005"/>
      <c r="H217" s="1005" t="n">
        <f aca="false">F216</f>
        <v>39282.5595601851</v>
      </c>
      <c r="I217" s="1005" t="n">
        <f aca="false">H217+(E216*NDDaysInYEar/12)</f>
        <v>39647.8144328702</v>
      </c>
      <c r="J217" s="1005" t="n">
        <f aca="false">I217+(E216*NDDaysInYEar/12)</f>
        <v>40013.0693055554</v>
      </c>
      <c r="K217" s="1005" t="n">
        <f aca="false">J217+(E216*NDDaysInYEar/12)</f>
        <v>40378.3241782406</v>
      </c>
      <c r="L217" s="1005" t="n">
        <f aca="false">K217+(E216*NDDaysInYEar/12)</f>
        <v>40743.5790509258</v>
      </c>
      <c r="M217" s="1005" t="n">
        <f aca="false">L217+(E216*NDDaysInYEar/12)</f>
        <v>41108.833923611</v>
      </c>
      <c r="N217" s="1005" t="n">
        <f aca="false">M217+(E216*NDDaysInYEar/12)</f>
        <v>41474.0887962961</v>
      </c>
      <c r="O217" s="1005" t="n">
        <f aca="false">N217+(E216*NDDaysInYEar/12)</f>
        <v>41839.3436689813</v>
      </c>
      <c r="P217" s="1005" t="n">
        <f aca="false">O217+(E216*NDDaysInYEar/12)</f>
        <v>42204.5985416665</v>
      </c>
      <c r="Q217" s="1005" t="n">
        <f aca="false">P217+(E216*NDDaysInYEar/12)</f>
        <v>42569.8534143517</v>
      </c>
      <c r="R217" s="1005" t="n">
        <f aca="false">Q217+(E216*NDDaysInYEar/12)</f>
        <v>42935.1082870369</v>
      </c>
      <c r="S217" s="1005" t="n">
        <f aca="false">R217+(E216*NDDaysInYEar/12)</f>
        <v>43300.3631597221</v>
      </c>
    </row>
    <row r="218" s="206" customFormat="true" ht="15" hidden="false" customHeight="false" outlineLevel="0" collapsed="false">
      <c r="A218" s="206" t="s">
        <v>703</v>
      </c>
      <c r="B218" s="206" t="n">
        <v>-1</v>
      </c>
      <c r="C218" s="998" t="e">
        <f aca="false">IF(MATCH(VLOOKUP(IF((A218="Aq"),VLOOKUP("AqLord",DivCharts,D206,0),IF((A218="Sc"),VLOOKUP("ScLord",DivCharts,D206,0),VLOOKUP(A218,RsInfo,9,0))),DivCharts,D206,0),RsTbl,0)=MATCH(VLOOKUP(IF((A218="Aq"),VLOOKUP("AqLord",DivCharts,D206,0),IF((A218="Sc"),VLOOKUP("ScLord",DivCharts,D206,0),VLOOKUP(A218,RsInfo,9,0))),PlanetData,8,0),RsTbl,0),1,IF(MATCH(VLOOKUP(IF((A218="Aq"),VLOOKUP("AqLord",DivCharts,D206,0),IF((A218="Sc"),VLOOKUP("ScLord",DivCharts,D206,0),VLOOKUP(A218,RsInfo,9,0))),DivCharts,D206,0),RsTbl,0)=MOD(MATCH(VLOOKUP(IF((A218="Aq"),VLOOKUP("AqLord",DivCharts,D206,0),IF((A218="Sc"),VLOOKUP("ScLord",DivCharts,D206,0),VLOOKUP(A218,RsInfo,9,0))),PlanetData,8,0),RsTbl,0)+6,12),-1,0))</f>
        <v>#N/A</v>
      </c>
      <c r="D218" s="998" t="n">
        <f aca="false">MOD((MATCH(VLOOKUP(IF((A218="Aq"),VLOOKUP("AqLord",DivCharts,D206,0),IF((A218="Sc"),VLOOKUP("ScLord",DivCharts,D206,0),VLOOKUP(A218,RsInfo,9,0))),DivCharts,D206,0),RsTbl,0)*B218)-(B218*MATCH(A218,RsTbl,0))+12,12)</f>
        <v>0</v>
      </c>
      <c r="E218" s="206" t="n">
        <f aca="false">IF(ISNA(MATCH((D218+C218),,0)),(D218+C218),12)</f>
        <v>12</v>
      </c>
      <c r="F218" s="1005" t="n">
        <f aca="false">G216</f>
        <v>43665.6180324072</v>
      </c>
      <c r="G218" s="1005" t="n">
        <f aca="false">F218+E218*NDDaysInYEar</f>
        <v>48048.6765046294</v>
      </c>
      <c r="H218" s="992" t="s">
        <v>703</v>
      </c>
      <c r="I218" s="206" t="str">
        <f aca="false">INDEX(SignSym,MOD(B218+MATCH(H218,SignSym,0)-1,12)+1)</f>
        <v>Ge</v>
      </c>
      <c r="J218" s="206" t="str">
        <f aca="false">INDEX(SignSym,MOD(B218+MATCH(I218,SignSym,0)-1,12)+1)</f>
        <v>Ta</v>
      </c>
      <c r="K218" s="206" t="str">
        <f aca="false">INDEX(SignSym,MOD(B218+MATCH(J218,SignSym,0)-1,12)+1)</f>
        <v>Ar</v>
      </c>
      <c r="L218" s="206" t="str">
        <f aca="false">INDEX(SignSym,MOD(B218+MATCH(K218,SignSym,0)-1,12)+1)</f>
        <v>Pi</v>
      </c>
      <c r="M218" s="206" t="str">
        <f aca="false">INDEX(SignSym,MOD(B218+MATCH(L218,SignSym,0)-1,12)+1)</f>
        <v>Aq</v>
      </c>
      <c r="N218" s="206" t="str">
        <f aca="false">INDEX(SignSym,MOD(B218+MATCH(M218,SignSym,0)-1,12)+1)</f>
        <v>Cp</v>
      </c>
      <c r="O218" s="206" t="str">
        <f aca="false">INDEX(SignSym,MOD(B218+MATCH(N218,SignSym,0)-1,12)+1)</f>
        <v>Sg</v>
      </c>
      <c r="P218" s="206" t="str">
        <f aca="false">INDEX(SignSym,MOD(B218+MATCH(O218,SignSym,0)-1,12)+1)</f>
        <v>Sc</v>
      </c>
      <c r="Q218" s="206" t="str">
        <f aca="false">INDEX(SignSym,MOD(B218+MATCH(P218,SignSym,0)-1,12)+1)</f>
        <v>Li</v>
      </c>
      <c r="R218" s="206" t="str">
        <f aca="false">INDEX(SignSym,MOD(B218+MATCH(Q218,SignSym,0)-1,12)+1)</f>
        <v>Vi</v>
      </c>
      <c r="S218" s="206" t="str">
        <f aca="false">INDEX(SignSym,MOD(B218+MATCH(R218,SignSym,0)-1,12)+1)</f>
        <v>Le</v>
      </c>
    </row>
    <row r="219" s="206" customFormat="true" ht="15" hidden="false" customHeight="false" outlineLevel="0" collapsed="false">
      <c r="C219" s="998"/>
      <c r="D219" s="998"/>
      <c r="F219" s="1005"/>
      <c r="G219" s="1005"/>
      <c r="H219" s="1005" t="n">
        <f aca="false">F218</f>
        <v>43665.6180324072</v>
      </c>
      <c r="I219" s="1005" t="n">
        <f aca="false">H219+(E218*NDDaysInYEar/12)</f>
        <v>44030.8729050924</v>
      </c>
      <c r="J219" s="1008" t="n">
        <f aca="false">I219+(E218*NDDaysInYEar/12)</f>
        <v>44396.1277777776</v>
      </c>
      <c r="K219" s="1005" t="n">
        <f aca="false">J219+(E218*NDDaysInYEar/12)</f>
        <v>44761.3826504628</v>
      </c>
      <c r="L219" s="1005" t="n">
        <f aca="false">K219+(E218*NDDaysInYEar/12)</f>
        <v>45126.637523148</v>
      </c>
      <c r="M219" s="1005" t="n">
        <f aca="false">L219+(E218*NDDaysInYEar/12)</f>
        <v>45491.8923958331</v>
      </c>
      <c r="N219" s="1005" t="n">
        <f aca="false">M219+(E218*NDDaysInYEar/12)</f>
        <v>45857.1472685183</v>
      </c>
      <c r="O219" s="1005" t="n">
        <f aca="false">N219+(E218*NDDaysInYEar/12)</f>
        <v>46222.4021412035</v>
      </c>
      <c r="P219" s="1005" t="n">
        <f aca="false">O219+(E218*NDDaysInYEar/12)</f>
        <v>46587.6570138887</v>
      </c>
      <c r="Q219" s="1005" t="n">
        <f aca="false">P219+(E218*NDDaysInYEar/12)</f>
        <v>46952.9118865739</v>
      </c>
      <c r="R219" s="1005" t="n">
        <f aca="false">Q219+(E218*NDDaysInYEar/12)</f>
        <v>47318.1667592591</v>
      </c>
      <c r="S219" s="1008" t="n">
        <f aca="false">R219+(E218*NDDaysInYEar/12)</f>
        <v>47683.4216319442</v>
      </c>
    </row>
    <row r="220" s="206" customFormat="true" ht="15" hidden="false" customHeight="false" outlineLevel="0" collapsed="false">
      <c r="A220" s="206" t="s">
        <v>701</v>
      </c>
      <c r="B220" s="206" t="n">
        <v>-1</v>
      </c>
      <c r="C220" s="998" t="e">
        <f aca="false">IF(MATCH(VLOOKUP(IF((A220="Aq"),VLOOKUP("AqLord",DivCharts,D206,0),IF((A220="Sc"),VLOOKUP("ScLord",DivCharts,D206,0),VLOOKUP(A220,RsInfo,9,0))),DivCharts,D206,0),RsTbl,0)=MATCH(VLOOKUP(IF((A220="Aq"),VLOOKUP("AqLord",DivCharts,D206,0),IF((A220="Sc"),VLOOKUP("ScLord",DivCharts,D206,0),VLOOKUP(A220,RsInfo,9,0))),PlanetData,8,0),RsTbl,0),1,IF(MATCH(VLOOKUP(IF((A220="Aq"),VLOOKUP("AqLord",DivCharts,D206,0),IF((A220="Sc"),VLOOKUP("ScLord",DivCharts,D206,0),VLOOKUP(A220,RsInfo,9,0))),DivCharts,D206,0),RsTbl,0)=MOD(MATCH(VLOOKUP(IF((A220="Aq"),VLOOKUP("AqLord",DivCharts,D206,0),IF((A220="Sc"),VLOOKUP("ScLord",DivCharts,D206,0),VLOOKUP(A220,RsInfo,9,0))),PlanetData,8,0),RsTbl,0)+6,12),-1,0))</f>
        <v>#N/A</v>
      </c>
      <c r="D220" s="998" t="n">
        <f aca="false">MOD((MATCH(VLOOKUP(IF((A220="Aq"),VLOOKUP("AqLord",DivCharts,D206,0),IF((A220="Sc"),VLOOKUP("ScLord",DivCharts,D206,0),VLOOKUP(A220,RsInfo,9,0))),DivCharts,D206,0),RsTbl,0)*B220)-(B220*MATCH(A220,RsTbl,0))+12,12)</f>
        <v>1</v>
      </c>
      <c r="E220" s="206" t="n">
        <f aca="false">IF(ISNA(MATCH((D220+C220),,0)),(D220+C220),12)</f>
        <v>12</v>
      </c>
      <c r="F220" s="1005" t="n">
        <f aca="false">G218</f>
        <v>48048.6765046294</v>
      </c>
      <c r="G220" s="1005" t="n">
        <f aca="false">F220+E220*NDDaysInYEar</f>
        <v>52431.7349768516</v>
      </c>
      <c r="H220" s="992" t="s">
        <v>703</v>
      </c>
      <c r="I220" s="206" t="str">
        <f aca="false">INDEX(SignSym,MOD(B220+MATCH(H220,SignSym,0)-1,12)+1)</f>
        <v>Ge</v>
      </c>
      <c r="J220" s="206" t="str">
        <f aca="false">INDEX(SignSym,MOD(B220+MATCH(I220,SignSym,0)-1,12)+1)</f>
        <v>Ta</v>
      </c>
      <c r="K220" s="206" t="str">
        <f aca="false">INDEX(SignSym,MOD(B220+MATCH(J220,SignSym,0)-1,12)+1)</f>
        <v>Ar</v>
      </c>
      <c r="L220" s="206" t="str">
        <f aca="false">INDEX(SignSym,MOD(B220+MATCH(K220,SignSym,0)-1,12)+1)</f>
        <v>Pi</v>
      </c>
      <c r="M220" s="206" t="str">
        <f aca="false">INDEX(SignSym,MOD(B220+MATCH(L220,SignSym,0)-1,12)+1)</f>
        <v>Aq</v>
      </c>
      <c r="N220" s="206" t="str">
        <f aca="false">INDEX(SignSym,MOD(B220+MATCH(M220,SignSym,0)-1,12)+1)</f>
        <v>Cp</v>
      </c>
      <c r="O220" s="206" t="str">
        <f aca="false">INDEX(SignSym,MOD(B220+MATCH(N220,SignSym,0)-1,12)+1)</f>
        <v>Sg</v>
      </c>
      <c r="P220" s="206" t="str">
        <f aca="false">INDEX(SignSym,MOD(B220+MATCH(O220,SignSym,0)-1,12)+1)</f>
        <v>Sc</v>
      </c>
      <c r="Q220" s="206" t="str">
        <f aca="false">INDEX(SignSym,MOD(B220+MATCH(P220,SignSym,0)-1,12)+1)</f>
        <v>Li</v>
      </c>
      <c r="R220" s="206" t="str">
        <f aca="false">INDEX(SignSym,MOD(B220+MATCH(Q220,SignSym,0)-1,12)+1)</f>
        <v>Vi</v>
      </c>
      <c r="S220" s="206" t="str">
        <f aca="false">INDEX(SignSym,MOD(B220+MATCH(R220,SignSym,0)-1,12)+1)</f>
        <v>Le</v>
      </c>
    </row>
    <row r="221" s="206" customFormat="true" ht="15" hidden="false" customHeight="false" outlineLevel="0" collapsed="false">
      <c r="C221" s="998"/>
      <c r="D221" s="998"/>
      <c r="F221" s="1005"/>
      <c r="G221" s="1005"/>
      <c r="H221" s="1008" t="n">
        <f aca="false">F220</f>
        <v>48048.6765046294</v>
      </c>
      <c r="I221" s="1005" t="n">
        <f aca="false">H221+(E220*NDDaysInYEar/12)</f>
        <v>48413.9313773146</v>
      </c>
      <c r="J221" s="1005" t="n">
        <f aca="false">I221+(E220*NDDaysInYEar/12)</f>
        <v>48779.1862499998</v>
      </c>
      <c r="K221" s="1005" t="n">
        <f aca="false">J221+(E220*NDDaysInYEar/12)</f>
        <v>49144.441122685</v>
      </c>
      <c r="L221" s="1008" t="n">
        <f aca="false">K221+(E220*NDDaysInYEar/12)</f>
        <v>49509.6959953701</v>
      </c>
      <c r="M221" s="1005" t="n">
        <f aca="false">L221+(E220*NDDaysInYEar/12)</f>
        <v>49874.9508680553</v>
      </c>
      <c r="N221" s="1005" t="n">
        <f aca="false">M221+(E220*NDDaysInYEar/12)</f>
        <v>50240.2057407405</v>
      </c>
      <c r="O221" s="1005" t="n">
        <f aca="false">N221+(E220*NDDaysInYEar/12)</f>
        <v>50605.4606134257</v>
      </c>
      <c r="P221" s="1005" t="n">
        <f aca="false">O221+(E220*NDDaysInYEar/12)</f>
        <v>50970.7154861109</v>
      </c>
      <c r="Q221" s="1005" t="n">
        <f aca="false">P221+(E220*NDDaysInYEar/12)</f>
        <v>51335.9703587961</v>
      </c>
      <c r="R221" s="1005" t="n">
        <f aca="false">Q221+(E220*NDDaysInYEar/12)</f>
        <v>51701.2252314812</v>
      </c>
      <c r="S221" s="1005" t="n">
        <f aca="false">R221+(E220*NDDaysInYEar/12)</f>
        <v>52066.4801041664</v>
      </c>
    </row>
    <row r="222" s="206" customFormat="true" ht="15" hidden="false" customHeight="false" outlineLevel="0" collapsed="false">
      <c r="A222" s="206" t="s">
        <v>711</v>
      </c>
      <c r="B222" s="206" t="n">
        <f aca="false">VLOOKUP(A222,NDasaC,3,0)</f>
        <v>-1</v>
      </c>
      <c r="C222" s="998" t="e">
        <f aca="false">IF(MATCH(VLOOKUP(IF((A222="Aq"),VLOOKUP("AqLord",DivCharts,D206,0),IF((A222="Sc"),VLOOKUP("ScLord",DivCharts,D206,0),VLOOKUP(A222,RsInfo,9,0))),DivCharts,D206,0),RsTbl,0)=MATCH(VLOOKUP(IF((A222="Aq"),VLOOKUP("AqLord",DivCharts,D206,0),IF((A222="Sc"),VLOOKUP("ScLord",DivCharts,D206,0),VLOOKUP(A222,RsInfo,9,0))),PlanetData,8,0),RsTbl,0),1,IF(MATCH(VLOOKUP(IF((A222="Aq"),VLOOKUP("AqLord",DivCharts,D206,0),IF((A222="Sc"),VLOOKUP("ScLord",DivCharts,D206,0),VLOOKUP(A222,RsInfo,9,0))),DivCharts,D206,0),RsTbl,0)=MOD(MATCH(VLOOKUP(IF((A222="Aq"),VLOOKUP("AqLord",DivCharts,D206,0),IF((A222="Sc"),VLOOKUP("ScLord",DivCharts,D206,0),VLOOKUP(A222,RsInfo,9,0))),PlanetData,8,0),RsTbl,0)+6,12),-1,0))</f>
        <v>#N/A</v>
      </c>
      <c r="D222" s="998" t="n">
        <f aca="false">MOD((MATCH(VLOOKUP(IF((A222="Aq"),VLOOKUP("AqLord",DivCharts,D206,0),IF((A222="Sc"),VLOOKUP("ScLord",DivCharts,D206,0),VLOOKUP(A222,RsInfo,9,0))),DivCharts,D206,0),RsTbl,0)*B222)-(B222*MATCH(A222,RsTbl,0))+12,12)</f>
        <v>6</v>
      </c>
      <c r="E222" s="206" t="n">
        <f aca="false">IF(ISNA(MATCH((D222+C222),,0)),(D222+C222),12)</f>
        <v>12</v>
      </c>
      <c r="F222" s="1005" t="n">
        <f aca="false">G220</f>
        <v>52431.7349768516</v>
      </c>
      <c r="G222" s="1005" t="n">
        <f aca="false">F222+E222*NDDaysInYEar</f>
        <v>56814.7934490738</v>
      </c>
      <c r="H222" s="992" t="s">
        <v>699</v>
      </c>
      <c r="I222" s="206" t="str">
        <f aca="false">INDEX(SignSym,MOD(B222+MATCH(H222,SignSym,0)-1,12)+1)</f>
        <v>Cp</v>
      </c>
      <c r="J222" s="206" t="str">
        <f aca="false">INDEX(SignSym,MOD(B222+MATCH(I222,SignSym,0)-1,12)+1)</f>
        <v>Sg</v>
      </c>
      <c r="K222" s="206" t="str">
        <f aca="false">INDEX(SignSym,MOD(B222+MATCH(J222,SignSym,0)-1,12)+1)</f>
        <v>Sc</v>
      </c>
      <c r="L222" s="206" t="str">
        <f aca="false">INDEX(SignSym,MOD(B222+MATCH(K222,SignSym,0)-1,12)+1)</f>
        <v>Li</v>
      </c>
      <c r="M222" s="206" t="str">
        <f aca="false">INDEX(SignSym,MOD(B222+MATCH(L222,SignSym,0)-1,12)+1)</f>
        <v>Vi</v>
      </c>
      <c r="N222" s="206" t="str">
        <f aca="false">INDEX(SignSym,MOD(B222+MATCH(M222,SignSym,0)-1,12)+1)</f>
        <v>Le</v>
      </c>
      <c r="O222" s="206" t="str">
        <f aca="false">INDEX(SignSym,MOD(B222+MATCH(N222,SignSym,0)-1,12)+1)</f>
        <v>Cn</v>
      </c>
      <c r="P222" s="206" t="str">
        <f aca="false">INDEX(SignSym,MOD(B222+MATCH(O222,SignSym,0)-1,12)+1)</f>
        <v>Ge</v>
      </c>
      <c r="Q222" s="206" t="str">
        <f aca="false">INDEX(SignSym,MOD(B222+MATCH(P222,SignSym,0)-1,12)+1)</f>
        <v>Ta</v>
      </c>
      <c r="R222" s="206" t="str">
        <f aca="false">INDEX(SignSym,MOD(B222+MATCH(Q222,SignSym,0)-1,12)+1)</f>
        <v>Ar</v>
      </c>
      <c r="S222" s="206" t="str">
        <f aca="false">INDEX(SignSym,MOD(B222+MATCH(R222,SignSym,0)-1,12)+1)</f>
        <v>Pi</v>
      </c>
    </row>
    <row r="223" s="206" customFormat="true" ht="15" hidden="true" customHeight="false" outlineLevel="0" collapsed="false">
      <c r="C223" s="998"/>
      <c r="D223" s="998"/>
      <c r="F223" s="1005"/>
      <c r="G223" s="1005"/>
      <c r="H223" s="1005" t="n">
        <f aca="false">F222</f>
        <v>52431.7349768516</v>
      </c>
      <c r="I223" s="1005" t="n">
        <f aca="false">H223+(E222*NDDaysInYEar/12)</f>
        <v>52796.9898495368</v>
      </c>
      <c r="J223" s="1005" t="n">
        <f aca="false">I223+(E222*NDDaysInYEar/12)</f>
        <v>53162.244722222</v>
      </c>
      <c r="K223" s="1005" t="n">
        <f aca="false">J223+(E222*NDDaysInYEar/12)</f>
        <v>53527.4995949071</v>
      </c>
      <c r="L223" s="1005" t="n">
        <f aca="false">K223+(E222*NDDaysInYEar/12)</f>
        <v>53892.7544675923</v>
      </c>
      <c r="M223" s="1005" t="n">
        <f aca="false">L223+(E222*NDDaysInYEar/12)</f>
        <v>54258.0093402775</v>
      </c>
      <c r="N223" s="1005" t="n">
        <f aca="false">M223+(E222*NDDaysInYEar/12)</f>
        <v>54623.2642129627</v>
      </c>
      <c r="O223" s="1005" t="n">
        <f aca="false">N223+(E222*NDDaysInYEar/12)</f>
        <v>54988.5190856479</v>
      </c>
      <c r="P223" s="1005" t="n">
        <f aca="false">O223+(E222*NDDaysInYEar/12)</f>
        <v>55353.7739583331</v>
      </c>
      <c r="Q223" s="1005" t="n">
        <f aca="false">P223+(E222*NDDaysInYEar/12)</f>
        <v>55719.0288310182</v>
      </c>
      <c r="R223" s="1005" t="n">
        <f aca="false">Q223+(E222*NDDaysInYEar/12)</f>
        <v>56084.2837037034</v>
      </c>
      <c r="S223" s="1005" t="n">
        <f aca="false">R223+(E222*NDDaysInYEar/12)</f>
        <v>56449.5385763886</v>
      </c>
    </row>
    <row r="224" s="206" customFormat="true" ht="15" hidden="false" customHeight="false" outlineLevel="0" collapsed="false">
      <c r="A224" s="206" t="s">
        <v>710</v>
      </c>
      <c r="B224" s="206" t="n">
        <f aca="false">VLOOKUP(A224,NDasaC,3,0)</f>
        <v>1</v>
      </c>
      <c r="C224" s="998" t="e">
        <f aca="false">IF(MATCH(VLOOKUP(IF((A224="Aq"),VLOOKUP("AqLord",DivCharts,D206,0),IF((A224="Sc"),VLOOKUP("ScLord",DivCharts,D206,0),VLOOKUP(A224,RsInfo,9,0))),DivCharts,D206,0),RsTbl,0)=MATCH(VLOOKUP(IF((A224="Aq"),VLOOKUP("AqLord",DivCharts,D206,0),IF((A224="Sc"),VLOOKUP("ScLord",DivCharts,D206,0),VLOOKUP(A224,RsInfo,9,0))),PlanetData,8,0),RsTbl,0),1,IF(MATCH(VLOOKUP(IF((A224="Aq"),VLOOKUP("AqLord",DivCharts,D206,0),IF((A224="Sc"),VLOOKUP("ScLord",DivCharts,D206,0),VLOOKUP(A224,RsInfo,9,0))),DivCharts,D206,0),RsTbl,0)=MOD(MATCH(VLOOKUP(IF((A224="Aq"),VLOOKUP("AqLord",DivCharts,D206,0),IF((A224="Sc"),VLOOKUP("ScLord",DivCharts,D206,0),VLOOKUP(A224,RsInfo,9,0))),PlanetData,8,0),RsTbl,0)+6,12),-1,0))</f>
        <v>#N/A</v>
      </c>
      <c r="D224" s="998" t="n">
        <f aca="false">MOD((MATCH(VLOOKUP(IF((A224="Aq"),VLOOKUP("AqLord",DivCharts,D206,0),IF((A224="Sc"),VLOOKUP("ScLord",DivCharts,D206,0),VLOOKUP(A224,RsInfo,9,0))),DivCharts,D206,0),RsTbl,0)*B224)-(B224*MATCH(A224,RsTbl,0))+12,12)</f>
        <v>6</v>
      </c>
      <c r="E224" s="206" t="n">
        <f aca="false">IF(ISNA(MATCH((D224+C224),,0)),(D224+C224),12)</f>
        <v>12</v>
      </c>
      <c r="F224" s="1005" t="n">
        <f aca="false">G222</f>
        <v>56814.7934490738</v>
      </c>
      <c r="G224" s="1005" t="n">
        <f aca="false">F224+E224*NDDaysInYEar</f>
        <v>61197.851921296</v>
      </c>
      <c r="H224" s="992" t="s">
        <v>703</v>
      </c>
      <c r="I224" s="206" t="str">
        <f aca="false">INDEX(SignSym,MOD(B224+MATCH(H224,SignSym,0)-1,12)+1)</f>
        <v>Le</v>
      </c>
      <c r="J224" s="206" t="str">
        <f aca="false">INDEX(SignSym,MOD(B224+MATCH(I224,SignSym,0)-1,12)+1)</f>
        <v>Vi</v>
      </c>
      <c r="K224" s="206" t="str">
        <f aca="false">INDEX(SignSym,MOD(B224+MATCH(J224,SignSym,0)-1,12)+1)</f>
        <v>Li</v>
      </c>
      <c r="L224" s="206" t="str">
        <f aca="false">INDEX(SignSym,MOD(B224+MATCH(K224,SignSym,0)-1,12)+1)</f>
        <v>Sc</v>
      </c>
      <c r="M224" s="206" t="str">
        <f aca="false">INDEX(SignSym,MOD(B224+MATCH(L224,SignSym,0)-1,12)+1)</f>
        <v>Sg</v>
      </c>
      <c r="N224" s="206" t="str">
        <f aca="false">INDEX(SignSym,MOD(B224+MATCH(M224,SignSym,0)-1,12)+1)</f>
        <v>Cp</v>
      </c>
      <c r="O224" s="206" t="str">
        <f aca="false">INDEX(SignSym,MOD(B224+MATCH(N224,SignSym,0)-1,12)+1)</f>
        <v>Aq</v>
      </c>
      <c r="P224" s="206" t="str">
        <f aca="false">INDEX(SignSym,MOD(B224+MATCH(O224,SignSym,0)-1,12)+1)</f>
        <v>Pi</v>
      </c>
      <c r="Q224" s="206" t="str">
        <f aca="false">INDEX(SignSym,MOD(B224+MATCH(P224,SignSym,0)-1,12)+1)</f>
        <v>Ar</v>
      </c>
      <c r="R224" s="206" t="str">
        <f aca="false">INDEX(SignSym,MOD(B224+MATCH(Q224,SignSym,0)-1,12)+1)</f>
        <v>Ta</v>
      </c>
      <c r="S224" s="206" t="str">
        <f aca="false">INDEX(SignSym,MOD(B224+MATCH(R224,SignSym,0)-1,12)+1)</f>
        <v>Ge</v>
      </c>
    </row>
    <row r="225" s="206" customFormat="true" ht="15" hidden="true" customHeight="false" outlineLevel="0" collapsed="false">
      <c r="C225" s="998"/>
      <c r="D225" s="998"/>
      <c r="F225" s="1005"/>
      <c r="G225" s="1005"/>
      <c r="H225" s="1005" t="n">
        <f aca="false">F224</f>
        <v>56814.7934490738</v>
      </c>
      <c r="I225" s="1005" t="n">
        <f aca="false">H225+(E224*NDDaysInYEar/12)</f>
        <v>57180.048321759</v>
      </c>
      <c r="J225" s="1005" t="n">
        <f aca="false">I225+(E224*NDDaysInYEar/12)</f>
        <v>57545.3031944441</v>
      </c>
      <c r="K225" s="1005" t="n">
        <f aca="false">J225+(E224*NDDaysInYEar/12)</f>
        <v>57910.5580671293</v>
      </c>
      <c r="L225" s="1005" t="n">
        <f aca="false">K225+(E224*NDDaysInYEar/12)</f>
        <v>58275.8129398145</v>
      </c>
      <c r="M225" s="1005" t="n">
        <f aca="false">L225+(E224*NDDaysInYEar/12)</f>
        <v>58641.0678124997</v>
      </c>
      <c r="N225" s="1005" t="n">
        <f aca="false">M225+(E224*NDDaysInYEar/12)</f>
        <v>59006.3226851849</v>
      </c>
      <c r="O225" s="1005" t="n">
        <f aca="false">N225+(E224*NDDaysInYEar/12)</f>
        <v>59371.5775578701</v>
      </c>
      <c r="P225" s="1005" t="n">
        <f aca="false">O225+(E224*NDDaysInYEar/12)</f>
        <v>59736.8324305552</v>
      </c>
      <c r="Q225" s="1005" t="n">
        <f aca="false">P225+(E224*NDDaysInYEar/12)</f>
        <v>60102.0873032404</v>
      </c>
      <c r="R225" s="1005" t="n">
        <f aca="false">Q225+(E224*NDDaysInYEar/12)</f>
        <v>60467.3421759256</v>
      </c>
      <c r="S225" s="1005" t="n">
        <f aca="false">R225+(E224*NDDaysInYEar/12)</f>
        <v>60832.5970486108</v>
      </c>
    </row>
    <row r="226" s="206" customFormat="true" ht="15" hidden="false" customHeight="false" outlineLevel="0" collapsed="false">
      <c r="A226" s="206" t="s">
        <v>709</v>
      </c>
      <c r="B226" s="206" t="n">
        <f aca="false">VLOOKUP(A226,NDasaC,3,0)</f>
        <v>1</v>
      </c>
      <c r="C226" s="998" t="e">
        <f aca="false">IF(MATCH(VLOOKUP(IF((A226="Aq"),VLOOKUP("AqLord",DivCharts,D206,0),IF((A226="Sc"),VLOOKUP("ScLord",DivCharts,D206,0),VLOOKUP(A226,RsInfo,9,0))),DivCharts,D206,0),RsTbl,0)=MATCH(VLOOKUP(IF((A226="Aq"),VLOOKUP("AqLord",DivCharts,D206,0),IF((A226="Sc"),VLOOKUP("ScLord",DivCharts,D206,0),VLOOKUP(A226,RsInfo,9,0))),PlanetData,8,0),RsTbl,0),1,IF(MATCH(VLOOKUP(IF((A226="Aq"),VLOOKUP("AqLord",DivCharts,D206,0),IF((A226="Sc"),VLOOKUP("ScLord",DivCharts,D206,0),VLOOKUP(A226,RsInfo,9,0))),DivCharts,D206,0),RsTbl,0)=MOD(MATCH(VLOOKUP(IF((A226="Aq"),VLOOKUP("AqLord",DivCharts,D206,0),IF((A226="Sc"),VLOOKUP("ScLord",DivCharts,D206,0),VLOOKUP(A226,RsInfo,9,0))),PlanetData,8,0),RsTbl,0)+6,12),-1,0))</f>
        <v>#N/A</v>
      </c>
      <c r="D226" s="998" t="n">
        <f aca="false">MOD((MATCH(VLOOKUP(IF((A226="Aq"),VLOOKUP("AqLord",DivCharts,D206,0),IF((A226="Sc"),VLOOKUP("ScLord",DivCharts,D206,0),VLOOKUP(A226,RsInfo,9,0))),DivCharts,D206,0),RsTbl,0)*B226)-(B226*MATCH(A226,RsTbl,0))+12,12)</f>
        <v>10</v>
      </c>
      <c r="E226" s="206" t="n">
        <f aca="false">IF(ISNA(MATCH((D226+C226),,0)),(D226+C226),12)</f>
        <v>12</v>
      </c>
      <c r="F226" s="1005" t="n">
        <f aca="false">G224</f>
        <v>61197.851921296</v>
      </c>
      <c r="G226" s="1005" t="n">
        <f aca="false">F226+E226*NDDaysInYEar</f>
        <v>65580.9103935182</v>
      </c>
      <c r="H226" s="992" t="str">
        <f aca="false">A226</f>
        <v>Sc</v>
      </c>
      <c r="I226" s="206" t="str">
        <f aca="false">INDEX(SignSym,MOD(B226+MATCH(H226,SignSym,0)-1,12)+1)</f>
        <v>Sg</v>
      </c>
      <c r="J226" s="206" t="str">
        <f aca="false">INDEX(SignSym,MOD(B226+MATCH(I226,SignSym,0)-1,12)+1)</f>
        <v>Cp</v>
      </c>
      <c r="K226" s="206" t="str">
        <f aca="false">INDEX(SignSym,MOD(B226+MATCH(J226,SignSym,0)-1,12)+1)</f>
        <v>Aq</v>
      </c>
      <c r="L226" s="206" t="str">
        <f aca="false">INDEX(SignSym,MOD(B226+MATCH(K226,SignSym,0)-1,12)+1)</f>
        <v>Pi</v>
      </c>
      <c r="M226" s="206" t="str">
        <f aca="false">INDEX(SignSym,MOD(B226+MATCH(L226,SignSym,0)-1,12)+1)</f>
        <v>Ar</v>
      </c>
      <c r="N226" s="206" t="str">
        <f aca="false">INDEX(SignSym,MOD(B226+MATCH(M226,SignSym,0)-1,12)+1)</f>
        <v>Ta</v>
      </c>
      <c r="O226" s="206" t="str">
        <f aca="false">INDEX(SignSym,MOD(B226+MATCH(N226,SignSym,0)-1,12)+1)</f>
        <v>Ge</v>
      </c>
      <c r="P226" s="206" t="str">
        <f aca="false">INDEX(SignSym,MOD(B226+MATCH(O226,SignSym,0)-1,12)+1)</f>
        <v>Cn</v>
      </c>
      <c r="Q226" s="206" t="str">
        <f aca="false">INDEX(SignSym,MOD(B226+MATCH(P226,SignSym,0)-1,12)+1)</f>
        <v>Le</v>
      </c>
      <c r="R226" s="206" t="str">
        <f aca="false">INDEX(SignSym,MOD(B226+MATCH(Q226,SignSym,0)-1,12)+1)</f>
        <v>Vi</v>
      </c>
      <c r="S226" s="206" t="str">
        <f aca="false">INDEX(SignSym,MOD(B226+MATCH(R226,SignSym,0)-1,12)+1)</f>
        <v>Li</v>
      </c>
    </row>
    <row r="227" s="206" customFormat="true" ht="12.75" hidden="true" customHeight="true" outlineLevel="0" collapsed="false">
      <c r="C227" s="998"/>
      <c r="D227" s="998"/>
      <c r="F227" s="1005"/>
      <c r="G227" s="1005"/>
      <c r="H227" s="1005" t="n">
        <f aca="false">F226</f>
        <v>61197.851921296</v>
      </c>
      <c r="I227" s="1005" t="n">
        <f aca="false">H227+(E226*NDDaysInYEar/12)</f>
        <v>61563.1067939812</v>
      </c>
      <c r="J227" s="1005" t="n">
        <f aca="false">I227+(E226*NDDaysInYEar/12)</f>
        <v>61928.3616666663</v>
      </c>
      <c r="K227" s="1005" t="n">
        <f aca="false">J227+(E226*NDDaysInYEar/12)</f>
        <v>62293.6165393515</v>
      </c>
      <c r="L227" s="1005" t="n">
        <f aca="false">K227+(E226*NDDaysInYEar/12)</f>
        <v>62658.8714120367</v>
      </c>
      <c r="M227" s="1005" t="n">
        <f aca="false">L227+(E226*NDDaysInYEar/12)</f>
        <v>63024.1262847219</v>
      </c>
      <c r="N227" s="1005" t="n">
        <f aca="false">M227+(E226*NDDaysInYEar/12)</f>
        <v>63389.3811574071</v>
      </c>
      <c r="O227" s="1005" t="n">
        <f aca="false">N227+(E226*NDDaysInYEar/12)</f>
        <v>63754.6360300922</v>
      </c>
      <c r="P227" s="1005" t="n">
        <f aca="false">O227+(E226*NDDaysInYEar/12)</f>
        <v>64119.8909027774</v>
      </c>
      <c r="Q227" s="1005" t="n">
        <f aca="false">P227+(E226*NDDaysInYEar/12)</f>
        <v>64485.1457754626</v>
      </c>
      <c r="R227" s="1005" t="n">
        <f aca="false">Q227+(E226*NDDaysInYEar/12)</f>
        <v>64850.4006481478</v>
      </c>
      <c r="S227" s="1005" t="n">
        <f aca="false">R227+(E226*NDDaysInYEar/12)</f>
        <v>65215.655520833</v>
      </c>
    </row>
    <row r="228" s="206" customFormat="true" ht="15" hidden="false" customHeight="false" outlineLevel="0" collapsed="false">
      <c r="A228" s="206" t="s">
        <v>708</v>
      </c>
      <c r="B228" s="206" t="n">
        <f aca="false">VLOOKUP(A228,NDasaC,3,0)</f>
        <v>1</v>
      </c>
      <c r="C228" s="998" t="e">
        <f aca="false">IF(MATCH(VLOOKUP(IF((A228="Aq"),VLOOKUP("AqLord",DivCharts,D206,0),IF((A228="Sc"),VLOOKUP("ScLord",DivCharts,D206,0),VLOOKUP(A228,RsInfo,9,0))),DivCharts,D206,0),RsTbl,0)=MATCH(VLOOKUP(IF((A228="Aq"),VLOOKUP("AqLord",DivCharts,D206,0),IF((A228="Sc"),VLOOKUP("ScLord",DivCharts,D206,0),VLOOKUP(A228,RsInfo,9,0))),PlanetData,8,0),RsTbl,0),1,IF(MATCH(VLOOKUP(IF((A228="Aq"),VLOOKUP("AqLord",DivCharts,D206,0),IF((A228="Sc"),VLOOKUP("ScLord",DivCharts,D206,0),VLOOKUP(A228,RsInfo,9,0))),DivCharts,D206,0),RsTbl,0)=MOD(MATCH(VLOOKUP(IF((A228="Aq"),VLOOKUP("AqLord",DivCharts,D206,0),IF((A228="Sc"),VLOOKUP("ScLord",DivCharts,D206,0),VLOOKUP(A228,RsInfo,9,0))),PlanetData,8,0),RsTbl,0)+6,12),-1,0))</f>
        <v>#N/A</v>
      </c>
      <c r="D228" s="998" t="n">
        <f aca="false">MOD((MATCH(VLOOKUP(IF((A228="Aq"),VLOOKUP("AqLord",DivCharts,D206,0),IF((A228="Sc"),VLOOKUP("ScLord",DivCharts,D206,0),VLOOKUP(A228,RsInfo,9,0))),DivCharts,D206,0),RsTbl,0)*B228)-(B228*MATCH(A228,RsTbl,0))+12,12)</f>
        <v>7</v>
      </c>
      <c r="E228" s="206" t="n">
        <f aca="false">IF(ISNA(MATCH((D228+C228),,0)),(D228+C228),12)</f>
        <v>12</v>
      </c>
      <c r="F228" s="1005" t="n">
        <f aca="false">G226</f>
        <v>65580.9103935182</v>
      </c>
      <c r="G228" s="1005" t="n">
        <f aca="false">F228+E228*NDDaysInYEar</f>
        <v>69963.9688657403</v>
      </c>
      <c r="H228" s="992" t="str">
        <f aca="false">A228</f>
        <v>Sg</v>
      </c>
      <c r="I228" s="206" t="str">
        <f aca="false">INDEX(SignSym,MOD(B228+MATCH(H228,SignSym,0)-1,12)+1)</f>
        <v>Cp</v>
      </c>
      <c r="J228" s="206" t="str">
        <f aca="false">INDEX(SignSym,MOD(B228+MATCH(I228,SignSym,0)-1,12)+1)</f>
        <v>Aq</v>
      </c>
      <c r="K228" s="206" t="str">
        <f aca="false">INDEX(SignSym,MOD(B228+MATCH(J228,SignSym,0)-1,12)+1)</f>
        <v>Pi</v>
      </c>
      <c r="L228" s="206" t="str">
        <f aca="false">INDEX(SignSym,MOD(B228+MATCH(K228,SignSym,0)-1,12)+1)</f>
        <v>Ar</v>
      </c>
      <c r="M228" s="206" t="str">
        <f aca="false">INDEX(SignSym,MOD(B228+MATCH(L228,SignSym,0)-1,12)+1)</f>
        <v>Ta</v>
      </c>
      <c r="N228" s="206" t="str">
        <f aca="false">INDEX(SignSym,MOD(B228+MATCH(M228,SignSym,0)-1,12)+1)</f>
        <v>Ge</v>
      </c>
      <c r="O228" s="206" t="str">
        <f aca="false">INDEX(SignSym,MOD(B228+MATCH(N228,SignSym,0)-1,12)+1)</f>
        <v>Cn</v>
      </c>
      <c r="P228" s="206" t="str">
        <f aca="false">INDEX(SignSym,MOD(B228+MATCH(O228,SignSym,0)-1,12)+1)</f>
        <v>Le</v>
      </c>
      <c r="Q228" s="206" t="str">
        <f aca="false">INDEX(SignSym,MOD(B228+MATCH(P228,SignSym,0)-1,12)+1)</f>
        <v>Vi</v>
      </c>
      <c r="R228" s="206" t="str">
        <f aca="false">INDEX(SignSym,MOD(B228+MATCH(Q228,SignSym,0)-1,12)+1)</f>
        <v>Li</v>
      </c>
      <c r="S228" s="206" t="str">
        <f aca="false">INDEX(SignSym,MOD(B228+MATCH(R228,SignSym,0)-1,12)+1)</f>
        <v>Sc</v>
      </c>
    </row>
    <row r="229" s="206" customFormat="true" ht="12.75" hidden="true" customHeight="true" outlineLevel="0" collapsed="false">
      <c r="C229" s="998"/>
      <c r="D229" s="998"/>
      <c r="F229" s="1005"/>
      <c r="G229" s="1005"/>
      <c r="H229" s="1005" t="n">
        <f aca="false">F228</f>
        <v>65580.9103935182</v>
      </c>
      <c r="I229" s="1005" t="n">
        <f aca="false">H229+(E228*NDDaysInYEar/12)</f>
        <v>65946.1652662033</v>
      </c>
      <c r="J229" s="1005" t="n">
        <f aca="false">I229+(E228*NDDaysInYEar/12)</f>
        <v>66311.4201388885</v>
      </c>
      <c r="K229" s="1005" t="n">
        <f aca="false">J229+(E228*NDDaysInYEar/12)</f>
        <v>66676.6750115737</v>
      </c>
      <c r="L229" s="1005" t="n">
        <f aca="false">K229+(E228*NDDaysInYEar/12)</f>
        <v>67041.9298842589</v>
      </c>
      <c r="M229" s="1005" t="n">
        <f aca="false">L229+(E228*NDDaysInYEar/12)</f>
        <v>67407.1847569441</v>
      </c>
      <c r="N229" s="1005" t="n">
        <f aca="false">M229+(E228*NDDaysInYEar/12)</f>
        <v>67772.4396296292</v>
      </c>
      <c r="O229" s="1005" t="n">
        <f aca="false">N229+(E228*NDDaysInYEar/12)</f>
        <v>68137.6945023144</v>
      </c>
      <c r="P229" s="1005" t="n">
        <f aca="false">O229+(E228*NDDaysInYEar/12)</f>
        <v>68502.9493749996</v>
      </c>
      <c r="Q229" s="1005" t="n">
        <f aca="false">P229+(E228*NDDaysInYEar/12)</f>
        <v>68868.2042476848</v>
      </c>
      <c r="R229" s="1005" t="n">
        <f aca="false">Q229+(E228*NDDaysInYEar/12)</f>
        <v>69233.45912037</v>
      </c>
      <c r="S229" s="1005" t="n">
        <f aca="false">R229+(E228*NDDaysInYEar/12)</f>
        <v>69598.7139930552</v>
      </c>
    </row>
    <row r="230" s="206" customFormat="true" ht="15" hidden="false" customHeight="false" outlineLevel="0" collapsed="false">
      <c r="A230" s="206" t="s">
        <v>706</v>
      </c>
      <c r="B230" s="206" t="n">
        <f aca="false">VLOOKUP(A230,NDasaC,3,0)</f>
        <v>-1</v>
      </c>
      <c r="C230" s="998" t="e">
        <f aca="false">IF(MATCH(VLOOKUP(IF((A230="Aq"),VLOOKUP("AqLord",DivCharts,D206,0),IF((A230="Sc"),VLOOKUP("ScLord",DivCharts,D206,0),VLOOKUP(A230,RsInfo,9,0))),DivCharts,D206,0),RsTbl,0)=MATCH(VLOOKUP(IF((A230="Aq"),VLOOKUP("AqLord",DivCharts,D206,0),IF((A230="Sc"),VLOOKUP("ScLord",DivCharts,D206,0),VLOOKUP(A230,RsInfo,9,0))),PlanetData,8,0),RsTbl,0),1,IF(MATCH(VLOOKUP(IF((A230="Aq"),VLOOKUP("AqLord",DivCharts,D206,0),IF((A230="Sc"),VLOOKUP("ScLord",DivCharts,D206,0),VLOOKUP(A230,RsInfo,9,0))),DivCharts,D206,0),RsTbl,0)=MOD(MATCH(VLOOKUP(IF((A230="Aq"),VLOOKUP("AqLord",DivCharts,D206,0),IF((A230="Sc"),VLOOKUP("ScLord",DivCharts,D206,0),VLOOKUP(A230,RsInfo,9,0))),PlanetData,8,0),RsTbl,0)+6,12),-1,0))</f>
        <v>#N/A</v>
      </c>
      <c r="D230" s="998" t="n">
        <f aca="false">MOD((MATCH(VLOOKUP(IF((A230="Aq"),VLOOKUP("AqLord",DivCharts,D206,0),IF((A230="Sc"),VLOOKUP("ScLord",DivCharts,D206,0),VLOOKUP(A230,RsInfo,9,0))),DivCharts,D206,0),RsTbl,0)*B230)-(B230*MATCH(A230,RsTbl,0))+12,12)</f>
        <v>10</v>
      </c>
      <c r="E230" s="206" t="n">
        <f aca="false">IF(ISNA(MATCH((D230+C230),,0)),(D230+C230),12)</f>
        <v>12</v>
      </c>
      <c r="F230" s="1005" t="n">
        <f aca="false">G228</f>
        <v>69963.9688657403</v>
      </c>
      <c r="G230" s="1005" t="n">
        <f aca="false">F230+E230*NDDaysInYEar</f>
        <v>74347.0273379625</v>
      </c>
      <c r="H230" s="992" t="str">
        <f aca="false">A230</f>
        <v>Cp</v>
      </c>
      <c r="I230" s="206" t="str">
        <f aca="false">INDEX(SignSym,MOD(B230+MATCH(H230,SignSym,0)-1,12)+1)</f>
        <v>Sg</v>
      </c>
      <c r="J230" s="206" t="str">
        <f aca="false">INDEX(SignSym,MOD(B230+MATCH(I230,SignSym,0)-1,12)+1)</f>
        <v>Sc</v>
      </c>
      <c r="K230" s="206" t="str">
        <f aca="false">INDEX(SignSym,MOD(B230+MATCH(J230,SignSym,0)-1,12)+1)</f>
        <v>Li</v>
      </c>
      <c r="L230" s="206" t="str">
        <f aca="false">INDEX(SignSym,MOD(B230+MATCH(K230,SignSym,0)-1,12)+1)</f>
        <v>Vi</v>
      </c>
      <c r="M230" s="206" t="str">
        <f aca="false">INDEX(SignSym,MOD(B230+MATCH(L230,SignSym,0)-1,12)+1)</f>
        <v>Le</v>
      </c>
      <c r="N230" s="206" t="str">
        <f aca="false">INDEX(SignSym,MOD(B230+MATCH(M230,SignSym,0)-1,12)+1)</f>
        <v>Cn</v>
      </c>
      <c r="O230" s="206" t="str">
        <f aca="false">INDEX(SignSym,MOD(B230+MATCH(N230,SignSym,0)-1,12)+1)</f>
        <v>Ge</v>
      </c>
      <c r="P230" s="206" t="str">
        <f aca="false">INDEX(SignSym,MOD(B230+MATCH(O230,SignSym,0)-1,12)+1)</f>
        <v>Ta</v>
      </c>
      <c r="Q230" s="206" t="str">
        <f aca="false">INDEX(SignSym,MOD(B230+MATCH(P230,SignSym,0)-1,12)+1)</f>
        <v>Ar</v>
      </c>
      <c r="R230" s="206" t="str">
        <f aca="false">INDEX(SignSym,MOD(B230+MATCH(Q230,SignSym,0)-1,12)+1)</f>
        <v>Pi</v>
      </c>
      <c r="S230" s="206" t="str">
        <f aca="false">INDEX(SignSym,MOD(B230+MATCH(R230,SignSym,0)-1,12)+1)</f>
        <v>Aq</v>
      </c>
    </row>
    <row r="231" s="206" customFormat="true" ht="12.75" hidden="true" customHeight="true" outlineLevel="0" collapsed="false">
      <c r="C231" s="998"/>
      <c r="D231" s="998"/>
      <c r="F231" s="1005"/>
      <c r="G231" s="1005"/>
      <c r="H231" s="1005" t="n">
        <f aca="false">F230</f>
        <v>69963.9688657403</v>
      </c>
      <c r="I231" s="1005" t="n">
        <f aca="false">H231+(E230*NDDaysInYEar/12)</f>
        <v>70329.2237384255</v>
      </c>
      <c r="J231" s="1005" t="n">
        <f aca="false">I231+(E230*NDDaysInYEar/12)</f>
        <v>70694.4786111107</v>
      </c>
      <c r="K231" s="1005" t="n">
        <f aca="false">J231+(E230*NDDaysInYEar/12)</f>
        <v>71059.7334837959</v>
      </c>
      <c r="L231" s="1005" t="n">
        <f aca="false">K231+(E230*NDDaysInYEar/12)</f>
        <v>71424.9883564811</v>
      </c>
      <c r="M231" s="1005" t="n">
        <f aca="false">L231+(E230*NDDaysInYEar/12)</f>
        <v>71790.2432291662</v>
      </c>
      <c r="N231" s="1005" t="n">
        <f aca="false">M231+(E230*NDDaysInYEar/12)</f>
        <v>72155.4981018514</v>
      </c>
      <c r="O231" s="1005" t="n">
        <f aca="false">N231+(E230*NDDaysInYEar/12)</f>
        <v>72520.7529745366</v>
      </c>
      <c r="P231" s="1005" t="n">
        <f aca="false">O231+(E230*NDDaysInYEar/12)</f>
        <v>72886.0078472218</v>
      </c>
      <c r="Q231" s="1005" t="n">
        <f aca="false">P231+(E230*NDDaysInYEar/12)</f>
        <v>73251.262719907</v>
      </c>
      <c r="R231" s="1005" t="n">
        <f aca="false">Q231+(E230*NDDaysInYEar/12)</f>
        <v>73616.5175925922</v>
      </c>
      <c r="S231" s="1005" t="n">
        <f aca="false">R231+(E230*NDDaysInYEar/12)</f>
        <v>73981.7724652773</v>
      </c>
    </row>
    <row r="232" s="206" customFormat="true" ht="15" hidden="false" customHeight="false" outlineLevel="0" collapsed="false">
      <c r="A232" s="206" t="str">
        <f aca="false">VLOOKUP(C207,NDasaSeq,18,0)</f>
        <v>Aq</v>
      </c>
      <c r="B232" s="206" t="n">
        <f aca="false">VLOOKUP(A232,NDasaC,3,0)</f>
        <v>-1</v>
      </c>
      <c r="C232" s="998" t="e">
        <f aca="false">IF(MATCH(VLOOKUP(IF((A232="Aq"),VLOOKUP("AqLord",DivCharts,D206,0),IF((A232="Sc"),VLOOKUP("ScLord",DivCharts,D206,0),VLOOKUP(A232,RsInfo,9,0))),DivCharts,D206,0),RsTbl,0)=MATCH(VLOOKUP(IF((A232="Aq"),VLOOKUP("AqLord",DivCharts,D206,0),IF((A232="Sc"),VLOOKUP("ScLord",DivCharts,D206,0),VLOOKUP(A232,RsInfo,9,0))),PlanetData,8,0),RsTbl,0),1,IF(MATCH(VLOOKUP(IF((A232="Aq"),VLOOKUP("AqLord",DivCharts,D206,0),IF((A232="Sc"),VLOOKUP("ScLord",DivCharts,D206,0),VLOOKUP(A232,RsInfo,9,0))),DivCharts,D206,0),RsTbl,0)=MOD(MATCH(VLOOKUP(IF((A232="Aq"),VLOOKUP("AqLord",DivCharts,D206,0),IF((A232="Sc"),VLOOKUP("ScLord",DivCharts,D206,0),VLOOKUP(A232,RsInfo,9,0))),PlanetData,8,0),RsTbl,0)+6,12),-1,0))</f>
        <v>#N/A</v>
      </c>
      <c r="D232" s="998" t="n">
        <f aca="false">MOD((MATCH(VLOOKUP(IF((A232="Aq"),VLOOKUP("AqLord",DivCharts,D206,0),IF((A232="Sc"),VLOOKUP("ScLord",DivCharts,D206,0),VLOOKUP(A232,RsInfo,9,0))),DivCharts,D206,0),RsTbl,0)*B232)-(B232*MATCH(A232,RsTbl,0))+12,12)</f>
        <v>7</v>
      </c>
      <c r="E232" s="206" t="n">
        <f aca="false">IF(ISNA(MATCH((D232+C232),,0)),(D232+C232),12)</f>
        <v>12</v>
      </c>
      <c r="F232" s="1005" t="n">
        <f aca="false">G230</f>
        <v>74347.0273379625</v>
      </c>
      <c r="G232" s="1005" t="n">
        <f aca="false">F232+E232*NDDaysInYEar</f>
        <v>78730.0858101847</v>
      </c>
      <c r="H232" s="992" t="str">
        <f aca="false">A232</f>
        <v>Aq</v>
      </c>
      <c r="I232" s="206" t="str">
        <f aca="false">INDEX(SignSym,MOD(B232+MATCH(H232,SignSym,0)-1,12)+1)</f>
        <v>Cp</v>
      </c>
      <c r="J232" s="206" t="str">
        <f aca="false">INDEX(SignSym,MOD(B232+MATCH(I232,SignSym,0)-1,12)+1)</f>
        <v>Sg</v>
      </c>
      <c r="K232" s="206" t="str">
        <f aca="false">INDEX(SignSym,MOD(B232+MATCH(J232,SignSym,0)-1,12)+1)</f>
        <v>Sc</v>
      </c>
      <c r="L232" s="206" t="str">
        <f aca="false">INDEX(SignSym,MOD(B232+MATCH(K232,SignSym,0)-1,12)+1)</f>
        <v>Li</v>
      </c>
      <c r="M232" s="206" t="str">
        <f aca="false">INDEX(SignSym,MOD(B232+MATCH(L232,SignSym,0)-1,12)+1)</f>
        <v>Vi</v>
      </c>
      <c r="N232" s="206" t="str">
        <f aca="false">INDEX(SignSym,MOD(B232+MATCH(M232,SignSym,0)-1,12)+1)</f>
        <v>Le</v>
      </c>
      <c r="O232" s="206" t="str">
        <f aca="false">INDEX(SignSym,MOD(B232+MATCH(N232,SignSym,0)-1,12)+1)</f>
        <v>Cn</v>
      </c>
      <c r="P232" s="206" t="str">
        <f aca="false">INDEX(SignSym,MOD(B232+MATCH(O232,SignSym,0)-1,12)+1)</f>
        <v>Ge</v>
      </c>
      <c r="Q232" s="206" t="str">
        <f aca="false">INDEX(SignSym,MOD(B232+MATCH(P232,SignSym,0)-1,12)+1)</f>
        <v>Ta</v>
      </c>
      <c r="R232" s="206" t="str">
        <f aca="false">INDEX(SignSym,MOD(B232+MATCH(Q232,SignSym,0)-1,12)+1)</f>
        <v>Ar</v>
      </c>
      <c r="S232" s="206" t="str">
        <f aca="false">INDEX(SignSym,MOD(B232+MATCH(R232,SignSym,0)-1,12)+1)</f>
        <v>Pi</v>
      </c>
    </row>
    <row r="233" s="206" customFormat="true" ht="15" hidden="true" customHeight="false" outlineLevel="0" collapsed="false">
      <c r="D233" s="998"/>
      <c r="H233" s="1005" t="n">
        <f aca="false">F232</f>
        <v>74347.0273379625</v>
      </c>
      <c r="I233" s="1005" t="n">
        <f aca="false">H233+(E232*NDDaysInYEar/12)</f>
        <v>74712.2822106477</v>
      </c>
      <c r="J233" s="1005" t="n">
        <f aca="false">I233+(E232*NDDaysInYEar/12)</f>
        <v>75077.5370833329</v>
      </c>
      <c r="K233" s="1005" t="n">
        <f aca="false">J233+(E232*NDDaysInYEar/12)</f>
        <v>75442.7919560181</v>
      </c>
      <c r="L233" s="1005" t="n">
        <f aca="false">K233+(E232*NDDaysInYEar/12)</f>
        <v>75808.0468287032</v>
      </c>
      <c r="M233" s="1005" t="n">
        <f aca="false">L233+(E232*NDDaysInYEar/12)</f>
        <v>76173.3017013884</v>
      </c>
      <c r="N233" s="1005" t="n">
        <f aca="false">M233+(E232*NDDaysInYEar/12)</f>
        <v>76538.5565740736</v>
      </c>
      <c r="O233" s="1005" t="n">
        <f aca="false">N233+(E232*NDDaysInYEar/12)</f>
        <v>76903.8114467588</v>
      </c>
      <c r="P233" s="1005" t="n">
        <f aca="false">O233+(E232*NDDaysInYEar/12)</f>
        <v>77269.066319444</v>
      </c>
      <c r="Q233" s="1005" t="n">
        <f aca="false">P233+(E232*NDDaysInYEar/12)</f>
        <v>77634.3211921292</v>
      </c>
      <c r="R233" s="1005" t="n">
        <f aca="false">Q233+(E232*NDDaysInYEar/12)</f>
        <v>77999.5760648143</v>
      </c>
      <c r="S233" s="1005" t="n">
        <f aca="false">R233+(E232*NDDaysInYEar/12)</f>
        <v>78364.8309374995</v>
      </c>
    </row>
    <row r="234" s="206" customFormat="true" ht="15" hidden="false" customHeight="false" outlineLevel="0" collapsed="false">
      <c r="A234" s="1004"/>
      <c r="B234" s="1004"/>
      <c r="C234" s="1004"/>
      <c r="D234" s="1004"/>
      <c r="E234" s="1004"/>
      <c r="F234" s="1004"/>
      <c r="G234" s="1004"/>
      <c r="H234" s="1004"/>
      <c r="I234" s="1004"/>
      <c r="J234" s="1004"/>
      <c r="K234" s="1004"/>
      <c r="L234" s="1004"/>
      <c r="M234" s="1004"/>
      <c r="N234" s="1004"/>
      <c r="O234" s="1004"/>
      <c r="P234" s="1004"/>
      <c r="Q234" s="1004"/>
      <c r="R234" s="1004"/>
      <c r="S234" s="1004"/>
    </row>
    <row r="235" s="206" customFormat="true" ht="15" hidden="true" customHeight="false" outlineLevel="0" collapsed="false">
      <c r="H235" s="1005"/>
      <c r="I235" s="1005"/>
      <c r="J235" s="1005"/>
      <c r="K235" s="1005"/>
      <c r="L235" s="1005"/>
      <c r="M235" s="1005"/>
      <c r="N235" s="1005"/>
      <c r="O235" s="1005"/>
      <c r="P235" s="1005"/>
      <c r="Q235" s="1005"/>
      <c r="R235" s="1005"/>
      <c r="S235" s="1005"/>
    </row>
    <row r="236" s="206" customFormat="true" ht="15" hidden="false" customHeight="false" outlineLevel="0" collapsed="false"/>
    <row r="240" customFormat="false" ht="15" hidden="false" customHeight="false" outlineLevel="0" collapsed="false">
      <c r="A240" s="985" t="s">
        <v>4224</v>
      </c>
      <c r="B240" s="986"/>
      <c r="C240" s="986"/>
      <c r="D240" s="986"/>
      <c r="E240" s="986"/>
      <c r="F240" s="986"/>
      <c r="G240" s="986"/>
      <c r="H240" s="986"/>
      <c r="I240" s="986"/>
      <c r="J240" s="986"/>
      <c r="K240" s="986"/>
      <c r="L240" s="987"/>
      <c r="M240" s="986"/>
      <c r="N240" s="986"/>
      <c r="O240" s="986"/>
      <c r="P240" s="986"/>
      <c r="Q240" s="986"/>
      <c r="R240" s="986"/>
      <c r="S240" s="986"/>
    </row>
    <row r="241" s="206" customFormat="true" ht="15" hidden="false" customHeight="false" outlineLevel="0" collapsed="false">
      <c r="A241" s="988" t="s">
        <v>4213</v>
      </c>
      <c r="B241" s="988"/>
      <c r="C241" s="989" t="n">
        <v>16</v>
      </c>
      <c r="D241" s="990" t="n">
        <f aca="false">MATCH(C241,$18:$18,1)</f>
        <v>9</v>
      </c>
      <c r="I241" s="991"/>
      <c r="N241" s="991"/>
    </row>
    <row r="242" s="206" customFormat="true" ht="15" hidden="false" customHeight="false" outlineLevel="0" collapsed="false">
      <c r="A242" s="988" t="s">
        <v>4216</v>
      </c>
      <c r="B242" s="988"/>
      <c r="C242" s="992" t="s">
        <v>1006</v>
      </c>
      <c r="D242" s="993"/>
      <c r="H242" s="991"/>
      <c r="I242" s="991"/>
      <c r="J242" s="991"/>
      <c r="P242" s="991"/>
    </row>
    <row r="243" s="206" customFormat="true" ht="15" hidden="false" customHeight="false" outlineLevel="0" collapsed="false">
      <c r="C243" s="991"/>
      <c r="E243" s="991"/>
      <c r="H243" s="991"/>
      <c r="I243" s="991"/>
      <c r="J243" s="991"/>
    </row>
    <row r="244" s="206" customFormat="true" ht="15" hidden="false" customHeight="false" outlineLevel="0" collapsed="false">
      <c r="A244" s="1007" t="s">
        <v>4084</v>
      </c>
      <c r="B244" s="1007" t="s">
        <v>807</v>
      </c>
      <c r="C244" s="1007" t="s">
        <v>4218</v>
      </c>
      <c r="D244" s="1007" t="s">
        <v>4219</v>
      </c>
      <c r="E244" s="1007" t="s">
        <v>400</v>
      </c>
      <c r="F244" s="1007" t="s">
        <v>730</v>
      </c>
      <c r="G244" s="1007" t="s">
        <v>805</v>
      </c>
      <c r="H244" s="1007" t="s">
        <v>4221</v>
      </c>
      <c r="I244" s="991"/>
      <c r="J244" s="991"/>
    </row>
    <row r="245" s="206" customFormat="true" ht="15" hidden="false" customHeight="false" outlineLevel="0" collapsed="false">
      <c r="A245" s="206" t="str">
        <f aca="false">VLOOKUP(C242,NDasaSeq,7,0)</f>
        <v>Pi</v>
      </c>
      <c r="B245" s="206" t="n">
        <f aca="false">VLOOKUP(A245,NDasaC,3,0)</f>
        <v>-1</v>
      </c>
      <c r="C245" s="998" t="e">
        <f aca="false">IF(MATCH(VLOOKUP(IF((A245="Aq"),VLOOKUP("AqLord",DivCharts,D241,0),IF((A245="Sc"),VLOOKUP("ScLord",DivCharts,D241,0),VLOOKUP(A245,RsInfo,9,0))),DivCharts,D241,0),RsTbl,0)=MATCH(VLOOKUP(IF((A245="Aq"),VLOOKUP("AqLord",DivCharts,D241,0),IF((A245="Sc"),VLOOKUP("ScLord",DivCharts,D241,0),VLOOKUP(A245,RsInfo,9,0))),PlanetData,8,0),RsTbl,0),1,IF(MATCH(VLOOKUP(IF((A245="Aq"),VLOOKUP("AqLord",DivCharts,D241,0),IF((A245="Sc"),VLOOKUP("ScLord",DivCharts,D241,0),VLOOKUP(A245,RsInfo,9,0))),DivCharts,D241,0),RsTbl,0)=MOD(MATCH(VLOOKUP(IF((A245="Aq"),VLOOKUP("AqLord",DivCharts,D241,0),IF((A245="Sc"),VLOOKUP("ScLord",DivCharts,D241,0),VLOOKUP(A245,RsInfo,9,0))),PlanetData,8,0),RsTbl,0)+6,12),-1,0))</f>
        <v>#N/A</v>
      </c>
      <c r="D245" s="998" t="n">
        <f aca="false">MOD((MATCH(VLOOKUP(IF((A245="Aq"),VLOOKUP("AqLord",DivCharts,D241,0),IF((A245="Sc"),VLOOKUP("ScLord",DivCharts,D241,0),VLOOKUP(A245,RsInfo,9,0))),DivCharts,D241,0),RsTbl,0)*B245)-(B245*MATCH(A245,RsTbl,0))+12,12)</f>
        <v>6</v>
      </c>
      <c r="E245" s="206" t="n">
        <f aca="false">IF(ISNA(MATCH((D245+C245),,0)),(D245+C245),12)</f>
        <v>12</v>
      </c>
      <c r="F245" s="1005" t="n">
        <f aca="false">DoB</f>
        <v>26133.3841435185</v>
      </c>
      <c r="G245" s="1005" t="n">
        <f aca="false">F245+E245*NDDaysInYEar</f>
        <v>30516.4426157407</v>
      </c>
      <c r="H245" s="992" t="str">
        <f aca="false">A245</f>
        <v>Pi</v>
      </c>
      <c r="I245" s="206" t="str">
        <f aca="false">INDEX(SignSym,MOD(B245+MATCH(H245,SignSym,0)-1,12)+1)</f>
        <v>Aq</v>
      </c>
      <c r="J245" s="206" t="str">
        <f aca="false">INDEX(SignSym,MOD(B245+MATCH(I245,SignSym,0)-1,12)+1)</f>
        <v>Cp</v>
      </c>
      <c r="K245" s="206" t="str">
        <f aca="false">INDEX(SignSym,MOD(B245+MATCH(J245,SignSym,0)-1,12)+1)</f>
        <v>Sg</v>
      </c>
      <c r="L245" s="206" t="str">
        <f aca="false">INDEX(SignSym,MOD(B245+MATCH(K245,SignSym,0)-1,12)+1)</f>
        <v>Sc</v>
      </c>
      <c r="M245" s="206" t="str">
        <f aca="false">INDEX(SignSym,MOD(B245+MATCH(L245,SignSym,0)-1,12)+1)</f>
        <v>Li</v>
      </c>
      <c r="N245" s="206" t="str">
        <f aca="false">INDEX(SignSym,MOD(B245+MATCH(M245,SignSym,0)-1,12)+1)</f>
        <v>Vi</v>
      </c>
      <c r="O245" s="206" t="str">
        <f aca="false">INDEX(SignSym,MOD(B245+MATCH(N245,SignSym,0)-1,12)+1)</f>
        <v>Le</v>
      </c>
      <c r="P245" s="206" t="str">
        <f aca="false">INDEX(SignSym,MOD(B245+MATCH(O245,SignSym,0)-1,12)+1)</f>
        <v>Cn</v>
      </c>
      <c r="Q245" s="206" t="str">
        <f aca="false">INDEX(SignSym,MOD(B245+MATCH(P245,SignSym,0)-1,12)+1)</f>
        <v>Ge</v>
      </c>
      <c r="R245" s="206" t="str">
        <f aca="false">INDEX(SignSym,MOD(B245+MATCH(Q245,SignSym,0)-1,12)+1)</f>
        <v>Ta</v>
      </c>
      <c r="S245" s="206" t="str">
        <f aca="false">INDEX(SignSym,MOD(B245+MATCH(R245,SignSym,0)-1,12)+1)</f>
        <v>Ar</v>
      </c>
    </row>
    <row r="246" s="206" customFormat="true" ht="12.75" hidden="true" customHeight="true" outlineLevel="0" collapsed="false">
      <c r="C246" s="998"/>
      <c r="D246" s="998"/>
      <c r="F246" s="1005"/>
      <c r="G246" s="1005"/>
      <c r="H246" s="1005" t="n">
        <f aca="false">F245</f>
        <v>26133.3841435185</v>
      </c>
      <c r="I246" s="1005" t="n">
        <f aca="false">H246+(E245*NDDaysInYEar/12)</f>
        <v>26498.6390162037</v>
      </c>
      <c r="J246" s="1005" t="n">
        <f aca="false">I246+(E245*NDDaysInYEar/12)</f>
        <v>26863.8938888889</v>
      </c>
      <c r="K246" s="1005" t="n">
        <f aca="false">J246+(E245*NDDaysInYEar/12)</f>
        <v>27229.148761574</v>
      </c>
      <c r="L246" s="1005" t="n">
        <f aca="false">K246+(E245*NDDaysInYEar/12)</f>
        <v>27594.4036342592</v>
      </c>
      <c r="M246" s="1005" t="n">
        <f aca="false">L246+(E245*NDDaysInYEar/12)</f>
        <v>27959.6585069444</v>
      </c>
      <c r="N246" s="1005" t="n">
        <f aca="false">M246+(E245*NDDaysInYEar/12)</f>
        <v>28324.9133796296</v>
      </c>
      <c r="O246" s="1005" t="n">
        <f aca="false">N246+(E245*NDDaysInYEar/12)</f>
        <v>28690.1682523148</v>
      </c>
      <c r="P246" s="1005" t="n">
        <f aca="false">O246+(E245*NDDaysInYEar/12)</f>
        <v>29055.423125</v>
      </c>
      <c r="Q246" s="1005" t="n">
        <f aca="false">P246+(E245*NDDaysInYEar/12)</f>
        <v>29420.6779976851</v>
      </c>
      <c r="R246" s="1005" t="n">
        <f aca="false">Q246+(E245*NDDaysInYEar/12)</f>
        <v>29785.9328703703</v>
      </c>
      <c r="S246" s="1005" t="n">
        <f aca="false">R246+(E245*NDDaysInYEar/12)</f>
        <v>30151.1877430555</v>
      </c>
    </row>
    <row r="247" s="206" customFormat="true" ht="15" hidden="false" customHeight="false" outlineLevel="0" collapsed="false">
      <c r="A247" s="206" t="str">
        <f aca="false">VLOOKUP(C242,NDasaSeq,8,0)</f>
        <v>Cn</v>
      </c>
      <c r="B247" s="206" t="n">
        <f aca="false">VLOOKUP(A247,NDasaC,3,0)</f>
        <v>-1</v>
      </c>
      <c r="C247" s="998" t="e">
        <f aca="false">IF(MATCH(VLOOKUP(IF((A247="Aq"),VLOOKUP("AqLord",DivCharts,D241,0),IF((A247="Sc"),VLOOKUP("ScLord",DivCharts,D241,0),VLOOKUP(A247,RsInfo,9,0))),DivCharts,D241,0),RsTbl,0)=MATCH(VLOOKUP(IF((A247="Aq"),VLOOKUP("AqLord",DivCharts,D241,0),IF((A247="Sc"),VLOOKUP("ScLord",DivCharts,D241,0),VLOOKUP(A247,RsInfo,9,0))),PlanetData,8,0),RsTbl,0),1,IF(MATCH(VLOOKUP(IF((A247="Aq"),VLOOKUP("AqLord",DivCharts,D241,0),IF((A247="Sc"),VLOOKUP("ScLord",DivCharts,D241,0),VLOOKUP(A247,RsInfo,9,0))),DivCharts,D241,0),RsTbl,0)=MOD(MATCH(VLOOKUP(IF((A247="Aq"),VLOOKUP("AqLord",DivCharts,D241,0),IF((A247="Sc"),VLOOKUP("ScLord",DivCharts,D241,0),VLOOKUP(A247,RsInfo,9,0))),PlanetData,8,0),RsTbl,0)+6,12),-1,0))</f>
        <v>#N/A</v>
      </c>
      <c r="D247" s="998" t="n">
        <f aca="false">MOD((MATCH(VLOOKUP(IF((A247="Aq"),VLOOKUP("AqLord",DivCharts,D241,0),IF((A247="Sc"),VLOOKUP("ScLord",DivCharts,D241,0),VLOOKUP(A247,RsInfo,9,0))),DivCharts,D241,0),RsTbl,0)*B247)-(B247*MATCH(A247,RsTbl,0))+12,12)</f>
        <v>11</v>
      </c>
      <c r="E247" s="206" t="n">
        <f aca="false">IF(ISNA(MATCH((D247+C247),,0)),(D247+C247),12)</f>
        <v>12</v>
      </c>
      <c r="F247" s="1005" t="n">
        <f aca="false">G245</f>
        <v>30516.4426157407</v>
      </c>
      <c r="G247" s="1005" t="n">
        <f aca="false">F247+E247*NDDaysInYEar</f>
        <v>34899.5010879629</v>
      </c>
      <c r="H247" s="992" t="str">
        <f aca="false">A247</f>
        <v>Cn</v>
      </c>
      <c r="I247" s="206" t="str">
        <f aca="false">INDEX(SignSym,MOD(B247+MATCH(H247,SignSym,0)-1,12)+1)</f>
        <v>Ge</v>
      </c>
      <c r="J247" s="206" t="str">
        <f aca="false">INDEX(SignSym,MOD(B247+MATCH(I247,SignSym,0)-1,12)+1)</f>
        <v>Ta</v>
      </c>
      <c r="K247" s="206" t="str">
        <f aca="false">INDEX(SignSym,MOD(B247+MATCH(J247,SignSym,0)-1,12)+1)</f>
        <v>Ar</v>
      </c>
      <c r="L247" s="206" t="str">
        <f aca="false">INDEX(SignSym,MOD(B247+MATCH(K247,SignSym,0)-1,12)+1)</f>
        <v>Pi</v>
      </c>
      <c r="M247" s="206" t="str">
        <f aca="false">INDEX(SignSym,MOD(B247+MATCH(L247,SignSym,0)-1,12)+1)</f>
        <v>Aq</v>
      </c>
      <c r="N247" s="206" t="str">
        <f aca="false">INDEX(SignSym,MOD(B247+MATCH(M247,SignSym,0)-1,12)+1)</f>
        <v>Cp</v>
      </c>
      <c r="O247" s="206" t="str">
        <f aca="false">INDEX(SignSym,MOD(B247+MATCH(N247,SignSym,0)-1,12)+1)</f>
        <v>Sg</v>
      </c>
      <c r="P247" s="206" t="str">
        <f aca="false">INDEX(SignSym,MOD(B247+MATCH(O247,SignSym,0)-1,12)+1)</f>
        <v>Sc</v>
      </c>
      <c r="Q247" s="206" t="str">
        <f aca="false">INDEX(SignSym,MOD(B247+MATCH(P247,SignSym,0)-1,12)+1)</f>
        <v>Li</v>
      </c>
      <c r="R247" s="206" t="str">
        <f aca="false">INDEX(SignSym,MOD(B247+MATCH(Q247,SignSym,0)-1,12)+1)</f>
        <v>Vi</v>
      </c>
      <c r="S247" s="206" t="str">
        <f aca="false">INDEX(SignSym,MOD(B247+MATCH(R247,SignSym,0)-1,12)+1)</f>
        <v>Le</v>
      </c>
    </row>
    <row r="248" s="206" customFormat="true" ht="12.75" hidden="true" customHeight="true" outlineLevel="0" collapsed="false">
      <c r="C248" s="998"/>
      <c r="D248" s="998"/>
      <c r="F248" s="1005"/>
      <c r="G248" s="1005"/>
      <c r="H248" s="1005" t="n">
        <f aca="false">F247</f>
        <v>30516.4426157407</v>
      </c>
      <c r="I248" s="1005" t="n">
        <f aca="false">H248+(E247*NDDaysInYEar/12)</f>
        <v>30881.6974884259</v>
      </c>
      <c r="J248" s="1005" t="n">
        <f aca="false">I248+(E247*NDDaysInYEar/12)</f>
        <v>31246.9523611111</v>
      </c>
      <c r="K248" s="1005" t="n">
        <f aca="false">J248+(E247*NDDaysInYEar/12)</f>
        <v>31612.2072337962</v>
      </c>
      <c r="L248" s="1005" t="n">
        <f aca="false">K248+(E247*NDDaysInYEar/12)</f>
        <v>31977.4621064814</v>
      </c>
      <c r="M248" s="1005" t="n">
        <f aca="false">L248+(E247*NDDaysInYEar/12)</f>
        <v>32342.7169791666</v>
      </c>
      <c r="N248" s="1005" t="n">
        <f aca="false">M248+(E247*NDDaysInYEar/12)</f>
        <v>32707.9718518518</v>
      </c>
      <c r="O248" s="1005" t="n">
        <f aca="false">N248+(E247*NDDaysInYEar/12)</f>
        <v>33073.226724537</v>
      </c>
      <c r="P248" s="1005" t="n">
        <f aca="false">O248+(E247*NDDaysInYEar/12)</f>
        <v>33438.4815972221</v>
      </c>
      <c r="Q248" s="1005" t="n">
        <f aca="false">P248+(E247*NDDaysInYEar/12)</f>
        <v>33803.7364699073</v>
      </c>
      <c r="R248" s="1005" t="n">
        <f aca="false">Q248+(E247*NDDaysInYEar/12)</f>
        <v>34168.9913425925</v>
      </c>
      <c r="S248" s="1005" t="n">
        <f aca="false">R248+(E247*NDDaysInYEar/12)</f>
        <v>34534.2462152777</v>
      </c>
    </row>
    <row r="249" s="206" customFormat="true" ht="15" hidden="false" customHeight="false" outlineLevel="0" collapsed="false">
      <c r="A249" s="206" t="str">
        <f aca="false">VLOOKUP(C242,NDasaSeq,9,0)</f>
        <v>Sc</v>
      </c>
      <c r="B249" s="206" t="n">
        <f aca="false">VLOOKUP(A249,NDasaC,3,0)</f>
        <v>1</v>
      </c>
      <c r="C249" s="998" t="e">
        <f aca="false">IF(MATCH(VLOOKUP(IF((A249="Aq"),VLOOKUP("AqLord",DivCharts,D241,0),IF((A249="Sc"),VLOOKUP("ScLord",DivCharts,D241,0),VLOOKUP(A249,RsInfo,9,0))),DivCharts,D241,0),RsTbl,0)=MATCH(VLOOKUP(IF((A249="Aq"),VLOOKUP("AqLord",DivCharts,D241,0),IF((A249="Sc"),VLOOKUP("ScLord",DivCharts,D241,0),VLOOKUP(A249,RsInfo,9,0))),PlanetData,8,0),RsTbl,0),1,IF(MATCH(VLOOKUP(IF((A249="Aq"),VLOOKUP("AqLord",DivCharts,D241,0),IF((A249="Sc"),VLOOKUP("ScLord",DivCharts,D241,0),VLOOKUP(A249,RsInfo,9,0))),DivCharts,D241,0),RsTbl,0)=MOD(MATCH(VLOOKUP(IF((A249="Aq"),VLOOKUP("AqLord",DivCharts,D241,0),IF((A249="Sc"),VLOOKUP("ScLord",DivCharts,D241,0),VLOOKUP(A249,RsInfo,9,0))),PlanetData,8,0),RsTbl,0)+6,12),-1,0))</f>
        <v>#N/A</v>
      </c>
      <c r="D249" s="998" t="n">
        <f aca="false">MOD((MATCH(VLOOKUP(IF((A249="Aq"),VLOOKUP("AqLord",DivCharts,D241,0),IF((A249="Sc"),VLOOKUP("ScLord",DivCharts,D241,0),VLOOKUP(A249,RsInfo,9,0))),DivCharts,D241,0),RsTbl,0)*B249)-(B249*MATCH(A249,RsTbl,0))+12,12)</f>
        <v>7</v>
      </c>
      <c r="E249" s="206" t="n">
        <f aca="false">IF(ISNA(MATCH((D249+C249),,0)),(D249+C249),12)</f>
        <v>12</v>
      </c>
      <c r="F249" s="1005" t="n">
        <f aca="false">G247</f>
        <v>34899.5010879629</v>
      </c>
      <c r="G249" s="1005" t="n">
        <f aca="false">F249+E249*NDDaysInYEar</f>
        <v>39282.5595601851</v>
      </c>
      <c r="H249" s="992" t="str">
        <f aca="false">A249</f>
        <v>Sc</v>
      </c>
      <c r="I249" s="206" t="str">
        <f aca="false">INDEX(SignSym,MOD(B249+MATCH(H249,SignSym,0)-1,12)+1)</f>
        <v>Sg</v>
      </c>
      <c r="J249" s="206" t="str">
        <f aca="false">INDEX(SignSym,MOD(B249+MATCH(I249,SignSym,0)-1,12)+1)</f>
        <v>Cp</v>
      </c>
      <c r="K249" s="206" t="str">
        <f aca="false">INDEX(SignSym,MOD(B249+MATCH(J249,SignSym,0)-1,12)+1)</f>
        <v>Aq</v>
      </c>
      <c r="L249" s="206" t="str">
        <f aca="false">INDEX(SignSym,MOD(B249+MATCH(K249,SignSym,0)-1,12)+1)</f>
        <v>Pi</v>
      </c>
      <c r="M249" s="206" t="str">
        <f aca="false">INDEX(SignSym,MOD(B249+MATCH(L249,SignSym,0)-1,12)+1)</f>
        <v>Ar</v>
      </c>
      <c r="N249" s="206" t="str">
        <f aca="false">INDEX(SignSym,MOD(B249+MATCH(M249,SignSym,0)-1,12)+1)</f>
        <v>Ta</v>
      </c>
      <c r="O249" s="206" t="str">
        <f aca="false">INDEX(SignSym,MOD(B249+MATCH(N249,SignSym,0)-1,12)+1)</f>
        <v>Ge</v>
      </c>
      <c r="P249" s="206" t="str">
        <f aca="false">INDEX(SignSym,MOD(B249+MATCH(O249,SignSym,0)-1,12)+1)</f>
        <v>Cn</v>
      </c>
      <c r="Q249" s="206" t="str">
        <f aca="false">INDEX(SignSym,MOD(B249+MATCH(P249,SignSym,0)-1,12)+1)</f>
        <v>Le</v>
      </c>
      <c r="R249" s="206" t="str">
        <f aca="false">INDEX(SignSym,MOD(B249+MATCH(Q249,SignSym,0)-1,12)+1)</f>
        <v>Vi</v>
      </c>
      <c r="S249" s="206" t="str">
        <f aca="false">INDEX(SignSym,MOD(B249+MATCH(R249,SignSym,0)-1,12)+1)</f>
        <v>Li</v>
      </c>
    </row>
    <row r="250" s="206" customFormat="true" ht="12.75" hidden="true" customHeight="true" outlineLevel="0" collapsed="false">
      <c r="C250" s="998"/>
      <c r="D250" s="998"/>
      <c r="F250" s="1005"/>
      <c r="G250" s="1005"/>
      <c r="H250" s="1005" t="n">
        <f aca="false">F249</f>
        <v>34899.5010879629</v>
      </c>
      <c r="I250" s="1005" t="n">
        <f aca="false">H250+(E249*NDDaysInYEar/12)</f>
        <v>35264.7559606481</v>
      </c>
      <c r="J250" s="1005" t="n">
        <f aca="false">I250+(E249*NDDaysInYEar/12)</f>
        <v>35630.0108333332</v>
      </c>
      <c r="K250" s="1005" t="n">
        <f aca="false">J250+(E249*NDDaysInYEar/12)</f>
        <v>35995.2657060184</v>
      </c>
      <c r="L250" s="1005" t="n">
        <f aca="false">K250+(E249*NDDaysInYEar/12)</f>
        <v>36360.5205787036</v>
      </c>
      <c r="M250" s="1005" t="n">
        <f aca="false">L250+(E249*NDDaysInYEar/12)</f>
        <v>36725.7754513888</v>
      </c>
      <c r="N250" s="1005" t="n">
        <f aca="false">M250+(E249*NDDaysInYEar/12)</f>
        <v>37091.030324074</v>
      </c>
      <c r="O250" s="1005" t="n">
        <f aca="false">N250+(E249*NDDaysInYEar/12)</f>
        <v>37456.2851967591</v>
      </c>
      <c r="P250" s="1005" t="n">
        <f aca="false">O250+(E249*NDDaysInYEar/12)</f>
        <v>37821.5400694443</v>
      </c>
      <c r="Q250" s="1005" t="n">
        <f aca="false">P250+(E249*NDDaysInYEar/12)</f>
        <v>38186.7949421295</v>
      </c>
      <c r="R250" s="1005" t="n">
        <f aca="false">Q250+(E249*NDDaysInYEar/12)</f>
        <v>38552.0498148147</v>
      </c>
      <c r="S250" s="1005" t="n">
        <f aca="false">R250+(E249*NDDaysInYEar/12)</f>
        <v>38917.3046874999</v>
      </c>
    </row>
    <row r="251" s="206" customFormat="true" ht="15" hidden="false" customHeight="false" outlineLevel="0" collapsed="false">
      <c r="A251" s="206" t="str">
        <f aca="false">VLOOKUP(C242,NDasaSeq,10,0)</f>
        <v>Sg</v>
      </c>
      <c r="B251" s="206" t="n">
        <f aca="false">VLOOKUP(A251,NDasaC,3,0)</f>
        <v>1</v>
      </c>
      <c r="C251" s="998" t="e">
        <f aca="false">IF(MATCH(VLOOKUP(IF((A251="Aq"),VLOOKUP("AqLord",DivCharts,D241,0),IF((A251="Sc"),VLOOKUP("ScLord",DivCharts,D241,0),VLOOKUP(A251,RsInfo,9,0))),DivCharts,D241,0),RsTbl,0)=MATCH(VLOOKUP(IF((A251="Aq"),VLOOKUP("AqLord",DivCharts,D241,0),IF((A251="Sc"),VLOOKUP("ScLord",DivCharts,D241,0),VLOOKUP(A251,RsInfo,9,0))),PlanetData,8,0),RsTbl,0),1,IF(MATCH(VLOOKUP(IF((A251="Aq"),VLOOKUP("AqLord",DivCharts,D241,0),IF((A251="Sc"),VLOOKUP("ScLord",DivCharts,D241,0),VLOOKUP(A251,RsInfo,9,0))),DivCharts,D241,0),RsTbl,0)=MOD(MATCH(VLOOKUP(IF((A251="Aq"),VLOOKUP("AqLord",DivCharts,D241,0),IF((A251="Sc"),VLOOKUP("ScLord",DivCharts,D241,0),VLOOKUP(A251,RsInfo,9,0))),PlanetData,8,0),RsTbl,0)+6,12),-1,0))</f>
        <v>#N/A</v>
      </c>
      <c r="D251" s="998" t="n">
        <f aca="false">MOD((MATCH(VLOOKUP(IF((A251="Aq"),VLOOKUP("AqLord",DivCharts,D241,0),IF((A251="Sc"),VLOOKUP("ScLord",DivCharts,D241,0),VLOOKUP(A251,RsInfo,9,0))),DivCharts,D241,0),RsTbl,0)*B251)-(B251*MATCH(A251,RsTbl,0))+12,12)</f>
        <v>9</v>
      </c>
      <c r="E251" s="206" t="n">
        <f aca="false">IF(ISNA(MATCH((D251+C251),,0)),(D251+C251),12)</f>
        <v>12</v>
      </c>
      <c r="F251" s="1005" t="n">
        <f aca="false">G249</f>
        <v>39282.5595601851</v>
      </c>
      <c r="G251" s="1005" t="n">
        <f aca="false">F251+E251*NDDaysInYEar</f>
        <v>43665.6180324072</v>
      </c>
      <c r="H251" s="992" t="str">
        <f aca="false">A251</f>
        <v>Sg</v>
      </c>
      <c r="I251" s="206" t="str">
        <f aca="false">INDEX(SignSym,MOD(B251+MATCH(H251,SignSym,0)-1,12)+1)</f>
        <v>Cp</v>
      </c>
      <c r="J251" s="206" t="str">
        <f aca="false">INDEX(SignSym,MOD(B251+MATCH(I251,SignSym,0)-1,12)+1)</f>
        <v>Aq</v>
      </c>
      <c r="K251" s="206" t="str">
        <f aca="false">INDEX(SignSym,MOD(B251+MATCH(J251,SignSym,0)-1,12)+1)</f>
        <v>Pi</v>
      </c>
      <c r="L251" s="206" t="str">
        <f aca="false">INDEX(SignSym,MOD(B251+MATCH(K251,SignSym,0)-1,12)+1)</f>
        <v>Ar</v>
      </c>
      <c r="M251" s="206" t="str">
        <f aca="false">INDEX(SignSym,MOD(B251+MATCH(L251,SignSym,0)-1,12)+1)</f>
        <v>Ta</v>
      </c>
      <c r="N251" s="206" t="str">
        <f aca="false">INDEX(SignSym,MOD(B251+MATCH(M251,SignSym,0)-1,12)+1)</f>
        <v>Ge</v>
      </c>
      <c r="O251" s="206" t="str">
        <f aca="false">INDEX(SignSym,MOD(B251+MATCH(N251,SignSym,0)-1,12)+1)</f>
        <v>Cn</v>
      </c>
      <c r="P251" s="206" t="str">
        <f aca="false">INDEX(SignSym,MOD(B251+MATCH(O251,SignSym,0)-1,12)+1)</f>
        <v>Le</v>
      </c>
      <c r="Q251" s="206" t="str">
        <f aca="false">INDEX(SignSym,MOD(B251+MATCH(P251,SignSym,0)-1,12)+1)</f>
        <v>Vi</v>
      </c>
      <c r="R251" s="206" t="str">
        <f aca="false">INDEX(SignSym,MOD(B251+MATCH(Q251,SignSym,0)-1,12)+1)</f>
        <v>Li</v>
      </c>
      <c r="S251" s="206" t="str">
        <f aca="false">INDEX(SignSym,MOD(B251+MATCH(R251,SignSym,0)-1,12)+1)</f>
        <v>Sc</v>
      </c>
    </row>
    <row r="252" s="1009" customFormat="true" ht="12.75" hidden="true" customHeight="true" outlineLevel="0" collapsed="false">
      <c r="C252" s="1010"/>
      <c r="D252" s="1010"/>
      <c r="H252" s="1009" t="n">
        <f aca="false">F251</f>
        <v>39282.5595601851</v>
      </c>
      <c r="I252" s="1009" t="n">
        <f aca="false">H252+(E251*NDDaysInYEar/12)</f>
        <v>39647.8144328702</v>
      </c>
      <c r="J252" s="1009" t="n">
        <f aca="false">I252+(E251*NDDaysInYEar/12)</f>
        <v>40013.0693055554</v>
      </c>
      <c r="K252" s="1009" t="n">
        <f aca="false">J252+(E251*NDDaysInYEar/12)</f>
        <v>40378.3241782406</v>
      </c>
      <c r="L252" s="1009" t="n">
        <f aca="false">K252+(E251*NDDaysInYEar/12)</f>
        <v>40743.5790509258</v>
      </c>
      <c r="M252" s="1009" t="n">
        <f aca="false">L252+(E251*NDDaysInYEar/12)</f>
        <v>41108.833923611</v>
      </c>
      <c r="N252" s="1009" t="n">
        <f aca="false">M252+(E251*NDDaysInYEar/12)</f>
        <v>41474.0887962961</v>
      </c>
      <c r="O252" s="1009" t="n">
        <f aca="false">N252+(E251*NDDaysInYEar/12)</f>
        <v>41839.3436689813</v>
      </c>
      <c r="P252" s="1009" t="n">
        <f aca="false">O252+(E251*NDDaysInYEar/12)</f>
        <v>42204.5985416665</v>
      </c>
      <c r="Q252" s="1009" t="n">
        <f aca="false">P252+(E251*NDDaysInYEar/12)</f>
        <v>42569.8534143517</v>
      </c>
      <c r="R252" s="1009" t="n">
        <f aca="false">Q252+(E251*NDDaysInYEar/12)</f>
        <v>42935.1082870369</v>
      </c>
      <c r="S252" s="1009" t="n">
        <f aca="false">R252+(E251*NDDaysInYEar/12)</f>
        <v>43300.3631597221</v>
      </c>
    </row>
    <row r="253" s="206" customFormat="true" ht="15" hidden="false" customHeight="false" outlineLevel="0" collapsed="false">
      <c r="A253" s="206" t="str">
        <f aca="false">VLOOKUP(C242,NDasaSeq,11,0)</f>
        <v>Ar</v>
      </c>
      <c r="B253" s="206" t="n">
        <f aca="false">VLOOKUP(A253,NDasaC,3,0)</f>
        <v>1</v>
      </c>
      <c r="C253" s="998" t="e">
        <f aca="false">IF(MATCH(VLOOKUP(IF((A253="Aq"),VLOOKUP("AqLord",DivCharts,D241,0),IF((A253="Sc"),VLOOKUP("ScLord",DivCharts,D241,0),VLOOKUP(A253,RsInfo,9,0))),DivCharts,D241,0),RsTbl,0)=MATCH(VLOOKUP(IF((A253="Aq"),VLOOKUP("AqLord",DivCharts,D241,0),IF((A253="Sc"),VLOOKUP("ScLord",DivCharts,D241,0),VLOOKUP(A253,RsInfo,9,0))),PlanetData,8,0),RsTbl,0),1,IF(MATCH(VLOOKUP(IF((A253="Aq"),VLOOKUP("AqLord",DivCharts,D241,0),IF((A253="Sc"),VLOOKUP("ScLord",DivCharts,D241,0),VLOOKUP(A253,RsInfo,9,0))),DivCharts,D241,0),RsTbl,0)=MOD(MATCH(VLOOKUP(IF((A253="Aq"),VLOOKUP("AqLord",DivCharts,D241,0),IF((A253="Sc"),VLOOKUP("ScLord",DivCharts,D241,0),VLOOKUP(A253,RsInfo,9,0))),PlanetData,8,0),RsTbl,0)+6,12),-1,0))</f>
        <v>#N/A</v>
      </c>
      <c r="D253" s="998" t="n">
        <f aca="false">MOD((MATCH(VLOOKUP(IF((A253="Aq"),VLOOKUP("AqLord",DivCharts,D241,0),IF((A253="Sc"),VLOOKUP("ScLord",DivCharts,D241,0),VLOOKUP(A253,RsInfo,9,0))),DivCharts,D241,0),RsTbl,0)*B253)-(B253*MATCH(A253,RsTbl,0))+12,12)</f>
        <v>2</v>
      </c>
      <c r="E253" s="206" t="n">
        <f aca="false">IF(ISNA(MATCH((D253+C253),,0)),(D253+C253),12)</f>
        <v>12</v>
      </c>
      <c r="F253" s="1005" t="n">
        <f aca="false">G251</f>
        <v>43665.6180324072</v>
      </c>
      <c r="G253" s="1005" t="n">
        <f aca="false">F253+E253*NDDaysInYEar</f>
        <v>48048.6765046294</v>
      </c>
      <c r="H253" s="992" t="str">
        <f aca="false">A253</f>
        <v>Ar</v>
      </c>
      <c r="I253" s="206" t="str">
        <f aca="false">INDEX(SignSym,MOD(B253+MATCH(H253,SignSym,0)-1,12)+1)</f>
        <v>Ta</v>
      </c>
      <c r="J253" s="206" t="str">
        <f aca="false">INDEX(SignSym,MOD(B253+MATCH(I253,SignSym,0)-1,12)+1)</f>
        <v>Ge</v>
      </c>
      <c r="K253" s="206" t="str">
        <f aca="false">INDEX(SignSym,MOD(B253+MATCH(J253,SignSym,0)-1,12)+1)</f>
        <v>Cn</v>
      </c>
      <c r="L253" s="206" t="str">
        <f aca="false">INDEX(SignSym,MOD(B253+MATCH(K253,SignSym,0)-1,12)+1)</f>
        <v>Le</v>
      </c>
      <c r="M253" s="206" t="str">
        <f aca="false">INDEX(SignSym,MOD(B253+MATCH(L253,SignSym,0)-1,12)+1)</f>
        <v>Vi</v>
      </c>
      <c r="N253" s="206" t="str">
        <f aca="false">INDEX(SignSym,MOD(B253+MATCH(M253,SignSym,0)-1,12)+1)</f>
        <v>Li</v>
      </c>
      <c r="O253" s="206" t="str">
        <f aca="false">INDEX(SignSym,MOD(B253+MATCH(N253,SignSym,0)-1,12)+1)</f>
        <v>Sc</v>
      </c>
      <c r="P253" s="206" t="str">
        <f aca="false">INDEX(SignSym,MOD(B253+MATCH(O253,SignSym,0)-1,12)+1)</f>
        <v>Sg</v>
      </c>
      <c r="Q253" s="206" t="str">
        <f aca="false">INDEX(SignSym,MOD(B253+MATCH(P253,SignSym,0)-1,12)+1)</f>
        <v>Cp</v>
      </c>
      <c r="R253" s="206" t="str">
        <f aca="false">INDEX(SignSym,MOD(B253+MATCH(Q253,SignSym,0)-1,12)+1)</f>
        <v>Aq</v>
      </c>
      <c r="S253" s="206" t="str">
        <f aca="false">INDEX(SignSym,MOD(B253+MATCH(R253,SignSym,0)-1,12)+1)</f>
        <v>Pi</v>
      </c>
    </row>
    <row r="254" s="206" customFormat="true" ht="15" hidden="true" customHeight="false" outlineLevel="0" collapsed="false">
      <c r="C254" s="998"/>
      <c r="D254" s="998"/>
      <c r="F254" s="1005"/>
      <c r="G254" s="1005"/>
      <c r="H254" s="1005" t="n">
        <f aca="false">F253</f>
        <v>43665.6180324072</v>
      </c>
      <c r="I254" s="1005" t="n">
        <f aca="false">H254+(E253*NDDaysInYEar/12)</f>
        <v>44030.8729050924</v>
      </c>
      <c r="J254" s="1005" t="n">
        <f aca="false">I254+(E253*NDDaysInYEar/12)</f>
        <v>44396.1277777776</v>
      </c>
      <c r="K254" s="1005" t="n">
        <f aca="false">J254+(E253*NDDaysInYEar/12)</f>
        <v>44761.3826504628</v>
      </c>
      <c r="L254" s="1005" t="n">
        <f aca="false">K254+(E253*NDDaysInYEar/12)</f>
        <v>45126.637523148</v>
      </c>
      <c r="M254" s="1005" t="n">
        <f aca="false">L254+(E253*NDDaysInYEar/12)</f>
        <v>45491.8923958331</v>
      </c>
      <c r="N254" s="1005" t="n">
        <f aca="false">M254+(E253*NDDaysInYEar/12)</f>
        <v>45857.1472685183</v>
      </c>
      <c r="O254" s="1005" t="n">
        <f aca="false">N254+(E253*NDDaysInYEar/12)</f>
        <v>46222.4021412035</v>
      </c>
      <c r="P254" s="1005" t="n">
        <f aca="false">O254+(E253*NDDaysInYEar/12)</f>
        <v>46587.6570138887</v>
      </c>
      <c r="Q254" s="1005" t="n">
        <f aca="false">P254+(E253*NDDaysInYEar/12)</f>
        <v>46952.9118865739</v>
      </c>
      <c r="R254" s="1005" t="n">
        <f aca="false">Q254+(E253*NDDaysInYEar/12)</f>
        <v>47318.1667592591</v>
      </c>
      <c r="S254" s="1005" t="n">
        <f aca="false">R254+(E253*NDDaysInYEar/12)</f>
        <v>47683.4216319442</v>
      </c>
    </row>
    <row r="255" s="206" customFormat="true" ht="15" hidden="false" customHeight="false" outlineLevel="0" collapsed="false">
      <c r="A255" s="206" t="str">
        <f aca="false">VLOOKUP(C242,NDasaSeq,12,0)</f>
        <v>Le</v>
      </c>
      <c r="B255" s="206" t="n">
        <v>1</v>
      </c>
      <c r="C255" s="998" t="e">
        <f aca="false">IF(MATCH(VLOOKUP(IF((A255="Aq"),VLOOKUP("AqLord",DivCharts,D241,0),IF((A255="Sc"),VLOOKUP("ScLord",DivCharts,D241,0),VLOOKUP(A255,RsInfo,9,0))),DivCharts,D241,0),RsTbl,0)=MATCH(VLOOKUP(IF((A255="Aq"),VLOOKUP("AqLord",DivCharts,D241,0),IF((A255="Sc"),VLOOKUP("ScLord",DivCharts,D241,0),VLOOKUP(A255,RsInfo,9,0))),PlanetData,8,0),RsTbl,0),1,IF(MATCH(VLOOKUP(IF((A255="Aq"),VLOOKUP("AqLord",DivCharts,D241,0),IF((A255="Sc"),VLOOKUP("ScLord",DivCharts,D241,0),VLOOKUP(A255,RsInfo,9,0))),DivCharts,D241,0),RsTbl,0)=MOD(MATCH(VLOOKUP(IF((A255="Aq"),VLOOKUP("AqLord",DivCharts,D241,0),IF((A255="Sc"),VLOOKUP("ScLord",DivCharts,D241,0),VLOOKUP(A255,RsInfo,9,0))),PlanetData,8,0),RsTbl,0)+6,12),-1,0))</f>
        <v>#N/A</v>
      </c>
      <c r="D255" s="998" t="n">
        <f aca="false">MOD((MATCH(VLOOKUP(IF((A255="Aq"),VLOOKUP("AqLord",DivCharts,D241,0),IF((A255="Sc"),VLOOKUP("ScLord",DivCharts,D241,0),VLOOKUP(A255,RsInfo,9,0))),DivCharts,D241,0),RsTbl,0)*B255)-(B255*MATCH(A255,RsTbl,0))+12,12)</f>
        <v>2</v>
      </c>
      <c r="E255" s="206" t="n">
        <f aca="false">IF(ISNA(MATCH((D255+C255),,0)),(D255+C255),12)</f>
        <v>12</v>
      </c>
      <c r="F255" s="1005" t="n">
        <f aca="false">G253</f>
        <v>48048.6765046294</v>
      </c>
      <c r="G255" s="1005" t="n">
        <f aca="false">F255+E255*NDDaysInYEar</f>
        <v>52431.7349768516</v>
      </c>
      <c r="H255" s="992" t="s">
        <v>706</v>
      </c>
      <c r="I255" s="206" t="str">
        <f aca="false">INDEX(SignSym,MOD(B255+MATCH(H255,SignSym,0)-1,12)+1)</f>
        <v>Aq</v>
      </c>
      <c r="J255" s="206" t="str">
        <f aca="false">INDEX(SignSym,MOD(B255+MATCH(I255,SignSym,0)-1,12)+1)</f>
        <v>Pi</v>
      </c>
      <c r="K255" s="206" t="str">
        <f aca="false">INDEX(SignSym,MOD(B255+MATCH(J255,SignSym,0)-1,12)+1)</f>
        <v>Ar</v>
      </c>
      <c r="L255" s="206" t="str">
        <f aca="false">INDEX(SignSym,MOD(B255+MATCH(K255,SignSym,0)-1,12)+1)</f>
        <v>Ta</v>
      </c>
      <c r="M255" s="206" t="str">
        <f aca="false">INDEX(SignSym,MOD(B255+MATCH(L255,SignSym,0)-1,12)+1)</f>
        <v>Ge</v>
      </c>
      <c r="N255" s="206" t="str">
        <f aca="false">INDEX(SignSym,MOD(B255+MATCH(M255,SignSym,0)-1,12)+1)</f>
        <v>Cn</v>
      </c>
      <c r="O255" s="206" t="str">
        <f aca="false">INDEX(SignSym,MOD(B255+MATCH(N255,SignSym,0)-1,12)+1)</f>
        <v>Le</v>
      </c>
      <c r="P255" s="206" t="str">
        <f aca="false">INDEX(SignSym,MOD(B255+MATCH(O255,SignSym,0)-1,12)+1)</f>
        <v>Vi</v>
      </c>
      <c r="Q255" s="206" t="str">
        <f aca="false">INDEX(SignSym,MOD(B255+MATCH(P255,SignSym,0)-1,12)+1)</f>
        <v>Li</v>
      </c>
      <c r="R255" s="206" t="str">
        <f aca="false">INDEX(SignSym,MOD(B255+MATCH(Q255,SignSym,0)-1,12)+1)</f>
        <v>Sc</v>
      </c>
      <c r="S255" s="206" t="str">
        <f aca="false">INDEX(SignSym,MOD(B255+MATCH(R255,SignSym,0)-1,12)+1)</f>
        <v>Sg</v>
      </c>
    </row>
    <row r="256" s="206" customFormat="true" ht="15" hidden="true" customHeight="false" outlineLevel="0" collapsed="false">
      <c r="C256" s="998"/>
      <c r="D256" s="998"/>
      <c r="F256" s="1005"/>
      <c r="G256" s="1005"/>
      <c r="H256" s="1005" t="n">
        <f aca="false">F255</f>
        <v>48048.6765046294</v>
      </c>
      <c r="I256" s="1005" t="n">
        <f aca="false">H256+(E255*NDDaysInYEar/12)</f>
        <v>48413.9313773146</v>
      </c>
      <c r="J256" s="1005" t="n">
        <f aca="false">I256+(E255*NDDaysInYEar/12)</f>
        <v>48779.1862499998</v>
      </c>
      <c r="K256" s="1005" t="n">
        <f aca="false">J256+(E255*NDDaysInYEar/12)</f>
        <v>49144.441122685</v>
      </c>
      <c r="L256" s="1005" t="n">
        <f aca="false">K256+(E255*NDDaysInYEar/12)</f>
        <v>49509.6959953701</v>
      </c>
      <c r="M256" s="1005" t="n">
        <f aca="false">L256+(E255*NDDaysInYEar/12)</f>
        <v>49874.9508680553</v>
      </c>
      <c r="N256" s="1005" t="n">
        <f aca="false">M256+(E255*NDDaysInYEar/12)</f>
        <v>50240.2057407405</v>
      </c>
      <c r="O256" s="1005" t="n">
        <f aca="false">N256+(E255*NDDaysInYEar/12)</f>
        <v>50605.4606134257</v>
      </c>
      <c r="P256" s="1005" t="n">
        <f aca="false">O256+(E255*NDDaysInYEar/12)</f>
        <v>50970.7154861109</v>
      </c>
      <c r="Q256" s="1005" t="n">
        <f aca="false">P256+(E255*NDDaysInYEar/12)</f>
        <v>51335.9703587961</v>
      </c>
      <c r="R256" s="1005" t="n">
        <f aca="false">Q256+(E255*NDDaysInYEar/12)</f>
        <v>51701.2252314812</v>
      </c>
      <c r="S256" s="1005" t="n">
        <f aca="false">R256+(E255*NDDaysInYEar/12)</f>
        <v>52066.4801041664</v>
      </c>
    </row>
    <row r="257" s="206" customFormat="true" ht="15" hidden="false" customHeight="false" outlineLevel="0" collapsed="false">
      <c r="A257" s="206" t="str">
        <f aca="false">VLOOKUP(C242,NDasaSeq,13,0)</f>
        <v>Vi</v>
      </c>
      <c r="B257" s="206" t="n">
        <f aca="false">VLOOKUP(A257,NDasaC,3,0)</f>
        <v>-1</v>
      </c>
      <c r="C257" s="998" t="e">
        <f aca="false">IF(MATCH(VLOOKUP(IF((A257="Aq"),VLOOKUP("AqLord",DivCharts,D241,0),IF((A257="Sc"),VLOOKUP("ScLord",DivCharts,D241,0),VLOOKUP(A257,RsInfo,9,0))),DivCharts,D241,0),RsTbl,0)=MATCH(VLOOKUP(IF((A257="Aq"),VLOOKUP("AqLord",DivCharts,D241,0),IF((A257="Sc"),VLOOKUP("ScLord",DivCharts,D241,0),VLOOKUP(A257,RsInfo,9,0))),PlanetData,8,0),RsTbl,0),1,IF(MATCH(VLOOKUP(IF((A257="Aq"),VLOOKUP("AqLord",DivCharts,D241,0),IF((A257="Sc"),VLOOKUP("ScLord",DivCharts,D241,0),VLOOKUP(A257,RsInfo,9,0))),DivCharts,D241,0),RsTbl,0)=MOD(MATCH(VLOOKUP(IF((A257="Aq"),VLOOKUP("AqLord",DivCharts,D241,0),IF((A257="Sc"),VLOOKUP("ScLord",DivCharts,D241,0),VLOOKUP(A257,RsInfo,9,0))),PlanetData,8,0),RsTbl,0)+6,12),-1,0))</f>
        <v>#N/A</v>
      </c>
      <c r="D257" s="998" t="n">
        <f aca="false">MOD((MATCH(VLOOKUP(IF((A257="Aq"),VLOOKUP("AqLord",DivCharts,D241,0),IF((A257="Sc"),VLOOKUP("ScLord",DivCharts,D241,0),VLOOKUP(A257,RsInfo,9,0))),DivCharts,D241,0),RsTbl,0)*B257)-(B257*MATCH(A257,RsTbl,0))+12,12)</f>
        <v>3</v>
      </c>
      <c r="E257" s="206" t="n">
        <f aca="false">IF(ISNA(MATCH((D257+C257),,0)),(D257+C257),12)</f>
        <v>12</v>
      </c>
      <c r="F257" s="1005" t="n">
        <f aca="false">G255</f>
        <v>52431.7349768516</v>
      </c>
      <c r="G257" s="1005" t="n">
        <f aca="false">F257+E257*NDDaysInYEar</f>
        <v>56814.7934490738</v>
      </c>
      <c r="H257" s="992" t="s">
        <v>699</v>
      </c>
      <c r="I257" s="206" t="str">
        <f aca="false">INDEX(SignSym,MOD(B257+MATCH(H257,SignSym,0)-1,12)+1)</f>
        <v>Cp</v>
      </c>
      <c r="J257" s="206" t="str">
        <f aca="false">INDEX(SignSym,MOD(B257+MATCH(I257,SignSym,0)-1,12)+1)</f>
        <v>Sg</v>
      </c>
      <c r="K257" s="206" t="str">
        <f aca="false">INDEX(SignSym,MOD(B257+MATCH(J257,SignSym,0)-1,12)+1)</f>
        <v>Sc</v>
      </c>
      <c r="L257" s="206" t="str">
        <f aca="false">INDEX(SignSym,MOD(B257+MATCH(K257,SignSym,0)-1,12)+1)</f>
        <v>Li</v>
      </c>
      <c r="M257" s="206" t="str">
        <f aca="false">INDEX(SignSym,MOD(B257+MATCH(L257,SignSym,0)-1,12)+1)</f>
        <v>Vi</v>
      </c>
      <c r="N257" s="206" t="str">
        <f aca="false">INDEX(SignSym,MOD(B257+MATCH(M257,SignSym,0)-1,12)+1)</f>
        <v>Le</v>
      </c>
      <c r="O257" s="206" t="str">
        <f aca="false">INDEX(SignSym,MOD(B257+MATCH(N257,SignSym,0)-1,12)+1)</f>
        <v>Cn</v>
      </c>
      <c r="P257" s="206" t="str">
        <f aca="false">INDEX(SignSym,MOD(B257+MATCH(O257,SignSym,0)-1,12)+1)</f>
        <v>Ge</v>
      </c>
      <c r="Q257" s="206" t="str">
        <f aca="false">INDEX(SignSym,MOD(B257+MATCH(P257,SignSym,0)-1,12)+1)</f>
        <v>Ta</v>
      </c>
      <c r="R257" s="206" t="str">
        <f aca="false">INDEX(SignSym,MOD(B257+MATCH(Q257,SignSym,0)-1,12)+1)</f>
        <v>Ar</v>
      </c>
      <c r="S257" s="206" t="str">
        <f aca="false">INDEX(SignSym,MOD(B257+MATCH(R257,SignSym,0)-1,12)+1)</f>
        <v>Pi</v>
      </c>
    </row>
    <row r="258" s="206" customFormat="true" ht="15" hidden="true" customHeight="false" outlineLevel="0" collapsed="false">
      <c r="C258" s="998"/>
      <c r="D258" s="998"/>
      <c r="F258" s="1005"/>
      <c r="G258" s="1005"/>
      <c r="H258" s="1005" t="n">
        <f aca="false">F257</f>
        <v>52431.7349768516</v>
      </c>
      <c r="I258" s="1005" t="n">
        <f aca="false">H258+(E257*NDDaysInYEar/12)</f>
        <v>52796.9898495368</v>
      </c>
      <c r="J258" s="1005" t="n">
        <f aca="false">I258+(E257*NDDaysInYEar/12)</f>
        <v>53162.244722222</v>
      </c>
      <c r="K258" s="1005" t="n">
        <f aca="false">J258+(E257*NDDaysInYEar/12)</f>
        <v>53527.4995949071</v>
      </c>
      <c r="L258" s="1005" t="n">
        <f aca="false">K258+(E257*NDDaysInYEar/12)</f>
        <v>53892.7544675923</v>
      </c>
      <c r="M258" s="1005" t="n">
        <f aca="false">L258+(E257*NDDaysInYEar/12)</f>
        <v>54258.0093402775</v>
      </c>
      <c r="N258" s="1005" t="n">
        <f aca="false">M258+(E257*NDDaysInYEar/12)</f>
        <v>54623.2642129627</v>
      </c>
      <c r="O258" s="1005" t="n">
        <f aca="false">N258+(E257*NDDaysInYEar/12)</f>
        <v>54988.5190856479</v>
      </c>
      <c r="P258" s="1005" t="n">
        <f aca="false">O258+(E257*NDDaysInYEar/12)</f>
        <v>55353.7739583331</v>
      </c>
      <c r="Q258" s="1005" t="n">
        <f aca="false">P258+(E257*NDDaysInYEar/12)</f>
        <v>55719.0288310182</v>
      </c>
      <c r="R258" s="1005" t="n">
        <f aca="false">Q258+(E257*NDDaysInYEar/12)</f>
        <v>56084.2837037034</v>
      </c>
      <c r="S258" s="1005" t="n">
        <f aca="false">R258+(E257*NDDaysInYEar/12)</f>
        <v>56449.5385763886</v>
      </c>
    </row>
    <row r="259" s="206" customFormat="true" ht="15" hidden="false" customHeight="false" outlineLevel="0" collapsed="false">
      <c r="A259" s="206" t="str">
        <f aca="false">VLOOKUP(C242,NDasaSeq,14,0)</f>
        <v>Cp</v>
      </c>
      <c r="B259" s="206" t="n">
        <f aca="false">VLOOKUP(A259,NDasaC,3,0)</f>
        <v>-1</v>
      </c>
      <c r="C259" s="998" t="e">
        <f aca="false">IF(MATCH(VLOOKUP(IF((A259="Aq"),VLOOKUP("AqLord",DivCharts,D241,0),IF((A259="Sc"),VLOOKUP("ScLord",DivCharts,D241,0),VLOOKUP(A259,RsInfo,9,0))),DivCharts,D241,0),RsTbl,0)=MATCH(VLOOKUP(IF((A259="Aq"),VLOOKUP("AqLord",DivCharts,D241,0),IF((A259="Sc"),VLOOKUP("ScLord",DivCharts,D241,0),VLOOKUP(A259,RsInfo,9,0))),PlanetData,8,0),RsTbl,0),1,IF(MATCH(VLOOKUP(IF((A259="Aq"),VLOOKUP("AqLord",DivCharts,D241,0),IF((A259="Sc"),VLOOKUP("ScLord",DivCharts,D241,0),VLOOKUP(A259,RsInfo,9,0))),DivCharts,D241,0),RsTbl,0)=MOD(MATCH(VLOOKUP(IF((A259="Aq"),VLOOKUP("AqLord",DivCharts,D241,0),IF((A259="Sc"),VLOOKUP("ScLord",DivCharts,D241,0),VLOOKUP(A259,RsInfo,9,0))),PlanetData,8,0),RsTbl,0)+6,12),-1,0))</f>
        <v>#N/A</v>
      </c>
      <c r="D259" s="998" t="n">
        <f aca="false">MOD((MATCH(VLOOKUP(IF((A259="Aq"),VLOOKUP("AqLord",DivCharts,D241,0),IF((A259="Sc"),VLOOKUP("ScLord",DivCharts,D241,0),VLOOKUP(A259,RsInfo,9,0))),DivCharts,D241,0),RsTbl,0)*B259)-(B259*MATCH(A259,RsTbl,0))+12,12)</f>
        <v>0</v>
      </c>
      <c r="E259" s="206" t="n">
        <f aca="false">IF(ISNA(MATCH((D259+C259),,0)),(D259+C259),12)</f>
        <v>12</v>
      </c>
      <c r="F259" s="1005" t="n">
        <f aca="false">G257</f>
        <v>56814.7934490738</v>
      </c>
      <c r="G259" s="1005" t="n">
        <f aca="false">F259+E259*NDDaysInYEar</f>
        <v>61197.851921296</v>
      </c>
      <c r="H259" s="992" t="s">
        <v>693</v>
      </c>
      <c r="I259" s="206" t="str">
        <f aca="false">INDEX(SignSym,MOD(B259+MATCH(H259,SignSym,0)-1,12)+1)</f>
        <v>Ar</v>
      </c>
      <c r="J259" s="206" t="str">
        <f aca="false">INDEX(SignSym,MOD(B259+MATCH(I259,SignSym,0)-1,12)+1)</f>
        <v>Pi</v>
      </c>
      <c r="K259" s="206" t="str">
        <f aca="false">INDEX(SignSym,MOD(B259+MATCH(J259,SignSym,0)-1,12)+1)</f>
        <v>Aq</v>
      </c>
      <c r="L259" s="206" t="str">
        <f aca="false">INDEX(SignSym,MOD(B259+MATCH(K259,SignSym,0)-1,12)+1)</f>
        <v>Cp</v>
      </c>
      <c r="M259" s="206" t="str">
        <f aca="false">INDEX(SignSym,MOD(B259+MATCH(L259,SignSym,0)-1,12)+1)</f>
        <v>Sg</v>
      </c>
      <c r="N259" s="206" t="str">
        <f aca="false">INDEX(SignSym,MOD(B259+MATCH(M259,SignSym,0)-1,12)+1)</f>
        <v>Sc</v>
      </c>
      <c r="O259" s="206" t="str">
        <f aca="false">INDEX(SignSym,MOD(B259+MATCH(N259,SignSym,0)-1,12)+1)</f>
        <v>Li</v>
      </c>
      <c r="P259" s="206" t="str">
        <f aca="false">INDEX(SignSym,MOD(B259+MATCH(O259,SignSym,0)-1,12)+1)</f>
        <v>Vi</v>
      </c>
      <c r="Q259" s="206" t="str">
        <f aca="false">INDEX(SignSym,MOD(B259+MATCH(P259,SignSym,0)-1,12)+1)</f>
        <v>Le</v>
      </c>
      <c r="R259" s="206" t="str">
        <f aca="false">INDEX(SignSym,MOD(B259+MATCH(Q259,SignSym,0)-1,12)+1)</f>
        <v>Cn</v>
      </c>
      <c r="S259" s="206" t="str">
        <f aca="false">INDEX(SignSym,MOD(B259+MATCH(R259,SignSym,0)-1,12)+1)</f>
        <v>Ge</v>
      </c>
    </row>
    <row r="260" s="206" customFormat="true" ht="15" hidden="true" customHeight="false" outlineLevel="0" collapsed="false">
      <c r="C260" s="998"/>
      <c r="D260" s="998"/>
      <c r="F260" s="1005"/>
      <c r="G260" s="1005"/>
      <c r="H260" s="1005" t="n">
        <f aca="false">F259</f>
        <v>56814.7934490738</v>
      </c>
      <c r="I260" s="1005" t="n">
        <f aca="false">H260+(E259*NDDaysInYEar/12)</f>
        <v>57180.048321759</v>
      </c>
      <c r="J260" s="1005" t="n">
        <f aca="false">I260+(E259*NDDaysInYEar/12)</f>
        <v>57545.3031944441</v>
      </c>
      <c r="K260" s="1005" t="n">
        <f aca="false">J260+(E259*NDDaysInYEar/12)</f>
        <v>57910.5580671293</v>
      </c>
      <c r="L260" s="1005" t="n">
        <f aca="false">K260+(E259*NDDaysInYEar/12)</f>
        <v>58275.8129398145</v>
      </c>
      <c r="M260" s="1005" t="n">
        <f aca="false">L260+(E259*NDDaysInYEar/12)</f>
        <v>58641.0678124997</v>
      </c>
      <c r="N260" s="1005" t="n">
        <f aca="false">M260+(E259*NDDaysInYEar/12)</f>
        <v>59006.3226851849</v>
      </c>
      <c r="O260" s="1005" t="n">
        <f aca="false">N260+(E259*NDDaysInYEar/12)</f>
        <v>59371.5775578701</v>
      </c>
      <c r="P260" s="1005" t="n">
        <f aca="false">O260+(E259*NDDaysInYEar/12)</f>
        <v>59736.8324305552</v>
      </c>
      <c r="Q260" s="1005" t="n">
        <f aca="false">P260+(E259*NDDaysInYEar/12)</f>
        <v>60102.0873032404</v>
      </c>
      <c r="R260" s="1005" t="n">
        <f aca="false">Q260+(E259*NDDaysInYEar/12)</f>
        <v>60467.3421759256</v>
      </c>
      <c r="S260" s="1005" t="n">
        <f aca="false">R260+(E259*NDDaysInYEar/12)</f>
        <v>60832.5970486108</v>
      </c>
    </row>
    <row r="261" s="206" customFormat="true" ht="15" hidden="false" customHeight="false" outlineLevel="0" collapsed="false">
      <c r="A261" s="206" t="str">
        <f aca="false">VLOOKUP(C242,NDasaSeq,15,0)</f>
        <v>Ta</v>
      </c>
      <c r="B261" s="206" t="n">
        <f aca="false">VLOOKUP(A261,NDasaC,3,0)</f>
        <v>1</v>
      </c>
      <c r="C261" s="998" t="e">
        <f aca="false">IF(MATCH(VLOOKUP(IF((A261="Aq"),VLOOKUP("AqLord",DivCharts,D241,0),IF((A261="Sc"),VLOOKUP("ScLord",DivCharts,D241,0),VLOOKUP(A261,RsInfo,9,0))),DivCharts,D241,0),RsTbl,0)=MATCH(VLOOKUP(IF((A261="Aq"),VLOOKUP("AqLord",DivCharts,D241,0),IF((A261="Sc"),VLOOKUP("ScLord",DivCharts,D241,0),VLOOKUP(A261,RsInfo,9,0))),PlanetData,8,0),RsTbl,0),1,IF(MATCH(VLOOKUP(IF((A261="Aq"),VLOOKUP("AqLord",DivCharts,D241,0),IF((A261="Sc"),VLOOKUP("ScLord",DivCharts,D241,0),VLOOKUP(A261,RsInfo,9,0))),DivCharts,D241,0),RsTbl,0)=MOD(MATCH(VLOOKUP(IF((A261="Aq"),VLOOKUP("AqLord",DivCharts,D241,0),IF((A261="Sc"),VLOOKUP("ScLord",DivCharts,D241,0),VLOOKUP(A261,RsInfo,9,0))),PlanetData,8,0),RsTbl,0)+6,12),-1,0))</f>
        <v>#N/A</v>
      </c>
      <c r="D261" s="998" t="n">
        <f aca="false">MOD((MATCH(VLOOKUP(IF((A261="Aq"),VLOOKUP("AqLord",DivCharts,D241,0),IF((A261="Sc"),VLOOKUP("ScLord",DivCharts,D241,0),VLOOKUP(A261,RsInfo,9,0))),DivCharts,D241,0),RsTbl,0)*B261)-(B261*MATCH(A261,RsTbl,0))+12,12)</f>
        <v>6</v>
      </c>
      <c r="E261" s="206" t="n">
        <f aca="false">IF(ISNA(MATCH((D261+C261),,0)),(D261+C261),12)</f>
        <v>12</v>
      </c>
      <c r="F261" s="1005" t="n">
        <f aca="false">G259</f>
        <v>61197.851921296</v>
      </c>
      <c r="G261" s="1005" t="n">
        <f aca="false">F261+E261*NDDaysInYEar</f>
        <v>65580.9103935182</v>
      </c>
      <c r="H261" s="992" t="str">
        <f aca="false">A261</f>
        <v>Ta</v>
      </c>
      <c r="I261" s="206" t="str">
        <f aca="false">INDEX(SignSym,MOD(B261+MATCH(H261,SignSym,0)-1,12)+1)</f>
        <v>Ge</v>
      </c>
      <c r="J261" s="206" t="str">
        <f aca="false">INDEX(SignSym,MOD(B261+MATCH(I261,SignSym,0)-1,12)+1)</f>
        <v>Cn</v>
      </c>
      <c r="K261" s="206" t="str">
        <f aca="false">INDEX(SignSym,MOD(B261+MATCH(J261,SignSym,0)-1,12)+1)</f>
        <v>Le</v>
      </c>
      <c r="L261" s="206" t="str">
        <f aca="false">INDEX(SignSym,MOD(B261+MATCH(K261,SignSym,0)-1,12)+1)</f>
        <v>Vi</v>
      </c>
      <c r="M261" s="206" t="str">
        <f aca="false">INDEX(SignSym,MOD(B261+MATCH(L261,SignSym,0)-1,12)+1)</f>
        <v>Li</v>
      </c>
      <c r="N261" s="206" t="str">
        <f aca="false">INDEX(SignSym,MOD(B261+MATCH(M261,SignSym,0)-1,12)+1)</f>
        <v>Sc</v>
      </c>
      <c r="O261" s="206" t="str">
        <f aca="false">INDEX(SignSym,MOD(B261+MATCH(N261,SignSym,0)-1,12)+1)</f>
        <v>Sg</v>
      </c>
      <c r="P261" s="206" t="str">
        <f aca="false">INDEX(SignSym,MOD(B261+MATCH(O261,SignSym,0)-1,12)+1)</f>
        <v>Cp</v>
      </c>
      <c r="Q261" s="206" t="str">
        <f aca="false">INDEX(SignSym,MOD(B261+MATCH(P261,SignSym,0)-1,12)+1)</f>
        <v>Aq</v>
      </c>
      <c r="R261" s="206" t="str">
        <f aca="false">INDEX(SignSym,MOD(B261+MATCH(Q261,SignSym,0)-1,12)+1)</f>
        <v>Pi</v>
      </c>
      <c r="S261" s="206" t="str">
        <f aca="false">INDEX(SignSym,MOD(B261+MATCH(R261,SignSym,0)-1,12)+1)</f>
        <v>Ar</v>
      </c>
    </row>
    <row r="262" s="206" customFormat="true" ht="12.75" hidden="true" customHeight="true" outlineLevel="0" collapsed="false">
      <c r="C262" s="998"/>
      <c r="D262" s="998"/>
      <c r="F262" s="1005"/>
      <c r="G262" s="1005"/>
      <c r="H262" s="1005" t="n">
        <f aca="false">F261</f>
        <v>61197.851921296</v>
      </c>
      <c r="I262" s="1005" t="n">
        <f aca="false">H262+(E261*NDDaysInYEar/12)</f>
        <v>61563.1067939812</v>
      </c>
      <c r="J262" s="1005" t="n">
        <f aca="false">I262+(E261*NDDaysInYEar/12)</f>
        <v>61928.3616666663</v>
      </c>
      <c r="K262" s="1005" t="n">
        <f aca="false">J262+(E261*NDDaysInYEar/12)</f>
        <v>62293.6165393515</v>
      </c>
      <c r="L262" s="1005" t="n">
        <f aca="false">K262+(E261*NDDaysInYEar/12)</f>
        <v>62658.8714120367</v>
      </c>
      <c r="M262" s="1005" t="n">
        <f aca="false">L262+(E261*NDDaysInYEar/12)</f>
        <v>63024.1262847219</v>
      </c>
      <c r="N262" s="1005" t="n">
        <f aca="false">M262+(E261*NDDaysInYEar/12)</f>
        <v>63389.3811574071</v>
      </c>
      <c r="O262" s="1005" t="n">
        <f aca="false">N262+(E261*NDDaysInYEar/12)</f>
        <v>63754.6360300922</v>
      </c>
      <c r="P262" s="1005" t="n">
        <f aca="false">O262+(E261*NDDaysInYEar/12)</f>
        <v>64119.8909027774</v>
      </c>
      <c r="Q262" s="1005" t="n">
        <f aca="false">P262+(E261*NDDaysInYEar/12)</f>
        <v>64485.1457754626</v>
      </c>
      <c r="R262" s="1005" t="n">
        <f aca="false">Q262+(E261*NDDaysInYEar/12)</f>
        <v>64850.4006481478</v>
      </c>
      <c r="S262" s="1005" t="n">
        <f aca="false">R262+(E261*NDDaysInYEar/12)</f>
        <v>65215.655520833</v>
      </c>
    </row>
    <row r="263" s="206" customFormat="true" ht="15" hidden="false" customHeight="false" outlineLevel="0" collapsed="false">
      <c r="A263" s="206" t="str">
        <f aca="false">VLOOKUP(C242,NDasaSeq,16,0)</f>
        <v>Ge</v>
      </c>
      <c r="B263" s="206" t="n">
        <f aca="false">VLOOKUP(A263,NDasaC,3,0)</f>
        <v>1</v>
      </c>
      <c r="C263" s="998" t="e">
        <f aca="false">IF(MATCH(VLOOKUP(IF((A263="Aq"),VLOOKUP("AqLord",DivCharts,D241,0),IF((A263="Sc"),VLOOKUP("ScLord",DivCharts,D241,0),VLOOKUP(A263,RsInfo,9,0))),DivCharts,D241,0),RsTbl,0)=MATCH(VLOOKUP(IF((A263="Aq"),VLOOKUP("AqLord",DivCharts,D241,0),IF((A263="Sc"),VLOOKUP("ScLord",DivCharts,D241,0),VLOOKUP(A263,RsInfo,9,0))),PlanetData,8,0),RsTbl,0),1,IF(MATCH(VLOOKUP(IF((A263="Aq"),VLOOKUP("AqLord",DivCharts,D241,0),IF((A263="Sc"),VLOOKUP("ScLord",DivCharts,D241,0),VLOOKUP(A263,RsInfo,9,0))),DivCharts,D241,0),RsTbl,0)=MOD(MATCH(VLOOKUP(IF((A263="Aq"),VLOOKUP("AqLord",DivCharts,D241,0),IF((A263="Sc"),VLOOKUP("ScLord",DivCharts,D241,0),VLOOKUP(A263,RsInfo,9,0))),PlanetData,8,0),RsTbl,0)+6,12),-1,0))</f>
        <v>#N/A</v>
      </c>
      <c r="D263" s="998" t="n">
        <f aca="false">MOD((MATCH(VLOOKUP(IF((A263="Aq"),VLOOKUP("AqLord",DivCharts,D241,0),IF((A263="Sc"),VLOOKUP("ScLord",DivCharts,D241,0),VLOOKUP(A263,RsInfo,9,0))),DivCharts,D241,0),RsTbl,0)*B263)-(B263*MATCH(A263,RsTbl,0))+12,12)</f>
        <v>0</v>
      </c>
      <c r="E263" s="206" t="n">
        <f aca="false">IF(ISNA(MATCH((D263+C263),,0)),(D263+C263),12)</f>
        <v>12</v>
      </c>
      <c r="F263" s="1005" t="n">
        <f aca="false">G261</f>
        <v>65580.9103935182</v>
      </c>
      <c r="G263" s="1005" t="n">
        <f aca="false">F263+E263*NDDaysInYEar</f>
        <v>69963.9688657403</v>
      </c>
      <c r="H263" s="992" t="str">
        <f aca="false">A263</f>
        <v>Ge</v>
      </c>
      <c r="I263" s="206" t="str">
        <f aca="false">INDEX(SignSym,MOD(B263+MATCH(H263,SignSym,0)-1,12)+1)</f>
        <v>Cn</v>
      </c>
      <c r="J263" s="206" t="str">
        <f aca="false">INDEX(SignSym,MOD(B263+MATCH(I263,SignSym,0)-1,12)+1)</f>
        <v>Le</v>
      </c>
      <c r="K263" s="206" t="str">
        <f aca="false">INDEX(SignSym,MOD(B263+MATCH(J263,SignSym,0)-1,12)+1)</f>
        <v>Vi</v>
      </c>
      <c r="L263" s="206" t="str">
        <f aca="false">INDEX(SignSym,MOD(B263+MATCH(K263,SignSym,0)-1,12)+1)</f>
        <v>Li</v>
      </c>
      <c r="M263" s="206" t="str">
        <f aca="false">INDEX(SignSym,MOD(B263+MATCH(L263,SignSym,0)-1,12)+1)</f>
        <v>Sc</v>
      </c>
      <c r="N263" s="206" t="str">
        <f aca="false">INDEX(SignSym,MOD(B263+MATCH(M263,SignSym,0)-1,12)+1)</f>
        <v>Sg</v>
      </c>
      <c r="O263" s="206" t="str">
        <f aca="false">INDEX(SignSym,MOD(B263+MATCH(N263,SignSym,0)-1,12)+1)</f>
        <v>Cp</v>
      </c>
      <c r="P263" s="206" t="str">
        <f aca="false">INDEX(SignSym,MOD(B263+MATCH(O263,SignSym,0)-1,12)+1)</f>
        <v>Aq</v>
      </c>
      <c r="Q263" s="206" t="str">
        <f aca="false">INDEX(SignSym,MOD(B263+MATCH(P263,SignSym,0)-1,12)+1)</f>
        <v>Pi</v>
      </c>
      <c r="R263" s="206" t="str">
        <f aca="false">INDEX(SignSym,MOD(B263+MATCH(Q263,SignSym,0)-1,12)+1)</f>
        <v>Ar</v>
      </c>
      <c r="S263" s="206" t="str">
        <f aca="false">INDEX(SignSym,MOD(B263+MATCH(R263,SignSym,0)-1,12)+1)</f>
        <v>Ta</v>
      </c>
    </row>
    <row r="264" s="206" customFormat="true" ht="12.75" hidden="true" customHeight="true" outlineLevel="0" collapsed="false">
      <c r="C264" s="998"/>
      <c r="D264" s="998"/>
      <c r="F264" s="1005"/>
      <c r="G264" s="1005"/>
      <c r="H264" s="1005" t="n">
        <f aca="false">F263</f>
        <v>65580.9103935182</v>
      </c>
      <c r="I264" s="1005" t="n">
        <f aca="false">H264+(E263*NDDaysInYEar/12)</f>
        <v>65946.1652662033</v>
      </c>
      <c r="J264" s="1005" t="n">
        <f aca="false">I264+(E263*NDDaysInYEar/12)</f>
        <v>66311.4201388885</v>
      </c>
      <c r="K264" s="1005" t="n">
        <f aca="false">J264+(E263*NDDaysInYEar/12)</f>
        <v>66676.6750115737</v>
      </c>
      <c r="L264" s="1005" t="n">
        <f aca="false">K264+(E263*NDDaysInYEar/12)</f>
        <v>67041.9298842589</v>
      </c>
      <c r="M264" s="1005" t="n">
        <f aca="false">L264+(E263*NDDaysInYEar/12)</f>
        <v>67407.1847569441</v>
      </c>
      <c r="N264" s="1005" t="n">
        <f aca="false">M264+(E263*NDDaysInYEar/12)</f>
        <v>67772.4396296292</v>
      </c>
      <c r="O264" s="1005" t="n">
        <f aca="false">N264+(E263*NDDaysInYEar/12)</f>
        <v>68137.6945023144</v>
      </c>
      <c r="P264" s="1005" t="n">
        <f aca="false">O264+(E263*NDDaysInYEar/12)</f>
        <v>68502.9493749996</v>
      </c>
      <c r="Q264" s="1005" t="n">
        <f aca="false">P264+(E263*NDDaysInYEar/12)</f>
        <v>68868.2042476848</v>
      </c>
      <c r="R264" s="1005" t="n">
        <f aca="false">Q264+(E263*NDDaysInYEar/12)</f>
        <v>69233.45912037</v>
      </c>
      <c r="S264" s="1005" t="n">
        <f aca="false">R264+(E263*NDDaysInYEar/12)</f>
        <v>69598.7139930552</v>
      </c>
    </row>
    <row r="265" s="206" customFormat="true" ht="15" hidden="false" customHeight="false" outlineLevel="0" collapsed="false">
      <c r="A265" s="206" t="str">
        <f aca="false">VLOOKUP(C242,NDasaSeq,17,0)</f>
        <v>Li</v>
      </c>
      <c r="B265" s="206" t="n">
        <f aca="false">VLOOKUP(A265,NDasaC,3,0)</f>
        <v>1</v>
      </c>
      <c r="C265" s="998" t="e">
        <f aca="false">IF(MATCH(VLOOKUP(IF((A265="Aq"),VLOOKUP("AqLord",DivCharts,D241,0),IF((A265="Sc"),VLOOKUP("ScLord",DivCharts,D241,0),VLOOKUP(A265,RsInfo,9,0))),DivCharts,D241,0),RsTbl,0)=MATCH(VLOOKUP(IF((A265="Aq"),VLOOKUP("AqLord",DivCharts,D241,0),IF((A265="Sc"),VLOOKUP("ScLord",DivCharts,D241,0),VLOOKUP(A265,RsInfo,9,0))),PlanetData,8,0),RsTbl,0),1,IF(MATCH(VLOOKUP(IF((A265="Aq"),VLOOKUP("AqLord",DivCharts,D241,0),IF((A265="Sc"),VLOOKUP("ScLord",DivCharts,D241,0),VLOOKUP(A265,RsInfo,9,0))),DivCharts,D241,0),RsTbl,0)=MOD(MATCH(VLOOKUP(IF((A265="Aq"),VLOOKUP("AqLord",DivCharts,D241,0),IF((A265="Sc"),VLOOKUP("ScLord",DivCharts,D241,0),VLOOKUP(A265,RsInfo,9,0))),PlanetData,8,0),RsTbl,0)+6,12),-1,0))</f>
        <v>#N/A</v>
      </c>
      <c r="D265" s="998" t="n">
        <f aca="false">MOD((MATCH(VLOOKUP(IF((A265="Aq"),VLOOKUP("AqLord",DivCharts,D241,0),IF((A265="Sc"),VLOOKUP("ScLord",DivCharts,D241,0),VLOOKUP(A265,RsInfo,9,0))),DivCharts,D241,0),RsTbl,0)*B265)-(B265*MATCH(A265,RsTbl,0))+12,12)</f>
        <v>1</v>
      </c>
      <c r="E265" s="206" t="n">
        <f aca="false">IF(ISNA(MATCH((D265+C265),,0)),(D265+C265),12)</f>
        <v>12</v>
      </c>
      <c r="F265" s="1005" t="n">
        <f aca="false">G263</f>
        <v>69963.9688657403</v>
      </c>
      <c r="G265" s="1005" t="n">
        <f aca="false">F265+E265*NDDaysInYEar</f>
        <v>74347.0273379625</v>
      </c>
      <c r="H265" s="992" t="str">
        <f aca="false">A265</f>
        <v>Li</v>
      </c>
      <c r="I265" s="206" t="str">
        <f aca="false">INDEX(SignSym,MOD(B265+MATCH(H265,SignSym,0)-1,12)+1)</f>
        <v>Sc</v>
      </c>
      <c r="J265" s="206" t="str">
        <f aca="false">INDEX(SignSym,MOD(B265+MATCH(I265,SignSym,0)-1,12)+1)</f>
        <v>Sg</v>
      </c>
      <c r="K265" s="206" t="str">
        <f aca="false">INDEX(SignSym,MOD(B265+MATCH(J265,SignSym,0)-1,12)+1)</f>
        <v>Cp</v>
      </c>
      <c r="L265" s="206" t="str">
        <f aca="false">INDEX(SignSym,MOD(B265+MATCH(K265,SignSym,0)-1,12)+1)</f>
        <v>Aq</v>
      </c>
      <c r="M265" s="206" t="str">
        <f aca="false">INDEX(SignSym,MOD(B265+MATCH(L265,SignSym,0)-1,12)+1)</f>
        <v>Pi</v>
      </c>
      <c r="N265" s="206" t="str">
        <f aca="false">INDEX(SignSym,MOD(B265+MATCH(M265,SignSym,0)-1,12)+1)</f>
        <v>Ar</v>
      </c>
      <c r="O265" s="206" t="str">
        <f aca="false">INDEX(SignSym,MOD(B265+MATCH(N265,SignSym,0)-1,12)+1)</f>
        <v>Ta</v>
      </c>
      <c r="P265" s="206" t="str">
        <f aca="false">INDEX(SignSym,MOD(B265+MATCH(O265,SignSym,0)-1,12)+1)</f>
        <v>Ge</v>
      </c>
      <c r="Q265" s="206" t="str">
        <f aca="false">INDEX(SignSym,MOD(B265+MATCH(P265,SignSym,0)-1,12)+1)</f>
        <v>Cn</v>
      </c>
      <c r="R265" s="206" t="str">
        <f aca="false">INDEX(SignSym,MOD(B265+MATCH(Q265,SignSym,0)-1,12)+1)</f>
        <v>Le</v>
      </c>
      <c r="S265" s="206" t="str">
        <f aca="false">INDEX(SignSym,MOD(B265+MATCH(R265,SignSym,0)-1,12)+1)</f>
        <v>Vi</v>
      </c>
    </row>
    <row r="266" s="206" customFormat="true" ht="12.75" hidden="true" customHeight="true" outlineLevel="0" collapsed="false">
      <c r="C266" s="998"/>
      <c r="D266" s="998"/>
      <c r="F266" s="1005"/>
      <c r="G266" s="1005"/>
      <c r="H266" s="1005" t="n">
        <f aca="false">F265</f>
        <v>69963.9688657403</v>
      </c>
      <c r="I266" s="1005" t="n">
        <f aca="false">H266+(E265*NDDaysInYEar/12)</f>
        <v>70329.2237384255</v>
      </c>
      <c r="J266" s="1005" t="n">
        <f aca="false">I266+(E265*NDDaysInYEar/12)</f>
        <v>70694.4786111107</v>
      </c>
      <c r="K266" s="1005" t="n">
        <f aca="false">J266+(E265*NDDaysInYEar/12)</f>
        <v>71059.7334837959</v>
      </c>
      <c r="L266" s="1005" t="n">
        <f aca="false">K266+(E265*NDDaysInYEar/12)</f>
        <v>71424.9883564811</v>
      </c>
      <c r="M266" s="1005" t="n">
        <f aca="false">L266+(E265*NDDaysInYEar/12)</f>
        <v>71790.2432291662</v>
      </c>
      <c r="N266" s="1005" t="n">
        <f aca="false">M266+(E265*NDDaysInYEar/12)</f>
        <v>72155.4981018514</v>
      </c>
      <c r="O266" s="1005" t="n">
        <f aca="false">N266+(E265*NDDaysInYEar/12)</f>
        <v>72520.7529745366</v>
      </c>
      <c r="P266" s="1005" t="n">
        <f aca="false">O266+(E265*NDDaysInYEar/12)</f>
        <v>72886.0078472218</v>
      </c>
      <c r="Q266" s="1005" t="n">
        <f aca="false">P266+(E265*NDDaysInYEar/12)</f>
        <v>73251.262719907</v>
      </c>
      <c r="R266" s="1005" t="n">
        <f aca="false">Q266+(E265*NDDaysInYEar/12)</f>
        <v>73616.5175925922</v>
      </c>
      <c r="S266" s="1005" t="n">
        <f aca="false">R266+(E265*NDDaysInYEar/12)</f>
        <v>73981.7724652773</v>
      </c>
    </row>
    <row r="267" s="206" customFormat="true" ht="15" hidden="false" customHeight="false" outlineLevel="0" collapsed="false">
      <c r="A267" s="206" t="str">
        <f aca="false">VLOOKUP(C242,NDasaSeq,18,0)</f>
        <v>Aq</v>
      </c>
      <c r="B267" s="206" t="n">
        <f aca="false">VLOOKUP(A267,NDasaC,3,0)</f>
        <v>-1</v>
      </c>
      <c r="C267" s="998" t="e">
        <f aca="false">IF(MATCH(VLOOKUP(IF((A267="Aq"),VLOOKUP("AqLord",DivCharts,D241,0),IF((A267="Sc"),VLOOKUP("ScLord",DivCharts,D241,0),VLOOKUP(A267,RsInfo,9,0))),DivCharts,D241,0),RsTbl,0)=MATCH(VLOOKUP(IF((A267="Aq"),VLOOKUP("AqLord",DivCharts,D241,0),IF((A267="Sc"),VLOOKUP("ScLord",DivCharts,D241,0),VLOOKUP(A267,RsInfo,9,0))),PlanetData,8,0),RsTbl,0),1,IF(MATCH(VLOOKUP(IF((A267="Aq"),VLOOKUP("AqLord",DivCharts,D241,0),IF((A267="Sc"),VLOOKUP("ScLord",DivCharts,D241,0),VLOOKUP(A267,RsInfo,9,0))),DivCharts,D241,0),RsTbl,0)=MOD(MATCH(VLOOKUP(IF((A267="Aq"),VLOOKUP("AqLord",DivCharts,D241,0),IF((A267="Sc"),VLOOKUP("ScLord",DivCharts,D241,0),VLOOKUP(A267,RsInfo,9,0))),PlanetData,8,0),RsTbl,0)+6,12),-1,0))</f>
        <v>#N/A</v>
      </c>
      <c r="D267" s="998" t="n">
        <f aca="false">MOD((MATCH(VLOOKUP(IF((A267="Aq"),VLOOKUP("AqLord",DivCharts,D241,0),IF((A267="Sc"),VLOOKUP("ScLord",DivCharts,D241,0),VLOOKUP(A267,RsInfo,9,0))),DivCharts,D241,0),RsTbl,0)*B267)-(B267*MATCH(A267,RsTbl,0))+12,12)</f>
        <v>1</v>
      </c>
      <c r="E267" s="206" t="n">
        <f aca="false">IF(ISNA(MATCH((D267+C267),,0)),(D267+C267),12)</f>
        <v>12</v>
      </c>
      <c r="F267" s="1005" t="n">
        <f aca="false">G265</f>
        <v>74347.0273379625</v>
      </c>
      <c r="G267" s="1005" t="n">
        <f aca="false">F267+E267*NDDaysInYEar</f>
        <v>78730.0858101847</v>
      </c>
      <c r="H267" s="992" t="str">
        <f aca="false">A267</f>
        <v>Aq</v>
      </c>
      <c r="I267" s="206" t="str">
        <f aca="false">INDEX(SignSym,MOD(B267+MATCH(H267,SignSym,0)-1,12)+1)</f>
        <v>Cp</v>
      </c>
      <c r="J267" s="206" t="str">
        <f aca="false">INDEX(SignSym,MOD(B267+MATCH(I267,SignSym,0)-1,12)+1)</f>
        <v>Sg</v>
      </c>
      <c r="K267" s="206" t="str">
        <f aca="false">INDEX(SignSym,MOD(B267+MATCH(J267,SignSym,0)-1,12)+1)</f>
        <v>Sc</v>
      </c>
      <c r="L267" s="206" t="str">
        <f aca="false">INDEX(SignSym,MOD(B267+MATCH(K267,SignSym,0)-1,12)+1)</f>
        <v>Li</v>
      </c>
      <c r="M267" s="206" t="str">
        <f aca="false">INDEX(SignSym,MOD(B267+MATCH(L267,SignSym,0)-1,12)+1)</f>
        <v>Vi</v>
      </c>
      <c r="N267" s="206" t="str">
        <f aca="false">INDEX(SignSym,MOD(B267+MATCH(M267,SignSym,0)-1,12)+1)</f>
        <v>Le</v>
      </c>
      <c r="O267" s="206" t="str">
        <f aca="false">INDEX(SignSym,MOD(B267+MATCH(N267,SignSym,0)-1,12)+1)</f>
        <v>Cn</v>
      </c>
      <c r="P267" s="206" t="str">
        <f aca="false">INDEX(SignSym,MOD(B267+MATCH(O267,SignSym,0)-1,12)+1)</f>
        <v>Ge</v>
      </c>
      <c r="Q267" s="206" t="str">
        <f aca="false">INDEX(SignSym,MOD(B267+MATCH(P267,SignSym,0)-1,12)+1)</f>
        <v>Ta</v>
      </c>
      <c r="R267" s="206" t="str">
        <f aca="false">INDEX(SignSym,MOD(B267+MATCH(Q267,SignSym,0)-1,12)+1)</f>
        <v>Ar</v>
      </c>
      <c r="S267" s="206" t="str">
        <f aca="false">INDEX(SignSym,MOD(B267+MATCH(R267,SignSym,0)-1,12)+1)</f>
        <v>Pi</v>
      </c>
    </row>
    <row r="268" s="206" customFormat="true" ht="15" hidden="true" customHeight="false" outlineLevel="0" collapsed="false">
      <c r="D268" s="998"/>
      <c r="H268" s="1005" t="n">
        <f aca="false">F267</f>
        <v>74347.0273379625</v>
      </c>
      <c r="I268" s="1005" t="n">
        <f aca="false">H268+(E267*NDDaysInYEar/12)</f>
        <v>74712.2822106477</v>
      </c>
      <c r="J268" s="1005" t="n">
        <f aca="false">I268+(E267*NDDaysInYEar/12)</f>
        <v>75077.5370833329</v>
      </c>
      <c r="K268" s="1005" t="n">
        <f aca="false">J268+(E267*NDDaysInYEar/12)</f>
        <v>75442.7919560181</v>
      </c>
      <c r="L268" s="1005" t="n">
        <f aca="false">K268+(E267*NDDaysInYEar/12)</f>
        <v>75808.0468287032</v>
      </c>
      <c r="M268" s="1005" t="n">
        <f aca="false">L268+(E267*NDDaysInYEar/12)</f>
        <v>76173.3017013884</v>
      </c>
      <c r="N268" s="1005" t="n">
        <f aca="false">M268+(E267*NDDaysInYEar/12)</f>
        <v>76538.5565740736</v>
      </c>
      <c r="O268" s="1005" t="n">
        <f aca="false">N268+(E267*NDDaysInYEar/12)</f>
        <v>76903.8114467588</v>
      </c>
      <c r="P268" s="1005" t="n">
        <f aca="false">O268+(E267*NDDaysInYEar/12)</f>
        <v>77269.066319444</v>
      </c>
      <c r="Q268" s="1005" t="n">
        <f aca="false">P268+(E267*NDDaysInYEar/12)</f>
        <v>77634.3211921292</v>
      </c>
      <c r="R268" s="1005" t="n">
        <f aca="false">Q268+(E267*NDDaysInYEar/12)</f>
        <v>77999.5760648143</v>
      </c>
      <c r="S268" s="1005" t="n">
        <f aca="false">R268+(E267*NDDaysInYEar/12)</f>
        <v>78364.8309374995</v>
      </c>
    </row>
    <row r="269" s="206" customFormat="true" ht="15" hidden="false" customHeight="false" outlineLevel="0" collapsed="false">
      <c r="A269" s="1004"/>
      <c r="B269" s="1004"/>
      <c r="C269" s="1004"/>
      <c r="D269" s="1004"/>
      <c r="E269" s="1004"/>
      <c r="F269" s="1004"/>
      <c r="G269" s="1004"/>
      <c r="H269" s="1004"/>
      <c r="I269" s="1004"/>
      <c r="J269" s="1004"/>
      <c r="K269" s="1004"/>
      <c r="L269" s="1004"/>
      <c r="M269" s="1004"/>
      <c r="N269" s="1004"/>
      <c r="O269" s="1004"/>
      <c r="P269" s="1004"/>
      <c r="Q269" s="1004"/>
      <c r="R269" s="1004"/>
      <c r="S269" s="1004"/>
    </row>
    <row r="270" s="206" customFormat="true" ht="15" hidden="true" customHeight="false" outlineLevel="0" collapsed="false">
      <c r="H270" s="1005"/>
      <c r="I270" s="1005"/>
      <c r="J270" s="1005"/>
      <c r="K270" s="1005"/>
      <c r="L270" s="1005"/>
      <c r="M270" s="1005"/>
      <c r="N270" s="1005"/>
      <c r="O270" s="1005"/>
      <c r="P270" s="1005"/>
      <c r="Q270" s="1005"/>
      <c r="R270" s="1005"/>
      <c r="S270" s="1005"/>
    </row>
    <row r="271" s="206" customFormat="true" ht="15" hidden="false" customHeight="false" outlineLevel="0" collapsed="false"/>
    <row r="272" customFormat="false" ht="15" hidden="false" customHeight="false" outlineLevel="0" collapsed="false">
      <c r="A272" s="985" t="s">
        <v>4224</v>
      </c>
      <c r="B272" s="986"/>
      <c r="C272" s="986"/>
      <c r="D272" s="986"/>
      <c r="E272" s="986"/>
      <c r="F272" s="986"/>
      <c r="G272" s="986"/>
      <c r="H272" s="986"/>
      <c r="I272" s="986"/>
      <c r="J272" s="986"/>
      <c r="K272" s="986"/>
      <c r="L272" s="987"/>
      <c r="M272" s="986"/>
      <c r="N272" s="986"/>
      <c r="O272" s="986"/>
      <c r="P272" s="986"/>
      <c r="Q272" s="986"/>
      <c r="R272" s="986"/>
      <c r="S272" s="986"/>
    </row>
    <row r="273" s="206" customFormat="true" ht="15" hidden="false" customHeight="false" outlineLevel="0" collapsed="false">
      <c r="A273" s="988" t="s">
        <v>4213</v>
      </c>
      <c r="B273" s="988"/>
      <c r="C273" s="989" t="n">
        <v>16</v>
      </c>
      <c r="D273" s="990" t="n">
        <f aca="false">MATCH(C273,$18:$18,1)</f>
        <v>9</v>
      </c>
      <c r="I273" s="991"/>
      <c r="N273" s="991"/>
    </row>
    <row r="274" s="206" customFormat="true" ht="15" hidden="false" customHeight="false" outlineLevel="0" collapsed="false">
      <c r="A274" s="988" t="s">
        <v>4216</v>
      </c>
      <c r="B274" s="988"/>
      <c r="C274" s="992" t="s">
        <v>920</v>
      </c>
      <c r="D274" s="993"/>
      <c r="H274" s="991"/>
      <c r="I274" s="991"/>
      <c r="J274" s="991"/>
      <c r="P274" s="991"/>
    </row>
    <row r="275" s="206" customFormat="true" ht="15" hidden="false" customHeight="false" outlineLevel="0" collapsed="false">
      <c r="C275" s="991"/>
      <c r="E275" s="991"/>
      <c r="H275" s="991"/>
      <c r="I275" s="991"/>
      <c r="J275" s="991"/>
    </row>
    <row r="276" s="206" customFormat="true" ht="15" hidden="false" customHeight="false" outlineLevel="0" collapsed="false">
      <c r="A276" s="1007" t="s">
        <v>4084</v>
      </c>
      <c r="B276" s="1007" t="s">
        <v>807</v>
      </c>
      <c r="C276" s="1007" t="s">
        <v>4218</v>
      </c>
      <c r="D276" s="1007" t="s">
        <v>4219</v>
      </c>
      <c r="E276" s="1007" t="s">
        <v>400</v>
      </c>
      <c r="F276" s="1007" t="s">
        <v>730</v>
      </c>
      <c r="G276" s="1007" t="s">
        <v>805</v>
      </c>
      <c r="H276" s="1007" t="s">
        <v>4221</v>
      </c>
      <c r="I276" s="991"/>
      <c r="J276" s="991"/>
    </row>
    <row r="277" s="206" customFormat="true" ht="15" hidden="false" customHeight="false" outlineLevel="0" collapsed="false">
      <c r="A277" s="206" t="str">
        <f aca="false">VLOOKUP(C274,NDasaSeq,7,0)</f>
        <v>Ge</v>
      </c>
      <c r="B277" s="206" t="n">
        <f aca="false">VLOOKUP(A277,NDasaC,3,0)</f>
        <v>1</v>
      </c>
      <c r="C277" s="998" t="e">
        <f aca="false">IF(MATCH(VLOOKUP(IF((A277="Aq"),VLOOKUP("AqLord",DivCharts,D273,0),IF((A277="Sc"),VLOOKUP("ScLord",DivCharts,D273,0),VLOOKUP(A277,RsInfo,9,0))),DivCharts,D273,0),RsTbl,0)=MATCH(VLOOKUP(IF((A277="Aq"),VLOOKUP("AqLord",DivCharts,D273,0),IF((A277="Sc"),VLOOKUP("ScLord",DivCharts,D273,0),VLOOKUP(A277,RsInfo,9,0))),PlanetData,8,0),RsTbl,0),1,IF(MATCH(VLOOKUP(IF((A277="Aq"),VLOOKUP("AqLord",DivCharts,D273,0),IF((A277="Sc"),VLOOKUP("ScLord",DivCharts,D273,0),VLOOKUP(A277,RsInfo,9,0))),DivCharts,D273,0),RsTbl,0)=MOD(MATCH(VLOOKUP(IF((A277="Aq"),VLOOKUP("AqLord",DivCharts,D273,0),IF((A277="Sc"),VLOOKUP("ScLord",DivCharts,D273,0),VLOOKUP(A277,RsInfo,9,0))),PlanetData,8,0),RsTbl,0)+6,12),-1,0))</f>
        <v>#N/A</v>
      </c>
      <c r="D277" s="998" t="n">
        <f aca="false">MOD((MATCH(VLOOKUP(IF((A277="Aq"),VLOOKUP("AqLord",DivCharts,D273,0),IF((A277="Sc"),VLOOKUP("ScLord",DivCharts,D273,0),VLOOKUP(A277,RsInfo,9,0))),DivCharts,D273,0),RsTbl,0)*B277)-(B277*MATCH(A277,RsTbl,0))+12,12)</f>
        <v>0</v>
      </c>
      <c r="E277" s="206" t="n">
        <f aca="false">IF(ISNA(MATCH((D277+C277),,0)),(D277+C277),12)</f>
        <v>12</v>
      </c>
      <c r="F277" s="1005" t="n">
        <f aca="false">DoB</f>
        <v>26133.3841435185</v>
      </c>
      <c r="G277" s="1005" t="n">
        <f aca="false">F277+E277*NDDaysInYEar</f>
        <v>30516.4426157407</v>
      </c>
      <c r="H277" s="992" t="str">
        <f aca="false">A277</f>
        <v>Ge</v>
      </c>
      <c r="I277" s="206" t="str">
        <f aca="false">INDEX(SignSym,MOD(B277+MATCH(H277,SignSym,0)-1,12)+1)</f>
        <v>Cn</v>
      </c>
      <c r="J277" s="206" t="str">
        <f aca="false">INDEX(SignSym,MOD(B277+MATCH(I277,SignSym,0)-1,12)+1)</f>
        <v>Le</v>
      </c>
      <c r="K277" s="206" t="str">
        <f aca="false">INDEX(SignSym,MOD(B277+MATCH(J277,SignSym,0)-1,12)+1)</f>
        <v>Vi</v>
      </c>
      <c r="L277" s="206" t="str">
        <f aca="false">INDEX(SignSym,MOD(B277+MATCH(K277,SignSym,0)-1,12)+1)</f>
        <v>Li</v>
      </c>
      <c r="M277" s="206" t="str">
        <f aca="false">INDEX(SignSym,MOD(B277+MATCH(L277,SignSym,0)-1,12)+1)</f>
        <v>Sc</v>
      </c>
      <c r="N277" s="206" t="str">
        <f aca="false">INDEX(SignSym,MOD(B277+MATCH(M277,SignSym,0)-1,12)+1)</f>
        <v>Sg</v>
      </c>
      <c r="O277" s="206" t="str">
        <f aca="false">INDEX(SignSym,MOD(B277+MATCH(N277,SignSym,0)-1,12)+1)</f>
        <v>Cp</v>
      </c>
      <c r="P277" s="206" t="str">
        <f aca="false">INDEX(SignSym,MOD(B277+MATCH(O277,SignSym,0)-1,12)+1)</f>
        <v>Aq</v>
      </c>
      <c r="Q277" s="206" t="str">
        <f aca="false">INDEX(SignSym,MOD(B277+MATCH(P277,SignSym,0)-1,12)+1)</f>
        <v>Pi</v>
      </c>
      <c r="R277" s="206" t="str">
        <f aca="false">INDEX(SignSym,MOD(B277+MATCH(Q277,SignSym,0)-1,12)+1)</f>
        <v>Ar</v>
      </c>
      <c r="S277" s="206" t="str">
        <f aca="false">INDEX(SignSym,MOD(B277+MATCH(R277,SignSym,0)-1,12)+1)</f>
        <v>Ta</v>
      </c>
    </row>
    <row r="278" s="206" customFormat="true" ht="12.75" hidden="true" customHeight="true" outlineLevel="0" collapsed="false">
      <c r="C278" s="998"/>
      <c r="D278" s="998"/>
      <c r="F278" s="1005"/>
      <c r="G278" s="1005"/>
      <c r="H278" s="1005" t="n">
        <f aca="false">F277</f>
        <v>26133.3841435185</v>
      </c>
      <c r="I278" s="1005" t="n">
        <f aca="false">H278+(E277*NDDaysInYEar/12)</f>
        <v>26498.6390162037</v>
      </c>
      <c r="J278" s="1005" t="n">
        <f aca="false">I278+(E277*NDDaysInYEar/12)</f>
        <v>26863.8938888889</v>
      </c>
      <c r="K278" s="1005" t="n">
        <f aca="false">J278+(E277*NDDaysInYEar/12)</f>
        <v>27229.148761574</v>
      </c>
      <c r="L278" s="1005" t="n">
        <f aca="false">K278+(E277*NDDaysInYEar/12)</f>
        <v>27594.4036342592</v>
      </c>
      <c r="M278" s="1005" t="n">
        <f aca="false">L278+(E277*NDDaysInYEar/12)</f>
        <v>27959.6585069444</v>
      </c>
      <c r="N278" s="1005" t="n">
        <f aca="false">M278+(E277*NDDaysInYEar/12)</f>
        <v>28324.9133796296</v>
      </c>
      <c r="O278" s="1005" t="n">
        <f aca="false">N278+(E277*NDDaysInYEar/12)</f>
        <v>28690.1682523148</v>
      </c>
      <c r="P278" s="1005" t="n">
        <f aca="false">O278+(E277*NDDaysInYEar/12)</f>
        <v>29055.423125</v>
      </c>
      <c r="Q278" s="1005" t="n">
        <f aca="false">P278+(E277*NDDaysInYEar/12)</f>
        <v>29420.6779976851</v>
      </c>
      <c r="R278" s="1005" t="n">
        <f aca="false">Q278+(E277*NDDaysInYEar/12)</f>
        <v>29785.9328703703</v>
      </c>
      <c r="S278" s="1005" t="n">
        <f aca="false">R278+(E277*NDDaysInYEar/12)</f>
        <v>30151.1877430555</v>
      </c>
    </row>
    <row r="279" s="206" customFormat="true" ht="15" hidden="false" customHeight="false" outlineLevel="0" collapsed="false">
      <c r="A279" s="206" t="str">
        <f aca="false">VLOOKUP(C274,NDasaSeq,8,0)</f>
        <v>Aq</v>
      </c>
      <c r="B279" s="206" t="n">
        <f aca="false">VLOOKUP(A279,NDasaC,3,0)</f>
        <v>-1</v>
      </c>
      <c r="C279" s="998" t="e">
        <f aca="false">IF(MATCH(VLOOKUP(IF((A279="Aq"),VLOOKUP("AqLord",DivCharts,D273,0),IF((A279="Sc"),VLOOKUP("ScLord",DivCharts,D273,0),VLOOKUP(A279,RsInfo,9,0))),DivCharts,D273,0),RsTbl,0)=MATCH(VLOOKUP(IF((A279="Aq"),VLOOKUP("AqLord",DivCharts,D273,0),IF((A279="Sc"),VLOOKUP("ScLord",DivCharts,D273,0),VLOOKUP(A279,RsInfo,9,0))),PlanetData,8,0),RsTbl,0),1,IF(MATCH(VLOOKUP(IF((A279="Aq"),VLOOKUP("AqLord",DivCharts,D273,0),IF((A279="Sc"),VLOOKUP("ScLord",DivCharts,D273,0),VLOOKUP(A279,RsInfo,9,0))),DivCharts,D273,0),RsTbl,0)=MOD(MATCH(VLOOKUP(IF((A279="Aq"),VLOOKUP("AqLord",DivCharts,D273,0),IF((A279="Sc"),VLOOKUP("ScLord",DivCharts,D273,0),VLOOKUP(A279,RsInfo,9,0))),PlanetData,8,0),RsTbl,0)+6,12),-1,0))</f>
        <v>#N/A</v>
      </c>
      <c r="D279" s="998" t="n">
        <f aca="false">MOD((MATCH(VLOOKUP(IF((A279="Aq"),VLOOKUP("AqLord",DivCharts,D273,0),IF((A279="Sc"),VLOOKUP("ScLord",DivCharts,D273,0),VLOOKUP(A279,RsInfo,9,0))),DivCharts,D273,0),RsTbl,0)*B279)-(B279*MATCH(A279,RsTbl,0))+12,12)</f>
        <v>1</v>
      </c>
      <c r="E279" s="206" t="n">
        <f aca="false">IF(ISNA(MATCH((D279+C279),,0)),(D279+C279),12)</f>
        <v>12</v>
      </c>
      <c r="F279" s="1005" t="n">
        <f aca="false">G277</f>
        <v>30516.4426157407</v>
      </c>
      <c r="G279" s="1005" t="n">
        <f aca="false">F279+E279*NDDaysInYEar</f>
        <v>34899.5010879629</v>
      </c>
      <c r="H279" s="992" t="str">
        <f aca="false">A279</f>
        <v>Aq</v>
      </c>
      <c r="I279" s="206" t="str">
        <f aca="false">INDEX(SignSym,MOD(B279+MATCH(H279,SignSym,0)-1,12)+1)</f>
        <v>Cp</v>
      </c>
      <c r="J279" s="206" t="str">
        <f aca="false">INDEX(SignSym,MOD(B279+MATCH(I279,SignSym,0)-1,12)+1)</f>
        <v>Sg</v>
      </c>
      <c r="K279" s="206" t="str">
        <f aca="false">INDEX(SignSym,MOD(B279+MATCH(J279,SignSym,0)-1,12)+1)</f>
        <v>Sc</v>
      </c>
      <c r="L279" s="206" t="str">
        <f aca="false">INDEX(SignSym,MOD(B279+MATCH(K279,SignSym,0)-1,12)+1)</f>
        <v>Li</v>
      </c>
      <c r="M279" s="206" t="str">
        <f aca="false">INDEX(SignSym,MOD(B279+MATCH(L279,SignSym,0)-1,12)+1)</f>
        <v>Vi</v>
      </c>
      <c r="N279" s="206" t="str">
        <f aca="false">INDEX(SignSym,MOD(B279+MATCH(M279,SignSym,0)-1,12)+1)</f>
        <v>Le</v>
      </c>
      <c r="O279" s="206" t="str">
        <f aca="false">INDEX(SignSym,MOD(B279+MATCH(N279,SignSym,0)-1,12)+1)</f>
        <v>Cn</v>
      </c>
      <c r="P279" s="206" t="str">
        <f aca="false">INDEX(SignSym,MOD(B279+MATCH(O279,SignSym,0)-1,12)+1)</f>
        <v>Ge</v>
      </c>
      <c r="Q279" s="206" t="str">
        <f aca="false">INDEX(SignSym,MOD(B279+MATCH(P279,SignSym,0)-1,12)+1)</f>
        <v>Ta</v>
      </c>
      <c r="R279" s="206" t="str">
        <f aca="false">INDEX(SignSym,MOD(B279+MATCH(Q279,SignSym,0)-1,12)+1)</f>
        <v>Ar</v>
      </c>
      <c r="S279" s="206" t="str">
        <f aca="false">INDEX(SignSym,MOD(B279+MATCH(R279,SignSym,0)-1,12)+1)</f>
        <v>Pi</v>
      </c>
    </row>
    <row r="280" s="206" customFormat="true" ht="12.75" hidden="true" customHeight="true" outlineLevel="0" collapsed="false">
      <c r="C280" s="998"/>
      <c r="D280" s="998"/>
      <c r="F280" s="1005"/>
      <c r="G280" s="1005"/>
      <c r="H280" s="1005" t="n">
        <f aca="false">F279</f>
        <v>30516.4426157407</v>
      </c>
      <c r="I280" s="1005" t="n">
        <f aca="false">H280+(E279*NDDaysInYEar/12)</f>
        <v>30881.6974884259</v>
      </c>
      <c r="J280" s="1005" t="n">
        <f aca="false">I280+(E279*NDDaysInYEar/12)</f>
        <v>31246.9523611111</v>
      </c>
      <c r="K280" s="1005" t="n">
        <f aca="false">J280+(E279*NDDaysInYEar/12)</f>
        <v>31612.2072337962</v>
      </c>
      <c r="L280" s="1005" t="n">
        <f aca="false">K280+(E279*NDDaysInYEar/12)</f>
        <v>31977.4621064814</v>
      </c>
      <c r="M280" s="1005" t="n">
        <f aca="false">L280+(E279*NDDaysInYEar/12)</f>
        <v>32342.7169791666</v>
      </c>
      <c r="N280" s="1005" t="n">
        <f aca="false">M280+(E279*NDDaysInYEar/12)</f>
        <v>32707.9718518518</v>
      </c>
      <c r="O280" s="1005" t="n">
        <f aca="false">N280+(E279*NDDaysInYEar/12)</f>
        <v>33073.226724537</v>
      </c>
      <c r="P280" s="1005" t="n">
        <f aca="false">O280+(E279*NDDaysInYEar/12)</f>
        <v>33438.4815972221</v>
      </c>
      <c r="Q280" s="1005" t="n">
        <f aca="false">P280+(E279*NDDaysInYEar/12)</f>
        <v>33803.7364699073</v>
      </c>
      <c r="R280" s="1005" t="n">
        <f aca="false">Q280+(E279*NDDaysInYEar/12)</f>
        <v>34168.9913425925</v>
      </c>
      <c r="S280" s="1005" t="n">
        <f aca="false">R280+(E279*NDDaysInYEar/12)</f>
        <v>34534.2462152777</v>
      </c>
    </row>
    <row r="281" s="206" customFormat="true" ht="15" hidden="false" customHeight="false" outlineLevel="0" collapsed="false">
      <c r="A281" s="206" t="str">
        <f aca="false">VLOOKUP(C274,NDasaSeq,9,0)</f>
        <v>Li</v>
      </c>
      <c r="B281" s="206" t="n">
        <f aca="false">VLOOKUP(A281,NDasaC,3,0)</f>
        <v>1</v>
      </c>
      <c r="C281" s="998" t="e">
        <f aca="false">IF(MATCH(VLOOKUP(IF((A281="Aq"),VLOOKUP("AqLord",DivCharts,D273,0),IF((A281="Sc"),VLOOKUP("ScLord",DivCharts,D273,0),VLOOKUP(A281,RsInfo,9,0))),DivCharts,D273,0),RsTbl,0)=MATCH(VLOOKUP(IF((A281="Aq"),VLOOKUP("AqLord",DivCharts,D273,0),IF((A281="Sc"),VLOOKUP("ScLord",DivCharts,D273,0),VLOOKUP(A281,RsInfo,9,0))),PlanetData,8,0),RsTbl,0),1,IF(MATCH(VLOOKUP(IF((A281="Aq"),VLOOKUP("AqLord",DivCharts,D273,0),IF((A281="Sc"),VLOOKUP("ScLord",DivCharts,D273,0),VLOOKUP(A281,RsInfo,9,0))),DivCharts,D273,0),RsTbl,0)=MOD(MATCH(VLOOKUP(IF((A281="Aq"),VLOOKUP("AqLord",DivCharts,D273,0),IF((A281="Sc"),VLOOKUP("ScLord",DivCharts,D273,0),VLOOKUP(A281,RsInfo,9,0))),PlanetData,8,0),RsTbl,0)+6,12),-1,0))</f>
        <v>#N/A</v>
      </c>
      <c r="D281" s="998" t="n">
        <f aca="false">MOD((MATCH(VLOOKUP(IF((A281="Aq"),VLOOKUP("AqLord",DivCharts,D273,0),IF((A281="Sc"),VLOOKUP("ScLord",DivCharts,D273,0),VLOOKUP(A281,RsInfo,9,0))),DivCharts,D273,0),RsTbl,0)*B281)-(B281*MATCH(A281,RsTbl,0))+12,12)</f>
        <v>1</v>
      </c>
      <c r="E281" s="206" t="n">
        <f aca="false">IF(ISNA(MATCH((D281+C281),,0)),(D281+C281),12)</f>
        <v>12</v>
      </c>
      <c r="F281" s="1005" t="n">
        <f aca="false">G279</f>
        <v>34899.5010879629</v>
      </c>
      <c r="G281" s="1005" t="n">
        <f aca="false">F281+E281*NDDaysInYEar</f>
        <v>39282.5595601851</v>
      </c>
      <c r="H281" s="992" t="str">
        <f aca="false">A281</f>
        <v>Li</v>
      </c>
      <c r="I281" s="206" t="str">
        <f aca="false">INDEX(SignSym,MOD(B281+MATCH(H281,SignSym,0)-1,12)+1)</f>
        <v>Sc</v>
      </c>
      <c r="J281" s="206" t="str">
        <f aca="false">INDEX(SignSym,MOD(B281+MATCH(I281,SignSym,0)-1,12)+1)</f>
        <v>Sg</v>
      </c>
      <c r="K281" s="206" t="str">
        <f aca="false">INDEX(SignSym,MOD(B281+MATCH(J281,SignSym,0)-1,12)+1)</f>
        <v>Cp</v>
      </c>
      <c r="L281" s="206" t="str">
        <f aca="false">INDEX(SignSym,MOD(B281+MATCH(K281,SignSym,0)-1,12)+1)</f>
        <v>Aq</v>
      </c>
      <c r="M281" s="206" t="str">
        <f aca="false">INDEX(SignSym,MOD(B281+MATCH(L281,SignSym,0)-1,12)+1)</f>
        <v>Pi</v>
      </c>
      <c r="N281" s="206" t="str">
        <f aca="false">INDEX(SignSym,MOD(B281+MATCH(M281,SignSym,0)-1,12)+1)</f>
        <v>Ar</v>
      </c>
      <c r="O281" s="206" t="str">
        <f aca="false">INDEX(SignSym,MOD(B281+MATCH(N281,SignSym,0)-1,12)+1)</f>
        <v>Ta</v>
      </c>
      <c r="P281" s="206" t="str">
        <f aca="false">INDEX(SignSym,MOD(B281+MATCH(O281,SignSym,0)-1,12)+1)</f>
        <v>Ge</v>
      </c>
      <c r="Q281" s="206" t="str">
        <f aca="false">INDEX(SignSym,MOD(B281+MATCH(P281,SignSym,0)-1,12)+1)</f>
        <v>Cn</v>
      </c>
      <c r="R281" s="206" t="str">
        <f aca="false">INDEX(SignSym,MOD(B281+MATCH(Q281,SignSym,0)-1,12)+1)</f>
        <v>Le</v>
      </c>
      <c r="S281" s="206" t="str">
        <f aca="false">INDEX(SignSym,MOD(B281+MATCH(R281,SignSym,0)-1,12)+1)</f>
        <v>Vi</v>
      </c>
    </row>
    <row r="282" s="206" customFormat="true" ht="12.75" hidden="true" customHeight="true" outlineLevel="0" collapsed="false">
      <c r="C282" s="998"/>
      <c r="D282" s="998"/>
      <c r="F282" s="1005"/>
      <c r="G282" s="1005"/>
      <c r="H282" s="1005" t="n">
        <f aca="false">F281</f>
        <v>34899.5010879629</v>
      </c>
      <c r="I282" s="1005" t="n">
        <f aca="false">H282+(E281*NDDaysInYEar/12)</f>
        <v>35264.7559606481</v>
      </c>
      <c r="J282" s="1005" t="n">
        <f aca="false">I282+(E281*NDDaysInYEar/12)</f>
        <v>35630.0108333332</v>
      </c>
      <c r="K282" s="1005" t="n">
        <f aca="false">J282+(E281*NDDaysInYEar/12)</f>
        <v>35995.2657060184</v>
      </c>
      <c r="L282" s="1005" t="n">
        <f aca="false">K282+(E281*NDDaysInYEar/12)</f>
        <v>36360.5205787036</v>
      </c>
      <c r="M282" s="1005" t="n">
        <f aca="false">L282+(E281*NDDaysInYEar/12)</f>
        <v>36725.7754513888</v>
      </c>
      <c r="N282" s="1005" t="n">
        <f aca="false">M282+(E281*NDDaysInYEar/12)</f>
        <v>37091.030324074</v>
      </c>
      <c r="O282" s="1005" t="n">
        <f aca="false">N282+(E281*NDDaysInYEar/12)</f>
        <v>37456.2851967591</v>
      </c>
      <c r="P282" s="1005" t="n">
        <f aca="false">O282+(E281*NDDaysInYEar/12)</f>
        <v>37821.5400694443</v>
      </c>
      <c r="Q282" s="1005" t="n">
        <f aca="false">P282+(E281*NDDaysInYEar/12)</f>
        <v>38186.7949421295</v>
      </c>
      <c r="R282" s="1005" t="n">
        <f aca="false">Q282+(E281*NDDaysInYEar/12)</f>
        <v>38552.0498148147</v>
      </c>
      <c r="S282" s="1005" t="n">
        <f aca="false">R282+(E281*NDDaysInYEar/12)</f>
        <v>38917.3046874999</v>
      </c>
    </row>
    <row r="283" s="206" customFormat="true" ht="15" hidden="false" customHeight="false" outlineLevel="0" collapsed="false">
      <c r="A283" s="206" t="str">
        <f aca="false">VLOOKUP(C274,NDasaSeq,10,0)</f>
        <v>Vi</v>
      </c>
      <c r="B283" s="206" t="n">
        <f aca="false">VLOOKUP(A283,NDasaC,3,0)</f>
        <v>-1</v>
      </c>
      <c r="C283" s="998" t="e">
        <f aca="false">IF(MATCH(VLOOKUP(IF((A283="Aq"),VLOOKUP("AqLord",DivCharts,D273,0),IF((A283="Sc"),VLOOKUP("ScLord",DivCharts,D273,0),VLOOKUP(A283,RsInfo,9,0))),DivCharts,D273,0),RsTbl,0)=MATCH(VLOOKUP(IF((A283="Aq"),VLOOKUP("AqLord",DivCharts,D273,0),IF((A283="Sc"),VLOOKUP("ScLord",DivCharts,D273,0),VLOOKUP(A283,RsInfo,9,0))),PlanetData,8,0),RsTbl,0),1,IF(MATCH(VLOOKUP(IF((A283="Aq"),VLOOKUP("AqLord",DivCharts,D273,0),IF((A283="Sc"),VLOOKUP("ScLord",DivCharts,D273,0),VLOOKUP(A283,RsInfo,9,0))),DivCharts,D273,0),RsTbl,0)=MOD(MATCH(VLOOKUP(IF((A283="Aq"),VLOOKUP("AqLord",DivCharts,D273,0),IF((A283="Sc"),VLOOKUP("ScLord",DivCharts,D273,0),VLOOKUP(A283,RsInfo,9,0))),PlanetData,8,0),RsTbl,0)+6,12),-1,0))</f>
        <v>#N/A</v>
      </c>
      <c r="D283" s="998" t="n">
        <f aca="false">MOD((MATCH(VLOOKUP(IF((A283="Aq"),VLOOKUP("AqLord",DivCharts,D273,0),IF((A283="Sc"),VLOOKUP("ScLord",DivCharts,D273,0),VLOOKUP(A283,RsInfo,9,0))),DivCharts,D273,0),RsTbl,0)*B283)-(B283*MATCH(A283,RsTbl,0))+12,12)</f>
        <v>3</v>
      </c>
      <c r="E283" s="206" t="n">
        <f aca="false">IF(ISNA(MATCH((D283+C283),,0)),(D283+C283),12)</f>
        <v>12</v>
      </c>
      <c r="F283" s="1005" t="n">
        <f aca="false">G281</f>
        <v>39282.5595601851</v>
      </c>
      <c r="G283" s="1005" t="n">
        <f aca="false">F283+E283*NDDaysInYEar</f>
        <v>43665.6180324072</v>
      </c>
      <c r="H283" s="992" t="str">
        <f aca="false">A283</f>
        <v>Vi</v>
      </c>
      <c r="I283" s="206" t="str">
        <f aca="false">INDEX(SignSym,MOD(B283+MATCH(H283,SignSym,0)-1,12)+1)</f>
        <v>Le</v>
      </c>
      <c r="J283" s="206" t="str">
        <f aca="false">INDEX(SignSym,MOD(B283+MATCH(I283,SignSym,0)-1,12)+1)</f>
        <v>Cn</v>
      </c>
      <c r="K283" s="206" t="str">
        <f aca="false">INDEX(SignSym,MOD(B283+MATCH(J283,SignSym,0)-1,12)+1)</f>
        <v>Ge</v>
      </c>
      <c r="L283" s="206" t="str">
        <f aca="false">INDEX(SignSym,MOD(B283+MATCH(K283,SignSym,0)-1,12)+1)</f>
        <v>Ta</v>
      </c>
      <c r="M283" s="206" t="str">
        <f aca="false">INDEX(SignSym,MOD(B283+MATCH(L283,SignSym,0)-1,12)+1)</f>
        <v>Ar</v>
      </c>
      <c r="N283" s="206" t="str">
        <f aca="false">INDEX(SignSym,MOD(B283+MATCH(M283,SignSym,0)-1,12)+1)</f>
        <v>Pi</v>
      </c>
      <c r="O283" s="206" t="str">
        <f aca="false">INDEX(SignSym,MOD(B283+MATCH(N283,SignSym,0)-1,12)+1)</f>
        <v>Aq</v>
      </c>
      <c r="P283" s="206" t="str">
        <f aca="false">INDEX(SignSym,MOD(B283+MATCH(O283,SignSym,0)-1,12)+1)</f>
        <v>Cp</v>
      </c>
      <c r="Q283" s="206" t="str">
        <f aca="false">INDEX(SignSym,MOD(B283+MATCH(P283,SignSym,0)-1,12)+1)</f>
        <v>Sg</v>
      </c>
      <c r="R283" s="206" t="str">
        <f aca="false">INDEX(SignSym,MOD(B283+MATCH(Q283,SignSym,0)-1,12)+1)</f>
        <v>Sc</v>
      </c>
      <c r="S283" s="206" t="str">
        <f aca="false">INDEX(SignSym,MOD(B283+MATCH(R283,SignSym,0)-1,12)+1)</f>
        <v>Li</v>
      </c>
    </row>
    <row r="284" s="206" customFormat="true" ht="12.75" hidden="true" customHeight="true" outlineLevel="0" collapsed="false">
      <c r="C284" s="998"/>
      <c r="D284" s="998"/>
      <c r="F284" s="1005"/>
      <c r="G284" s="1005"/>
      <c r="H284" s="1005" t="n">
        <f aca="false">F283</f>
        <v>39282.5595601851</v>
      </c>
      <c r="I284" s="1005" t="n">
        <f aca="false">H284+(E283*NDDaysInYEar/12)</f>
        <v>39647.8144328702</v>
      </c>
      <c r="J284" s="1005" t="n">
        <f aca="false">I284+(E283*NDDaysInYEar/12)</f>
        <v>40013.0693055554</v>
      </c>
      <c r="K284" s="1005" t="n">
        <f aca="false">J284+(E283*NDDaysInYEar/12)</f>
        <v>40378.3241782406</v>
      </c>
      <c r="L284" s="1005" t="n">
        <f aca="false">K284+(E283*NDDaysInYEar/12)</f>
        <v>40743.5790509258</v>
      </c>
      <c r="M284" s="1005" t="n">
        <f aca="false">L284+(E283*NDDaysInYEar/12)</f>
        <v>41108.833923611</v>
      </c>
      <c r="N284" s="1005" t="n">
        <f aca="false">M284+(E283*NDDaysInYEar/12)</f>
        <v>41474.0887962961</v>
      </c>
      <c r="O284" s="1005" t="n">
        <f aca="false">N284+(E283*NDDaysInYEar/12)</f>
        <v>41839.3436689813</v>
      </c>
      <c r="P284" s="1005" t="n">
        <f aca="false">O284+(E283*NDDaysInYEar/12)</f>
        <v>42204.5985416665</v>
      </c>
      <c r="Q284" s="1005" t="n">
        <f aca="false">P284+(E283*NDDaysInYEar/12)</f>
        <v>42569.8534143517</v>
      </c>
      <c r="R284" s="1005" t="n">
        <f aca="false">Q284+(E283*NDDaysInYEar/12)</f>
        <v>42935.1082870369</v>
      </c>
      <c r="S284" s="1005" t="n">
        <f aca="false">R284+(E283*NDDaysInYEar/12)</f>
        <v>43300.3631597221</v>
      </c>
    </row>
    <row r="285" s="206" customFormat="true" ht="15" hidden="false" customHeight="false" outlineLevel="0" collapsed="false">
      <c r="A285" s="206" t="str">
        <f aca="false">VLOOKUP(C274,NDasaSeq,11,0)</f>
        <v>Ta</v>
      </c>
      <c r="B285" s="206" t="n">
        <f aca="false">VLOOKUP(A285,NDasaC,3,0)</f>
        <v>1</v>
      </c>
      <c r="C285" s="998" t="e">
        <f aca="false">IF(MATCH(VLOOKUP(IF((A285="Aq"),VLOOKUP("AqLord",DivCharts,D273,0),IF((A285="Sc"),VLOOKUP("ScLord",DivCharts,D273,0),VLOOKUP(A285,RsInfo,9,0))),DivCharts,D273,0),RsTbl,0)=MATCH(VLOOKUP(IF((A285="Aq"),VLOOKUP("AqLord",DivCharts,D273,0),IF((A285="Sc"),VLOOKUP("ScLord",DivCharts,D273,0),VLOOKUP(A285,RsInfo,9,0))),PlanetData,8,0),RsTbl,0),1,IF(MATCH(VLOOKUP(IF((A285="Aq"),VLOOKUP("AqLord",DivCharts,D273,0),IF((A285="Sc"),VLOOKUP("ScLord",DivCharts,D273,0),VLOOKUP(A285,RsInfo,9,0))),DivCharts,D273,0),RsTbl,0)=MOD(MATCH(VLOOKUP(IF((A285="Aq"),VLOOKUP("AqLord",DivCharts,D273,0),IF((A285="Sc"),VLOOKUP("ScLord",DivCharts,D273,0),VLOOKUP(A285,RsInfo,9,0))),PlanetData,8,0),RsTbl,0)+6,12),-1,0))</f>
        <v>#N/A</v>
      </c>
      <c r="D285" s="998" t="n">
        <f aca="false">MOD((MATCH(VLOOKUP(IF((A285="Aq"),VLOOKUP("AqLord",DivCharts,D273,0),IF((A285="Sc"),VLOOKUP("ScLord",DivCharts,D273,0),VLOOKUP(A285,RsInfo,9,0))),DivCharts,D273,0),RsTbl,0)*B285)-(B285*MATCH(A285,RsTbl,0))+12,12)</f>
        <v>6</v>
      </c>
      <c r="E285" s="206" t="n">
        <f aca="false">IF(ISNA(MATCH((D285+C285),,0)),(D285+C285),12)</f>
        <v>12</v>
      </c>
      <c r="F285" s="1005" t="n">
        <f aca="false">G283</f>
        <v>43665.6180324072</v>
      </c>
      <c r="G285" s="1005" t="n">
        <f aca="false">F285+E285*NDDaysInYEar</f>
        <v>48048.6765046294</v>
      </c>
      <c r="H285" s="992" t="str">
        <f aca="false">A285</f>
        <v>Ta</v>
      </c>
      <c r="I285" s="206" t="str">
        <f aca="false">INDEX(SignSym,MOD(B285+MATCH(H285,SignSym,0)-1,12)+1)</f>
        <v>Ge</v>
      </c>
      <c r="J285" s="206" t="str">
        <f aca="false">INDEX(SignSym,MOD(B285+MATCH(I285,SignSym,0)-1,12)+1)</f>
        <v>Cn</v>
      </c>
      <c r="K285" s="206" t="str">
        <f aca="false">INDEX(SignSym,MOD(B285+MATCH(J285,SignSym,0)-1,12)+1)</f>
        <v>Le</v>
      </c>
      <c r="L285" s="206" t="str">
        <f aca="false">INDEX(SignSym,MOD(B285+MATCH(K285,SignSym,0)-1,12)+1)</f>
        <v>Vi</v>
      </c>
      <c r="M285" s="206" t="str">
        <f aca="false">INDEX(SignSym,MOD(B285+MATCH(L285,SignSym,0)-1,12)+1)</f>
        <v>Li</v>
      </c>
      <c r="N285" s="206" t="str">
        <f aca="false">INDEX(SignSym,MOD(B285+MATCH(M285,SignSym,0)-1,12)+1)</f>
        <v>Sc</v>
      </c>
      <c r="O285" s="206" t="str">
        <f aca="false">INDEX(SignSym,MOD(B285+MATCH(N285,SignSym,0)-1,12)+1)</f>
        <v>Sg</v>
      </c>
      <c r="P285" s="206" t="str">
        <f aca="false">INDEX(SignSym,MOD(B285+MATCH(O285,SignSym,0)-1,12)+1)</f>
        <v>Cp</v>
      </c>
      <c r="Q285" s="206" t="str">
        <f aca="false">INDEX(SignSym,MOD(B285+MATCH(P285,SignSym,0)-1,12)+1)</f>
        <v>Aq</v>
      </c>
      <c r="R285" s="206" t="str">
        <f aca="false">INDEX(SignSym,MOD(B285+MATCH(Q285,SignSym,0)-1,12)+1)</f>
        <v>Pi</v>
      </c>
      <c r="S285" s="206" t="str">
        <f aca="false">INDEX(SignSym,MOD(B285+MATCH(R285,SignSym,0)-1,12)+1)</f>
        <v>Ar</v>
      </c>
    </row>
    <row r="286" s="206" customFormat="true" ht="15" hidden="true" customHeight="false" outlineLevel="0" collapsed="false">
      <c r="C286" s="998"/>
      <c r="D286" s="998"/>
      <c r="F286" s="1005"/>
      <c r="G286" s="1005"/>
      <c r="H286" s="1005" t="n">
        <f aca="false">F285</f>
        <v>43665.6180324072</v>
      </c>
      <c r="I286" s="1005" t="n">
        <f aca="false">H286+(E285*NDDaysInYEar/12)</f>
        <v>44030.8729050924</v>
      </c>
      <c r="J286" s="1005" t="n">
        <f aca="false">I286+(E285*NDDaysInYEar/12)</f>
        <v>44396.1277777776</v>
      </c>
      <c r="K286" s="1005" t="n">
        <f aca="false">J286+(E285*NDDaysInYEar/12)</f>
        <v>44761.3826504628</v>
      </c>
      <c r="L286" s="1005" t="n">
        <f aca="false">K286+(E285*NDDaysInYEar/12)</f>
        <v>45126.637523148</v>
      </c>
      <c r="M286" s="1005" t="n">
        <f aca="false">L286+(E285*NDDaysInYEar/12)</f>
        <v>45491.8923958331</v>
      </c>
      <c r="N286" s="1005" t="n">
        <f aca="false">M286+(E285*NDDaysInYEar/12)</f>
        <v>45857.1472685183</v>
      </c>
      <c r="O286" s="1005" t="n">
        <f aca="false">N286+(E285*NDDaysInYEar/12)</f>
        <v>46222.4021412035</v>
      </c>
      <c r="P286" s="1005" t="n">
        <f aca="false">O286+(E285*NDDaysInYEar/12)</f>
        <v>46587.6570138887</v>
      </c>
      <c r="Q286" s="1005" t="n">
        <f aca="false">P286+(E285*NDDaysInYEar/12)</f>
        <v>46952.9118865739</v>
      </c>
      <c r="R286" s="1005" t="n">
        <f aca="false">Q286+(E285*NDDaysInYEar/12)</f>
        <v>47318.1667592591</v>
      </c>
      <c r="S286" s="1005" t="n">
        <f aca="false">R286+(E285*NDDaysInYEar/12)</f>
        <v>47683.4216319442</v>
      </c>
    </row>
    <row r="287" s="206" customFormat="true" ht="15" hidden="false" customHeight="false" outlineLevel="0" collapsed="false">
      <c r="A287" s="206" t="str">
        <f aca="false">VLOOKUP(C274,NDasaSeq,12,0)</f>
        <v>Cp</v>
      </c>
      <c r="B287" s="206" t="n">
        <v>1</v>
      </c>
      <c r="C287" s="998" t="e">
        <f aca="false">IF(MATCH(VLOOKUP(IF((A287="Aq"),VLOOKUP("AqLord",DivCharts,D273,0),IF((A287="Sc"),VLOOKUP("ScLord",DivCharts,D273,0),VLOOKUP(A287,RsInfo,9,0))),DivCharts,D273,0),RsTbl,0)=MATCH(VLOOKUP(IF((A287="Aq"),VLOOKUP("AqLord",DivCharts,D273,0),IF((A287="Sc"),VLOOKUP("ScLord",DivCharts,D273,0),VLOOKUP(A287,RsInfo,9,0))),PlanetData,8,0),RsTbl,0),1,IF(MATCH(VLOOKUP(IF((A287="Aq"),VLOOKUP("AqLord",DivCharts,D273,0),IF((A287="Sc"),VLOOKUP("ScLord",DivCharts,D273,0),VLOOKUP(A287,RsInfo,9,0))),DivCharts,D273,0),RsTbl,0)=MOD(MATCH(VLOOKUP(IF((A287="Aq"),VLOOKUP("AqLord",DivCharts,D273,0),IF((A287="Sc"),VLOOKUP("ScLord",DivCharts,D273,0),VLOOKUP(A287,RsInfo,9,0))),PlanetData,8,0),RsTbl,0)+6,12),-1,0))</f>
        <v>#N/A</v>
      </c>
      <c r="D287" s="998" t="n">
        <f aca="false">MOD((MATCH(VLOOKUP(IF((A287="Aq"),VLOOKUP("AqLord",DivCharts,D273,0),IF((A287="Sc"),VLOOKUP("ScLord",DivCharts,D273,0),VLOOKUP(A287,RsInfo,9,0))),DivCharts,D273,0),RsTbl,0)*B287)-(B287*MATCH(A287,RsTbl,0))+12,12)</f>
        <v>0</v>
      </c>
      <c r="E287" s="206" t="n">
        <f aca="false">IF(ISNA(MATCH((D287+C287),,0)),(D287+C287),12)</f>
        <v>12</v>
      </c>
      <c r="F287" s="1005" t="n">
        <f aca="false">G285</f>
        <v>48048.6765046294</v>
      </c>
      <c r="G287" s="1005" t="n">
        <f aca="false">F287+E287*NDDaysInYEar</f>
        <v>52431.7349768516</v>
      </c>
      <c r="H287" s="992" t="s">
        <v>706</v>
      </c>
      <c r="I287" s="206" t="str">
        <f aca="false">INDEX(SignSym,MOD(B287+MATCH(H287,SignSym,0)-1,12)+1)</f>
        <v>Aq</v>
      </c>
      <c r="J287" s="206" t="str">
        <f aca="false">INDEX(SignSym,MOD(B287+MATCH(I287,SignSym,0)-1,12)+1)</f>
        <v>Pi</v>
      </c>
      <c r="K287" s="206" t="str">
        <f aca="false">INDEX(SignSym,MOD(B287+MATCH(J287,SignSym,0)-1,12)+1)</f>
        <v>Ar</v>
      </c>
      <c r="L287" s="206" t="str">
        <f aca="false">INDEX(SignSym,MOD(B287+MATCH(K287,SignSym,0)-1,12)+1)</f>
        <v>Ta</v>
      </c>
      <c r="M287" s="206" t="str">
        <f aca="false">INDEX(SignSym,MOD(B287+MATCH(L287,SignSym,0)-1,12)+1)</f>
        <v>Ge</v>
      </c>
      <c r="N287" s="206" t="str">
        <f aca="false">INDEX(SignSym,MOD(B287+MATCH(M287,SignSym,0)-1,12)+1)</f>
        <v>Cn</v>
      </c>
      <c r="O287" s="206" t="str">
        <f aca="false">INDEX(SignSym,MOD(B287+MATCH(N287,SignSym,0)-1,12)+1)</f>
        <v>Le</v>
      </c>
      <c r="P287" s="206" t="str">
        <f aca="false">INDEX(SignSym,MOD(B287+MATCH(O287,SignSym,0)-1,12)+1)</f>
        <v>Vi</v>
      </c>
      <c r="Q287" s="206" t="str">
        <f aca="false">INDEX(SignSym,MOD(B287+MATCH(P287,SignSym,0)-1,12)+1)</f>
        <v>Li</v>
      </c>
      <c r="R287" s="206" t="str">
        <f aca="false">INDEX(SignSym,MOD(B287+MATCH(Q287,SignSym,0)-1,12)+1)</f>
        <v>Sc</v>
      </c>
      <c r="S287" s="206" t="str">
        <f aca="false">INDEX(SignSym,MOD(B287+MATCH(R287,SignSym,0)-1,12)+1)</f>
        <v>Sg</v>
      </c>
    </row>
    <row r="288" s="206" customFormat="true" ht="15" hidden="true" customHeight="false" outlineLevel="0" collapsed="false">
      <c r="C288" s="998"/>
      <c r="D288" s="998"/>
      <c r="F288" s="1005"/>
      <c r="G288" s="1005"/>
      <c r="H288" s="1005" t="n">
        <f aca="false">F287</f>
        <v>48048.6765046294</v>
      </c>
      <c r="I288" s="1005" t="n">
        <f aca="false">H288+(E287*NDDaysInYEar/12)</f>
        <v>48413.9313773146</v>
      </c>
      <c r="J288" s="1005" t="n">
        <f aca="false">I288+(E287*NDDaysInYEar/12)</f>
        <v>48779.1862499998</v>
      </c>
      <c r="K288" s="1005" t="n">
        <f aca="false">J288+(E287*NDDaysInYEar/12)</f>
        <v>49144.441122685</v>
      </c>
      <c r="L288" s="1005" t="n">
        <f aca="false">K288+(E287*NDDaysInYEar/12)</f>
        <v>49509.6959953701</v>
      </c>
      <c r="M288" s="1005" t="n">
        <f aca="false">L288+(E287*NDDaysInYEar/12)</f>
        <v>49874.9508680553</v>
      </c>
      <c r="N288" s="1011" t="n">
        <f aca="false">M288+(E287*NDDaysInYEar/12)</f>
        <v>50240.2057407405</v>
      </c>
      <c r="O288" s="1011" t="n">
        <f aca="false">N288+(E287*NDDaysInYEar/12)</f>
        <v>50605.4606134257</v>
      </c>
      <c r="P288" s="1005" t="n">
        <f aca="false">O288+(E287*NDDaysInYEar/12)</f>
        <v>50970.7154861109</v>
      </c>
      <c r="Q288" s="1005" t="n">
        <f aca="false">P288+(E287*NDDaysInYEar/12)</f>
        <v>51335.9703587961</v>
      </c>
      <c r="R288" s="1005" t="n">
        <f aca="false">Q288+(E287*NDDaysInYEar/12)</f>
        <v>51701.2252314812</v>
      </c>
      <c r="S288" s="1005" t="n">
        <f aca="false">R288+(E287*NDDaysInYEar/12)</f>
        <v>52066.4801041664</v>
      </c>
    </row>
    <row r="289" s="206" customFormat="true" ht="15" hidden="false" customHeight="false" outlineLevel="0" collapsed="false">
      <c r="A289" s="206" t="str">
        <f aca="false">VLOOKUP(C274,NDasaSeq,13,0)</f>
        <v>Sg</v>
      </c>
      <c r="B289" s="206" t="n">
        <f aca="false">VLOOKUP(A289,NDasaC,3,0)</f>
        <v>1</v>
      </c>
      <c r="C289" s="998" t="e">
        <f aca="false">IF(MATCH(VLOOKUP(IF((A289="Aq"),VLOOKUP("AqLord",DivCharts,D273,0),IF((A289="Sc"),VLOOKUP("ScLord",DivCharts,D273,0),VLOOKUP(A289,RsInfo,9,0))),DivCharts,D273,0),RsTbl,0)=MATCH(VLOOKUP(IF((A289="Aq"),VLOOKUP("AqLord",DivCharts,D273,0),IF((A289="Sc"),VLOOKUP("ScLord",DivCharts,D273,0),VLOOKUP(A289,RsInfo,9,0))),PlanetData,8,0),RsTbl,0),1,IF(MATCH(VLOOKUP(IF((A289="Aq"),VLOOKUP("AqLord",DivCharts,D273,0),IF((A289="Sc"),VLOOKUP("ScLord",DivCharts,D273,0),VLOOKUP(A289,RsInfo,9,0))),DivCharts,D273,0),RsTbl,0)=MOD(MATCH(VLOOKUP(IF((A289="Aq"),VLOOKUP("AqLord",DivCharts,D273,0),IF((A289="Sc"),VLOOKUP("ScLord",DivCharts,D273,0),VLOOKUP(A289,RsInfo,9,0))),PlanetData,8,0),RsTbl,0)+6,12),-1,0))</f>
        <v>#N/A</v>
      </c>
      <c r="D289" s="998" t="n">
        <f aca="false">MOD((MATCH(VLOOKUP(IF((A289="Aq"),VLOOKUP("AqLord",DivCharts,D273,0),IF((A289="Sc"),VLOOKUP("ScLord",DivCharts,D273,0),VLOOKUP(A289,RsInfo,9,0))),DivCharts,D273,0),RsTbl,0)*B289)-(B289*MATCH(A289,RsTbl,0))+12,12)</f>
        <v>9</v>
      </c>
      <c r="E289" s="206" t="n">
        <f aca="false">IF(ISNA(MATCH((D289+C289),,0)),(D289+C289),12)</f>
        <v>12</v>
      </c>
      <c r="F289" s="1005" t="n">
        <f aca="false">G287</f>
        <v>52431.7349768516</v>
      </c>
      <c r="G289" s="1005" t="n">
        <f aca="false">F289+E289*NDDaysInYEar</f>
        <v>56814.7934490738</v>
      </c>
      <c r="H289" s="992" t="s">
        <v>699</v>
      </c>
      <c r="I289" s="206" t="str">
        <f aca="false">INDEX(SignSym,MOD(B289+MATCH(H289,SignSym,0)-1,12)+1)</f>
        <v>Pi</v>
      </c>
      <c r="J289" s="206" t="str">
        <f aca="false">INDEX(SignSym,MOD(B289+MATCH(I289,SignSym,0)-1,12)+1)</f>
        <v>Ar</v>
      </c>
      <c r="K289" s="206" t="str">
        <f aca="false">INDEX(SignSym,MOD(B289+MATCH(J289,SignSym,0)-1,12)+1)</f>
        <v>Ta</v>
      </c>
      <c r="L289" s="206" t="str">
        <f aca="false">INDEX(SignSym,MOD(B289+MATCH(K289,SignSym,0)-1,12)+1)</f>
        <v>Ge</v>
      </c>
      <c r="M289" s="206" t="str">
        <f aca="false">INDEX(SignSym,MOD(B289+MATCH(L289,SignSym,0)-1,12)+1)</f>
        <v>Cn</v>
      </c>
      <c r="N289" s="206" t="str">
        <f aca="false">INDEX(SignSym,MOD(B289+MATCH(M289,SignSym,0)-1,12)+1)</f>
        <v>Le</v>
      </c>
      <c r="O289" s="206" t="str">
        <f aca="false">INDEX(SignSym,MOD(B289+MATCH(N289,SignSym,0)-1,12)+1)</f>
        <v>Vi</v>
      </c>
      <c r="P289" s="206" t="str">
        <f aca="false">INDEX(SignSym,MOD(B289+MATCH(O289,SignSym,0)-1,12)+1)</f>
        <v>Li</v>
      </c>
      <c r="Q289" s="206" t="str">
        <f aca="false">INDEX(SignSym,MOD(B289+MATCH(P289,SignSym,0)-1,12)+1)</f>
        <v>Sc</v>
      </c>
      <c r="R289" s="206" t="str">
        <f aca="false">INDEX(SignSym,MOD(B289+MATCH(Q289,SignSym,0)-1,12)+1)</f>
        <v>Sg</v>
      </c>
      <c r="S289" s="206" t="str">
        <f aca="false">INDEX(SignSym,MOD(B289+MATCH(R289,SignSym,0)-1,12)+1)</f>
        <v>Cp</v>
      </c>
    </row>
    <row r="290" s="206" customFormat="true" ht="15" hidden="true" customHeight="false" outlineLevel="0" collapsed="false">
      <c r="C290" s="998"/>
      <c r="D290" s="998"/>
      <c r="F290" s="1005"/>
      <c r="G290" s="1005"/>
      <c r="H290" s="1005" t="n">
        <f aca="false">F289</f>
        <v>52431.7349768516</v>
      </c>
      <c r="I290" s="1005" t="n">
        <f aca="false">H290+(E289*NDDaysInYEar/12)</f>
        <v>52796.9898495368</v>
      </c>
      <c r="J290" s="1005" t="n">
        <f aca="false">I290+(E289*NDDaysInYEar/12)</f>
        <v>53162.244722222</v>
      </c>
      <c r="K290" s="1005" t="n">
        <f aca="false">J290+(E289*NDDaysInYEar/12)</f>
        <v>53527.4995949071</v>
      </c>
      <c r="L290" s="1005" t="n">
        <f aca="false">K290+(E289*NDDaysInYEar/12)</f>
        <v>53892.7544675923</v>
      </c>
      <c r="M290" s="1005" t="n">
        <f aca="false">L290+(E289*NDDaysInYEar/12)</f>
        <v>54258.0093402775</v>
      </c>
      <c r="N290" s="1005" t="n">
        <f aca="false">M290+(E289*NDDaysInYEar/12)</f>
        <v>54623.2642129627</v>
      </c>
      <c r="O290" s="1005" t="n">
        <f aca="false">N290+(E289*NDDaysInYEar/12)</f>
        <v>54988.5190856479</v>
      </c>
      <c r="P290" s="1005" t="n">
        <f aca="false">O290+(E289*NDDaysInYEar/12)</f>
        <v>55353.7739583331</v>
      </c>
      <c r="Q290" s="1005" t="n">
        <f aca="false">P290+(E289*NDDaysInYEar/12)</f>
        <v>55719.0288310182</v>
      </c>
      <c r="R290" s="1005" t="n">
        <f aca="false">Q290+(E289*NDDaysInYEar/12)</f>
        <v>56084.2837037034</v>
      </c>
      <c r="S290" s="1005" t="n">
        <f aca="false">R290+(E289*NDDaysInYEar/12)</f>
        <v>56449.5385763886</v>
      </c>
    </row>
    <row r="291" s="206" customFormat="true" ht="15" hidden="false" customHeight="false" outlineLevel="0" collapsed="false">
      <c r="A291" s="206" t="str">
        <f aca="false">VLOOKUP(C274,NDasaSeq,14,0)</f>
        <v>Le</v>
      </c>
      <c r="B291" s="206" t="n">
        <f aca="false">VLOOKUP(A291,NDasaC,3,0)</f>
        <v>-1</v>
      </c>
      <c r="C291" s="998" t="e">
        <f aca="false">IF(MATCH(VLOOKUP(IF((A291="Aq"),VLOOKUP("AqLord",DivCharts,D273,0),IF((A291="Sc"),VLOOKUP("ScLord",DivCharts,D273,0),VLOOKUP(A291,RsInfo,9,0))),DivCharts,D273,0),RsTbl,0)=MATCH(VLOOKUP(IF((A291="Aq"),VLOOKUP("AqLord",DivCharts,D273,0),IF((A291="Sc"),VLOOKUP("ScLord",DivCharts,D273,0),VLOOKUP(A291,RsInfo,9,0))),PlanetData,8,0),RsTbl,0),1,IF(MATCH(VLOOKUP(IF((A291="Aq"),VLOOKUP("AqLord",DivCharts,D273,0),IF((A291="Sc"),VLOOKUP("ScLord",DivCharts,D273,0),VLOOKUP(A291,RsInfo,9,0))),DivCharts,D273,0),RsTbl,0)=MOD(MATCH(VLOOKUP(IF((A291="Aq"),VLOOKUP("AqLord",DivCharts,D273,0),IF((A291="Sc"),VLOOKUP("ScLord",DivCharts,D273,0),VLOOKUP(A291,RsInfo,9,0))),PlanetData,8,0),RsTbl,0)+6,12),-1,0))</f>
        <v>#N/A</v>
      </c>
      <c r="D291" s="998" t="n">
        <f aca="false">MOD((MATCH(VLOOKUP(IF((A291="Aq"),VLOOKUP("AqLord",DivCharts,D273,0),IF((A291="Sc"),VLOOKUP("ScLord",DivCharts,D273,0),VLOOKUP(A291,RsInfo,9,0))),DivCharts,D273,0),RsTbl,0)*B291)-(B291*MATCH(A291,RsTbl,0))+12,12)</f>
        <v>10</v>
      </c>
      <c r="E291" s="206" t="n">
        <f aca="false">IF(ISNA(MATCH((D291+C291),,0)),(D291+C291),12)</f>
        <v>12</v>
      </c>
      <c r="F291" s="1005" t="n">
        <f aca="false">G289</f>
        <v>56814.7934490738</v>
      </c>
      <c r="G291" s="1005" t="n">
        <f aca="false">F291+E291*NDDaysInYEar</f>
        <v>61197.851921296</v>
      </c>
      <c r="H291" s="992" t="s">
        <v>693</v>
      </c>
      <c r="I291" s="206" t="str">
        <f aca="false">INDEX(SignSym,MOD(B291+MATCH(H291,SignSym,0)-1,12)+1)</f>
        <v>Ar</v>
      </c>
      <c r="J291" s="206" t="str">
        <f aca="false">INDEX(SignSym,MOD(B291+MATCH(I291,SignSym,0)-1,12)+1)</f>
        <v>Pi</v>
      </c>
      <c r="K291" s="206" t="str">
        <f aca="false">INDEX(SignSym,MOD(B291+MATCH(J291,SignSym,0)-1,12)+1)</f>
        <v>Aq</v>
      </c>
      <c r="L291" s="206" t="str">
        <f aca="false">INDEX(SignSym,MOD(B291+MATCH(K291,SignSym,0)-1,12)+1)</f>
        <v>Cp</v>
      </c>
      <c r="M291" s="206" t="str">
        <f aca="false">INDEX(SignSym,MOD(B291+MATCH(L291,SignSym,0)-1,12)+1)</f>
        <v>Sg</v>
      </c>
      <c r="N291" s="206" t="str">
        <f aca="false">INDEX(SignSym,MOD(B291+MATCH(M291,SignSym,0)-1,12)+1)</f>
        <v>Sc</v>
      </c>
      <c r="O291" s="206" t="str">
        <f aca="false">INDEX(SignSym,MOD(B291+MATCH(N291,SignSym,0)-1,12)+1)</f>
        <v>Li</v>
      </c>
      <c r="P291" s="206" t="str">
        <f aca="false">INDEX(SignSym,MOD(B291+MATCH(O291,SignSym,0)-1,12)+1)</f>
        <v>Vi</v>
      </c>
      <c r="Q291" s="206" t="str">
        <f aca="false">INDEX(SignSym,MOD(B291+MATCH(P291,SignSym,0)-1,12)+1)</f>
        <v>Le</v>
      </c>
      <c r="R291" s="206" t="str">
        <f aca="false">INDEX(SignSym,MOD(B291+MATCH(Q291,SignSym,0)-1,12)+1)</f>
        <v>Cn</v>
      </c>
      <c r="S291" s="206" t="str">
        <f aca="false">INDEX(SignSym,MOD(B291+MATCH(R291,SignSym,0)-1,12)+1)</f>
        <v>Ge</v>
      </c>
    </row>
    <row r="292" s="206" customFormat="true" ht="15" hidden="true" customHeight="false" outlineLevel="0" collapsed="false">
      <c r="C292" s="998"/>
      <c r="D292" s="998"/>
      <c r="F292" s="1005"/>
      <c r="G292" s="1005"/>
      <c r="H292" s="1005" t="n">
        <f aca="false">F291</f>
        <v>56814.7934490738</v>
      </c>
      <c r="I292" s="1005" t="n">
        <f aca="false">H292+(E291*NDDaysInYEar/12)</f>
        <v>57180.048321759</v>
      </c>
      <c r="J292" s="1005" t="n">
        <f aca="false">I292+(E291*NDDaysInYEar/12)</f>
        <v>57545.3031944441</v>
      </c>
      <c r="K292" s="1005" t="n">
        <f aca="false">J292+(E291*NDDaysInYEar/12)</f>
        <v>57910.5580671293</v>
      </c>
      <c r="L292" s="1005" t="n">
        <f aca="false">K292+(E291*NDDaysInYEar/12)</f>
        <v>58275.8129398145</v>
      </c>
      <c r="M292" s="1005" t="n">
        <f aca="false">L292+(E291*NDDaysInYEar/12)</f>
        <v>58641.0678124997</v>
      </c>
      <c r="N292" s="1005" t="n">
        <f aca="false">M292+(E291*NDDaysInYEar/12)</f>
        <v>59006.3226851849</v>
      </c>
      <c r="O292" s="1005" t="n">
        <f aca="false">N292+(E291*NDDaysInYEar/12)</f>
        <v>59371.5775578701</v>
      </c>
      <c r="P292" s="1005" t="n">
        <f aca="false">O292+(E291*NDDaysInYEar/12)</f>
        <v>59736.8324305552</v>
      </c>
      <c r="Q292" s="1005" t="n">
        <f aca="false">P292+(E291*NDDaysInYEar/12)</f>
        <v>60102.0873032404</v>
      </c>
      <c r="R292" s="1005" t="n">
        <f aca="false">Q292+(E291*NDDaysInYEar/12)</f>
        <v>60467.3421759256</v>
      </c>
      <c r="S292" s="1005" t="n">
        <f aca="false">R292+(E291*NDDaysInYEar/12)</f>
        <v>60832.5970486108</v>
      </c>
    </row>
    <row r="293" s="206" customFormat="true" ht="15" hidden="false" customHeight="false" outlineLevel="0" collapsed="false">
      <c r="A293" s="206" t="str">
        <f aca="false">VLOOKUP(C274,NDasaSeq,15,0)</f>
        <v>Ar</v>
      </c>
      <c r="B293" s="206" t="n">
        <f aca="false">VLOOKUP(A293,NDasaC,3,0)</f>
        <v>1</v>
      </c>
      <c r="C293" s="998" t="e">
        <f aca="false">IF(MATCH(VLOOKUP(IF((A293="Aq"),VLOOKUP("AqLord",DivCharts,D273,0),IF((A293="Sc"),VLOOKUP("ScLord",DivCharts,D273,0),VLOOKUP(A293,RsInfo,9,0))),DivCharts,D273,0),RsTbl,0)=MATCH(VLOOKUP(IF((A293="Aq"),VLOOKUP("AqLord",DivCharts,D273,0),IF((A293="Sc"),VLOOKUP("ScLord",DivCharts,D273,0),VLOOKUP(A293,RsInfo,9,0))),PlanetData,8,0),RsTbl,0),1,IF(MATCH(VLOOKUP(IF((A293="Aq"),VLOOKUP("AqLord",DivCharts,D273,0),IF((A293="Sc"),VLOOKUP("ScLord",DivCharts,D273,0),VLOOKUP(A293,RsInfo,9,0))),DivCharts,D273,0),RsTbl,0)=MOD(MATCH(VLOOKUP(IF((A293="Aq"),VLOOKUP("AqLord",DivCharts,D273,0),IF((A293="Sc"),VLOOKUP("ScLord",DivCharts,D273,0),VLOOKUP(A293,RsInfo,9,0))),PlanetData,8,0),RsTbl,0)+6,12),-1,0))</f>
        <v>#N/A</v>
      </c>
      <c r="D293" s="998" t="n">
        <f aca="false">MOD((MATCH(VLOOKUP(IF((A293="Aq"),VLOOKUP("AqLord",DivCharts,D273,0),IF((A293="Sc"),VLOOKUP("ScLord",DivCharts,D273,0),VLOOKUP(A293,RsInfo,9,0))),DivCharts,D273,0),RsTbl,0)*B293)-(B293*MATCH(A293,RsTbl,0))+12,12)</f>
        <v>2</v>
      </c>
      <c r="E293" s="206" t="n">
        <f aca="false">IF(ISNA(MATCH((D293+C293),,0)),(D293+C293),12)</f>
        <v>12</v>
      </c>
      <c r="F293" s="1005" t="n">
        <f aca="false">G291</f>
        <v>61197.851921296</v>
      </c>
      <c r="G293" s="1005" t="n">
        <f aca="false">F293+E293*NDDaysInYEar</f>
        <v>65580.9103935182</v>
      </c>
      <c r="H293" s="992" t="str">
        <f aca="false">A293</f>
        <v>Ar</v>
      </c>
      <c r="I293" s="206" t="str">
        <f aca="false">INDEX(SignSym,MOD(B293+MATCH(H293,SignSym,0)-1,12)+1)</f>
        <v>Ta</v>
      </c>
      <c r="J293" s="206" t="str">
        <f aca="false">INDEX(SignSym,MOD(B293+MATCH(I293,SignSym,0)-1,12)+1)</f>
        <v>Ge</v>
      </c>
      <c r="K293" s="206" t="str">
        <f aca="false">INDEX(SignSym,MOD(B293+MATCH(J293,SignSym,0)-1,12)+1)</f>
        <v>Cn</v>
      </c>
      <c r="L293" s="206" t="str">
        <f aca="false">INDEX(SignSym,MOD(B293+MATCH(K293,SignSym,0)-1,12)+1)</f>
        <v>Le</v>
      </c>
      <c r="M293" s="206" t="str">
        <f aca="false">INDEX(SignSym,MOD(B293+MATCH(L293,SignSym,0)-1,12)+1)</f>
        <v>Vi</v>
      </c>
      <c r="N293" s="206" t="str">
        <f aca="false">INDEX(SignSym,MOD(B293+MATCH(M293,SignSym,0)-1,12)+1)</f>
        <v>Li</v>
      </c>
      <c r="O293" s="206" t="str">
        <f aca="false">INDEX(SignSym,MOD(B293+MATCH(N293,SignSym,0)-1,12)+1)</f>
        <v>Sc</v>
      </c>
      <c r="P293" s="206" t="str">
        <f aca="false">INDEX(SignSym,MOD(B293+MATCH(O293,SignSym,0)-1,12)+1)</f>
        <v>Sg</v>
      </c>
      <c r="Q293" s="206" t="str">
        <f aca="false">INDEX(SignSym,MOD(B293+MATCH(P293,SignSym,0)-1,12)+1)</f>
        <v>Cp</v>
      </c>
      <c r="R293" s="206" t="str">
        <f aca="false">INDEX(SignSym,MOD(B293+MATCH(Q293,SignSym,0)-1,12)+1)</f>
        <v>Aq</v>
      </c>
      <c r="S293" s="206" t="str">
        <f aca="false">INDEX(SignSym,MOD(B293+MATCH(R293,SignSym,0)-1,12)+1)</f>
        <v>Pi</v>
      </c>
    </row>
    <row r="294" s="206" customFormat="true" ht="12.75" hidden="true" customHeight="true" outlineLevel="0" collapsed="false">
      <c r="C294" s="998"/>
      <c r="D294" s="998"/>
      <c r="F294" s="1005"/>
      <c r="G294" s="1005"/>
      <c r="H294" s="1005" t="n">
        <f aca="false">F293</f>
        <v>61197.851921296</v>
      </c>
      <c r="I294" s="1005" t="n">
        <f aca="false">H294+(E293*NDDaysInYEar/12)</f>
        <v>61563.1067939812</v>
      </c>
      <c r="J294" s="1005" t="n">
        <f aca="false">I294+(E293*NDDaysInYEar/12)</f>
        <v>61928.3616666663</v>
      </c>
      <c r="K294" s="1005" t="n">
        <f aca="false">J294+(E293*NDDaysInYEar/12)</f>
        <v>62293.6165393515</v>
      </c>
      <c r="L294" s="1005" t="n">
        <f aca="false">K294+(E293*NDDaysInYEar/12)</f>
        <v>62658.8714120367</v>
      </c>
      <c r="M294" s="1005" t="n">
        <f aca="false">L294+(E293*NDDaysInYEar/12)</f>
        <v>63024.1262847219</v>
      </c>
      <c r="N294" s="1005" t="n">
        <f aca="false">M294+(E293*NDDaysInYEar/12)</f>
        <v>63389.3811574071</v>
      </c>
      <c r="O294" s="1005" t="n">
        <f aca="false">N294+(E293*NDDaysInYEar/12)</f>
        <v>63754.6360300922</v>
      </c>
      <c r="P294" s="1005" t="n">
        <f aca="false">O294+(E293*NDDaysInYEar/12)</f>
        <v>64119.8909027774</v>
      </c>
      <c r="Q294" s="1005" t="n">
        <f aca="false">P294+(E293*NDDaysInYEar/12)</f>
        <v>64485.1457754626</v>
      </c>
      <c r="R294" s="1005" t="n">
        <f aca="false">Q294+(E293*NDDaysInYEar/12)</f>
        <v>64850.4006481478</v>
      </c>
      <c r="S294" s="1005" t="n">
        <f aca="false">R294+(E293*NDDaysInYEar/12)</f>
        <v>65215.655520833</v>
      </c>
    </row>
    <row r="295" s="206" customFormat="true" ht="15" hidden="false" customHeight="false" outlineLevel="0" collapsed="false">
      <c r="A295" s="206" t="str">
        <f aca="false">VLOOKUP(C274,NDasaSeq,16,0)</f>
        <v>Pi</v>
      </c>
      <c r="B295" s="206" t="n">
        <f aca="false">VLOOKUP(A295,NDasaC,3,0)</f>
        <v>-1</v>
      </c>
      <c r="C295" s="998" t="e">
        <f aca="false">IF(MATCH(VLOOKUP(IF((A295="Aq"),VLOOKUP("AqLord",DivCharts,D273,0),IF((A295="Sc"),VLOOKUP("ScLord",DivCharts,D273,0),VLOOKUP(A295,RsInfo,9,0))),DivCharts,D273,0),RsTbl,0)=MATCH(VLOOKUP(IF((A295="Aq"),VLOOKUP("AqLord",DivCharts,D273,0),IF((A295="Sc"),VLOOKUP("ScLord",DivCharts,D273,0),VLOOKUP(A295,RsInfo,9,0))),PlanetData,8,0),RsTbl,0),1,IF(MATCH(VLOOKUP(IF((A295="Aq"),VLOOKUP("AqLord",DivCharts,D273,0),IF((A295="Sc"),VLOOKUP("ScLord",DivCharts,D273,0),VLOOKUP(A295,RsInfo,9,0))),DivCharts,D273,0),RsTbl,0)=MOD(MATCH(VLOOKUP(IF((A295="Aq"),VLOOKUP("AqLord",DivCharts,D273,0),IF((A295="Sc"),VLOOKUP("ScLord",DivCharts,D273,0),VLOOKUP(A295,RsInfo,9,0))),PlanetData,8,0),RsTbl,0)+6,12),-1,0))</f>
        <v>#N/A</v>
      </c>
      <c r="D295" s="998" t="n">
        <f aca="false">MOD((MATCH(VLOOKUP(IF((A295="Aq"),VLOOKUP("AqLord",DivCharts,D273,0),IF((A295="Sc"),VLOOKUP("ScLord",DivCharts,D273,0),VLOOKUP(A295,RsInfo,9,0))),DivCharts,D273,0),RsTbl,0)*B295)-(B295*MATCH(A295,RsTbl,0))+12,12)</f>
        <v>6</v>
      </c>
      <c r="E295" s="206" t="n">
        <f aca="false">IF(ISNA(MATCH((D295+C295),,0)),(D295+C295),12)</f>
        <v>12</v>
      </c>
      <c r="F295" s="1005" t="n">
        <f aca="false">G293</f>
        <v>65580.9103935182</v>
      </c>
      <c r="G295" s="1005" t="n">
        <f aca="false">F295+E295*NDDaysInYEar</f>
        <v>69963.9688657403</v>
      </c>
      <c r="H295" s="992" t="str">
        <f aca="false">A295</f>
        <v>Pi</v>
      </c>
      <c r="I295" s="206" t="str">
        <f aca="false">INDEX(SignSym,MOD(B295+MATCH(H295,SignSym,0)-1,12)+1)</f>
        <v>Aq</v>
      </c>
      <c r="J295" s="206" t="str">
        <f aca="false">INDEX(SignSym,MOD(B295+MATCH(I295,SignSym,0)-1,12)+1)</f>
        <v>Cp</v>
      </c>
      <c r="K295" s="206" t="str">
        <f aca="false">INDEX(SignSym,MOD(B295+MATCH(J295,SignSym,0)-1,12)+1)</f>
        <v>Sg</v>
      </c>
      <c r="L295" s="206" t="str">
        <f aca="false">INDEX(SignSym,MOD(B295+MATCH(K295,SignSym,0)-1,12)+1)</f>
        <v>Sc</v>
      </c>
      <c r="M295" s="206" t="str">
        <f aca="false">INDEX(SignSym,MOD(B295+MATCH(L295,SignSym,0)-1,12)+1)</f>
        <v>Li</v>
      </c>
      <c r="N295" s="206" t="str">
        <f aca="false">INDEX(SignSym,MOD(B295+MATCH(M295,SignSym,0)-1,12)+1)</f>
        <v>Vi</v>
      </c>
      <c r="O295" s="206" t="str">
        <f aca="false">INDEX(SignSym,MOD(B295+MATCH(N295,SignSym,0)-1,12)+1)</f>
        <v>Le</v>
      </c>
      <c r="P295" s="206" t="str">
        <f aca="false">INDEX(SignSym,MOD(B295+MATCH(O295,SignSym,0)-1,12)+1)</f>
        <v>Cn</v>
      </c>
      <c r="Q295" s="206" t="str">
        <f aca="false">INDEX(SignSym,MOD(B295+MATCH(P295,SignSym,0)-1,12)+1)</f>
        <v>Ge</v>
      </c>
      <c r="R295" s="206" t="str">
        <f aca="false">INDEX(SignSym,MOD(B295+MATCH(Q295,SignSym,0)-1,12)+1)</f>
        <v>Ta</v>
      </c>
      <c r="S295" s="206" t="str">
        <f aca="false">INDEX(SignSym,MOD(B295+MATCH(R295,SignSym,0)-1,12)+1)</f>
        <v>Ar</v>
      </c>
    </row>
    <row r="296" s="206" customFormat="true" ht="12.75" hidden="true" customHeight="true" outlineLevel="0" collapsed="false">
      <c r="C296" s="998"/>
      <c r="D296" s="998"/>
      <c r="F296" s="1005"/>
      <c r="G296" s="1005"/>
      <c r="H296" s="1005" t="n">
        <f aca="false">F295</f>
        <v>65580.9103935182</v>
      </c>
      <c r="I296" s="1005" t="n">
        <f aca="false">H296+(E295*NDDaysInYEar/12)</f>
        <v>65946.1652662033</v>
      </c>
      <c r="J296" s="1005" t="n">
        <f aca="false">I296+(E295*NDDaysInYEar/12)</f>
        <v>66311.4201388885</v>
      </c>
      <c r="K296" s="1005" t="n">
        <f aca="false">J296+(E295*NDDaysInYEar/12)</f>
        <v>66676.6750115737</v>
      </c>
      <c r="L296" s="1005" t="n">
        <f aca="false">K296+(E295*NDDaysInYEar/12)</f>
        <v>67041.9298842589</v>
      </c>
      <c r="M296" s="1005" t="n">
        <f aca="false">L296+(E295*NDDaysInYEar/12)</f>
        <v>67407.1847569441</v>
      </c>
      <c r="N296" s="1005" t="n">
        <f aca="false">M296+(E295*NDDaysInYEar/12)</f>
        <v>67772.4396296292</v>
      </c>
      <c r="O296" s="1005" t="n">
        <f aca="false">N296+(E295*NDDaysInYEar/12)</f>
        <v>68137.6945023144</v>
      </c>
      <c r="P296" s="1005" t="n">
        <f aca="false">O296+(E295*NDDaysInYEar/12)</f>
        <v>68502.9493749996</v>
      </c>
      <c r="Q296" s="1005" t="n">
        <f aca="false">P296+(E295*NDDaysInYEar/12)</f>
        <v>68868.2042476848</v>
      </c>
      <c r="R296" s="1005" t="n">
        <f aca="false">Q296+(E295*NDDaysInYEar/12)</f>
        <v>69233.45912037</v>
      </c>
      <c r="S296" s="1005" t="n">
        <f aca="false">R296+(E295*NDDaysInYEar/12)</f>
        <v>69598.7139930552</v>
      </c>
    </row>
    <row r="297" s="206" customFormat="true" ht="15" hidden="false" customHeight="false" outlineLevel="0" collapsed="false">
      <c r="A297" s="206" t="str">
        <f aca="false">VLOOKUP(C274,NDasaSeq,17,0)</f>
        <v>Sc</v>
      </c>
      <c r="B297" s="206" t="n">
        <f aca="false">VLOOKUP(A297,NDasaC,3,0)</f>
        <v>1</v>
      </c>
      <c r="C297" s="998" t="e">
        <f aca="false">IF(MATCH(VLOOKUP(IF((A297="Aq"),VLOOKUP("AqLord",DivCharts,D273,0),IF((A297="Sc"),VLOOKUP("ScLord",DivCharts,D273,0),VLOOKUP(A297,RsInfo,9,0))),DivCharts,D273,0),RsTbl,0)=MATCH(VLOOKUP(IF((A297="Aq"),VLOOKUP("AqLord",DivCharts,D273,0),IF((A297="Sc"),VLOOKUP("ScLord",DivCharts,D273,0),VLOOKUP(A297,RsInfo,9,0))),PlanetData,8,0),RsTbl,0),1,IF(MATCH(VLOOKUP(IF((A297="Aq"),VLOOKUP("AqLord",DivCharts,D273,0),IF((A297="Sc"),VLOOKUP("ScLord",DivCharts,D273,0),VLOOKUP(A297,RsInfo,9,0))),DivCharts,D273,0),RsTbl,0)=MOD(MATCH(VLOOKUP(IF((A297="Aq"),VLOOKUP("AqLord",DivCharts,D273,0),IF((A297="Sc"),VLOOKUP("ScLord",DivCharts,D273,0),VLOOKUP(A297,RsInfo,9,0))),PlanetData,8,0),RsTbl,0)+6,12),-1,0))</f>
        <v>#N/A</v>
      </c>
      <c r="D297" s="998" t="n">
        <f aca="false">MOD((MATCH(VLOOKUP(IF((A297="Aq"),VLOOKUP("AqLord",DivCharts,D273,0),IF((A297="Sc"),VLOOKUP("ScLord",DivCharts,D273,0),VLOOKUP(A297,RsInfo,9,0))),DivCharts,D273,0),RsTbl,0)*B297)-(B297*MATCH(A297,RsTbl,0))+12,12)</f>
        <v>7</v>
      </c>
      <c r="E297" s="206" t="n">
        <f aca="false">IF(ISNA(MATCH((D297+C297),,0)),(D297+C297),12)</f>
        <v>12</v>
      </c>
      <c r="F297" s="1005" t="n">
        <f aca="false">G295</f>
        <v>69963.9688657403</v>
      </c>
      <c r="G297" s="1005" t="n">
        <f aca="false">F297+E297*NDDaysInYEar</f>
        <v>74347.0273379625</v>
      </c>
      <c r="H297" s="992" t="str">
        <f aca="false">A297</f>
        <v>Sc</v>
      </c>
      <c r="I297" s="206" t="str">
        <f aca="false">INDEX(SignSym,MOD(B297+MATCH(H297,SignSym,0)-1,12)+1)</f>
        <v>Sg</v>
      </c>
      <c r="J297" s="206" t="str">
        <f aca="false">INDEX(SignSym,MOD(B297+MATCH(I297,SignSym,0)-1,12)+1)</f>
        <v>Cp</v>
      </c>
      <c r="K297" s="206" t="str">
        <f aca="false">INDEX(SignSym,MOD(B297+MATCH(J297,SignSym,0)-1,12)+1)</f>
        <v>Aq</v>
      </c>
      <c r="L297" s="206" t="str">
        <f aca="false">INDEX(SignSym,MOD(B297+MATCH(K297,SignSym,0)-1,12)+1)</f>
        <v>Pi</v>
      </c>
      <c r="M297" s="206" t="str">
        <f aca="false">INDEX(SignSym,MOD(B297+MATCH(L297,SignSym,0)-1,12)+1)</f>
        <v>Ar</v>
      </c>
      <c r="N297" s="206" t="str">
        <f aca="false">INDEX(SignSym,MOD(B297+MATCH(M297,SignSym,0)-1,12)+1)</f>
        <v>Ta</v>
      </c>
      <c r="O297" s="206" t="str">
        <f aca="false">INDEX(SignSym,MOD(B297+MATCH(N297,SignSym,0)-1,12)+1)</f>
        <v>Ge</v>
      </c>
      <c r="P297" s="206" t="str">
        <f aca="false">INDEX(SignSym,MOD(B297+MATCH(O297,SignSym,0)-1,12)+1)</f>
        <v>Cn</v>
      </c>
      <c r="Q297" s="206" t="str">
        <f aca="false">INDEX(SignSym,MOD(B297+MATCH(P297,SignSym,0)-1,12)+1)</f>
        <v>Le</v>
      </c>
      <c r="R297" s="206" t="str">
        <f aca="false">INDEX(SignSym,MOD(B297+MATCH(Q297,SignSym,0)-1,12)+1)</f>
        <v>Vi</v>
      </c>
      <c r="S297" s="206" t="str">
        <f aca="false">INDEX(SignSym,MOD(B297+MATCH(R297,SignSym,0)-1,12)+1)</f>
        <v>Li</v>
      </c>
    </row>
    <row r="298" s="206" customFormat="true" ht="12.75" hidden="true" customHeight="true" outlineLevel="0" collapsed="false">
      <c r="C298" s="998"/>
      <c r="D298" s="998"/>
      <c r="F298" s="1005"/>
      <c r="G298" s="1005"/>
      <c r="H298" s="1005" t="n">
        <f aca="false">F297</f>
        <v>69963.9688657403</v>
      </c>
      <c r="I298" s="1005" t="n">
        <f aca="false">H298+(E297*NDDaysInYEar/12)</f>
        <v>70329.2237384255</v>
      </c>
      <c r="J298" s="1005" t="n">
        <f aca="false">I298+(E297*NDDaysInYEar/12)</f>
        <v>70694.4786111107</v>
      </c>
      <c r="K298" s="1005" t="n">
        <f aca="false">J298+(E297*NDDaysInYEar/12)</f>
        <v>71059.7334837959</v>
      </c>
      <c r="L298" s="1005" t="n">
        <f aca="false">K298+(E297*NDDaysInYEar/12)</f>
        <v>71424.9883564811</v>
      </c>
      <c r="M298" s="1005" t="n">
        <f aca="false">L298+(E297*NDDaysInYEar/12)</f>
        <v>71790.2432291662</v>
      </c>
      <c r="N298" s="1005" t="n">
        <f aca="false">M298+(E297*NDDaysInYEar/12)</f>
        <v>72155.4981018514</v>
      </c>
      <c r="O298" s="1005" t="n">
        <f aca="false">N298+(E297*NDDaysInYEar/12)</f>
        <v>72520.7529745366</v>
      </c>
      <c r="P298" s="1005" t="n">
        <f aca="false">O298+(E297*NDDaysInYEar/12)</f>
        <v>72886.0078472218</v>
      </c>
      <c r="Q298" s="1005" t="n">
        <f aca="false">P298+(E297*NDDaysInYEar/12)</f>
        <v>73251.262719907</v>
      </c>
      <c r="R298" s="1005" t="n">
        <f aca="false">Q298+(E297*NDDaysInYEar/12)</f>
        <v>73616.5175925922</v>
      </c>
      <c r="S298" s="1005" t="n">
        <f aca="false">R298+(E297*NDDaysInYEar/12)</f>
        <v>73981.7724652773</v>
      </c>
    </row>
    <row r="299" s="206" customFormat="true" ht="15" hidden="false" customHeight="false" outlineLevel="0" collapsed="false">
      <c r="A299" s="206" t="str">
        <f aca="false">VLOOKUP(C274,NDasaSeq,18,0)</f>
        <v>Cn</v>
      </c>
      <c r="B299" s="206" t="n">
        <f aca="false">VLOOKUP(A299,NDasaC,3,0)</f>
        <v>-1</v>
      </c>
      <c r="C299" s="998" t="e">
        <f aca="false">IF(MATCH(VLOOKUP(IF((A299="Aq"),VLOOKUP("AqLord",DivCharts,D273,0),IF((A299="Sc"),VLOOKUP("ScLord",DivCharts,D273,0),VLOOKUP(A299,RsInfo,9,0))),DivCharts,D273,0),RsTbl,0)=MATCH(VLOOKUP(IF((A299="Aq"),VLOOKUP("AqLord",DivCharts,D273,0),IF((A299="Sc"),VLOOKUP("ScLord",DivCharts,D273,0),VLOOKUP(A299,RsInfo,9,0))),PlanetData,8,0),RsTbl,0),1,IF(MATCH(VLOOKUP(IF((A299="Aq"),VLOOKUP("AqLord",DivCharts,D273,0),IF((A299="Sc"),VLOOKUP("ScLord",DivCharts,D273,0),VLOOKUP(A299,RsInfo,9,0))),DivCharts,D273,0),RsTbl,0)=MOD(MATCH(VLOOKUP(IF((A299="Aq"),VLOOKUP("AqLord",DivCharts,D273,0),IF((A299="Sc"),VLOOKUP("ScLord",DivCharts,D273,0),VLOOKUP(A299,RsInfo,9,0))),PlanetData,8,0),RsTbl,0)+6,12),-1,0))</f>
        <v>#N/A</v>
      </c>
      <c r="D299" s="998" t="n">
        <f aca="false">MOD((MATCH(VLOOKUP(IF((A299="Aq"),VLOOKUP("AqLord",DivCharts,D273,0),IF((A299="Sc"),VLOOKUP("ScLord",DivCharts,D273,0),VLOOKUP(A299,RsInfo,9,0))),DivCharts,D273,0),RsTbl,0)*B299)-(B299*MATCH(A299,RsTbl,0))+12,12)</f>
        <v>11</v>
      </c>
      <c r="E299" s="206" t="n">
        <f aca="false">IF(ISNA(MATCH((D299+C299),,0)),(D299+C299),12)</f>
        <v>12</v>
      </c>
      <c r="F299" s="1005" t="n">
        <f aca="false">G297</f>
        <v>74347.0273379625</v>
      </c>
      <c r="G299" s="1005" t="n">
        <f aca="false">F299+E299*NDDaysInYEar</f>
        <v>78730.0858101847</v>
      </c>
      <c r="H299" s="992" t="str">
        <f aca="false">A299</f>
        <v>Cn</v>
      </c>
      <c r="I299" s="206" t="str">
        <f aca="false">INDEX(SignSym,MOD(B299+MATCH(H299,SignSym,0)-1,12)+1)</f>
        <v>Ge</v>
      </c>
      <c r="J299" s="206" t="str">
        <f aca="false">INDEX(SignSym,MOD(B299+MATCH(I299,SignSym,0)-1,12)+1)</f>
        <v>Ta</v>
      </c>
      <c r="K299" s="206" t="str">
        <f aca="false">INDEX(SignSym,MOD(B299+MATCH(J299,SignSym,0)-1,12)+1)</f>
        <v>Ar</v>
      </c>
      <c r="L299" s="206" t="str">
        <f aca="false">INDEX(SignSym,MOD(B299+MATCH(K299,SignSym,0)-1,12)+1)</f>
        <v>Pi</v>
      </c>
      <c r="M299" s="206" t="str">
        <f aca="false">INDEX(SignSym,MOD(B299+MATCH(L299,SignSym,0)-1,12)+1)</f>
        <v>Aq</v>
      </c>
      <c r="N299" s="206" t="str">
        <f aca="false">INDEX(SignSym,MOD(B299+MATCH(M299,SignSym,0)-1,12)+1)</f>
        <v>Cp</v>
      </c>
      <c r="O299" s="206" t="str">
        <f aca="false">INDEX(SignSym,MOD(B299+MATCH(N299,SignSym,0)-1,12)+1)</f>
        <v>Sg</v>
      </c>
      <c r="P299" s="206" t="str">
        <f aca="false">INDEX(SignSym,MOD(B299+MATCH(O299,SignSym,0)-1,12)+1)</f>
        <v>Sc</v>
      </c>
      <c r="Q299" s="206" t="str">
        <f aca="false">INDEX(SignSym,MOD(B299+MATCH(P299,SignSym,0)-1,12)+1)</f>
        <v>Li</v>
      </c>
      <c r="R299" s="206" t="str">
        <f aca="false">INDEX(SignSym,MOD(B299+MATCH(Q299,SignSym,0)-1,12)+1)</f>
        <v>Vi</v>
      </c>
      <c r="S299" s="206" t="str">
        <f aca="false">INDEX(SignSym,MOD(B299+MATCH(R299,SignSym,0)-1,12)+1)</f>
        <v>Le</v>
      </c>
    </row>
    <row r="300" s="206" customFormat="true" ht="15" hidden="true" customHeight="false" outlineLevel="0" collapsed="false">
      <c r="D300" s="998"/>
      <c r="H300" s="1005" t="n">
        <f aca="false">F299</f>
        <v>74347.0273379625</v>
      </c>
      <c r="I300" s="1005" t="n">
        <f aca="false">H300+(E299*NDDaysInYEar/12)</f>
        <v>74712.2822106477</v>
      </c>
      <c r="J300" s="1005" t="n">
        <f aca="false">I300+(E299*NDDaysInYEar/12)</f>
        <v>75077.5370833329</v>
      </c>
      <c r="K300" s="1005" t="n">
        <f aca="false">J300+(E299*NDDaysInYEar/12)</f>
        <v>75442.7919560181</v>
      </c>
      <c r="L300" s="1005" t="n">
        <f aca="false">K300+(E299*NDDaysInYEar/12)</f>
        <v>75808.0468287032</v>
      </c>
      <c r="M300" s="1005" t="n">
        <f aca="false">L300+(E299*NDDaysInYEar/12)</f>
        <v>76173.3017013884</v>
      </c>
      <c r="N300" s="1005" t="n">
        <f aca="false">M300+(E299*NDDaysInYEar/12)</f>
        <v>76538.5565740736</v>
      </c>
      <c r="O300" s="1005" t="n">
        <f aca="false">N300+(E299*NDDaysInYEar/12)</f>
        <v>76903.8114467588</v>
      </c>
      <c r="P300" s="1005" t="n">
        <f aca="false">O300+(E299*NDDaysInYEar/12)</f>
        <v>77269.066319444</v>
      </c>
      <c r="Q300" s="1005" t="n">
        <f aca="false">P300+(E299*NDDaysInYEar/12)</f>
        <v>77634.3211921292</v>
      </c>
      <c r="R300" s="1005" t="n">
        <f aca="false">Q300+(E299*NDDaysInYEar/12)</f>
        <v>77999.5760648143</v>
      </c>
      <c r="S300" s="1005" t="n">
        <f aca="false">R300+(E299*NDDaysInYEar/12)</f>
        <v>78364.8309374995</v>
      </c>
    </row>
    <row r="301" s="206" customFormat="true" ht="15" hidden="false" customHeight="false" outlineLevel="0" collapsed="false">
      <c r="A301" s="1004"/>
      <c r="B301" s="1004"/>
      <c r="C301" s="1004"/>
      <c r="D301" s="1004"/>
      <c r="E301" s="1004"/>
      <c r="F301" s="1004"/>
      <c r="G301" s="1004"/>
      <c r="H301" s="1004"/>
      <c r="I301" s="1004"/>
      <c r="J301" s="1004"/>
      <c r="K301" s="1004"/>
      <c r="L301" s="1004"/>
      <c r="M301" s="1004"/>
      <c r="N301" s="1004"/>
      <c r="O301" s="1004"/>
      <c r="P301" s="1004"/>
      <c r="Q301" s="1004"/>
      <c r="R301" s="1004"/>
      <c r="S301" s="1004"/>
    </row>
    <row r="303" customFormat="false" ht="15" hidden="false" customHeight="false" outlineLevel="0" collapsed="false">
      <c r="A303" s="985" t="s">
        <v>4224</v>
      </c>
      <c r="B303" s="986"/>
      <c r="C303" s="986"/>
      <c r="D303" s="986"/>
      <c r="E303" s="986"/>
      <c r="F303" s="986"/>
      <c r="G303" s="986"/>
      <c r="H303" s="986"/>
      <c r="I303" s="986"/>
      <c r="J303" s="986"/>
      <c r="K303" s="986"/>
      <c r="L303" s="987"/>
      <c r="M303" s="986"/>
      <c r="N303" s="986"/>
      <c r="O303" s="986"/>
      <c r="P303" s="986"/>
      <c r="Q303" s="986"/>
      <c r="R303" s="986"/>
      <c r="S303" s="986"/>
    </row>
    <row r="304" s="206" customFormat="true" ht="15" hidden="false" customHeight="false" outlineLevel="0" collapsed="false">
      <c r="A304" s="988" t="s">
        <v>4213</v>
      </c>
      <c r="B304" s="988"/>
      <c r="C304" s="989" t="n">
        <v>12</v>
      </c>
      <c r="D304" s="990" t="n">
        <f aca="false">MATCH(C304,$18:$18,1)</f>
        <v>8</v>
      </c>
      <c r="I304" s="991"/>
      <c r="N304" s="991"/>
    </row>
    <row r="305" s="206" customFormat="true" ht="15" hidden="false" customHeight="false" outlineLevel="0" collapsed="false">
      <c r="A305" s="988" t="s">
        <v>4216</v>
      </c>
      <c r="B305" s="988"/>
      <c r="C305" s="992" t="s">
        <v>3175</v>
      </c>
      <c r="D305" s="993"/>
      <c r="H305" s="991"/>
      <c r="I305" s="991"/>
      <c r="J305" s="991"/>
      <c r="P305" s="991"/>
    </row>
    <row r="306" s="206" customFormat="true" ht="15" hidden="false" customHeight="false" outlineLevel="0" collapsed="false">
      <c r="C306" s="991"/>
      <c r="E306" s="991"/>
      <c r="H306" s="991"/>
      <c r="I306" s="991"/>
      <c r="J306" s="991"/>
    </row>
    <row r="307" s="206" customFormat="true" ht="15" hidden="false" customHeight="false" outlineLevel="0" collapsed="false">
      <c r="A307" s="1007" t="s">
        <v>4084</v>
      </c>
      <c r="B307" s="1007" t="s">
        <v>807</v>
      </c>
      <c r="C307" s="1007" t="s">
        <v>4218</v>
      </c>
      <c r="D307" s="1007" t="s">
        <v>4219</v>
      </c>
      <c r="E307" s="1007" t="s">
        <v>400</v>
      </c>
      <c r="F307" s="1007" t="s">
        <v>730</v>
      </c>
      <c r="G307" s="1007" t="s">
        <v>805</v>
      </c>
      <c r="H307" s="1007" t="s">
        <v>4221</v>
      </c>
      <c r="I307" s="991"/>
      <c r="J307" s="991"/>
    </row>
    <row r="308" s="206" customFormat="true" ht="15" hidden="false" customHeight="false" outlineLevel="0" collapsed="false">
      <c r="A308" s="206" t="str">
        <f aca="false">VLOOKUP(C305,NDasaSeq,7,0)</f>
        <v>Sg</v>
      </c>
      <c r="B308" s="206" t="n">
        <f aca="false">VLOOKUP(A308,NDasaC,3,0)</f>
        <v>1</v>
      </c>
      <c r="C308" s="998" t="e">
        <f aca="false">IF(MATCH(VLOOKUP(IF((A308="Aq"),VLOOKUP("AqLord",DivCharts,D304,0),IF((A308="Sc"),VLOOKUP("ScLord",DivCharts,D304,0),VLOOKUP(A308,RsInfo,9,0))),DivCharts,D304,0),RsTbl,0)=MATCH(VLOOKUP(IF((A308="Aq"),VLOOKUP("AqLord",DivCharts,D304,0),IF((A308="Sc"),VLOOKUP("ScLord",DivCharts,D304,0),VLOOKUP(A308,RsInfo,9,0))),PlanetData,8,0),RsTbl,0),1,IF(MATCH(VLOOKUP(IF((A308="Aq"),VLOOKUP("AqLord",DivCharts,D304,0),IF((A308="Sc"),VLOOKUP("ScLord",DivCharts,D304,0),VLOOKUP(A308,RsInfo,9,0))),DivCharts,D304,0),RsTbl,0)=MOD(MATCH(VLOOKUP(IF((A308="Aq"),VLOOKUP("AqLord",DivCharts,D304,0),IF((A308="Sc"),VLOOKUP("ScLord",DivCharts,D304,0),VLOOKUP(A308,RsInfo,9,0))),PlanetData,8,0),RsTbl,0)+6,12),-1,0))</f>
        <v>#N/A</v>
      </c>
      <c r="D308" s="998" t="n">
        <f aca="false">MOD((MATCH(VLOOKUP(IF((A308="Aq"),VLOOKUP("AqLord",DivCharts,D304,0),IF((A308="Sc"),VLOOKUP("ScLord",DivCharts,D304,0),VLOOKUP(A308,RsInfo,9,0))),DivCharts,D304,0),RsTbl,0)*B308)-(B308*MATCH(A308,RsTbl,0))+12,12)</f>
        <v>0</v>
      </c>
      <c r="E308" s="206" t="n">
        <f aca="false">IF(ISNA(MATCH((D308+C308),,0)),(D308+C308),12)</f>
        <v>12</v>
      </c>
      <c r="F308" s="1005" t="n">
        <f aca="false">DoB</f>
        <v>26133.3841435185</v>
      </c>
      <c r="G308" s="1005" t="n">
        <f aca="false">F308+E308*NDDaysInYEar</f>
        <v>30516.4426157407</v>
      </c>
      <c r="H308" s="992" t="str">
        <f aca="false">A308</f>
        <v>Sg</v>
      </c>
      <c r="I308" s="206" t="str">
        <f aca="false">INDEX(SignSym,MOD(B308+MATCH(H308,SignSym,0)-1,12)+1)</f>
        <v>Cp</v>
      </c>
      <c r="J308" s="206" t="str">
        <f aca="false">INDEX(SignSym,MOD(B308+MATCH(I308,SignSym,0)-1,12)+1)</f>
        <v>Aq</v>
      </c>
      <c r="K308" s="206" t="str">
        <f aca="false">INDEX(SignSym,MOD(B308+MATCH(J308,SignSym,0)-1,12)+1)</f>
        <v>Pi</v>
      </c>
      <c r="L308" s="206" t="str">
        <f aca="false">INDEX(SignSym,MOD(B308+MATCH(K308,SignSym,0)-1,12)+1)</f>
        <v>Ar</v>
      </c>
      <c r="M308" s="206" t="str">
        <f aca="false">INDEX(SignSym,MOD(B308+MATCH(L308,SignSym,0)-1,12)+1)</f>
        <v>Ta</v>
      </c>
      <c r="N308" s="206" t="str">
        <f aca="false">INDEX(SignSym,MOD(B308+MATCH(M308,SignSym,0)-1,12)+1)</f>
        <v>Ge</v>
      </c>
      <c r="O308" s="206" t="str">
        <f aca="false">INDEX(SignSym,MOD(B308+MATCH(N308,SignSym,0)-1,12)+1)</f>
        <v>Cn</v>
      </c>
      <c r="P308" s="206" t="str">
        <f aca="false">INDEX(SignSym,MOD(B308+MATCH(O308,SignSym,0)-1,12)+1)</f>
        <v>Le</v>
      </c>
      <c r="Q308" s="206" t="str">
        <f aca="false">INDEX(SignSym,MOD(B308+MATCH(P308,SignSym,0)-1,12)+1)</f>
        <v>Vi</v>
      </c>
      <c r="R308" s="206" t="str">
        <f aca="false">INDEX(SignSym,MOD(B308+MATCH(Q308,SignSym,0)-1,12)+1)</f>
        <v>Li</v>
      </c>
      <c r="S308" s="206" t="str">
        <f aca="false">INDEX(SignSym,MOD(B308+MATCH(R308,SignSym,0)-1,12)+1)</f>
        <v>Sc</v>
      </c>
    </row>
    <row r="309" s="206" customFormat="true" ht="12.75" hidden="true" customHeight="true" outlineLevel="0" collapsed="false">
      <c r="C309" s="998"/>
      <c r="D309" s="998"/>
      <c r="F309" s="1005"/>
      <c r="G309" s="1005"/>
      <c r="H309" s="1005" t="n">
        <f aca="false">F308</f>
        <v>26133.3841435185</v>
      </c>
      <c r="I309" s="1005" t="n">
        <f aca="false">H309+(E308*NDDaysInYEar/12)</f>
        <v>26498.6390162037</v>
      </c>
      <c r="J309" s="1005" t="n">
        <f aca="false">I309+(E308*NDDaysInYEar/12)</f>
        <v>26863.8938888889</v>
      </c>
      <c r="K309" s="1005" t="n">
        <f aca="false">J309+(E308*NDDaysInYEar/12)</f>
        <v>27229.148761574</v>
      </c>
      <c r="L309" s="1005" t="n">
        <f aca="false">K309+(E308*NDDaysInYEar/12)</f>
        <v>27594.4036342592</v>
      </c>
      <c r="M309" s="1005" t="n">
        <f aca="false">L309+(E308*NDDaysInYEar/12)</f>
        <v>27959.6585069444</v>
      </c>
      <c r="N309" s="1005" t="n">
        <f aca="false">M309+(E308*NDDaysInYEar/12)</f>
        <v>28324.9133796296</v>
      </c>
      <c r="O309" s="1005" t="n">
        <f aca="false">N309+(E308*NDDaysInYEar/12)</f>
        <v>28690.1682523148</v>
      </c>
      <c r="P309" s="1005" t="n">
        <f aca="false">O309+(E308*NDDaysInYEar/12)</f>
        <v>29055.423125</v>
      </c>
      <c r="Q309" s="1005" t="n">
        <f aca="false">P309+(E308*NDDaysInYEar/12)</f>
        <v>29420.6779976851</v>
      </c>
      <c r="R309" s="1005" t="n">
        <f aca="false">Q309+(E308*NDDaysInYEar/12)</f>
        <v>29785.9328703703</v>
      </c>
      <c r="S309" s="1005" t="n">
        <f aca="false">R309+(E308*NDDaysInYEar/12)</f>
        <v>30151.1877430555</v>
      </c>
    </row>
    <row r="310" s="206" customFormat="true" ht="15" hidden="false" customHeight="false" outlineLevel="0" collapsed="false">
      <c r="A310" s="206" t="str">
        <f aca="false">VLOOKUP(C305,NDasaSeq,8,0)</f>
        <v>Le</v>
      </c>
      <c r="B310" s="206" t="n">
        <f aca="false">VLOOKUP(A310,NDasaC,3,0)</f>
        <v>-1</v>
      </c>
      <c r="C310" s="998" t="e">
        <f aca="false">IF(MATCH(VLOOKUP(IF((A310="Aq"),VLOOKUP("AqLord",DivCharts,D304,0),IF((A310="Sc"),VLOOKUP("ScLord",DivCharts,D304,0),VLOOKUP(A310,RsInfo,9,0))),DivCharts,D304,0),RsTbl,0)=MATCH(VLOOKUP(IF((A310="Aq"),VLOOKUP("AqLord",DivCharts,D304,0),IF((A310="Sc"),VLOOKUP("ScLord",DivCharts,D304,0),VLOOKUP(A310,RsInfo,9,0))),PlanetData,8,0),RsTbl,0),1,IF(MATCH(VLOOKUP(IF((A310="Aq"),VLOOKUP("AqLord",DivCharts,D304,0),IF((A310="Sc"),VLOOKUP("ScLord",DivCharts,D304,0),VLOOKUP(A310,RsInfo,9,0))),DivCharts,D304,0),RsTbl,0)=MOD(MATCH(VLOOKUP(IF((A310="Aq"),VLOOKUP("AqLord",DivCharts,D304,0),IF((A310="Sc"),VLOOKUP("ScLord",DivCharts,D304,0),VLOOKUP(A310,RsInfo,9,0))),PlanetData,8,0),RsTbl,0)+6,12),-1,0))</f>
        <v>#N/A</v>
      </c>
      <c r="D310" s="998" t="n">
        <f aca="false">MOD((MATCH(VLOOKUP(IF((A310="Aq"),VLOOKUP("AqLord",DivCharts,D304,0),IF((A310="Sc"),VLOOKUP("ScLord",DivCharts,D304,0),VLOOKUP(A310,RsInfo,9,0))),DivCharts,D304,0),RsTbl,0)*B310)-(B310*MATCH(A310,RsTbl,0))+12,12)</f>
        <v>1</v>
      </c>
      <c r="E310" s="206" t="n">
        <f aca="false">IF(ISNA(MATCH((D310+C310),,0)),(D310+C310),12)</f>
        <v>12</v>
      </c>
      <c r="F310" s="1005" t="n">
        <f aca="false">G308</f>
        <v>30516.4426157407</v>
      </c>
      <c r="G310" s="1005" t="n">
        <f aca="false">F310+E310*NDDaysInYEar</f>
        <v>34899.5010879629</v>
      </c>
      <c r="H310" s="992" t="str">
        <f aca="false">A310</f>
        <v>Le</v>
      </c>
      <c r="I310" s="206" t="str">
        <f aca="false">INDEX(SignSym,MOD(B310+MATCH(H310,SignSym,0)-1,12)+1)</f>
        <v>Cn</v>
      </c>
      <c r="J310" s="206" t="str">
        <f aca="false">INDEX(SignSym,MOD(B310+MATCH(I310,SignSym,0)-1,12)+1)</f>
        <v>Ge</v>
      </c>
      <c r="K310" s="206" t="str">
        <f aca="false">INDEX(SignSym,MOD(B310+MATCH(J310,SignSym,0)-1,12)+1)</f>
        <v>Ta</v>
      </c>
      <c r="L310" s="206" t="str">
        <f aca="false">INDEX(SignSym,MOD(B310+MATCH(K310,SignSym,0)-1,12)+1)</f>
        <v>Ar</v>
      </c>
      <c r="M310" s="206" t="str">
        <f aca="false">INDEX(SignSym,MOD(B310+MATCH(L310,SignSym,0)-1,12)+1)</f>
        <v>Pi</v>
      </c>
      <c r="N310" s="206" t="str">
        <f aca="false">INDEX(SignSym,MOD(B310+MATCH(M310,SignSym,0)-1,12)+1)</f>
        <v>Aq</v>
      </c>
      <c r="O310" s="206" t="str">
        <f aca="false">INDEX(SignSym,MOD(B310+MATCH(N310,SignSym,0)-1,12)+1)</f>
        <v>Cp</v>
      </c>
      <c r="P310" s="206" t="str">
        <f aca="false">INDEX(SignSym,MOD(B310+MATCH(O310,SignSym,0)-1,12)+1)</f>
        <v>Sg</v>
      </c>
      <c r="Q310" s="206" t="str">
        <f aca="false">INDEX(SignSym,MOD(B310+MATCH(P310,SignSym,0)-1,12)+1)</f>
        <v>Sc</v>
      </c>
      <c r="R310" s="206" t="str">
        <f aca="false">INDEX(SignSym,MOD(B310+MATCH(Q310,SignSym,0)-1,12)+1)</f>
        <v>Li</v>
      </c>
      <c r="S310" s="206" t="str">
        <f aca="false">INDEX(SignSym,MOD(B310+MATCH(R310,SignSym,0)-1,12)+1)</f>
        <v>Vi</v>
      </c>
    </row>
    <row r="311" s="206" customFormat="true" ht="12.75" hidden="true" customHeight="true" outlineLevel="0" collapsed="false">
      <c r="C311" s="998"/>
      <c r="D311" s="998"/>
      <c r="F311" s="1005"/>
      <c r="G311" s="1005"/>
      <c r="H311" s="1005" t="n">
        <f aca="false">F310</f>
        <v>30516.4426157407</v>
      </c>
      <c r="I311" s="1005" t="n">
        <f aca="false">H311+(E310*NDDaysInYEar/12)</f>
        <v>30881.6974884259</v>
      </c>
      <c r="J311" s="1005" t="n">
        <f aca="false">I311+(E310*NDDaysInYEar/12)</f>
        <v>31246.9523611111</v>
      </c>
      <c r="K311" s="1005" t="n">
        <f aca="false">J311+(E310*NDDaysInYEar/12)</f>
        <v>31612.2072337962</v>
      </c>
      <c r="L311" s="1005" t="n">
        <f aca="false">K311+(E310*NDDaysInYEar/12)</f>
        <v>31977.4621064814</v>
      </c>
      <c r="M311" s="1005" t="n">
        <f aca="false">L311+(E310*NDDaysInYEar/12)</f>
        <v>32342.7169791666</v>
      </c>
      <c r="N311" s="1005" t="n">
        <f aca="false">M311+(E310*NDDaysInYEar/12)</f>
        <v>32707.9718518518</v>
      </c>
      <c r="O311" s="1005" t="n">
        <f aca="false">N311+(E310*NDDaysInYEar/12)</f>
        <v>33073.226724537</v>
      </c>
      <c r="P311" s="1005" t="n">
        <f aca="false">O311+(E310*NDDaysInYEar/12)</f>
        <v>33438.4815972221</v>
      </c>
      <c r="Q311" s="1005" t="n">
        <f aca="false">P311+(E310*NDDaysInYEar/12)</f>
        <v>33803.7364699073</v>
      </c>
      <c r="R311" s="1005" t="n">
        <f aca="false">Q311+(E310*NDDaysInYEar/12)</f>
        <v>34168.9913425925</v>
      </c>
      <c r="S311" s="1005" t="n">
        <f aca="false">R311+(E310*NDDaysInYEar/12)</f>
        <v>34534.2462152777</v>
      </c>
    </row>
    <row r="312" s="206" customFormat="true" ht="15" hidden="false" customHeight="false" outlineLevel="0" collapsed="false">
      <c r="A312" s="206" t="str">
        <f aca="false">VLOOKUP(C305,NDasaSeq,9,0)</f>
        <v>Ar</v>
      </c>
      <c r="B312" s="206" t="n">
        <f aca="false">VLOOKUP(A312,NDasaC,3,0)</f>
        <v>1</v>
      </c>
      <c r="C312" s="998" t="e">
        <f aca="false">IF(MATCH(VLOOKUP(IF((A312="Aq"),VLOOKUP("AqLord",DivCharts,D304,0),IF((A312="Sc"),VLOOKUP("ScLord",DivCharts,D304,0),VLOOKUP(A312,RsInfo,9,0))),DivCharts,D304,0),RsTbl,0)=MATCH(VLOOKUP(IF((A312="Aq"),VLOOKUP("AqLord",DivCharts,D304,0),IF((A312="Sc"),VLOOKUP("ScLord",DivCharts,D304,0),VLOOKUP(A312,RsInfo,9,0))),PlanetData,8,0),RsTbl,0),1,IF(MATCH(VLOOKUP(IF((A312="Aq"),VLOOKUP("AqLord",DivCharts,D304,0),IF((A312="Sc"),VLOOKUP("ScLord",DivCharts,D304,0),VLOOKUP(A312,RsInfo,9,0))),DivCharts,D304,0),RsTbl,0)=MOD(MATCH(VLOOKUP(IF((A312="Aq"),VLOOKUP("AqLord",DivCharts,D304,0),IF((A312="Sc"),VLOOKUP("ScLord",DivCharts,D304,0),VLOOKUP(A312,RsInfo,9,0))),PlanetData,8,0),RsTbl,0)+6,12),-1,0))</f>
        <v>#N/A</v>
      </c>
      <c r="D312" s="998" t="n">
        <f aca="false">MOD((MATCH(VLOOKUP(IF((A312="Aq"),VLOOKUP("AqLord",DivCharts,D304,0),IF((A312="Sc"),VLOOKUP("ScLord",DivCharts,D304,0),VLOOKUP(A312,RsInfo,9,0))),DivCharts,D304,0),RsTbl,0)*B312)-(B312*MATCH(A312,RsTbl,0))+12,12)</f>
        <v>8</v>
      </c>
      <c r="E312" s="206" t="n">
        <f aca="false">IF(ISNA(MATCH((D312+C312),,0)),(D312+C312),12)</f>
        <v>12</v>
      </c>
      <c r="F312" s="1005" t="n">
        <f aca="false">G310</f>
        <v>34899.5010879629</v>
      </c>
      <c r="G312" s="1005" t="n">
        <f aca="false">F312+E312*NDDaysInYEar</f>
        <v>39282.5595601851</v>
      </c>
      <c r="H312" s="992" t="str">
        <f aca="false">A312</f>
        <v>Ar</v>
      </c>
      <c r="I312" s="206" t="str">
        <f aca="false">INDEX(SignSym,MOD(B312+MATCH(H312,SignSym,0)-1,12)+1)</f>
        <v>Ta</v>
      </c>
      <c r="J312" s="206" t="str">
        <f aca="false">INDEX(SignSym,MOD(B312+MATCH(I312,SignSym,0)-1,12)+1)</f>
        <v>Ge</v>
      </c>
      <c r="K312" s="206" t="str">
        <f aca="false">INDEX(SignSym,MOD(B312+MATCH(J312,SignSym,0)-1,12)+1)</f>
        <v>Cn</v>
      </c>
      <c r="L312" s="206" t="str">
        <f aca="false">INDEX(SignSym,MOD(B312+MATCH(K312,SignSym,0)-1,12)+1)</f>
        <v>Le</v>
      </c>
      <c r="M312" s="206" t="str">
        <f aca="false">INDEX(SignSym,MOD(B312+MATCH(L312,SignSym,0)-1,12)+1)</f>
        <v>Vi</v>
      </c>
      <c r="N312" s="206" t="str">
        <f aca="false">INDEX(SignSym,MOD(B312+MATCH(M312,SignSym,0)-1,12)+1)</f>
        <v>Li</v>
      </c>
      <c r="O312" s="206" t="str">
        <f aca="false">INDEX(SignSym,MOD(B312+MATCH(N312,SignSym,0)-1,12)+1)</f>
        <v>Sc</v>
      </c>
      <c r="P312" s="206" t="str">
        <f aca="false">INDEX(SignSym,MOD(B312+MATCH(O312,SignSym,0)-1,12)+1)</f>
        <v>Sg</v>
      </c>
      <c r="Q312" s="206" t="str">
        <f aca="false">INDEX(SignSym,MOD(B312+MATCH(P312,SignSym,0)-1,12)+1)</f>
        <v>Cp</v>
      </c>
      <c r="R312" s="206" t="str">
        <f aca="false">INDEX(SignSym,MOD(B312+MATCH(Q312,SignSym,0)-1,12)+1)</f>
        <v>Aq</v>
      </c>
      <c r="S312" s="206" t="str">
        <f aca="false">INDEX(SignSym,MOD(B312+MATCH(R312,SignSym,0)-1,12)+1)</f>
        <v>Pi</v>
      </c>
    </row>
    <row r="313" s="206" customFormat="true" ht="12.75" hidden="true" customHeight="true" outlineLevel="0" collapsed="false">
      <c r="C313" s="998"/>
      <c r="D313" s="998"/>
      <c r="F313" s="1005"/>
      <c r="G313" s="1005"/>
      <c r="H313" s="1005" t="n">
        <f aca="false">F312</f>
        <v>34899.5010879629</v>
      </c>
      <c r="I313" s="1005" t="n">
        <f aca="false">H313+(E312*NDDaysInYEar/12)</f>
        <v>35264.7559606481</v>
      </c>
      <c r="J313" s="1005" t="n">
        <f aca="false">I313+(E312*NDDaysInYEar/12)</f>
        <v>35630.0108333332</v>
      </c>
      <c r="K313" s="1005" t="n">
        <f aca="false">J313+(E312*NDDaysInYEar/12)</f>
        <v>35995.2657060184</v>
      </c>
      <c r="L313" s="1005" t="n">
        <f aca="false">K313+(E312*NDDaysInYEar/12)</f>
        <v>36360.5205787036</v>
      </c>
      <c r="M313" s="1005" t="n">
        <f aca="false">L313+(E312*NDDaysInYEar/12)</f>
        <v>36725.7754513888</v>
      </c>
      <c r="N313" s="1005" t="n">
        <f aca="false">M313+(E312*NDDaysInYEar/12)</f>
        <v>37091.030324074</v>
      </c>
      <c r="O313" s="1005" t="n">
        <f aca="false">N313+(E312*NDDaysInYEar/12)</f>
        <v>37456.2851967591</v>
      </c>
      <c r="P313" s="1005" t="n">
        <f aca="false">O313+(E312*NDDaysInYEar/12)</f>
        <v>37821.5400694443</v>
      </c>
      <c r="Q313" s="1005" t="n">
        <f aca="false">P313+(E312*NDDaysInYEar/12)</f>
        <v>38186.7949421295</v>
      </c>
      <c r="R313" s="1005" t="n">
        <f aca="false">Q313+(E312*NDDaysInYEar/12)</f>
        <v>38552.0498148147</v>
      </c>
      <c r="S313" s="1005" t="n">
        <f aca="false">R313+(E312*NDDaysInYEar/12)</f>
        <v>38917.3046874999</v>
      </c>
    </row>
    <row r="314" s="206" customFormat="true" ht="15" hidden="false" customHeight="false" outlineLevel="0" collapsed="false">
      <c r="A314" s="206" t="str">
        <f aca="false">VLOOKUP(C305,NDasaSeq,10,0)</f>
        <v>Pi</v>
      </c>
      <c r="B314" s="206" t="n">
        <f aca="false">VLOOKUP(A314,NDasaC,3,0)</f>
        <v>-1</v>
      </c>
      <c r="C314" s="998" t="e">
        <f aca="false">IF(MATCH(VLOOKUP(IF((A314="Aq"),VLOOKUP("AqLord",DivCharts,D304,0),IF((A314="Sc"),VLOOKUP("ScLord",DivCharts,D304,0),VLOOKUP(A314,RsInfo,9,0))),DivCharts,D304,0),RsTbl,0)=MATCH(VLOOKUP(IF((A314="Aq"),VLOOKUP("AqLord",DivCharts,D304,0),IF((A314="Sc"),VLOOKUP("ScLord",DivCharts,D304,0),VLOOKUP(A314,RsInfo,9,0))),PlanetData,8,0),RsTbl,0),1,IF(MATCH(VLOOKUP(IF((A314="Aq"),VLOOKUP("AqLord",DivCharts,D304,0),IF((A314="Sc"),VLOOKUP("ScLord",DivCharts,D304,0),VLOOKUP(A314,RsInfo,9,0))),DivCharts,D304,0),RsTbl,0)=MOD(MATCH(VLOOKUP(IF((A314="Aq"),VLOOKUP("AqLord",DivCharts,D304,0),IF((A314="Sc"),VLOOKUP("ScLord",DivCharts,D304,0),VLOOKUP(A314,RsInfo,9,0))),PlanetData,8,0),RsTbl,0)+6,12),-1,0))</f>
        <v>#N/A</v>
      </c>
      <c r="D314" s="998" t="n">
        <f aca="false">MOD((MATCH(VLOOKUP(IF((A314="Aq"),VLOOKUP("AqLord",DivCharts,D304,0),IF((A314="Sc"),VLOOKUP("ScLord",DivCharts,D304,0),VLOOKUP(A314,RsInfo,9,0))),DivCharts,D304,0),RsTbl,0)*B314)-(B314*MATCH(A314,RsTbl,0))+12,12)</f>
        <v>3</v>
      </c>
      <c r="E314" s="206" t="n">
        <f aca="false">IF(ISNA(MATCH((D314+C314),,0)),(D314+C314),12)</f>
        <v>12</v>
      </c>
      <c r="F314" s="1005" t="n">
        <f aca="false">G312</f>
        <v>39282.5595601851</v>
      </c>
      <c r="G314" s="1005" t="n">
        <f aca="false">F314+E314*NDDaysInYEar</f>
        <v>43665.6180324072</v>
      </c>
      <c r="H314" s="992" t="str">
        <f aca="false">A314</f>
        <v>Pi</v>
      </c>
      <c r="I314" s="206" t="str">
        <f aca="false">INDEX(SignSym,MOD(B314+MATCH(H314,SignSym,0)-1,12)+1)</f>
        <v>Aq</v>
      </c>
      <c r="J314" s="206" t="str">
        <f aca="false">INDEX(SignSym,MOD(B314+MATCH(I314,SignSym,0)-1,12)+1)</f>
        <v>Cp</v>
      </c>
      <c r="K314" s="206" t="str">
        <f aca="false">INDEX(SignSym,MOD(B314+MATCH(J314,SignSym,0)-1,12)+1)</f>
        <v>Sg</v>
      </c>
      <c r="L314" s="206" t="str">
        <f aca="false">INDEX(SignSym,MOD(B314+MATCH(K314,SignSym,0)-1,12)+1)</f>
        <v>Sc</v>
      </c>
      <c r="M314" s="206" t="str">
        <f aca="false">INDEX(SignSym,MOD(B314+MATCH(L314,SignSym,0)-1,12)+1)</f>
        <v>Li</v>
      </c>
      <c r="N314" s="206" t="str">
        <f aca="false">INDEX(SignSym,MOD(B314+MATCH(M314,SignSym,0)-1,12)+1)</f>
        <v>Vi</v>
      </c>
      <c r="O314" s="206" t="str">
        <f aca="false">INDEX(SignSym,MOD(B314+MATCH(N314,SignSym,0)-1,12)+1)</f>
        <v>Le</v>
      </c>
      <c r="P314" s="206" t="str">
        <f aca="false">INDEX(SignSym,MOD(B314+MATCH(O314,SignSym,0)-1,12)+1)</f>
        <v>Cn</v>
      </c>
      <c r="Q314" s="206" t="str">
        <f aca="false">INDEX(SignSym,MOD(B314+MATCH(P314,SignSym,0)-1,12)+1)</f>
        <v>Ge</v>
      </c>
      <c r="R314" s="206" t="str">
        <f aca="false">INDEX(SignSym,MOD(B314+MATCH(Q314,SignSym,0)-1,12)+1)</f>
        <v>Ta</v>
      </c>
      <c r="S314" s="206" t="str">
        <f aca="false">INDEX(SignSym,MOD(B314+MATCH(R314,SignSym,0)-1,12)+1)</f>
        <v>Ar</v>
      </c>
    </row>
    <row r="315" s="206" customFormat="true" ht="12.75" hidden="true" customHeight="true" outlineLevel="0" collapsed="false">
      <c r="C315" s="998"/>
      <c r="D315" s="998"/>
      <c r="F315" s="1005"/>
      <c r="G315" s="1005"/>
      <c r="H315" s="1005" t="n">
        <f aca="false">F314</f>
        <v>39282.5595601851</v>
      </c>
      <c r="I315" s="1005" t="n">
        <f aca="false">H315+(E314*NDDaysInYEar/12)</f>
        <v>39647.8144328702</v>
      </c>
      <c r="J315" s="1005" t="n">
        <f aca="false">I315+(E314*NDDaysInYEar/12)</f>
        <v>40013.0693055554</v>
      </c>
      <c r="K315" s="1005" t="n">
        <f aca="false">J315+(E314*NDDaysInYEar/12)</f>
        <v>40378.3241782406</v>
      </c>
      <c r="L315" s="1005" t="n">
        <f aca="false">K315+(E314*NDDaysInYEar/12)</f>
        <v>40743.5790509258</v>
      </c>
      <c r="M315" s="1005" t="n">
        <f aca="false">L315+(E314*NDDaysInYEar/12)</f>
        <v>41108.833923611</v>
      </c>
      <c r="N315" s="1005" t="n">
        <f aca="false">M315+(E314*NDDaysInYEar/12)</f>
        <v>41474.0887962961</v>
      </c>
      <c r="O315" s="1005" t="n">
        <f aca="false">N315+(E314*NDDaysInYEar/12)</f>
        <v>41839.3436689813</v>
      </c>
      <c r="P315" s="1005" t="n">
        <f aca="false">O315+(E314*NDDaysInYEar/12)</f>
        <v>42204.5985416665</v>
      </c>
      <c r="Q315" s="1005" t="n">
        <f aca="false">P315+(E314*NDDaysInYEar/12)</f>
        <v>42569.8534143517</v>
      </c>
      <c r="R315" s="1005" t="n">
        <f aca="false">Q315+(E314*NDDaysInYEar/12)</f>
        <v>42935.1082870369</v>
      </c>
      <c r="S315" s="1005" t="n">
        <f aca="false">R315+(E314*NDDaysInYEar/12)</f>
        <v>43300.3631597221</v>
      </c>
    </row>
    <row r="316" s="206" customFormat="true" ht="15" hidden="false" customHeight="false" outlineLevel="0" collapsed="false">
      <c r="A316" s="206" t="str">
        <f aca="false">VLOOKUP(C305,NDasaSeq,11,0)</f>
        <v>Sc</v>
      </c>
      <c r="B316" s="206" t="n">
        <f aca="false">VLOOKUP(A316,NDasaC,3,0)</f>
        <v>1</v>
      </c>
      <c r="C316" s="998" t="e">
        <f aca="false">IF(MATCH(VLOOKUP(IF((A316="Aq"),VLOOKUP("AqLord",DivCharts,D304,0),IF((A316="Sc"),VLOOKUP("ScLord",DivCharts,D304,0),VLOOKUP(A316,RsInfo,9,0))),DivCharts,D304,0),RsTbl,0)=MATCH(VLOOKUP(IF((A316="Aq"),VLOOKUP("AqLord",DivCharts,D304,0),IF((A316="Sc"),VLOOKUP("ScLord",DivCharts,D304,0),VLOOKUP(A316,RsInfo,9,0))),PlanetData,8,0),RsTbl,0),1,IF(MATCH(VLOOKUP(IF((A316="Aq"),VLOOKUP("AqLord",DivCharts,D304,0),IF((A316="Sc"),VLOOKUP("ScLord",DivCharts,D304,0),VLOOKUP(A316,RsInfo,9,0))),DivCharts,D304,0),RsTbl,0)=MOD(MATCH(VLOOKUP(IF((A316="Aq"),VLOOKUP("AqLord",DivCharts,D304,0),IF((A316="Sc"),VLOOKUP("ScLord",DivCharts,D304,0),VLOOKUP(A316,RsInfo,9,0))),PlanetData,8,0),RsTbl,0)+6,12),-1,0))</f>
        <v>#N/A</v>
      </c>
      <c r="D316" s="998" t="n">
        <f aca="false">MOD((MATCH(VLOOKUP(IF((A316="Aq"),VLOOKUP("AqLord",DivCharts,D304,0),IF((A316="Sc"),VLOOKUP("ScLord",DivCharts,D304,0),VLOOKUP(A316,RsInfo,9,0))),DivCharts,D304,0),RsTbl,0)*B316)-(B316*MATCH(A316,RsTbl,0))+12,12)</f>
        <v>1</v>
      </c>
      <c r="E316" s="206" t="n">
        <f aca="false">IF(ISNA(MATCH((D316+C316),,0)),(D316+C316),12)</f>
        <v>12</v>
      </c>
      <c r="F316" s="1005" t="n">
        <f aca="false">G314</f>
        <v>43665.6180324072</v>
      </c>
      <c r="G316" s="1005" t="n">
        <f aca="false">F316+E316*NDDaysInYEar</f>
        <v>48048.6765046294</v>
      </c>
      <c r="H316" s="992" t="str">
        <f aca="false">A316</f>
        <v>Sc</v>
      </c>
      <c r="I316" s="206" t="str">
        <f aca="false">INDEX(SignSym,MOD(B316+MATCH(H316,SignSym,0)-1,12)+1)</f>
        <v>Sg</v>
      </c>
      <c r="J316" s="206" t="str">
        <f aca="false">INDEX(SignSym,MOD(B316+MATCH(I316,SignSym,0)-1,12)+1)</f>
        <v>Cp</v>
      </c>
      <c r="K316" s="206" t="str">
        <f aca="false">INDEX(SignSym,MOD(B316+MATCH(J316,SignSym,0)-1,12)+1)</f>
        <v>Aq</v>
      </c>
      <c r="L316" s="206" t="str">
        <f aca="false">INDEX(SignSym,MOD(B316+MATCH(K316,SignSym,0)-1,12)+1)</f>
        <v>Pi</v>
      </c>
      <c r="M316" s="206" t="str">
        <f aca="false">INDEX(SignSym,MOD(B316+MATCH(L316,SignSym,0)-1,12)+1)</f>
        <v>Ar</v>
      </c>
      <c r="N316" s="206" t="str">
        <f aca="false">INDEX(SignSym,MOD(B316+MATCH(M316,SignSym,0)-1,12)+1)</f>
        <v>Ta</v>
      </c>
      <c r="O316" s="206" t="str">
        <f aca="false">INDEX(SignSym,MOD(B316+MATCH(N316,SignSym,0)-1,12)+1)</f>
        <v>Ge</v>
      </c>
      <c r="P316" s="206" t="str">
        <f aca="false">INDEX(SignSym,MOD(B316+MATCH(O316,SignSym,0)-1,12)+1)</f>
        <v>Cn</v>
      </c>
      <c r="Q316" s="206" t="str">
        <f aca="false">INDEX(SignSym,MOD(B316+MATCH(P316,SignSym,0)-1,12)+1)</f>
        <v>Le</v>
      </c>
      <c r="R316" s="206" t="str">
        <f aca="false">INDEX(SignSym,MOD(B316+MATCH(Q316,SignSym,0)-1,12)+1)</f>
        <v>Vi</v>
      </c>
      <c r="S316" s="206" t="str">
        <f aca="false">INDEX(SignSym,MOD(B316+MATCH(R316,SignSym,0)-1,12)+1)</f>
        <v>Li</v>
      </c>
    </row>
    <row r="317" s="206" customFormat="true" ht="15" hidden="true" customHeight="false" outlineLevel="0" collapsed="false">
      <c r="C317" s="998"/>
      <c r="D317" s="998"/>
      <c r="F317" s="1005"/>
      <c r="G317" s="1005"/>
      <c r="H317" s="1005" t="n">
        <f aca="false">F316</f>
        <v>43665.6180324072</v>
      </c>
      <c r="I317" s="1005" t="n">
        <f aca="false">H317+(E316*NDDaysInYEar/12)</f>
        <v>44030.8729050924</v>
      </c>
      <c r="J317" s="1005" t="n">
        <f aca="false">I317+(E316*NDDaysInYEar/12)</f>
        <v>44396.1277777776</v>
      </c>
      <c r="K317" s="1005" t="n">
        <f aca="false">J317+(E316*NDDaysInYEar/12)</f>
        <v>44761.3826504628</v>
      </c>
      <c r="L317" s="1005" t="n">
        <f aca="false">K317+(E316*NDDaysInYEar/12)</f>
        <v>45126.637523148</v>
      </c>
      <c r="M317" s="1005" t="n">
        <f aca="false">L317+(E316*NDDaysInYEar/12)</f>
        <v>45491.8923958331</v>
      </c>
      <c r="N317" s="1005" t="n">
        <f aca="false">M317+(E316*NDDaysInYEar/12)</f>
        <v>45857.1472685183</v>
      </c>
      <c r="O317" s="1005" t="n">
        <f aca="false">N317+(E316*NDDaysInYEar/12)</f>
        <v>46222.4021412035</v>
      </c>
      <c r="P317" s="1005" t="n">
        <f aca="false">O317+(E316*NDDaysInYEar/12)</f>
        <v>46587.6570138887</v>
      </c>
      <c r="Q317" s="1005" t="n">
        <f aca="false">P317+(E316*NDDaysInYEar/12)</f>
        <v>46952.9118865739</v>
      </c>
      <c r="R317" s="1005" t="n">
        <f aca="false">Q317+(E316*NDDaysInYEar/12)</f>
        <v>47318.1667592591</v>
      </c>
      <c r="S317" s="1005" t="n">
        <f aca="false">R317+(E316*NDDaysInYEar/12)</f>
        <v>47683.4216319442</v>
      </c>
    </row>
    <row r="318" s="206" customFormat="true" ht="15" hidden="false" customHeight="false" outlineLevel="0" collapsed="false">
      <c r="A318" s="206" t="str">
        <f aca="false">VLOOKUP(C305,NDasaSeq,12,0)</f>
        <v>Cn</v>
      </c>
      <c r="B318" s="206" t="n">
        <v>1</v>
      </c>
      <c r="C318" s="998" t="e">
        <f aca="false">IF(MATCH(VLOOKUP(IF((A318="Aq"),VLOOKUP("AqLord",DivCharts,D304,0),IF((A318="Sc"),VLOOKUP("ScLord",DivCharts,D304,0),VLOOKUP(A318,RsInfo,9,0))),DivCharts,D304,0),RsTbl,0)=MATCH(VLOOKUP(IF((A318="Aq"),VLOOKUP("AqLord",DivCharts,D304,0),IF((A318="Sc"),VLOOKUP("ScLord",DivCharts,D304,0),VLOOKUP(A318,RsInfo,9,0))),PlanetData,8,0),RsTbl,0),1,IF(MATCH(VLOOKUP(IF((A318="Aq"),VLOOKUP("AqLord",DivCharts,D304,0),IF((A318="Sc"),VLOOKUP("ScLord",DivCharts,D304,0),VLOOKUP(A318,RsInfo,9,0))),DivCharts,D304,0),RsTbl,0)=MOD(MATCH(VLOOKUP(IF((A318="Aq"),VLOOKUP("AqLord",DivCharts,D304,0),IF((A318="Sc"),VLOOKUP("ScLord",DivCharts,D304,0),VLOOKUP(A318,RsInfo,9,0))),PlanetData,8,0),RsTbl,0)+6,12),-1,0))</f>
        <v>#N/A</v>
      </c>
      <c r="D318" s="998" t="n">
        <f aca="false">MOD((MATCH(VLOOKUP(IF((A318="Aq"),VLOOKUP("AqLord",DivCharts,D304,0),IF((A318="Sc"),VLOOKUP("ScLord",DivCharts,D304,0),VLOOKUP(A318,RsInfo,9,0))),DivCharts,D304,0),RsTbl,0)*B318)-(B318*MATCH(A318,RsTbl,0))+12,12)</f>
        <v>7</v>
      </c>
      <c r="E318" s="206" t="n">
        <f aca="false">IF(ISNA(MATCH((D318+C318),,0)),(D318+C318),12)</f>
        <v>12</v>
      </c>
      <c r="F318" s="1005" t="n">
        <f aca="false">G316</f>
        <v>48048.6765046294</v>
      </c>
      <c r="G318" s="1005" t="n">
        <f aca="false">F318+E318*NDDaysInYEar</f>
        <v>52431.7349768516</v>
      </c>
      <c r="H318" s="992" t="s">
        <v>699</v>
      </c>
      <c r="I318" s="206" t="str">
        <f aca="false">INDEX(SignSym,MOD(B318+MATCH(H318,SignSym,0)-1,12)+1)</f>
        <v>Pi</v>
      </c>
      <c r="J318" s="206" t="str">
        <f aca="false">INDEX(SignSym,MOD(B318+MATCH(I318,SignSym,0)-1,12)+1)</f>
        <v>Ar</v>
      </c>
      <c r="K318" s="206" t="str">
        <f aca="false">INDEX(SignSym,MOD(B318+MATCH(J318,SignSym,0)-1,12)+1)</f>
        <v>Ta</v>
      </c>
      <c r="L318" s="206" t="str">
        <f aca="false">INDEX(SignSym,MOD(B318+MATCH(K318,SignSym,0)-1,12)+1)</f>
        <v>Ge</v>
      </c>
      <c r="M318" s="206" t="str">
        <f aca="false">INDEX(SignSym,MOD(B318+MATCH(L318,SignSym,0)-1,12)+1)</f>
        <v>Cn</v>
      </c>
      <c r="N318" s="206" t="str">
        <f aca="false">INDEX(SignSym,MOD(B318+MATCH(M318,SignSym,0)-1,12)+1)</f>
        <v>Le</v>
      </c>
      <c r="O318" s="206" t="str">
        <f aca="false">INDEX(SignSym,MOD(B318+MATCH(N318,SignSym,0)-1,12)+1)</f>
        <v>Vi</v>
      </c>
      <c r="P318" s="206" t="str">
        <f aca="false">INDEX(SignSym,MOD(B318+MATCH(O318,SignSym,0)-1,12)+1)</f>
        <v>Li</v>
      </c>
      <c r="Q318" s="206" t="str">
        <f aca="false">INDEX(SignSym,MOD(B318+MATCH(P318,SignSym,0)-1,12)+1)</f>
        <v>Sc</v>
      </c>
      <c r="R318" s="206" t="str">
        <f aca="false">INDEX(SignSym,MOD(B318+MATCH(Q318,SignSym,0)-1,12)+1)</f>
        <v>Sg</v>
      </c>
      <c r="S318" s="206" t="str">
        <f aca="false">INDEX(SignSym,MOD(B318+MATCH(R318,SignSym,0)-1,12)+1)</f>
        <v>Cp</v>
      </c>
    </row>
    <row r="319" s="206" customFormat="true" ht="15" hidden="true" customHeight="false" outlineLevel="0" collapsed="false">
      <c r="C319" s="998"/>
      <c r="D319" s="998"/>
      <c r="F319" s="1005"/>
      <c r="G319" s="1005"/>
      <c r="H319" s="1005" t="n">
        <f aca="false">F318</f>
        <v>48048.6765046294</v>
      </c>
      <c r="I319" s="1005" t="n">
        <f aca="false">H319+(E318*NDDaysInYEar/12)</f>
        <v>48413.9313773146</v>
      </c>
      <c r="J319" s="1005" t="n">
        <f aca="false">I319+(E318*NDDaysInYEar/12)</f>
        <v>48779.1862499998</v>
      </c>
      <c r="K319" s="1005" t="n">
        <f aca="false">J319+(E318*NDDaysInYEar/12)</f>
        <v>49144.441122685</v>
      </c>
      <c r="L319" s="1005" t="n">
        <f aca="false">K319+(E318*NDDaysInYEar/12)</f>
        <v>49509.6959953701</v>
      </c>
      <c r="M319" s="1005" t="n">
        <f aca="false">L319+(E318*NDDaysInYEar/12)</f>
        <v>49874.9508680553</v>
      </c>
      <c r="N319" s="1011" t="n">
        <f aca="false">M319+(E318*NDDaysInYEar/12)</f>
        <v>50240.2057407405</v>
      </c>
      <c r="O319" s="1011" t="n">
        <f aca="false">N319+(E318*NDDaysInYEar/12)</f>
        <v>50605.4606134257</v>
      </c>
      <c r="P319" s="1005" t="n">
        <f aca="false">O319+(E318*NDDaysInYEar/12)</f>
        <v>50970.7154861109</v>
      </c>
      <c r="Q319" s="1005" t="n">
        <f aca="false">P319+(E318*NDDaysInYEar/12)</f>
        <v>51335.9703587961</v>
      </c>
      <c r="R319" s="1005" t="n">
        <f aca="false">Q319+(E318*NDDaysInYEar/12)</f>
        <v>51701.2252314812</v>
      </c>
      <c r="S319" s="1005" t="n">
        <f aca="false">R319+(E318*NDDaysInYEar/12)</f>
        <v>52066.4801041664</v>
      </c>
    </row>
    <row r="320" s="206" customFormat="true" ht="15" hidden="false" customHeight="false" outlineLevel="0" collapsed="false">
      <c r="A320" s="206" t="str">
        <f aca="false">VLOOKUP(C305,NDasaSeq,13,0)</f>
        <v>Ge</v>
      </c>
      <c r="B320" s="206" t="n">
        <f aca="false">VLOOKUP(A320,NDasaC,3,0)</f>
        <v>1</v>
      </c>
      <c r="C320" s="998" t="e">
        <f aca="false">IF(MATCH(VLOOKUP(IF((A320="Aq"),VLOOKUP("AqLord",DivCharts,D304,0),IF((A320="Sc"),VLOOKUP("ScLord",DivCharts,D304,0),VLOOKUP(A320,RsInfo,9,0))),DivCharts,D304,0),RsTbl,0)=MATCH(VLOOKUP(IF((A320="Aq"),VLOOKUP("AqLord",DivCharts,D304,0),IF((A320="Sc"),VLOOKUP("ScLord",DivCharts,D304,0),VLOOKUP(A320,RsInfo,9,0))),PlanetData,8,0),RsTbl,0),1,IF(MATCH(VLOOKUP(IF((A320="Aq"),VLOOKUP("AqLord",DivCharts,D304,0),IF((A320="Sc"),VLOOKUP("ScLord",DivCharts,D304,0),VLOOKUP(A320,RsInfo,9,0))),DivCharts,D304,0),RsTbl,0)=MOD(MATCH(VLOOKUP(IF((A320="Aq"),VLOOKUP("AqLord",DivCharts,D304,0),IF((A320="Sc"),VLOOKUP("ScLord",DivCharts,D304,0),VLOOKUP(A320,RsInfo,9,0))),PlanetData,8,0),RsTbl,0)+6,12),-1,0))</f>
        <v>#N/A</v>
      </c>
      <c r="D320" s="998" t="n">
        <f aca="false">MOD((MATCH(VLOOKUP(IF((A320="Aq"),VLOOKUP("AqLord",DivCharts,D304,0),IF((A320="Sc"),VLOOKUP("ScLord",DivCharts,D304,0),VLOOKUP(A320,RsInfo,9,0))),DivCharts,D304,0),RsTbl,0)*B320)-(B320*MATCH(A320,RsTbl,0))+12,12)</f>
        <v>11</v>
      </c>
      <c r="E320" s="206" t="n">
        <f aca="false">IF(ISNA(MATCH((D320+C320),,0)),(D320+C320),12)</f>
        <v>12</v>
      </c>
      <c r="F320" s="1005" t="n">
        <f aca="false">G318</f>
        <v>52431.7349768516</v>
      </c>
      <c r="G320" s="1005" t="n">
        <f aca="false">F320+E320*NDDaysInYEar</f>
        <v>56814.7934490738</v>
      </c>
      <c r="H320" s="992" t="s">
        <v>699</v>
      </c>
      <c r="I320" s="206" t="str">
        <f aca="false">INDEX(SignSym,MOD(B320+MATCH(H320,SignSym,0)-1,12)+1)</f>
        <v>Pi</v>
      </c>
      <c r="J320" s="206" t="str">
        <f aca="false">INDEX(SignSym,MOD(B320+MATCH(I320,SignSym,0)-1,12)+1)</f>
        <v>Ar</v>
      </c>
      <c r="K320" s="206" t="str">
        <f aca="false">INDEX(SignSym,MOD(B320+MATCH(J320,SignSym,0)-1,12)+1)</f>
        <v>Ta</v>
      </c>
      <c r="L320" s="206" t="str">
        <f aca="false">INDEX(SignSym,MOD(B320+MATCH(K320,SignSym,0)-1,12)+1)</f>
        <v>Ge</v>
      </c>
      <c r="M320" s="206" t="str">
        <f aca="false">INDEX(SignSym,MOD(B320+MATCH(L320,SignSym,0)-1,12)+1)</f>
        <v>Cn</v>
      </c>
      <c r="N320" s="206" t="str">
        <f aca="false">INDEX(SignSym,MOD(B320+MATCH(M320,SignSym,0)-1,12)+1)</f>
        <v>Le</v>
      </c>
      <c r="O320" s="206" t="str">
        <f aca="false">INDEX(SignSym,MOD(B320+MATCH(N320,SignSym,0)-1,12)+1)</f>
        <v>Vi</v>
      </c>
      <c r="P320" s="206" t="str">
        <f aca="false">INDEX(SignSym,MOD(B320+MATCH(O320,SignSym,0)-1,12)+1)</f>
        <v>Li</v>
      </c>
      <c r="Q320" s="206" t="str">
        <f aca="false">INDEX(SignSym,MOD(B320+MATCH(P320,SignSym,0)-1,12)+1)</f>
        <v>Sc</v>
      </c>
      <c r="R320" s="206" t="str">
        <f aca="false">INDEX(SignSym,MOD(B320+MATCH(Q320,SignSym,0)-1,12)+1)</f>
        <v>Sg</v>
      </c>
      <c r="S320" s="206" t="str">
        <f aca="false">INDEX(SignSym,MOD(B320+MATCH(R320,SignSym,0)-1,12)+1)</f>
        <v>Cp</v>
      </c>
    </row>
    <row r="321" s="206" customFormat="true" ht="15" hidden="true" customHeight="false" outlineLevel="0" collapsed="false">
      <c r="C321" s="998"/>
      <c r="D321" s="998"/>
      <c r="F321" s="1005"/>
      <c r="G321" s="1005"/>
      <c r="H321" s="1005" t="n">
        <f aca="false">F320</f>
        <v>52431.7349768516</v>
      </c>
      <c r="I321" s="1005" t="n">
        <f aca="false">H321+(E320*NDDaysInYEar/12)</f>
        <v>52796.9898495368</v>
      </c>
      <c r="J321" s="1005" t="n">
        <f aca="false">I321+(E320*NDDaysInYEar/12)</f>
        <v>53162.244722222</v>
      </c>
      <c r="K321" s="1005" t="n">
        <f aca="false">J321+(E320*NDDaysInYEar/12)</f>
        <v>53527.4995949071</v>
      </c>
      <c r="L321" s="1005" t="n">
        <f aca="false">K321+(E320*NDDaysInYEar/12)</f>
        <v>53892.7544675923</v>
      </c>
      <c r="M321" s="1005" t="n">
        <f aca="false">L321+(E320*NDDaysInYEar/12)</f>
        <v>54258.0093402775</v>
      </c>
      <c r="N321" s="1005" t="n">
        <f aca="false">M321+(E320*NDDaysInYEar/12)</f>
        <v>54623.2642129627</v>
      </c>
      <c r="O321" s="1005" t="n">
        <f aca="false">N321+(E320*NDDaysInYEar/12)</f>
        <v>54988.5190856479</v>
      </c>
      <c r="P321" s="1005" t="n">
        <f aca="false">O321+(E320*NDDaysInYEar/12)</f>
        <v>55353.7739583331</v>
      </c>
      <c r="Q321" s="1005" t="n">
        <f aca="false">P321+(E320*NDDaysInYEar/12)</f>
        <v>55719.0288310182</v>
      </c>
      <c r="R321" s="1005" t="n">
        <f aca="false">Q321+(E320*NDDaysInYEar/12)</f>
        <v>56084.2837037034</v>
      </c>
      <c r="S321" s="1005" t="n">
        <f aca="false">R321+(E320*NDDaysInYEar/12)</f>
        <v>56449.5385763886</v>
      </c>
    </row>
    <row r="322" s="206" customFormat="true" ht="15" hidden="false" customHeight="false" outlineLevel="0" collapsed="false">
      <c r="A322" s="206" t="str">
        <f aca="false">VLOOKUP(C305,NDasaSeq,14,0)</f>
        <v>Aq</v>
      </c>
      <c r="B322" s="206" t="n">
        <f aca="false">VLOOKUP(A322,NDasaC,3,0)</f>
        <v>-1</v>
      </c>
      <c r="C322" s="998" t="e">
        <f aca="false">IF(MATCH(VLOOKUP(IF((A322="Aq"),VLOOKUP("AqLord",DivCharts,D304,0),IF((A322="Sc"),VLOOKUP("ScLord",DivCharts,D304,0),VLOOKUP(A322,RsInfo,9,0))),DivCharts,D304,0),RsTbl,0)=MATCH(VLOOKUP(IF((A322="Aq"),VLOOKUP("AqLord",DivCharts,D304,0),IF((A322="Sc"),VLOOKUP("ScLord",DivCharts,D304,0),VLOOKUP(A322,RsInfo,9,0))),PlanetData,8,0),RsTbl,0),1,IF(MATCH(VLOOKUP(IF((A322="Aq"),VLOOKUP("AqLord",DivCharts,D304,0),IF((A322="Sc"),VLOOKUP("ScLord",DivCharts,D304,0),VLOOKUP(A322,RsInfo,9,0))),DivCharts,D304,0),RsTbl,0)=MOD(MATCH(VLOOKUP(IF((A322="Aq"),VLOOKUP("AqLord",DivCharts,D304,0),IF((A322="Sc"),VLOOKUP("ScLord",DivCharts,D304,0),VLOOKUP(A322,RsInfo,9,0))),PlanetData,8,0),RsTbl,0)+6,12),-1,0))</f>
        <v>#N/A</v>
      </c>
      <c r="D322" s="998" t="n">
        <f aca="false">MOD((MATCH(VLOOKUP(IF((A322="Aq"),VLOOKUP("AqLord",DivCharts,D304,0),IF((A322="Sc"),VLOOKUP("ScLord",DivCharts,D304,0),VLOOKUP(A322,RsInfo,9,0))),DivCharts,D304,0),RsTbl,0)*B322)-(B322*MATCH(A322,RsTbl,0))+12,12)</f>
        <v>6</v>
      </c>
      <c r="E322" s="206" t="n">
        <f aca="false">IF(ISNA(MATCH((D322+C322),,0)),(D322+C322),12)</f>
        <v>12</v>
      </c>
      <c r="F322" s="1005" t="n">
        <f aca="false">G320</f>
        <v>56814.7934490738</v>
      </c>
      <c r="G322" s="1005" t="n">
        <f aca="false">F322+E322*NDDaysInYEar</f>
        <v>61197.851921296</v>
      </c>
      <c r="H322" s="992" t="s">
        <v>693</v>
      </c>
      <c r="I322" s="206" t="str">
        <f aca="false">INDEX(SignSym,MOD(B322+MATCH(H322,SignSym,0)-1,12)+1)</f>
        <v>Ar</v>
      </c>
      <c r="J322" s="206" t="str">
        <f aca="false">INDEX(SignSym,MOD(B322+MATCH(I322,SignSym,0)-1,12)+1)</f>
        <v>Pi</v>
      </c>
      <c r="K322" s="206" t="str">
        <f aca="false">INDEX(SignSym,MOD(B322+MATCH(J322,SignSym,0)-1,12)+1)</f>
        <v>Aq</v>
      </c>
      <c r="L322" s="206" t="str">
        <f aca="false">INDEX(SignSym,MOD(B322+MATCH(K322,SignSym,0)-1,12)+1)</f>
        <v>Cp</v>
      </c>
      <c r="M322" s="206" t="str">
        <f aca="false">INDEX(SignSym,MOD(B322+MATCH(L322,SignSym,0)-1,12)+1)</f>
        <v>Sg</v>
      </c>
      <c r="N322" s="206" t="str">
        <f aca="false">INDEX(SignSym,MOD(B322+MATCH(M322,SignSym,0)-1,12)+1)</f>
        <v>Sc</v>
      </c>
      <c r="O322" s="206" t="str">
        <f aca="false">INDEX(SignSym,MOD(B322+MATCH(N322,SignSym,0)-1,12)+1)</f>
        <v>Li</v>
      </c>
      <c r="P322" s="206" t="str">
        <f aca="false">INDEX(SignSym,MOD(B322+MATCH(O322,SignSym,0)-1,12)+1)</f>
        <v>Vi</v>
      </c>
      <c r="Q322" s="206" t="str">
        <f aca="false">INDEX(SignSym,MOD(B322+MATCH(P322,SignSym,0)-1,12)+1)</f>
        <v>Le</v>
      </c>
      <c r="R322" s="206" t="str">
        <f aca="false">INDEX(SignSym,MOD(B322+MATCH(Q322,SignSym,0)-1,12)+1)</f>
        <v>Cn</v>
      </c>
      <c r="S322" s="206" t="str">
        <f aca="false">INDEX(SignSym,MOD(B322+MATCH(R322,SignSym,0)-1,12)+1)</f>
        <v>Ge</v>
      </c>
    </row>
    <row r="323" s="206" customFormat="true" ht="15" hidden="true" customHeight="false" outlineLevel="0" collapsed="false">
      <c r="C323" s="998"/>
      <c r="D323" s="998"/>
      <c r="F323" s="1005"/>
      <c r="G323" s="1005"/>
      <c r="H323" s="1005" t="n">
        <f aca="false">F322</f>
        <v>56814.7934490738</v>
      </c>
      <c r="I323" s="1005" t="n">
        <f aca="false">H323+(E322*NDDaysInYEar/12)</f>
        <v>57180.048321759</v>
      </c>
      <c r="J323" s="1005" t="n">
        <f aca="false">I323+(E322*NDDaysInYEar/12)</f>
        <v>57545.3031944441</v>
      </c>
      <c r="K323" s="1005" t="n">
        <f aca="false">J323+(E322*NDDaysInYEar/12)</f>
        <v>57910.5580671293</v>
      </c>
      <c r="L323" s="1005" t="n">
        <f aca="false">K323+(E322*NDDaysInYEar/12)</f>
        <v>58275.8129398145</v>
      </c>
      <c r="M323" s="1005" t="n">
        <f aca="false">L323+(E322*NDDaysInYEar/12)</f>
        <v>58641.0678124997</v>
      </c>
      <c r="N323" s="1005" t="n">
        <f aca="false">M323+(E322*NDDaysInYEar/12)</f>
        <v>59006.3226851849</v>
      </c>
      <c r="O323" s="1005" t="n">
        <f aca="false">N323+(E322*NDDaysInYEar/12)</f>
        <v>59371.5775578701</v>
      </c>
      <c r="P323" s="1005" t="n">
        <f aca="false">O323+(E322*NDDaysInYEar/12)</f>
        <v>59736.8324305552</v>
      </c>
      <c r="Q323" s="1005" t="n">
        <f aca="false">P323+(E322*NDDaysInYEar/12)</f>
        <v>60102.0873032404</v>
      </c>
      <c r="R323" s="1005" t="n">
        <f aca="false">Q323+(E322*NDDaysInYEar/12)</f>
        <v>60467.3421759256</v>
      </c>
      <c r="S323" s="1005" t="n">
        <f aca="false">R323+(E322*NDDaysInYEar/12)</f>
        <v>60832.5970486108</v>
      </c>
    </row>
    <row r="324" s="206" customFormat="true" ht="15" hidden="false" customHeight="false" outlineLevel="0" collapsed="false">
      <c r="A324" s="206" t="str">
        <f aca="false">VLOOKUP(C305,NDasaSeq,15,0)</f>
        <v>Li</v>
      </c>
      <c r="B324" s="206" t="n">
        <f aca="false">VLOOKUP(A324,NDasaC,3,0)</f>
        <v>1</v>
      </c>
      <c r="C324" s="998" t="e">
        <f aca="false">IF(MATCH(VLOOKUP(IF((A324="Aq"),VLOOKUP("AqLord",DivCharts,D304,0),IF((A324="Sc"),VLOOKUP("ScLord",DivCharts,D304,0),VLOOKUP(A324,RsInfo,9,0))),DivCharts,D304,0),RsTbl,0)=MATCH(VLOOKUP(IF((A324="Aq"),VLOOKUP("AqLord",DivCharts,D304,0),IF((A324="Sc"),VLOOKUP("ScLord",DivCharts,D304,0),VLOOKUP(A324,RsInfo,9,0))),PlanetData,8,0),RsTbl,0),1,IF(MATCH(VLOOKUP(IF((A324="Aq"),VLOOKUP("AqLord",DivCharts,D304,0),IF((A324="Sc"),VLOOKUP("ScLord",DivCharts,D304,0),VLOOKUP(A324,RsInfo,9,0))),DivCharts,D304,0),RsTbl,0)=MOD(MATCH(VLOOKUP(IF((A324="Aq"),VLOOKUP("AqLord",DivCharts,D304,0),IF((A324="Sc"),VLOOKUP("ScLord",DivCharts,D304,0),VLOOKUP(A324,RsInfo,9,0))),PlanetData,8,0),RsTbl,0)+6,12),-1,0))</f>
        <v>#N/A</v>
      </c>
      <c r="D324" s="998" t="n">
        <f aca="false">MOD((MATCH(VLOOKUP(IF((A324="Aq"),VLOOKUP("AqLord",DivCharts,D304,0),IF((A324="Sc"),VLOOKUP("ScLord",DivCharts,D304,0),VLOOKUP(A324,RsInfo,9,0))),DivCharts,D304,0),RsTbl,0)*B324)-(B324*MATCH(A324,RsTbl,0))+12,12)</f>
        <v>4</v>
      </c>
      <c r="E324" s="206" t="n">
        <f aca="false">IF(ISNA(MATCH((D324+C324),,0)),(D324+C324),12)</f>
        <v>12</v>
      </c>
      <c r="F324" s="1005" t="n">
        <f aca="false">G322</f>
        <v>61197.851921296</v>
      </c>
      <c r="G324" s="1005" t="n">
        <f aca="false">F324+E324*NDDaysInYEar</f>
        <v>65580.9103935182</v>
      </c>
      <c r="H324" s="992" t="str">
        <f aca="false">A324</f>
        <v>Li</v>
      </c>
      <c r="I324" s="206" t="str">
        <f aca="false">INDEX(SignSym,MOD(B324+MATCH(H324,SignSym,0)-1,12)+1)</f>
        <v>Sc</v>
      </c>
      <c r="J324" s="206" t="str">
        <f aca="false">INDEX(SignSym,MOD(B324+MATCH(I324,SignSym,0)-1,12)+1)</f>
        <v>Sg</v>
      </c>
      <c r="K324" s="206" t="str">
        <f aca="false">INDEX(SignSym,MOD(B324+MATCH(J324,SignSym,0)-1,12)+1)</f>
        <v>Cp</v>
      </c>
      <c r="L324" s="206" t="str">
        <f aca="false">INDEX(SignSym,MOD(B324+MATCH(K324,SignSym,0)-1,12)+1)</f>
        <v>Aq</v>
      </c>
      <c r="M324" s="206" t="str">
        <f aca="false">INDEX(SignSym,MOD(B324+MATCH(L324,SignSym,0)-1,12)+1)</f>
        <v>Pi</v>
      </c>
      <c r="N324" s="206" t="str">
        <f aca="false">INDEX(SignSym,MOD(B324+MATCH(M324,SignSym,0)-1,12)+1)</f>
        <v>Ar</v>
      </c>
      <c r="O324" s="206" t="str">
        <f aca="false">INDEX(SignSym,MOD(B324+MATCH(N324,SignSym,0)-1,12)+1)</f>
        <v>Ta</v>
      </c>
      <c r="P324" s="206" t="str">
        <f aca="false">INDEX(SignSym,MOD(B324+MATCH(O324,SignSym,0)-1,12)+1)</f>
        <v>Ge</v>
      </c>
      <c r="Q324" s="206" t="str">
        <f aca="false">INDEX(SignSym,MOD(B324+MATCH(P324,SignSym,0)-1,12)+1)</f>
        <v>Cn</v>
      </c>
      <c r="R324" s="206" t="str">
        <f aca="false">INDEX(SignSym,MOD(B324+MATCH(Q324,SignSym,0)-1,12)+1)</f>
        <v>Le</v>
      </c>
      <c r="S324" s="206" t="str">
        <f aca="false">INDEX(SignSym,MOD(B324+MATCH(R324,SignSym,0)-1,12)+1)</f>
        <v>Vi</v>
      </c>
    </row>
    <row r="325" s="206" customFormat="true" ht="12.75" hidden="true" customHeight="true" outlineLevel="0" collapsed="false">
      <c r="C325" s="998"/>
      <c r="D325" s="998"/>
      <c r="F325" s="1005"/>
      <c r="G325" s="1005"/>
      <c r="H325" s="1005" t="n">
        <f aca="false">F324</f>
        <v>61197.851921296</v>
      </c>
      <c r="I325" s="1005" t="n">
        <f aca="false">H325+(E324*NDDaysInYEar/12)</f>
        <v>61563.1067939812</v>
      </c>
      <c r="J325" s="1005" t="n">
        <f aca="false">I325+(E324*NDDaysInYEar/12)</f>
        <v>61928.3616666663</v>
      </c>
      <c r="K325" s="1005" t="n">
        <f aca="false">J325+(E324*NDDaysInYEar/12)</f>
        <v>62293.6165393515</v>
      </c>
      <c r="L325" s="1005" t="n">
        <f aca="false">K325+(E324*NDDaysInYEar/12)</f>
        <v>62658.8714120367</v>
      </c>
      <c r="M325" s="1005" t="n">
        <f aca="false">L325+(E324*NDDaysInYEar/12)</f>
        <v>63024.1262847219</v>
      </c>
      <c r="N325" s="1005" t="n">
        <f aca="false">M325+(E324*NDDaysInYEar/12)</f>
        <v>63389.3811574071</v>
      </c>
      <c r="O325" s="1005" t="n">
        <f aca="false">N325+(E324*NDDaysInYEar/12)</f>
        <v>63754.6360300922</v>
      </c>
      <c r="P325" s="1005" t="n">
        <f aca="false">O325+(E324*NDDaysInYEar/12)</f>
        <v>64119.8909027774</v>
      </c>
      <c r="Q325" s="1005" t="n">
        <f aca="false">P325+(E324*NDDaysInYEar/12)</f>
        <v>64485.1457754626</v>
      </c>
      <c r="R325" s="1005" t="n">
        <f aca="false">Q325+(E324*NDDaysInYEar/12)</f>
        <v>64850.4006481478</v>
      </c>
      <c r="S325" s="1005" t="n">
        <f aca="false">R325+(E324*NDDaysInYEar/12)</f>
        <v>65215.655520833</v>
      </c>
    </row>
    <row r="326" s="206" customFormat="true" ht="15" hidden="false" customHeight="false" outlineLevel="0" collapsed="false">
      <c r="A326" s="206" t="str">
        <f aca="false">VLOOKUP(C305,NDasaSeq,16,0)</f>
        <v>Vi</v>
      </c>
      <c r="B326" s="206" t="n">
        <f aca="false">VLOOKUP(A326,NDasaC,3,0)</f>
        <v>-1</v>
      </c>
      <c r="C326" s="998" t="e">
        <f aca="false">IF(MATCH(VLOOKUP(IF((A326="Aq"),VLOOKUP("AqLord",DivCharts,D304,0),IF((A326="Sc"),VLOOKUP("ScLord",DivCharts,D304,0),VLOOKUP(A326,RsInfo,9,0))),DivCharts,D304,0),RsTbl,0)=MATCH(VLOOKUP(IF((A326="Aq"),VLOOKUP("AqLord",DivCharts,D304,0),IF((A326="Sc"),VLOOKUP("ScLord",DivCharts,D304,0),VLOOKUP(A326,RsInfo,9,0))),PlanetData,8,0),RsTbl,0),1,IF(MATCH(VLOOKUP(IF((A326="Aq"),VLOOKUP("AqLord",DivCharts,D304,0),IF((A326="Sc"),VLOOKUP("ScLord",DivCharts,D304,0),VLOOKUP(A326,RsInfo,9,0))),DivCharts,D304,0),RsTbl,0)=MOD(MATCH(VLOOKUP(IF((A326="Aq"),VLOOKUP("AqLord",DivCharts,D304,0),IF((A326="Sc"),VLOOKUP("ScLord",DivCharts,D304,0),VLOOKUP(A326,RsInfo,9,0))),PlanetData,8,0),RsTbl,0)+6,12),-1,0))</f>
        <v>#N/A</v>
      </c>
      <c r="D326" s="998" t="n">
        <f aca="false">MOD((MATCH(VLOOKUP(IF((A326="Aq"),VLOOKUP("AqLord",DivCharts,D304,0),IF((A326="Sc"),VLOOKUP("ScLord",DivCharts,D304,0),VLOOKUP(A326,RsInfo,9,0))),DivCharts,D304,0),RsTbl,0)*B326)-(B326*MATCH(A326,RsTbl,0))+12,12)</f>
        <v>4</v>
      </c>
      <c r="E326" s="206" t="n">
        <f aca="false">IF(ISNA(MATCH((D326+C326),,0)),(D326+C326),12)</f>
        <v>12</v>
      </c>
      <c r="F326" s="1005" t="n">
        <f aca="false">G324</f>
        <v>65580.9103935182</v>
      </c>
      <c r="G326" s="1005" t="n">
        <f aca="false">F326+E326*NDDaysInYEar</f>
        <v>69963.9688657403</v>
      </c>
      <c r="H326" s="992" t="str">
        <f aca="false">A326</f>
        <v>Vi</v>
      </c>
      <c r="I326" s="206" t="str">
        <f aca="false">INDEX(SignSym,MOD(B326+MATCH(H326,SignSym,0)-1,12)+1)</f>
        <v>Le</v>
      </c>
      <c r="J326" s="206" t="str">
        <f aca="false">INDEX(SignSym,MOD(B326+MATCH(I326,SignSym,0)-1,12)+1)</f>
        <v>Cn</v>
      </c>
      <c r="K326" s="206" t="str">
        <f aca="false">INDEX(SignSym,MOD(B326+MATCH(J326,SignSym,0)-1,12)+1)</f>
        <v>Ge</v>
      </c>
      <c r="L326" s="206" t="str">
        <f aca="false">INDEX(SignSym,MOD(B326+MATCH(K326,SignSym,0)-1,12)+1)</f>
        <v>Ta</v>
      </c>
      <c r="M326" s="206" t="str">
        <f aca="false">INDEX(SignSym,MOD(B326+MATCH(L326,SignSym,0)-1,12)+1)</f>
        <v>Ar</v>
      </c>
      <c r="N326" s="206" t="str">
        <f aca="false">INDEX(SignSym,MOD(B326+MATCH(M326,SignSym,0)-1,12)+1)</f>
        <v>Pi</v>
      </c>
      <c r="O326" s="206" t="str">
        <f aca="false">INDEX(SignSym,MOD(B326+MATCH(N326,SignSym,0)-1,12)+1)</f>
        <v>Aq</v>
      </c>
      <c r="P326" s="206" t="str">
        <f aca="false">INDEX(SignSym,MOD(B326+MATCH(O326,SignSym,0)-1,12)+1)</f>
        <v>Cp</v>
      </c>
      <c r="Q326" s="206" t="str">
        <f aca="false">INDEX(SignSym,MOD(B326+MATCH(P326,SignSym,0)-1,12)+1)</f>
        <v>Sg</v>
      </c>
      <c r="R326" s="206" t="str">
        <f aca="false">INDEX(SignSym,MOD(B326+MATCH(Q326,SignSym,0)-1,12)+1)</f>
        <v>Sc</v>
      </c>
      <c r="S326" s="206" t="str">
        <f aca="false">INDEX(SignSym,MOD(B326+MATCH(R326,SignSym,0)-1,12)+1)</f>
        <v>Li</v>
      </c>
    </row>
    <row r="327" s="206" customFormat="true" ht="12.75" hidden="true" customHeight="true" outlineLevel="0" collapsed="false">
      <c r="C327" s="998"/>
      <c r="D327" s="998"/>
      <c r="F327" s="1005"/>
      <c r="G327" s="1005"/>
      <c r="H327" s="1005" t="n">
        <f aca="false">F326</f>
        <v>65580.9103935182</v>
      </c>
      <c r="I327" s="1005" t="n">
        <f aca="false">H327+(E326*NDDaysInYEar/12)</f>
        <v>65946.1652662033</v>
      </c>
      <c r="J327" s="1005" t="n">
        <f aca="false">I327+(E326*NDDaysInYEar/12)</f>
        <v>66311.4201388885</v>
      </c>
      <c r="K327" s="1005" t="n">
        <f aca="false">J327+(E326*NDDaysInYEar/12)</f>
        <v>66676.6750115737</v>
      </c>
      <c r="L327" s="1005" t="n">
        <f aca="false">K327+(E326*NDDaysInYEar/12)</f>
        <v>67041.9298842589</v>
      </c>
      <c r="M327" s="1005" t="n">
        <f aca="false">L327+(E326*NDDaysInYEar/12)</f>
        <v>67407.1847569441</v>
      </c>
      <c r="N327" s="1005" t="n">
        <f aca="false">M327+(E326*NDDaysInYEar/12)</f>
        <v>67772.4396296292</v>
      </c>
      <c r="O327" s="1005" t="n">
        <f aca="false">N327+(E326*NDDaysInYEar/12)</f>
        <v>68137.6945023144</v>
      </c>
      <c r="P327" s="1005" t="n">
        <f aca="false">O327+(E326*NDDaysInYEar/12)</f>
        <v>68502.9493749996</v>
      </c>
      <c r="Q327" s="1005" t="n">
        <f aca="false">P327+(E326*NDDaysInYEar/12)</f>
        <v>68868.2042476848</v>
      </c>
      <c r="R327" s="1005" t="n">
        <f aca="false">Q327+(E326*NDDaysInYEar/12)</f>
        <v>69233.45912037</v>
      </c>
      <c r="S327" s="1005" t="n">
        <f aca="false">R327+(E326*NDDaysInYEar/12)</f>
        <v>69598.7139930552</v>
      </c>
    </row>
    <row r="328" s="206" customFormat="true" ht="15" hidden="false" customHeight="false" outlineLevel="0" collapsed="false">
      <c r="A328" s="206" t="str">
        <f aca="false">VLOOKUP(C305,NDasaSeq,17,0)</f>
        <v>Ta</v>
      </c>
      <c r="B328" s="206" t="n">
        <f aca="false">VLOOKUP(A328,NDasaC,3,0)</f>
        <v>1</v>
      </c>
      <c r="C328" s="998" t="e">
        <f aca="false">IF(MATCH(VLOOKUP(IF((A328="Aq"),VLOOKUP("AqLord",DivCharts,D304,0),IF((A328="Sc"),VLOOKUP("ScLord",DivCharts,D304,0),VLOOKUP(A328,RsInfo,9,0))),DivCharts,D304,0),RsTbl,0)=MATCH(VLOOKUP(IF((A328="Aq"),VLOOKUP("AqLord",DivCharts,D304,0),IF((A328="Sc"),VLOOKUP("ScLord",DivCharts,D304,0),VLOOKUP(A328,RsInfo,9,0))),PlanetData,8,0),RsTbl,0),1,IF(MATCH(VLOOKUP(IF((A328="Aq"),VLOOKUP("AqLord",DivCharts,D304,0),IF((A328="Sc"),VLOOKUP("ScLord",DivCharts,D304,0),VLOOKUP(A328,RsInfo,9,0))),DivCharts,D304,0),RsTbl,0)=MOD(MATCH(VLOOKUP(IF((A328="Aq"),VLOOKUP("AqLord",DivCharts,D304,0),IF((A328="Sc"),VLOOKUP("ScLord",DivCharts,D304,0),VLOOKUP(A328,RsInfo,9,0))),PlanetData,8,0),RsTbl,0)+6,12),-1,0))</f>
        <v>#N/A</v>
      </c>
      <c r="D328" s="998" t="n">
        <f aca="false">MOD((MATCH(VLOOKUP(IF((A328="Aq"),VLOOKUP("AqLord",DivCharts,D304,0),IF((A328="Sc"),VLOOKUP("ScLord",DivCharts,D304,0),VLOOKUP(A328,RsInfo,9,0))),DivCharts,D304,0),RsTbl,0)*B328)-(B328*MATCH(A328,RsTbl,0))+12,12)</f>
        <v>9</v>
      </c>
      <c r="E328" s="206" t="n">
        <f aca="false">IF(ISNA(MATCH((D328+C328),,0)),(D328+C328),12)</f>
        <v>12</v>
      </c>
      <c r="F328" s="1005" t="n">
        <f aca="false">G326</f>
        <v>69963.9688657403</v>
      </c>
      <c r="G328" s="1005" t="n">
        <f aca="false">F328+E328*NDDaysInYEar</f>
        <v>74347.0273379625</v>
      </c>
      <c r="H328" s="992" t="str">
        <f aca="false">A328</f>
        <v>Ta</v>
      </c>
      <c r="I328" s="206" t="str">
        <f aca="false">INDEX(SignSym,MOD(B328+MATCH(H328,SignSym,0)-1,12)+1)</f>
        <v>Ge</v>
      </c>
      <c r="J328" s="206" t="str">
        <f aca="false">INDEX(SignSym,MOD(B328+MATCH(I328,SignSym,0)-1,12)+1)</f>
        <v>Cn</v>
      </c>
      <c r="K328" s="206" t="str">
        <f aca="false">INDEX(SignSym,MOD(B328+MATCH(J328,SignSym,0)-1,12)+1)</f>
        <v>Le</v>
      </c>
      <c r="L328" s="206" t="str">
        <f aca="false">INDEX(SignSym,MOD(B328+MATCH(K328,SignSym,0)-1,12)+1)</f>
        <v>Vi</v>
      </c>
      <c r="M328" s="206" t="str">
        <f aca="false">INDEX(SignSym,MOD(B328+MATCH(L328,SignSym,0)-1,12)+1)</f>
        <v>Li</v>
      </c>
      <c r="N328" s="206" t="str">
        <f aca="false">INDEX(SignSym,MOD(B328+MATCH(M328,SignSym,0)-1,12)+1)</f>
        <v>Sc</v>
      </c>
      <c r="O328" s="206" t="str">
        <f aca="false">INDEX(SignSym,MOD(B328+MATCH(N328,SignSym,0)-1,12)+1)</f>
        <v>Sg</v>
      </c>
      <c r="P328" s="206" t="str">
        <f aca="false">INDEX(SignSym,MOD(B328+MATCH(O328,SignSym,0)-1,12)+1)</f>
        <v>Cp</v>
      </c>
      <c r="Q328" s="206" t="str">
        <f aca="false">INDEX(SignSym,MOD(B328+MATCH(P328,SignSym,0)-1,12)+1)</f>
        <v>Aq</v>
      </c>
      <c r="R328" s="206" t="str">
        <f aca="false">INDEX(SignSym,MOD(B328+MATCH(Q328,SignSym,0)-1,12)+1)</f>
        <v>Pi</v>
      </c>
      <c r="S328" s="206" t="str">
        <f aca="false">INDEX(SignSym,MOD(B328+MATCH(R328,SignSym,0)-1,12)+1)</f>
        <v>Ar</v>
      </c>
    </row>
    <row r="329" s="206" customFormat="true" ht="12.75" hidden="true" customHeight="true" outlineLevel="0" collapsed="false">
      <c r="C329" s="998"/>
      <c r="D329" s="998"/>
      <c r="F329" s="1005"/>
      <c r="G329" s="1005"/>
      <c r="H329" s="1005" t="n">
        <f aca="false">F328</f>
        <v>69963.9688657403</v>
      </c>
      <c r="I329" s="1005" t="n">
        <f aca="false">H329+(E328*NDDaysInYEar/12)</f>
        <v>70329.2237384255</v>
      </c>
      <c r="J329" s="1005" t="n">
        <f aca="false">I329+(E328*NDDaysInYEar/12)</f>
        <v>70694.4786111107</v>
      </c>
      <c r="K329" s="1005" t="n">
        <f aca="false">J329+(E328*NDDaysInYEar/12)</f>
        <v>71059.7334837959</v>
      </c>
      <c r="L329" s="1005" t="n">
        <f aca="false">K329+(E328*NDDaysInYEar/12)</f>
        <v>71424.9883564811</v>
      </c>
      <c r="M329" s="1005" t="n">
        <f aca="false">L329+(E328*NDDaysInYEar/12)</f>
        <v>71790.2432291662</v>
      </c>
      <c r="N329" s="1005" t="n">
        <f aca="false">M329+(E328*NDDaysInYEar/12)</f>
        <v>72155.4981018514</v>
      </c>
      <c r="O329" s="1005" t="n">
        <f aca="false">N329+(E328*NDDaysInYEar/12)</f>
        <v>72520.7529745366</v>
      </c>
      <c r="P329" s="1005" t="n">
        <f aca="false">O329+(E328*NDDaysInYEar/12)</f>
        <v>72886.0078472218</v>
      </c>
      <c r="Q329" s="1005" t="n">
        <f aca="false">P329+(E328*NDDaysInYEar/12)</f>
        <v>73251.262719907</v>
      </c>
      <c r="R329" s="1005" t="n">
        <f aca="false">Q329+(E328*NDDaysInYEar/12)</f>
        <v>73616.5175925922</v>
      </c>
      <c r="S329" s="1005" t="n">
        <f aca="false">R329+(E328*NDDaysInYEar/12)</f>
        <v>73981.7724652773</v>
      </c>
    </row>
    <row r="330" s="206" customFormat="true" ht="15" hidden="false" customHeight="false" outlineLevel="0" collapsed="false">
      <c r="A330" s="206" t="str">
        <f aca="false">VLOOKUP(C305,NDasaSeq,18,0)</f>
        <v>Cp</v>
      </c>
      <c r="B330" s="206" t="n">
        <f aca="false">VLOOKUP(A330,NDasaC,3,0)</f>
        <v>-1</v>
      </c>
      <c r="C330" s="998" t="e">
        <f aca="false">IF(MATCH(VLOOKUP(IF((A330="Aq"),VLOOKUP("AqLord",DivCharts,D304,0),IF((A330="Sc"),VLOOKUP("ScLord",DivCharts,D304,0),VLOOKUP(A330,RsInfo,9,0))),DivCharts,D304,0),RsTbl,0)=MATCH(VLOOKUP(IF((A330="Aq"),VLOOKUP("AqLord",DivCharts,D304,0),IF((A330="Sc"),VLOOKUP("ScLord",DivCharts,D304,0),VLOOKUP(A330,RsInfo,9,0))),PlanetData,8,0),RsTbl,0),1,IF(MATCH(VLOOKUP(IF((A330="Aq"),VLOOKUP("AqLord",DivCharts,D304,0),IF((A330="Sc"),VLOOKUP("ScLord",DivCharts,D304,0),VLOOKUP(A330,RsInfo,9,0))),DivCharts,D304,0),RsTbl,0)=MOD(MATCH(VLOOKUP(IF((A330="Aq"),VLOOKUP("AqLord",DivCharts,D304,0),IF((A330="Sc"),VLOOKUP("ScLord",DivCharts,D304,0),VLOOKUP(A330,RsInfo,9,0))),PlanetData,8,0),RsTbl,0)+6,12),-1,0))</f>
        <v>#N/A</v>
      </c>
      <c r="D330" s="998" t="n">
        <f aca="false">MOD((MATCH(VLOOKUP(IF((A330="Aq"),VLOOKUP("AqLord",DivCharts,D304,0),IF((A330="Sc"),VLOOKUP("ScLord",DivCharts,D304,0),VLOOKUP(A330,RsInfo,9,0))),DivCharts,D304,0),RsTbl,0)*B330)-(B330*MATCH(A330,RsTbl,0))+12,12)</f>
        <v>5</v>
      </c>
      <c r="E330" s="206" t="n">
        <f aca="false">IF(ISNA(MATCH((D330+C330),,0)),(D330+C330),12)</f>
        <v>12</v>
      </c>
      <c r="F330" s="1005" t="n">
        <f aca="false">G328</f>
        <v>74347.0273379625</v>
      </c>
      <c r="G330" s="1005" t="n">
        <f aca="false">F330+E330*NDDaysInYEar</f>
        <v>78730.0858101847</v>
      </c>
      <c r="H330" s="992" t="str">
        <f aca="false">A330</f>
        <v>Cp</v>
      </c>
      <c r="I330" s="206" t="str">
        <f aca="false">INDEX(SignSym,MOD(B330+MATCH(H330,SignSym,0)-1,12)+1)</f>
        <v>Sg</v>
      </c>
      <c r="J330" s="206" t="str">
        <f aca="false">INDEX(SignSym,MOD(B330+MATCH(I330,SignSym,0)-1,12)+1)</f>
        <v>Sc</v>
      </c>
      <c r="K330" s="206" t="str">
        <f aca="false">INDEX(SignSym,MOD(B330+MATCH(J330,SignSym,0)-1,12)+1)</f>
        <v>Li</v>
      </c>
      <c r="L330" s="206" t="str">
        <f aca="false">INDEX(SignSym,MOD(B330+MATCH(K330,SignSym,0)-1,12)+1)</f>
        <v>Vi</v>
      </c>
      <c r="M330" s="206" t="str">
        <f aca="false">INDEX(SignSym,MOD(B330+MATCH(L330,SignSym,0)-1,12)+1)</f>
        <v>Le</v>
      </c>
      <c r="N330" s="206" t="str">
        <f aca="false">INDEX(SignSym,MOD(B330+MATCH(M330,SignSym,0)-1,12)+1)</f>
        <v>Cn</v>
      </c>
      <c r="O330" s="206" t="str">
        <f aca="false">INDEX(SignSym,MOD(B330+MATCH(N330,SignSym,0)-1,12)+1)</f>
        <v>Ge</v>
      </c>
      <c r="P330" s="206" t="str">
        <f aca="false">INDEX(SignSym,MOD(B330+MATCH(O330,SignSym,0)-1,12)+1)</f>
        <v>Ta</v>
      </c>
      <c r="Q330" s="206" t="str">
        <f aca="false">INDEX(SignSym,MOD(B330+MATCH(P330,SignSym,0)-1,12)+1)</f>
        <v>Ar</v>
      </c>
      <c r="R330" s="206" t="str">
        <f aca="false">INDEX(SignSym,MOD(B330+MATCH(Q330,SignSym,0)-1,12)+1)</f>
        <v>Pi</v>
      </c>
      <c r="S330" s="206" t="str">
        <f aca="false">INDEX(SignSym,MOD(B330+MATCH(R330,SignSym,0)-1,12)+1)</f>
        <v>Aq</v>
      </c>
    </row>
    <row r="331" s="206" customFormat="true" ht="15" hidden="true" customHeight="false" outlineLevel="0" collapsed="false">
      <c r="D331" s="998"/>
      <c r="H331" s="1005" t="n">
        <f aca="false">F330</f>
        <v>74347.0273379625</v>
      </c>
      <c r="I331" s="1005" t="n">
        <f aca="false">H331+(E330*NDDaysInYEar/12)</f>
        <v>74712.2822106477</v>
      </c>
      <c r="J331" s="1005" t="n">
        <f aca="false">I331+(E330*NDDaysInYEar/12)</f>
        <v>75077.5370833329</v>
      </c>
      <c r="K331" s="1005" t="n">
        <f aca="false">J331+(E330*NDDaysInYEar/12)</f>
        <v>75442.7919560181</v>
      </c>
      <c r="L331" s="1005" t="n">
        <f aca="false">K331+(E330*NDDaysInYEar/12)</f>
        <v>75808.0468287032</v>
      </c>
      <c r="M331" s="1005" t="n">
        <f aca="false">L331+(E330*NDDaysInYEar/12)</f>
        <v>76173.3017013884</v>
      </c>
      <c r="N331" s="1005" t="n">
        <f aca="false">M331+(E330*NDDaysInYEar/12)</f>
        <v>76538.5565740736</v>
      </c>
      <c r="O331" s="1005" t="n">
        <f aca="false">N331+(E330*NDDaysInYEar/12)</f>
        <v>76903.8114467588</v>
      </c>
      <c r="P331" s="1005" t="n">
        <f aca="false">O331+(E330*NDDaysInYEar/12)</f>
        <v>77269.066319444</v>
      </c>
      <c r="Q331" s="1005" t="n">
        <f aca="false">P331+(E330*NDDaysInYEar/12)</f>
        <v>77634.3211921292</v>
      </c>
      <c r="R331" s="1005" t="n">
        <f aca="false">Q331+(E330*NDDaysInYEar/12)</f>
        <v>77999.5760648143</v>
      </c>
      <c r="S331" s="1005" t="n">
        <f aca="false">R331+(E330*NDDaysInYEar/12)</f>
        <v>78364.8309374995</v>
      </c>
    </row>
    <row r="332" s="206" customFormat="true" ht="15" hidden="false" customHeight="false" outlineLevel="0" collapsed="false">
      <c r="A332" s="1004"/>
      <c r="B332" s="1004"/>
      <c r="C332" s="1004"/>
      <c r="D332" s="1004"/>
      <c r="E332" s="1004"/>
      <c r="F332" s="1004"/>
      <c r="G332" s="1004"/>
      <c r="H332" s="1004"/>
      <c r="I332" s="1004"/>
      <c r="J332" s="1004"/>
      <c r="K332" s="1004"/>
      <c r="L332" s="1004"/>
      <c r="M332" s="1004"/>
      <c r="N332" s="1004"/>
      <c r="O332" s="1004"/>
      <c r="P332" s="1004"/>
      <c r="Q332" s="1004"/>
      <c r="R332" s="1004"/>
      <c r="S332" s="1004"/>
    </row>
    <row r="334" customFormat="false" ht="15" hidden="false" customHeight="false" outlineLevel="0" collapsed="false">
      <c r="L334" s="48"/>
    </row>
    <row r="335" customFormat="false" ht="15" hidden="false" customHeight="false" outlineLevel="0" collapsed="false">
      <c r="A335" s="985" t="s">
        <v>4225</v>
      </c>
      <c r="B335" s="986"/>
      <c r="C335" s="986"/>
      <c r="D335" s="986"/>
      <c r="E335" s="986"/>
      <c r="F335" s="986"/>
      <c r="G335" s="986"/>
      <c r="H335" s="986"/>
      <c r="I335" s="986"/>
      <c r="J335" s="986"/>
      <c r="K335" s="986"/>
      <c r="L335" s="987"/>
      <c r="M335" s="986"/>
      <c r="N335" s="986"/>
      <c r="O335" s="986"/>
      <c r="P335" s="986"/>
      <c r="Q335" s="986"/>
      <c r="R335" s="986"/>
      <c r="S335" s="986"/>
    </row>
    <row r="336" s="206" customFormat="true" ht="15" hidden="false" customHeight="false" outlineLevel="0" collapsed="false">
      <c r="A336" s="988" t="s">
        <v>4213</v>
      </c>
      <c r="B336" s="988"/>
      <c r="C336" s="989" t="n">
        <v>1</v>
      </c>
      <c r="D336" s="990" t="n">
        <f aca="false">MATCH(C336,$18:$18,1)</f>
        <v>2</v>
      </c>
      <c r="H336" s="206" t="s">
        <v>4214</v>
      </c>
      <c r="I336" s="991" t="s">
        <v>4215</v>
      </c>
      <c r="N336" s="991"/>
    </row>
    <row r="337" s="206" customFormat="true" ht="15" hidden="false" customHeight="false" outlineLevel="0" collapsed="false">
      <c r="A337" s="988" t="s">
        <v>4216</v>
      </c>
      <c r="B337" s="988"/>
      <c r="C337" s="992"/>
      <c r="D337" s="993"/>
      <c r="E337" s="206" t="s">
        <v>4226</v>
      </c>
      <c r="F337" s="206" t="b">
        <f aca="false">FALSE()</f>
        <v>0</v>
      </c>
      <c r="G337" s="351"/>
      <c r="H337" s="991" t="b">
        <f aca="false">TRUE()</f>
        <v>1</v>
      </c>
      <c r="I337" s="1012" t="n">
        <f aca="false">0.57974537037037</f>
        <v>0.57974537037037</v>
      </c>
      <c r="J337" s="991"/>
      <c r="P337" s="991"/>
    </row>
    <row r="338" s="206" customFormat="true" ht="15" hidden="false" customHeight="false" outlineLevel="0" collapsed="false">
      <c r="C338" s="991"/>
      <c r="E338" s="991"/>
      <c r="H338" s="991"/>
      <c r="I338" s="991"/>
      <c r="J338" s="991"/>
    </row>
    <row r="339" s="206" customFormat="true" ht="15" hidden="false" customHeight="false" outlineLevel="0" collapsed="false">
      <c r="A339" s="1007" t="s">
        <v>4084</v>
      </c>
      <c r="B339" s="1007" t="s">
        <v>807</v>
      </c>
      <c r="C339" s="1007" t="s">
        <v>4218</v>
      </c>
      <c r="D339" s="1007" t="s">
        <v>4219</v>
      </c>
      <c r="E339" s="1007" t="s">
        <v>400</v>
      </c>
      <c r="F339" s="1007" t="s">
        <v>730</v>
      </c>
      <c r="G339" s="1007" t="s">
        <v>805</v>
      </c>
      <c r="H339" s="1007" t="s">
        <v>4221</v>
      </c>
      <c r="I339" s="991"/>
      <c r="J339" s="991"/>
    </row>
    <row r="340" s="206" customFormat="true" ht="15" hidden="false" customHeight="false" outlineLevel="0" collapsed="false">
      <c r="A340" s="1013" t="s">
        <v>693</v>
      </c>
      <c r="B340" s="206" t="n">
        <f aca="false">VLOOKUP(A340,NDasaC,3,0)</f>
        <v>1</v>
      </c>
      <c r="C340" s="998" t="e">
        <f aca="false">IF(MATCH(VLOOKUP(IF((A340="Aq"),VLOOKUP("AqLord",DivCharts,D336,0),IF((A340="Sc"),VLOOKUP("ScLord",DivCharts,D336,0),VLOOKUP(A340,RsInfo,9,0))),DivCharts,D336,0),RsTbl,0)=MATCH(VLOOKUP(IF((A340="Aq"),VLOOKUP("AqLord",DivCharts,D336,0),IF((A340="Sc"),VLOOKUP("ScLord",DivCharts,D336,0),VLOOKUP(A340,RsInfo,9,0))),PlanetData,8,0),RsTbl,0),1,IF(MATCH(VLOOKUP(IF((A340="Aq"),VLOOKUP("AqLord",DivCharts,D336,0),IF((A340="Sc"),VLOOKUP("ScLord",DivCharts,D336,0),VLOOKUP(A340,RsInfo,9,0))),DivCharts,D336,0),RsTbl,0)=MOD(MATCH(VLOOKUP(IF((A340="Aq"),VLOOKUP("AqLord",DivCharts,D336,0),IF((A340="Sc"),VLOOKUP("ScLord",DivCharts,D336,0),VLOOKUP(A340,RsInfo,9,0))),PlanetData,8,0),RsTbl,0)+6,12),-1,0))</f>
        <v>#N/A</v>
      </c>
      <c r="D340" s="998" t="n">
        <f aca="false">MOD((MATCH(VLOOKUP(IF((A340="Aq"),VLOOKUP("AqLord",DivCharts,D336,0),IF((A340="Sc"),VLOOKUP("ScLord",DivCharts,D336,0),VLOOKUP(A340,RsInfo,9,0))),DivCharts,D336,0),RsTbl,0)*B340)-(B340*MATCH(A340,RsTbl,0))+12,12)</f>
        <v>1</v>
      </c>
      <c r="E340" s="206" t="n">
        <f aca="false">ABS(IF(ISNA(MATCH((D340+C340),,0)),(D340+C340),12)+IF(F337,0,-12))*IF(H337,I337,1)</f>
        <v>0</v>
      </c>
      <c r="F340" s="999" t="n">
        <f aca="false">NDDoB</f>
        <v>26133.3841435185</v>
      </c>
      <c r="G340" s="999" t="n">
        <f aca="false">F340+E340*NDDaysInYEar</f>
        <v>26133.3841435185</v>
      </c>
      <c r="H340" s="1000" t="str">
        <f aca="false">A340</f>
        <v>Ta</v>
      </c>
      <c r="I340" s="233" t="str">
        <f aca="false">INDEX(SignSym,MOD(B340+MATCH(H340,SignSym,0)-1,12)+1)</f>
        <v>Ge</v>
      </c>
      <c r="J340" s="233" t="str">
        <f aca="false">INDEX(SignSym,MOD(B340+MATCH(I340,SignSym,0)-1,12)+1)</f>
        <v>Cn</v>
      </c>
      <c r="K340" s="234" t="str">
        <f aca="false">INDEX(SignSym,MOD(B340+MATCH(J340,SignSym,0)-1,12)+1)</f>
        <v>Le</v>
      </c>
      <c r="L340" s="232" t="str">
        <f aca="false">INDEX(SignSym,MOD(B340+MATCH(K340,SignSym,0)-1,12)+1)</f>
        <v>Vi</v>
      </c>
      <c r="M340" s="233" t="str">
        <f aca="false">INDEX(SignSym,MOD(B340+MATCH(L340,SignSym,0)-1,12)+1)</f>
        <v>Li</v>
      </c>
      <c r="N340" s="233" t="str">
        <f aca="false">INDEX(SignSym,MOD(B340+MATCH(M340,SignSym,0)-1,12)+1)</f>
        <v>Sc</v>
      </c>
      <c r="O340" s="234" t="str">
        <f aca="false">INDEX(SignSym,MOD(B340+MATCH(N340,SignSym,0)-1,12)+1)</f>
        <v>Sg</v>
      </c>
      <c r="P340" s="232" t="str">
        <f aca="false">INDEX(SignSym,MOD(B340+MATCH(O340,SignSym,0)-1,12)+1)</f>
        <v>Cp</v>
      </c>
      <c r="Q340" s="233" t="str">
        <f aca="false">INDEX(SignSym,MOD(B340+MATCH(P340,SignSym,0)-1,12)+1)</f>
        <v>Aq</v>
      </c>
      <c r="R340" s="233" t="str">
        <f aca="false">INDEX(SignSym,MOD(B340+MATCH(Q340,SignSym,0)-1,12)+1)</f>
        <v>Pi</v>
      </c>
      <c r="S340" s="234" t="str">
        <f aca="false">INDEX(SignSym,MOD(B340+MATCH(R340,SignSym,0)-1,12)+1)</f>
        <v>Ar</v>
      </c>
    </row>
    <row r="341" s="206" customFormat="true" ht="15" hidden="false" customHeight="false" outlineLevel="0" collapsed="false">
      <c r="C341" s="998"/>
      <c r="D341" s="998"/>
      <c r="F341" s="999"/>
      <c r="G341" s="999"/>
      <c r="H341" s="1001" t="n">
        <f aca="false">F340</f>
        <v>26133.3841435185</v>
      </c>
      <c r="I341" s="1002" t="n">
        <f aca="false">H341+(E340*NDDaysInYEar/12)</f>
        <v>26133.3841435185</v>
      </c>
      <c r="J341" s="1002" t="n">
        <f aca="false">I341+(E340*NDDaysInYEar/12)</f>
        <v>26133.3841435185</v>
      </c>
      <c r="K341" s="1003" t="n">
        <f aca="false">J341+(E340*NDDaysInYEar/12)</f>
        <v>26133.3841435185</v>
      </c>
      <c r="L341" s="1001" t="n">
        <f aca="false">K341+(E340*NDDaysInYEar/12)</f>
        <v>26133.3841435185</v>
      </c>
      <c r="M341" s="1002" t="n">
        <f aca="false">L341+(E340*NDDaysInYEar/12)</f>
        <v>26133.3841435185</v>
      </c>
      <c r="N341" s="1002" t="n">
        <f aca="false">M341+(E340*NDDaysInYEar/12)</f>
        <v>26133.3841435185</v>
      </c>
      <c r="O341" s="1003" t="n">
        <f aca="false">N341+(E340*NDDaysInYEar/12)</f>
        <v>26133.3841435185</v>
      </c>
      <c r="P341" s="1001" t="n">
        <f aca="false">O341+(E340*NDDaysInYEar/12)</f>
        <v>26133.3841435185</v>
      </c>
      <c r="Q341" s="1002" t="n">
        <f aca="false">P341+(E340*NDDaysInYEar/12)</f>
        <v>26133.3841435185</v>
      </c>
      <c r="R341" s="1002" t="n">
        <f aca="false">Q341+(E340*NDDaysInYEar/12)</f>
        <v>26133.3841435185</v>
      </c>
      <c r="S341" s="1003" t="n">
        <f aca="false">R341+(E340*NDDaysInYEar/12)</f>
        <v>26133.3841435185</v>
      </c>
    </row>
    <row r="342" s="206" customFormat="true" ht="15" hidden="false" customHeight="false" outlineLevel="0" collapsed="false">
      <c r="A342" s="1013" t="s">
        <v>701</v>
      </c>
      <c r="B342" s="206" t="n">
        <f aca="false">VLOOKUP(A342,NDasaC,3,0)</f>
        <v>-1</v>
      </c>
      <c r="C342" s="998" t="e">
        <f aca="false">IF(MATCH(VLOOKUP(IF((A342="Aq"),VLOOKUP("AqLord",DivCharts,D336,0),IF((A342="Sc"),VLOOKUP("ScLord",DivCharts,D336,0),VLOOKUP(A342,RsInfo,9,0))),DivCharts,D336,0),RsTbl,0)=MATCH(VLOOKUP(IF((A342="Aq"),VLOOKUP("AqLord",DivCharts,D336,0),IF((A342="Sc"),VLOOKUP("ScLord",DivCharts,D336,0),VLOOKUP(A342,RsInfo,9,0))),PlanetData,8,0),RsTbl,0),1,IF(MATCH(VLOOKUP(IF((A342="Aq"),VLOOKUP("AqLord",DivCharts,D336,0),IF((A342="Sc"),VLOOKUP("ScLord",DivCharts,D336,0),VLOOKUP(A342,RsInfo,9,0))),DivCharts,D336,0),RsTbl,0)=MOD(MATCH(VLOOKUP(IF((A342="Aq"),VLOOKUP("AqLord",DivCharts,D336,0),IF((A342="Sc"),VLOOKUP("ScLord",DivCharts,D336,0),VLOOKUP(A342,RsInfo,9,0))),PlanetData,8,0),RsTbl,0)+6,12),-1,0))</f>
        <v>#N/A</v>
      </c>
      <c r="D342" s="998" t="n">
        <f aca="false">MOD((MATCH(VLOOKUP(IF((A342="Aq"),VLOOKUP("AqLord",DivCharts,D336,0),IF((A342="Sc"),VLOOKUP("ScLord",DivCharts,D336,0),VLOOKUP(A342,RsInfo,9,0))),DivCharts,D336,0),RsTbl,0)*B342)-(B342*MATCH(A342,RsTbl,0))+12,12)</f>
        <v>1</v>
      </c>
      <c r="E342" s="206" t="n">
        <f aca="false">ABS(IF(ISNA(MATCH((D342+C342),,0)),(D342+C342),12)+IF(F337,0,-12))</f>
        <v>0</v>
      </c>
      <c r="F342" s="999" t="n">
        <f aca="false">G340</f>
        <v>26133.3841435185</v>
      </c>
      <c r="G342" s="999" t="n">
        <f aca="false">F342+E342*NDDaysInYEar</f>
        <v>26133.3841435185</v>
      </c>
      <c r="H342" s="1000" t="str">
        <f aca="false">A342</f>
        <v>Le</v>
      </c>
      <c r="I342" s="233" t="str">
        <f aca="false">INDEX(SignSym,MOD(B342+MATCH(H342,SignSym,0)-1,12)+1)</f>
        <v>Cn</v>
      </c>
      <c r="J342" s="233" t="str">
        <f aca="false">INDEX(SignSym,MOD(B342+MATCH(I342,SignSym,0)-1,12)+1)</f>
        <v>Ge</v>
      </c>
      <c r="K342" s="234" t="str">
        <f aca="false">INDEX(SignSym,MOD(B342+MATCH(J342,SignSym,0)-1,12)+1)</f>
        <v>Ta</v>
      </c>
      <c r="L342" s="232" t="str">
        <f aca="false">INDEX(SignSym,MOD(B342+MATCH(K342,SignSym,0)-1,12)+1)</f>
        <v>Ar</v>
      </c>
      <c r="M342" s="233" t="str">
        <f aca="false">INDEX(SignSym,MOD(B342+MATCH(L342,SignSym,0)-1,12)+1)</f>
        <v>Pi</v>
      </c>
      <c r="N342" s="233" t="str">
        <f aca="false">INDEX(SignSym,MOD(B342+MATCH(M342,SignSym,0)-1,12)+1)</f>
        <v>Aq</v>
      </c>
      <c r="O342" s="234" t="str">
        <f aca="false">INDEX(SignSym,MOD(B342+MATCH(N342,SignSym,0)-1,12)+1)</f>
        <v>Cp</v>
      </c>
      <c r="P342" s="232" t="str">
        <f aca="false">INDEX(SignSym,MOD(B342+MATCH(O342,SignSym,0)-1,12)+1)</f>
        <v>Sg</v>
      </c>
      <c r="Q342" s="233" t="str">
        <f aca="false">INDEX(SignSym,MOD(B342+MATCH(P342,SignSym,0)-1,12)+1)</f>
        <v>Sc</v>
      </c>
      <c r="R342" s="233" t="str">
        <f aca="false">INDEX(SignSym,MOD(B342+MATCH(Q342,SignSym,0)-1,12)+1)</f>
        <v>Li</v>
      </c>
      <c r="S342" s="234" t="str">
        <f aca="false">INDEX(SignSym,MOD(B342+MATCH(R342,SignSym,0)-1,12)+1)</f>
        <v>Vi</v>
      </c>
    </row>
    <row r="343" s="206" customFormat="true" ht="15" hidden="false" customHeight="false" outlineLevel="0" collapsed="false">
      <c r="C343" s="998"/>
      <c r="D343" s="998"/>
      <c r="F343" s="999"/>
      <c r="G343" s="999"/>
      <c r="H343" s="1001" t="n">
        <f aca="false">F342</f>
        <v>26133.3841435185</v>
      </c>
      <c r="I343" s="1002" t="n">
        <f aca="false">H343+(E342*NDDaysInYEar/12)</f>
        <v>26133.3841435185</v>
      </c>
      <c r="J343" s="1002" t="n">
        <f aca="false">I343+(E342*NDDaysInYEar/12)</f>
        <v>26133.3841435185</v>
      </c>
      <c r="K343" s="1003" t="n">
        <f aca="false">J343+(E342*NDDaysInYEar/12)</f>
        <v>26133.3841435185</v>
      </c>
      <c r="L343" s="1001" t="n">
        <f aca="false">K343+(E342*NDDaysInYEar/12)</f>
        <v>26133.3841435185</v>
      </c>
      <c r="M343" s="1002" t="n">
        <f aca="false">L343+(E342*NDDaysInYEar/12)</f>
        <v>26133.3841435185</v>
      </c>
      <c r="N343" s="1002" t="n">
        <f aca="false">M343+(E342*NDDaysInYEar/12)</f>
        <v>26133.3841435185</v>
      </c>
      <c r="O343" s="1003" t="n">
        <f aca="false">N343+(E342*NDDaysInYEar/12)</f>
        <v>26133.3841435185</v>
      </c>
      <c r="P343" s="1001" t="n">
        <f aca="false">O343+(E342*NDDaysInYEar/12)</f>
        <v>26133.3841435185</v>
      </c>
      <c r="Q343" s="1002" t="n">
        <f aca="false">P343+(E342*NDDaysInYEar/12)</f>
        <v>26133.3841435185</v>
      </c>
      <c r="R343" s="1002" t="n">
        <f aca="false">Q343+(E342*NDDaysInYEar/12)</f>
        <v>26133.3841435185</v>
      </c>
      <c r="S343" s="1003" t="n">
        <f aca="false">R343+(E342*NDDaysInYEar/12)</f>
        <v>26133.3841435185</v>
      </c>
    </row>
    <row r="344" s="206" customFormat="true" ht="15" hidden="false" customHeight="false" outlineLevel="0" collapsed="false">
      <c r="A344" s="206" t="s">
        <v>709</v>
      </c>
      <c r="B344" s="206" t="n">
        <f aca="false">VLOOKUP(A344,NDasaC,3,0)</f>
        <v>1</v>
      </c>
      <c r="C344" s="998" t="e">
        <f aca="false">IF(MATCH(VLOOKUP(IF((A344="Aq"),VLOOKUP("AqLord",DivCharts,D336,0),IF((A344="Sc"),VLOOKUP("ScLord",DivCharts,D336,0),VLOOKUP(A344,RsInfo,9,0))),DivCharts,D336,0),RsTbl,0)=MATCH(VLOOKUP(IF((A344="Aq"),VLOOKUP("AqLord",DivCharts,D336,0),IF((A344="Sc"),VLOOKUP("ScLord",DivCharts,D336,0),VLOOKUP(A344,RsInfo,9,0))),PlanetData,8,0),RsTbl,0),1,IF(MATCH(VLOOKUP(IF((A344="Aq"),VLOOKUP("AqLord",DivCharts,D336,0),IF((A344="Sc"),VLOOKUP("ScLord",DivCharts,D336,0),VLOOKUP(A344,RsInfo,9,0))),DivCharts,D336,0),RsTbl,0)=MOD(MATCH(VLOOKUP(IF((A344="Aq"),VLOOKUP("AqLord",DivCharts,D336,0),IF((A344="Sc"),VLOOKUP("ScLord",DivCharts,D336,0),VLOOKUP(A344,RsInfo,9,0))),PlanetData,8,0),RsTbl,0)+6,12),-1,0))</f>
        <v>#N/A</v>
      </c>
      <c r="D344" s="998" t="n">
        <f aca="false">MOD((MATCH(VLOOKUP(IF((A344="Aq"),VLOOKUP("AqLord",DivCharts,D336,0),IF((A344="Sc"),VLOOKUP("ScLord",DivCharts,D336,0),VLOOKUP(A344,RsInfo,9,0))),DivCharts,D336,0),RsTbl,0)*B344)-(B344*MATCH(A344,RsTbl,0))+12,12)</f>
        <v>8</v>
      </c>
      <c r="E344" s="206" t="n">
        <f aca="false">ABS(IF(ISNA(MATCH((D344+C344),,0)),(D344+C344),12)+IF(F337,0,-12))</f>
        <v>0</v>
      </c>
      <c r="F344" s="999" t="n">
        <f aca="false">G342</f>
        <v>26133.3841435185</v>
      </c>
      <c r="G344" s="999" t="n">
        <f aca="false">F344+E344*NDDaysInYEar</f>
        <v>26133.3841435185</v>
      </c>
      <c r="H344" s="1000" t="str">
        <f aca="false">A344</f>
        <v>Sc</v>
      </c>
      <c r="I344" s="233" t="str">
        <f aca="false">INDEX(SignSym,MOD(B344+MATCH(H344,SignSym,0)-1,12)+1)</f>
        <v>Sg</v>
      </c>
      <c r="J344" s="233" t="str">
        <f aca="false">INDEX(SignSym,MOD(B344+MATCH(I344,SignSym,0)-1,12)+1)</f>
        <v>Cp</v>
      </c>
      <c r="K344" s="234" t="str">
        <f aca="false">INDEX(SignSym,MOD(B344+MATCH(J344,SignSym,0)-1,12)+1)</f>
        <v>Aq</v>
      </c>
      <c r="L344" s="232" t="str">
        <f aca="false">INDEX(SignSym,MOD(B344+MATCH(K344,SignSym,0)-1,12)+1)</f>
        <v>Pi</v>
      </c>
      <c r="M344" s="233" t="str">
        <f aca="false">INDEX(SignSym,MOD(B344+MATCH(L344,SignSym,0)-1,12)+1)</f>
        <v>Ar</v>
      </c>
      <c r="N344" s="233" t="str">
        <f aca="false">INDEX(SignSym,MOD(B344+MATCH(M344,SignSym,0)-1,12)+1)</f>
        <v>Ta</v>
      </c>
      <c r="O344" s="234" t="str">
        <f aca="false">INDEX(SignSym,MOD(B344+MATCH(N344,SignSym,0)-1,12)+1)</f>
        <v>Ge</v>
      </c>
      <c r="P344" s="232" t="str">
        <f aca="false">INDEX(SignSym,MOD(B344+MATCH(O344,SignSym,0)-1,12)+1)</f>
        <v>Cn</v>
      </c>
      <c r="Q344" s="233" t="str">
        <f aca="false">INDEX(SignSym,MOD(B344+MATCH(P344,SignSym,0)-1,12)+1)</f>
        <v>Le</v>
      </c>
      <c r="R344" s="233" t="str">
        <f aca="false">INDEX(SignSym,MOD(B344+MATCH(Q344,SignSym,0)-1,12)+1)</f>
        <v>Vi</v>
      </c>
      <c r="S344" s="234" t="str">
        <f aca="false">INDEX(SignSym,MOD(B344+MATCH(R344,SignSym,0)-1,12)+1)</f>
        <v>Li</v>
      </c>
    </row>
    <row r="345" s="206" customFormat="true" ht="15" hidden="false" customHeight="false" outlineLevel="0" collapsed="false">
      <c r="C345" s="998"/>
      <c r="D345" s="998"/>
      <c r="F345" s="999"/>
      <c r="G345" s="999"/>
      <c r="H345" s="1001" t="n">
        <f aca="false">F344</f>
        <v>26133.3841435185</v>
      </c>
      <c r="I345" s="1002" t="n">
        <f aca="false">H345+(E344*NDDaysInYEar/12)</f>
        <v>26133.3841435185</v>
      </c>
      <c r="J345" s="1002" t="n">
        <f aca="false">I345+(E344*NDDaysInYEar/12)</f>
        <v>26133.3841435185</v>
      </c>
      <c r="K345" s="1003" t="n">
        <f aca="false">J345+(E344*NDDaysInYEar/12)</f>
        <v>26133.3841435185</v>
      </c>
      <c r="L345" s="1001" t="n">
        <f aca="false">K345+(E344*NDDaysInYEar/12)</f>
        <v>26133.3841435185</v>
      </c>
      <c r="M345" s="1002" t="n">
        <f aca="false">L345+(E344*NDDaysInYEar/12)</f>
        <v>26133.3841435185</v>
      </c>
      <c r="N345" s="1002" t="n">
        <f aca="false">M345+(E344*NDDaysInYEar/12)</f>
        <v>26133.3841435185</v>
      </c>
      <c r="O345" s="1003" t="n">
        <f aca="false">N345+(E344*NDDaysInYEar/12)</f>
        <v>26133.3841435185</v>
      </c>
      <c r="P345" s="1001" t="n">
        <f aca="false">O345+(E344*NDDaysInYEar/12)</f>
        <v>26133.3841435185</v>
      </c>
      <c r="Q345" s="1002" t="n">
        <f aca="false">P345+(E344*NDDaysInYEar/12)</f>
        <v>26133.3841435185</v>
      </c>
      <c r="R345" s="1002" t="n">
        <f aca="false">Q345+(E344*NDDaysInYEar/12)</f>
        <v>26133.3841435185</v>
      </c>
      <c r="S345" s="1003" t="n">
        <f aca="false">R345+(E344*NDDaysInYEar/12)</f>
        <v>26133.3841435185</v>
      </c>
    </row>
    <row r="346" s="206" customFormat="true" ht="15" hidden="false" customHeight="false" outlineLevel="0" collapsed="false">
      <c r="A346" s="1013" t="s">
        <v>699</v>
      </c>
      <c r="B346" s="206" t="n">
        <f aca="false">VLOOKUP(A346,NDasaC,3,0)</f>
        <v>-1</v>
      </c>
      <c r="C346" s="998" t="e">
        <f aca="false">IF(MATCH(VLOOKUP(IF((A346="Aq"),VLOOKUP("AqLord",DivCharts,D336,0),IF((A346="Sc"),VLOOKUP("ScLord",DivCharts,D336,0),VLOOKUP(A346,RsInfo,9,0))),DivCharts,D336,0),RsTbl,0)=MATCH(VLOOKUP(IF((A346="Aq"),VLOOKUP("AqLord",DivCharts,D336,0),IF((A346="Sc"),VLOOKUP("ScLord",DivCharts,D336,0),VLOOKUP(A346,RsInfo,9,0))),PlanetData,8,0),RsTbl,0),1,IF(MATCH(VLOOKUP(IF((A346="Aq"),VLOOKUP("AqLord",DivCharts,D336,0),IF((A346="Sc"),VLOOKUP("ScLord",DivCharts,D336,0),VLOOKUP(A346,RsInfo,9,0))),DivCharts,D336,0),RsTbl,0)=MOD(MATCH(VLOOKUP(IF((A346="Aq"),VLOOKUP("AqLord",DivCharts,D336,0),IF((A346="Sc"),VLOOKUP("ScLord",DivCharts,D336,0),VLOOKUP(A346,RsInfo,9,0))),PlanetData,8,0),RsTbl,0)+6,12),-1,0))</f>
        <v>#N/A</v>
      </c>
      <c r="D346" s="998" t="n">
        <f aca="false">MOD((MATCH(VLOOKUP(IF((A346="Aq"),VLOOKUP("AqLord",DivCharts,D336,0),IF((A346="Sc"),VLOOKUP("ScLord",DivCharts,D336,0),VLOOKUP(A346,RsInfo,9,0))),DivCharts,D336,0),RsTbl,0)*B346)-(B346*MATCH(A346,RsTbl,0))+12,12)</f>
        <v>1</v>
      </c>
      <c r="E346" s="206" t="n">
        <f aca="false">ABS(IF(ISNA(MATCH((D346+C346),,0)),(D346+C346),12)+IF(F337,0,-12))</f>
        <v>0</v>
      </c>
      <c r="F346" s="999" t="n">
        <f aca="false">G344</f>
        <v>26133.3841435185</v>
      </c>
      <c r="G346" s="999" t="n">
        <f aca="false">F346+E346*NDDaysInYEar</f>
        <v>26133.3841435185</v>
      </c>
      <c r="H346" s="1000" t="str">
        <f aca="false">A346</f>
        <v>Aq</v>
      </c>
      <c r="I346" s="233" t="str">
        <f aca="false">INDEX(SignSym,MOD(B346+MATCH(H346,SignSym,0)-1,12)+1)</f>
        <v>Cp</v>
      </c>
      <c r="J346" s="233" t="str">
        <f aca="false">INDEX(SignSym,MOD(B346+MATCH(I346,SignSym,0)-1,12)+1)</f>
        <v>Sg</v>
      </c>
      <c r="K346" s="234" t="str">
        <f aca="false">INDEX(SignSym,MOD(B346+MATCH(J346,SignSym,0)-1,12)+1)</f>
        <v>Sc</v>
      </c>
      <c r="L346" s="232" t="str">
        <f aca="false">INDEX(SignSym,MOD(B346+MATCH(K346,SignSym,0)-1,12)+1)</f>
        <v>Li</v>
      </c>
      <c r="M346" s="233" t="str">
        <f aca="false">INDEX(SignSym,MOD(B346+MATCH(L346,SignSym,0)-1,12)+1)</f>
        <v>Vi</v>
      </c>
      <c r="N346" s="233" t="str">
        <f aca="false">INDEX(SignSym,MOD(B346+MATCH(M346,SignSym,0)-1,12)+1)</f>
        <v>Le</v>
      </c>
      <c r="O346" s="234" t="str">
        <f aca="false">INDEX(SignSym,MOD(B346+MATCH(N346,SignSym,0)-1,12)+1)</f>
        <v>Cn</v>
      </c>
      <c r="P346" s="232" t="str">
        <f aca="false">INDEX(SignSym,MOD(B346+MATCH(O346,SignSym,0)-1,12)+1)</f>
        <v>Ge</v>
      </c>
      <c r="Q346" s="233" t="str">
        <f aca="false">INDEX(SignSym,MOD(B346+MATCH(P346,SignSym,0)-1,12)+1)</f>
        <v>Ta</v>
      </c>
      <c r="R346" s="233" t="str">
        <f aca="false">INDEX(SignSym,MOD(B346+MATCH(Q346,SignSym,0)-1,12)+1)</f>
        <v>Ar</v>
      </c>
      <c r="S346" s="234" t="str">
        <f aca="false">INDEX(SignSym,MOD(B346+MATCH(R346,SignSym,0)-1,12)+1)</f>
        <v>Pi</v>
      </c>
    </row>
    <row r="347" s="206" customFormat="true" ht="15" hidden="false" customHeight="false" outlineLevel="0" collapsed="false">
      <c r="C347" s="998"/>
      <c r="D347" s="998"/>
      <c r="F347" s="999"/>
      <c r="G347" s="999"/>
      <c r="H347" s="1001" t="n">
        <f aca="false">F346</f>
        <v>26133.3841435185</v>
      </c>
      <c r="I347" s="1002" t="n">
        <f aca="false">H347+(E346*NDDaysInYEar/12)</f>
        <v>26133.3841435185</v>
      </c>
      <c r="J347" s="1002" t="n">
        <f aca="false">I347+(E346*NDDaysInYEar/12)</f>
        <v>26133.3841435185</v>
      </c>
      <c r="K347" s="1003" t="n">
        <f aca="false">J347+(E346*NDDaysInYEar/12)</f>
        <v>26133.3841435185</v>
      </c>
      <c r="L347" s="1001" t="n">
        <f aca="false">K347+(E346*NDDaysInYEar/12)</f>
        <v>26133.3841435185</v>
      </c>
      <c r="M347" s="1002" t="n">
        <f aca="false">L347+(E346*NDDaysInYEar/12)</f>
        <v>26133.3841435185</v>
      </c>
      <c r="N347" s="1002" t="n">
        <f aca="false">M347+(E346*NDDaysInYEar/12)</f>
        <v>26133.3841435185</v>
      </c>
      <c r="O347" s="1003" t="n">
        <f aca="false">N347+(E346*NDDaysInYEar/12)</f>
        <v>26133.3841435185</v>
      </c>
      <c r="P347" s="1001" t="n">
        <f aca="false">O347+(E346*NDDaysInYEar/12)</f>
        <v>26133.3841435185</v>
      </c>
      <c r="Q347" s="1002" t="n">
        <f aca="false">P347+(E346*NDDaysInYEar/12)</f>
        <v>26133.3841435185</v>
      </c>
      <c r="R347" s="1002" t="n">
        <f aca="false">Q347+(E346*NDDaysInYEar/12)</f>
        <v>26133.3841435185</v>
      </c>
      <c r="S347" s="1003" t="n">
        <f aca="false">R347+(E346*NDDaysInYEar/12)</f>
        <v>26133.3841435185</v>
      </c>
    </row>
    <row r="348" s="206" customFormat="true" ht="15" hidden="false" customHeight="false" outlineLevel="0" collapsed="false">
      <c r="A348" s="1013" t="s">
        <v>695</v>
      </c>
      <c r="B348" s="206" t="n">
        <f aca="false">VLOOKUP(A348,NDasaC,3,0)</f>
        <v>1</v>
      </c>
      <c r="C348" s="998" t="e">
        <f aca="false">IF(MATCH(VLOOKUP(IF((A348="Aq"),VLOOKUP("AqLord",DivCharts,D336,0),IF((A348="Sc"),VLOOKUP("ScLord",DivCharts,D336,0),VLOOKUP(A348,RsInfo,9,0))),DivCharts,D336,0),RsTbl,0)=MATCH(VLOOKUP(IF((A348="Aq"),VLOOKUP("AqLord",DivCharts,D336,0),IF((A348="Sc"),VLOOKUP("ScLord",DivCharts,D336,0),VLOOKUP(A348,RsInfo,9,0))),PlanetData,8,0),RsTbl,0),1,IF(MATCH(VLOOKUP(IF((A348="Aq"),VLOOKUP("AqLord",DivCharts,D336,0),IF((A348="Sc"),VLOOKUP("ScLord",DivCharts,D336,0),VLOOKUP(A348,RsInfo,9,0))),DivCharts,D336,0),RsTbl,0)=MOD(MATCH(VLOOKUP(IF((A348="Aq"),VLOOKUP("AqLord",DivCharts,D336,0),IF((A348="Sc"),VLOOKUP("ScLord",DivCharts,D336,0),VLOOKUP(A348,RsInfo,9,0))),PlanetData,8,0),RsTbl,0)+6,12),-1,0))</f>
        <v>#N/A</v>
      </c>
      <c r="D348" s="998" t="n">
        <f aca="false">MOD((MATCH(VLOOKUP(IF((A348="Aq"),VLOOKUP("AqLord",DivCharts,D336,0),IF((A348="Sc"),VLOOKUP("ScLord",DivCharts,D336,0),VLOOKUP(A348,RsInfo,9,0))),DivCharts,D336,0),RsTbl,0)*B348)-(B348*MATCH(A348,RsTbl,0))+12,12)</f>
        <v>1</v>
      </c>
      <c r="E348" s="206" t="n">
        <f aca="false">ABS(IF(ISNA(MATCH((D348+C348),,0)),(D348+C348),12)+IF(F337,0,-12))</f>
        <v>0</v>
      </c>
      <c r="F348" s="999" t="n">
        <f aca="false">G346</f>
        <v>26133.3841435185</v>
      </c>
      <c r="G348" s="999" t="n">
        <f aca="false">F348+E348*NDDaysInYEar</f>
        <v>26133.3841435185</v>
      </c>
      <c r="H348" s="1000" t="s">
        <v>689</v>
      </c>
      <c r="I348" s="233" t="str">
        <f aca="false">INDEX(SignSym,MOD(B348+MATCH(H348,SignSym,0)-1,12)+1)</f>
        <v>Ta</v>
      </c>
      <c r="J348" s="233" t="str">
        <f aca="false">INDEX(SignSym,MOD(B348+MATCH(I348,SignSym,0)-1,12)+1)</f>
        <v>Ge</v>
      </c>
      <c r="K348" s="234" t="str">
        <f aca="false">INDEX(SignSym,MOD(B348+MATCH(J348,SignSym,0)-1,12)+1)</f>
        <v>Cn</v>
      </c>
      <c r="L348" s="232" t="str">
        <f aca="false">INDEX(SignSym,MOD(B348+MATCH(K348,SignSym,0)-1,12)+1)</f>
        <v>Le</v>
      </c>
      <c r="M348" s="233" t="str">
        <f aca="false">INDEX(SignSym,MOD(B348+MATCH(L348,SignSym,0)-1,12)+1)</f>
        <v>Vi</v>
      </c>
      <c r="N348" s="233" t="str">
        <f aca="false">INDEX(SignSym,MOD(B348+MATCH(M348,SignSym,0)-1,12)+1)</f>
        <v>Li</v>
      </c>
      <c r="O348" s="234" t="str">
        <f aca="false">INDEX(SignSym,MOD(B348+MATCH(N348,SignSym,0)-1,12)+1)</f>
        <v>Sc</v>
      </c>
      <c r="P348" s="232" t="str">
        <f aca="false">INDEX(SignSym,MOD(B348+MATCH(O348,SignSym,0)-1,12)+1)</f>
        <v>Sg</v>
      </c>
      <c r="Q348" s="233" t="str">
        <f aca="false">INDEX(SignSym,MOD(B348+MATCH(P348,SignSym,0)-1,12)+1)</f>
        <v>Cp</v>
      </c>
      <c r="R348" s="233" t="str">
        <f aca="false">INDEX(SignSym,MOD(B348+MATCH(Q348,SignSym,0)-1,12)+1)</f>
        <v>Aq</v>
      </c>
      <c r="S348" s="234" t="str">
        <f aca="false">INDEX(SignSym,MOD(B348+MATCH(R348,SignSym,0)-1,12)+1)</f>
        <v>Pi</v>
      </c>
    </row>
    <row r="349" s="206" customFormat="true" ht="15" hidden="false" customHeight="false" outlineLevel="0" collapsed="false">
      <c r="C349" s="998"/>
      <c r="D349" s="998"/>
      <c r="F349" s="999"/>
      <c r="G349" s="999"/>
      <c r="H349" s="1001" t="n">
        <f aca="false">F348</f>
        <v>26133.3841435185</v>
      </c>
      <c r="I349" s="1002" t="n">
        <f aca="false">H349+(E348*NDDaysInYEar/12)</f>
        <v>26133.3841435185</v>
      </c>
      <c r="J349" s="1002" t="n">
        <f aca="false">I349+(E348*NDDaysInYEar/12)</f>
        <v>26133.3841435185</v>
      </c>
      <c r="K349" s="1003" t="n">
        <f aca="false">J349+(E348*NDDaysInYEar/12)</f>
        <v>26133.3841435185</v>
      </c>
      <c r="L349" s="1001" t="n">
        <f aca="false">K349+(E348*NDDaysInYEar/12)</f>
        <v>26133.3841435185</v>
      </c>
      <c r="M349" s="1002" t="n">
        <f aca="false">L349+(E348*NDDaysInYEar/12)</f>
        <v>26133.3841435185</v>
      </c>
      <c r="N349" s="1002" t="n">
        <f aca="false">M349+(E348*NDDaysInYEar/12)</f>
        <v>26133.3841435185</v>
      </c>
      <c r="O349" s="1003" t="n">
        <f aca="false">N349+(E348*NDDaysInYEar/12)</f>
        <v>26133.3841435185</v>
      </c>
      <c r="P349" s="1001" t="n">
        <f aca="false">O349+(E348*NDDaysInYEar/12)</f>
        <v>26133.3841435185</v>
      </c>
      <c r="Q349" s="1002" t="n">
        <f aca="false">P349+(E348*NDDaysInYEar/12)</f>
        <v>26133.3841435185</v>
      </c>
      <c r="R349" s="1002" t="n">
        <f aca="false">Q349+(E348*NDDaysInYEar/12)</f>
        <v>26133.3841435185</v>
      </c>
      <c r="S349" s="1003" t="n">
        <f aca="false">R349+(E348*NDDaysInYEar/12)</f>
        <v>26133.3841435185</v>
      </c>
    </row>
    <row r="350" s="206" customFormat="true" ht="15" hidden="false" customHeight="false" outlineLevel="0" collapsed="false">
      <c r="A350" s="1014" t="s">
        <v>711</v>
      </c>
      <c r="B350" s="206" t="n">
        <f aca="false">VLOOKUP(A350,NDasaC,3,0)</f>
        <v>-1</v>
      </c>
      <c r="C350" s="998" t="e">
        <f aca="false">IF(MATCH(VLOOKUP(IF((A350="Aq"),VLOOKUP("AqLord",DivCharts,D336,0),IF((A350="Sc"),VLOOKUP("ScLord",DivCharts,D336,0),VLOOKUP(A350,RsInfo,9,0))),DivCharts,D336,0),RsTbl,0)=MATCH(VLOOKUP(IF((A350="Aq"),VLOOKUP("AqLord",DivCharts,D336,0),IF((A350="Sc"),VLOOKUP("ScLord",DivCharts,D336,0),VLOOKUP(A350,RsInfo,9,0))),PlanetData,8,0),RsTbl,0),1,IF(MATCH(VLOOKUP(IF((A350="Aq"),VLOOKUP("AqLord",DivCharts,D336,0),IF((A350="Sc"),VLOOKUP("ScLord",DivCharts,D336,0),VLOOKUP(A350,RsInfo,9,0))),DivCharts,D336,0),RsTbl,0)=MOD(MATCH(VLOOKUP(IF((A350="Aq"),VLOOKUP("AqLord",DivCharts,D336,0),IF((A350="Sc"),VLOOKUP("ScLord",DivCharts,D336,0),VLOOKUP(A350,RsInfo,9,0))),PlanetData,8,0),RsTbl,0)+6,12),-1,0))</f>
        <v>#N/A</v>
      </c>
      <c r="D350" s="998" t="n">
        <f aca="false">MOD((MATCH(VLOOKUP(IF((A350="Aq"),VLOOKUP("AqLord",DivCharts,D336,0),IF((A350="Sc"),VLOOKUP("ScLord",DivCharts,D336,0),VLOOKUP(A350,RsInfo,9,0))),DivCharts,D336,0),RsTbl,0)*B350)-(B350*MATCH(A350,RsTbl,0))+12,12)</f>
        <v>2</v>
      </c>
      <c r="E350" s="206" t="n">
        <f aca="false">ABS(IF(ISNA(MATCH((D350+C350),,0)),(D350+C350),12)+IF(F337,0,-12))</f>
        <v>0</v>
      </c>
      <c r="F350" s="999" t="n">
        <f aca="false">G348</f>
        <v>26133.3841435185</v>
      </c>
      <c r="G350" s="999" t="n">
        <f aca="false">F350+E350*NDDaysInYEar</f>
        <v>26133.3841435185</v>
      </c>
      <c r="H350" s="1000" t="s">
        <v>703</v>
      </c>
      <c r="I350" s="233" t="str">
        <f aca="false">INDEX(SignSym,MOD(B350+MATCH(H350,SignSym,0)-1,12)+1)</f>
        <v>Ge</v>
      </c>
      <c r="J350" s="233" t="str">
        <f aca="false">INDEX(SignSym,MOD(B350+MATCH(I350,SignSym,0)-1,12)+1)</f>
        <v>Ta</v>
      </c>
      <c r="K350" s="234" t="str">
        <f aca="false">INDEX(SignSym,MOD(B350+MATCH(J350,SignSym,0)-1,12)+1)</f>
        <v>Ar</v>
      </c>
      <c r="L350" s="232" t="str">
        <f aca="false">INDEX(SignSym,MOD(B350+MATCH(K350,SignSym,0)-1,12)+1)</f>
        <v>Pi</v>
      </c>
      <c r="M350" s="233" t="str">
        <f aca="false">INDEX(SignSym,MOD(B350+MATCH(L350,SignSym,0)-1,12)+1)</f>
        <v>Aq</v>
      </c>
      <c r="N350" s="233" t="str">
        <f aca="false">INDEX(SignSym,MOD(B350+MATCH(M350,SignSym,0)-1,12)+1)</f>
        <v>Cp</v>
      </c>
      <c r="O350" s="234" t="str">
        <f aca="false">INDEX(SignSym,MOD(B350+MATCH(N350,SignSym,0)-1,12)+1)</f>
        <v>Sg</v>
      </c>
      <c r="P350" s="232" t="str">
        <f aca="false">INDEX(SignSym,MOD(B350+MATCH(O350,SignSym,0)-1,12)+1)</f>
        <v>Sc</v>
      </c>
      <c r="Q350" s="233" t="str">
        <f aca="false">INDEX(SignSym,MOD(B350+MATCH(P350,SignSym,0)-1,12)+1)</f>
        <v>Li</v>
      </c>
      <c r="R350" s="233" t="str">
        <f aca="false">INDEX(SignSym,MOD(B350+MATCH(Q350,SignSym,0)-1,12)+1)</f>
        <v>Vi</v>
      </c>
      <c r="S350" s="234" t="str">
        <f aca="false">INDEX(SignSym,MOD(B350+MATCH(R350,SignSym,0)-1,12)+1)</f>
        <v>Le</v>
      </c>
    </row>
    <row r="351" s="206" customFormat="true" ht="15" hidden="false" customHeight="false" outlineLevel="0" collapsed="false">
      <c r="C351" s="998"/>
      <c r="D351" s="998"/>
      <c r="F351" s="999"/>
      <c r="G351" s="999"/>
      <c r="H351" s="1001" t="n">
        <f aca="false">F350</f>
        <v>26133.3841435185</v>
      </c>
      <c r="I351" s="1002" t="n">
        <f aca="false">H351+(E350*NDDaysInYEar/12)</f>
        <v>26133.3841435185</v>
      </c>
      <c r="J351" s="1002" t="n">
        <f aca="false">I351+(E350*NDDaysInYEar/12)</f>
        <v>26133.3841435185</v>
      </c>
      <c r="K351" s="1003" t="n">
        <f aca="false">J351+(E350*NDDaysInYEar/12)</f>
        <v>26133.3841435185</v>
      </c>
      <c r="L351" s="1001" t="n">
        <f aca="false">K351+(E350*NDDaysInYEar/12)</f>
        <v>26133.3841435185</v>
      </c>
      <c r="M351" s="1002" t="n">
        <f aca="false">L351+(E350*NDDaysInYEar/12)</f>
        <v>26133.3841435185</v>
      </c>
      <c r="N351" s="1002" t="n">
        <f aca="false">M351+(E350*NDDaysInYEar/12)</f>
        <v>26133.3841435185</v>
      </c>
      <c r="O351" s="1003" t="n">
        <f aca="false">N351+(E350*NDDaysInYEar/12)</f>
        <v>26133.3841435185</v>
      </c>
      <c r="P351" s="1001" t="n">
        <f aca="false">O351+(E350*NDDaysInYEar/12)</f>
        <v>26133.3841435185</v>
      </c>
      <c r="Q351" s="1002" t="n">
        <f aca="false">P351+(E350*NDDaysInYEar/12)</f>
        <v>26133.3841435185</v>
      </c>
      <c r="R351" s="1002" t="n">
        <f aca="false">Q351+(E350*NDDaysInYEar/12)</f>
        <v>26133.3841435185</v>
      </c>
      <c r="S351" s="1003" t="n">
        <f aca="false">R351+(E350*NDDaysInYEar/12)</f>
        <v>26133.3841435185</v>
      </c>
    </row>
    <row r="352" s="206" customFormat="true" ht="15" hidden="false" customHeight="false" outlineLevel="0" collapsed="false">
      <c r="A352" s="1014" t="s">
        <v>708</v>
      </c>
      <c r="B352" s="206" t="n">
        <f aca="false">VLOOKUP(A352,NDasaC,3,0)</f>
        <v>1</v>
      </c>
      <c r="C352" s="998" t="e">
        <f aca="false">IF(MATCH(VLOOKUP(IF((A352="Aq"),VLOOKUP("AqLord",DivCharts,D336,0),IF((A352="Sc"),VLOOKUP("ScLord",DivCharts,D336,0),VLOOKUP(A352,RsInfo,9,0))),DivCharts,D336,0),RsTbl,0)=MATCH(VLOOKUP(IF((A352="Aq"),VLOOKUP("AqLord",DivCharts,D336,0),IF((A352="Sc"),VLOOKUP("ScLord",DivCharts,D336,0),VLOOKUP(A352,RsInfo,9,0))),PlanetData,8,0),RsTbl,0),1,IF(MATCH(VLOOKUP(IF((A352="Aq"),VLOOKUP("AqLord",DivCharts,D336,0),IF((A352="Sc"),VLOOKUP("ScLord",DivCharts,D336,0),VLOOKUP(A352,RsInfo,9,0))),DivCharts,D336,0),RsTbl,0)=MOD(MATCH(VLOOKUP(IF((A352="Aq"),VLOOKUP("AqLord",DivCharts,D336,0),IF((A352="Sc"),VLOOKUP("ScLord",DivCharts,D336,0),VLOOKUP(A352,RsInfo,9,0))),PlanetData,8,0),RsTbl,0)+6,12),-1,0))</f>
        <v>#N/A</v>
      </c>
      <c r="D352" s="998" t="n">
        <f aca="false">MOD((MATCH(VLOOKUP(IF((A352="Aq"),VLOOKUP("AqLord",DivCharts,D336,0),IF((A352="Sc"),VLOOKUP("ScLord",DivCharts,D336,0),VLOOKUP(A352,RsInfo,9,0))),DivCharts,D336,0),RsTbl,0)*B352)-(B352*MATCH(A352,RsTbl,0))+12,12)</f>
        <v>11</v>
      </c>
      <c r="E352" s="206" t="n">
        <f aca="false">ABS(IF(ISNA(MATCH((D352+C352),,0)),(D352+C352),12)+IF(F337,0,-12))</f>
        <v>0</v>
      </c>
      <c r="F352" s="999" t="n">
        <f aca="false">G350</f>
        <v>26133.3841435185</v>
      </c>
      <c r="G352" s="999" t="n">
        <f aca="false">F352+E352*NDDaysInYEar</f>
        <v>26133.3841435185</v>
      </c>
      <c r="H352" s="1000" t="s">
        <v>699</v>
      </c>
      <c r="I352" s="233" t="str">
        <f aca="false">INDEX(SignSym,MOD(B352+MATCH(H352,SignSym,0)-1,12)+1)</f>
        <v>Pi</v>
      </c>
      <c r="J352" s="233" t="str">
        <f aca="false">INDEX(SignSym,MOD(B352+MATCH(I352,SignSym,0)-1,12)+1)</f>
        <v>Ar</v>
      </c>
      <c r="K352" s="234" t="str">
        <f aca="false">INDEX(SignSym,MOD(B352+MATCH(J352,SignSym,0)-1,12)+1)</f>
        <v>Ta</v>
      </c>
      <c r="L352" s="232" t="str">
        <f aca="false">INDEX(SignSym,MOD(B352+MATCH(K352,SignSym,0)-1,12)+1)</f>
        <v>Ge</v>
      </c>
      <c r="M352" s="233" t="str">
        <f aca="false">INDEX(SignSym,MOD(B352+MATCH(L352,SignSym,0)-1,12)+1)</f>
        <v>Cn</v>
      </c>
      <c r="N352" s="233" t="str">
        <f aca="false">INDEX(SignSym,MOD(B352+MATCH(M352,SignSym,0)-1,12)+1)</f>
        <v>Le</v>
      </c>
      <c r="O352" s="234" t="str">
        <f aca="false">INDEX(SignSym,MOD(B352+MATCH(N352,SignSym,0)-1,12)+1)</f>
        <v>Vi</v>
      </c>
      <c r="P352" s="232" t="str">
        <f aca="false">INDEX(SignSym,MOD(B352+MATCH(O352,SignSym,0)-1,12)+1)</f>
        <v>Li</v>
      </c>
      <c r="Q352" s="233" t="str">
        <f aca="false">INDEX(SignSym,MOD(B352+MATCH(P352,SignSym,0)-1,12)+1)</f>
        <v>Sc</v>
      </c>
      <c r="R352" s="233" t="str">
        <f aca="false">INDEX(SignSym,MOD(B352+MATCH(Q352,SignSym,0)-1,12)+1)</f>
        <v>Sg</v>
      </c>
      <c r="S352" s="234" t="str">
        <f aca="false">INDEX(SignSym,MOD(B352+MATCH(R352,SignSym,0)-1,12)+1)</f>
        <v>Cp</v>
      </c>
    </row>
    <row r="353" s="206" customFormat="true" ht="15" hidden="false" customHeight="false" outlineLevel="0" collapsed="false">
      <c r="C353" s="998"/>
      <c r="D353" s="998"/>
      <c r="F353" s="999"/>
      <c r="G353" s="999"/>
      <c r="H353" s="1001" t="n">
        <f aca="false">F352</f>
        <v>26133.3841435185</v>
      </c>
      <c r="I353" s="1002" t="n">
        <f aca="false">H353+(E352*NDDaysInYEar/12)</f>
        <v>26133.3841435185</v>
      </c>
      <c r="J353" s="1002" t="n">
        <f aca="false">I353+(E352*NDDaysInYEar/12)</f>
        <v>26133.3841435185</v>
      </c>
      <c r="K353" s="1003" t="n">
        <f aca="false">J353+(E352*NDDaysInYEar/12)</f>
        <v>26133.3841435185</v>
      </c>
      <c r="L353" s="1001" t="n">
        <f aca="false">K353+(E352*NDDaysInYEar/12)</f>
        <v>26133.3841435185</v>
      </c>
      <c r="M353" s="1002" t="n">
        <f aca="false">L353+(E352*NDDaysInYEar/12)</f>
        <v>26133.3841435185</v>
      </c>
      <c r="N353" s="1002" t="n">
        <f aca="false">M353+(E352*NDDaysInYEar/12)</f>
        <v>26133.3841435185</v>
      </c>
      <c r="O353" s="1003" t="n">
        <f aca="false">N353+(E352*NDDaysInYEar/12)</f>
        <v>26133.3841435185</v>
      </c>
      <c r="P353" s="1001" t="n">
        <f aca="false">O353+(E352*NDDaysInYEar/12)</f>
        <v>26133.3841435185</v>
      </c>
      <c r="Q353" s="1002" t="n">
        <f aca="false">P353+(E352*NDDaysInYEar/12)</f>
        <v>26133.3841435185</v>
      </c>
      <c r="R353" s="1002" t="n">
        <f aca="false">Q353+(E352*NDDaysInYEar/12)</f>
        <v>26133.3841435185</v>
      </c>
      <c r="S353" s="1003" t="n">
        <f aca="false">R353+(E352*NDDaysInYEar/12)</f>
        <v>26133.3841435185</v>
      </c>
    </row>
    <row r="354" s="206" customFormat="true" ht="15" hidden="false" customHeight="false" outlineLevel="0" collapsed="false">
      <c r="A354" s="1014" t="s">
        <v>694</v>
      </c>
      <c r="B354" s="206" t="n">
        <f aca="false">VLOOKUP(A354,NDasaC,3,0)</f>
        <v>-1</v>
      </c>
      <c r="C354" s="998" t="e">
        <f aca="false">IF(MATCH(VLOOKUP(IF((A354="Aq"),VLOOKUP("AqLord",DivCharts,D336,0),IF((A354="Sc"),VLOOKUP("ScLord",DivCharts,D336,0),VLOOKUP(A354,RsInfo,9,0))),DivCharts,D336,0),RsTbl,0)=MATCH(VLOOKUP(IF((A354="Aq"),VLOOKUP("AqLord",DivCharts,D336,0),IF((A354="Sc"),VLOOKUP("ScLord",DivCharts,D336,0),VLOOKUP(A354,RsInfo,9,0))),PlanetData,8,0),RsTbl,0),1,IF(MATCH(VLOOKUP(IF((A354="Aq"),VLOOKUP("AqLord",DivCharts,D336,0),IF((A354="Sc"),VLOOKUP("ScLord",DivCharts,D336,0),VLOOKUP(A354,RsInfo,9,0))),DivCharts,D336,0),RsTbl,0)=MOD(MATCH(VLOOKUP(IF((A354="Aq"),VLOOKUP("AqLord",DivCharts,D336,0),IF((A354="Sc"),VLOOKUP("ScLord",DivCharts,D336,0),VLOOKUP(A354,RsInfo,9,0))),PlanetData,8,0),RsTbl,0)+6,12),-1,0))</f>
        <v>#N/A</v>
      </c>
      <c r="D354" s="998" t="n">
        <f aca="false">MOD((MATCH(VLOOKUP(IF((A354="Aq"),VLOOKUP("AqLord",DivCharts,D336,0),IF((A354="Sc"),VLOOKUP("ScLord",DivCharts,D336,0),VLOOKUP(A354,RsInfo,9,0))),DivCharts,D336,0),RsTbl,0)*B354)-(B354*MATCH(A354,RsTbl,0))+12,12)</f>
        <v>4</v>
      </c>
      <c r="E354" s="206" t="n">
        <f aca="false">ABS(IF(ISNA(MATCH((D354+C354),,0)),(D354+C354),12)+IF(F337,0,-12))</f>
        <v>0</v>
      </c>
      <c r="F354" s="999" t="n">
        <f aca="false">G352</f>
        <v>26133.3841435185</v>
      </c>
      <c r="G354" s="999" t="n">
        <f aca="false">F354+E354*NDDaysInYEar</f>
        <v>26133.3841435185</v>
      </c>
      <c r="H354" s="1000" t="s">
        <v>693</v>
      </c>
      <c r="I354" s="233" t="str">
        <f aca="false">INDEX(SignSym,MOD(B354+MATCH(H354,SignSym,0)-1,12)+1)</f>
        <v>Ar</v>
      </c>
      <c r="J354" s="233" t="str">
        <f aca="false">INDEX(SignSym,MOD(B354+MATCH(I354,SignSym,0)-1,12)+1)</f>
        <v>Pi</v>
      </c>
      <c r="K354" s="234" t="str">
        <f aca="false">INDEX(SignSym,MOD(B354+MATCH(J354,SignSym,0)-1,12)+1)</f>
        <v>Aq</v>
      </c>
      <c r="L354" s="232" t="str">
        <f aca="false">INDEX(SignSym,MOD(B354+MATCH(K354,SignSym,0)-1,12)+1)</f>
        <v>Cp</v>
      </c>
      <c r="M354" s="233" t="str">
        <f aca="false">INDEX(SignSym,MOD(B354+MATCH(L354,SignSym,0)-1,12)+1)</f>
        <v>Sg</v>
      </c>
      <c r="N354" s="233" t="str">
        <f aca="false">INDEX(SignSym,MOD(B354+MATCH(M354,SignSym,0)-1,12)+1)</f>
        <v>Sc</v>
      </c>
      <c r="O354" s="234" t="str">
        <f aca="false">INDEX(SignSym,MOD(B354+MATCH(N354,SignSym,0)-1,12)+1)</f>
        <v>Li</v>
      </c>
      <c r="P354" s="232" t="str">
        <f aca="false">INDEX(SignSym,MOD(B354+MATCH(O354,SignSym,0)-1,12)+1)</f>
        <v>Vi</v>
      </c>
      <c r="Q354" s="233" t="str">
        <f aca="false">INDEX(SignSym,MOD(B354+MATCH(P354,SignSym,0)-1,12)+1)</f>
        <v>Le</v>
      </c>
      <c r="R354" s="233" t="str">
        <f aca="false">INDEX(SignSym,MOD(B354+MATCH(Q354,SignSym,0)-1,12)+1)</f>
        <v>Cn</v>
      </c>
      <c r="S354" s="234" t="str">
        <f aca="false">INDEX(SignSym,MOD(B354+MATCH(R354,SignSym,0)-1,12)+1)</f>
        <v>Ge</v>
      </c>
    </row>
    <row r="355" s="206" customFormat="true" ht="15" hidden="false" customHeight="false" outlineLevel="0" collapsed="false">
      <c r="C355" s="998"/>
      <c r="D355" s="998"/>
      <c r="F355" s="999"/>
      <c r="G355" s="999"/>
      <c r="H355" s="1001" t="n">
        <f aca="false">F354</f>
        <v>26133.3841435185</v>
      </c>
      <c r="I355" s="1002" t="n">
        <f aca="false">H355+(E354*NDDaysInYEar/12)</f>
        <v>26133.3841435185</v>
      </c>
      <c r="J355" s="1002" t="n">
        <f aca="false">I355+(E354*NDDaysInYEar/12)</f>
        <v>26133.3841435185</v>
      </c>
      <c r="K355" s="1003" t="n">
        <f aca="false">J355+(E354*NDDaysInYEar/12)</f>
        <v>26133.3841435185</v>
      </c>
      <c r="L355" s="1001" t="n">
        <f aca="false">K355+(E354*NDDaysInYEar/12)</f>
        <v>26133.3841435185</v>
      </c>
      <c r="M355" s="1002" t="n">
        <f aca="false">L355+(E354*NDDaysInYEar/12)</f>
        <v>26133.3841435185</v>
      </c>
      <c r="N355" s="1002" t="n">
        <f aca="false">M355+(E354*NDDaysInYEar/12)</f>
        <v>26133.3841435185</v>
      </c>
      <c r="O355" s="1003" t="n">
        <f aca="false">N355+(E354*NDDaysInYEar/12)</f>
        <v>26133.3841435185</v>
      </c>
      <c r="P355" s="1001" t="n">
        <f aca="false">O355+(E354*NDDaysInYEar/12)</f>
        <v>26133.3841435185</v>
      </c>
      <c r="Q355" s="1002" t="n">
        <f aca="false">P355+(E354*NDDaysInYEar/12)</f>
        <v>26133.3841435185</v>
      </c>
      <c r="R355" s="1002" t="n">
        <f aca="false">Q355+(E354*NDDaysInYEar/12)</f>
        <v>26133.3841435185</v>
      </c>
      <c r="S355" s="1003" t="n">
        <f aca="false">R355+(E354*NDDaysInYEar/12)</f>
        <v>26133.3841435185</v>
      </c>
    </row>
    <row r="356" s="206" customFormat="true" ht="15" hidden="false" customHeight="false" outlineLevel="0" collapsed="false">
      <c r="A356" s="206" t="s">
        <v>703</v>
      </c>
      <c r="B356" s="206" t="n">
        <f aca="false">VLOOKUP(A356,NDasaC,3,0)</f>
        <v>-1</v>
      </c>
      <c r="C356" s="998" t="e">
        <f aca="false">IF(MATCH(VLOOKUP(IF((A356="Aq"),VLOOKUP("AqLord",DivCharts,D336,0),IF((A356="Sc"),VLOOKUP("ScLord",DivCharts,D336,0),VLOOKUP(A356,RsInfo,9,0))),DivCharts,D336,0),RsTbl,0)=MATCH(VLOOKUP(IF((A356="Aq"),VLOOKUP("AqLord",DivCharts,D336,0),IF((A356="Sc"),VLOOKUP("ScLord",DivCharts,D336,0),VLOOKUP(A356,RsInfo,9,0))),PlanetData,8,0),RsTbl,0),1,IF(MATCH(VLOOKUP(IF((A356="Aq"),VLOOKUP("AqLord",DivCharts,D336,0),IF((A356="Sc"),VLOOKUP("ScLord",DivCharts,D336,0),VLOOKUP(A356,RsInfo,9,0))),DivCharts,D336,0),RsTbl,0)=MOD(MATCH(VLOOKUP(IF((A356="Aq"),VLOOKUP("AqLord",DivCharts,D336,0),IF((A356="Sc"),VLOOKUP("ScLord",DivCharts,D336,0),VLOOKUP(A356,RsInfo,9,0))),PlanetData,8,0),RsTbl,0)+6,12),-1,0))</f>
        <v>#N/A</v>
      </c>
      <c r="D356" s="998" t="n">
        <f aca="false">MOD((MATCH(VLOOKUP(IF((A356="Aq"),VLOOKUP("AqLord",DivCharts,D336,0),IF((A356="Sc"),VLOOKUP("ScLord",DivCharts,D336,0),VLOOKUP(A356,RsInfo,9,0))),DivCharts,D336,0),RsTbl,0)*B356)-(B356*MATCH(A356,RsTbl,0))+12,12)</f>
        <v>2</v>
      </c>
      <c r="E356" s="206" t="n">
        <f aca="false">ABS(IF(ISNA(MATCH((D356+C356),,0)),(D356+C356),12)+IF(F337,0,-12))</f>
        <v>0</v>
      </c>
      <c r="F356" s="999" t="n">
        <f aca="false">G354</f>
        <v>26133.3841435185</v>
      </c>
      <c r="G356" s="999" t="n">
        <f aca="false">F356+E356*NDDaysInYEar</f>
        <v>26133.3841435185</v>
      </c>
      <c r="H356" s="1000" t="str">
        <f aca="false">A356</f>
        <v>Cn</v>
      </c>
      <c r="I356" s="233" t="str">
        <f aca="false">INDEX(SignSym,MOD(B356+MATCH(H356,SignSym,0)-1,12)+1)</f>
        <v>Ge</v>
      </c>
      <c r="J356" s="233" t="str">
        <f aca="false">INDEX(SignSym,MOD(B356+MATCH(I356,SignSym,0)-1,12)+1)</f>
        <v>Ta</v>
      </c>
      <c r="K356" s="234" t="str">
        <f aca="false">INDEX(SignSym,MOD(B356+MATCH(J356,SignSym,0)-1,12)+1)</f>
        <v>Ar</v>
      </c>
      <c r="L356" s="232" t="str">
        <f aca="false">INDEX(SignSym,MOD(B356+MATCH(K356,SignSym,0)-1,12)+1)</f>
        <v>Pi</v>
      </c>
      <c r="M356" s="233" t="str">
        <f aca="false">INDEX(SignSym,MOD(B356+MATCH(L356,SignSym,0)-1,12)+1)</f>
        <v>Aq</v>
      </c>
      <c r="N356" s="233" t="str">
        <f aca="false">INDEX(SignSym,MOD(B356+MATCH(M356,SignSym,0)-1,12)+1)</f>
        <v>Cp</v>
      </c>
      <c r="O356" s="234" t="str">
        <f aca="false">INDEX(SignSym,MOD(B356+MATCH(N356,SignSym,0)-1,12)+1)</f>
        <v>Sg</v>
      </c>
      <c r="P356" s="232" t="str">
        <f aca="false">INDEX(SignSym,MOD(B356+MATCH(O356,SignSym,0)-1,12)+1)</f>
        <v>Sc</v>
      </c>
      <c r="Q356" s="233" t="str">
        <f aca="false">INDEX(SignSym,MOD(B356+MATCH(P356,SignSym,0)-1,12)+1)</f>
        <v>Li</v>
      </c>
      <c r="R356" s="233" t="str">
        <f aca="false">INDEX(SignSym,MOD(B356+MATCH(Q356,SignSym,0)-1,12)+1)</f>
        <v>Vi</v>
      </c>
      <c r="S356" s="234" t="str">
        <f aca="false">INDEX(SignSym,MOD(B356+MATCH(R356,SignSym,0)-1,12)+1)</f>
        <v>Le</v>
      </c>
    </row>
    <row r="357" s="206" customFormat="true" ht="15" hidden="false" customHeight="false" outlineLevel="0" collapsed="false">
      <c r="C357" s="998"/>
      <c r="D357" s="998"/>
      <c r="F357" s="999"/>
      <c r="G357" s="999"/>
      <c r="H357" s="1001" t="n">
        <f aca="false">F356</f>
        <v>26133.3841435185</v>
      </c>
      <c r="I357" s="1002" t="n">
        <f aca="false">H357+(E356*NDDaysInYEar/12)</f>
        <v>26133.3841435185</v>
      </c>
      <c r="J357" s="1002" t="n">
        <f aca="false">I357+(E356*NDDaysInYEar/12)</f>
        <v>26133.3841435185</v>
      </c>
      <c r="K357" s="1003" t="n">
        <f aca="false">J357+(E356*NDDaysInYEar/12)</f>
        <v>26133.3841435185</v>
      </c>
      <c r="L357" s="1001" t="n">
        <f aca="false">K357+(E356*NDDaysInYEar/12)</f>
        <v>26133.3841435185</v>
      </c>
      <c r="M357" s="1002" t="n">
        <f aca="false">L357+(E356*NDDaysInYEar/12)</f>
        <v>26133.3841435185</v>
      </c>
      <c r="N357" s="1002" t="n">
        <f aca="false">M357+(E356*NDDaysInYEar/12)</f>
        <v>26133.3841435185</v>
      </c>
      <c r="O357" s="1003" t="n">
        <f aca="false">N357+(E356*NDDaysInYEar/12)</f>
        <v>26133.3841435185</v>
      </c>
      <c r="P357" s="1001" t="n">
        <f aca="false">O357+(E356*NDDaysInYEar/12)</f>
        <v>26133.3841435185</v>
      </c>
      <c r="Q357" s="1002" t="n">
        <f aca="false">P357+(E356*NDDaysInYEar/12)</f>
        <v>26133.3841435185</v>
      </c>
      <c r="R357" s="1002" t="n">
        <f aca="false">Q357+(E356*NDDaysInYEar/12)</f>
        <v>26133.3841435185</v>
      </c>
      <c r="S357" s="1003" t="n">
        <f aca="false">R357+(E356*NDDaysInYEar/12)</f>
        <v>26133.3841435185</v>
      </c>
    </row>
    <row r="358" s="206" customFormat="true" ht="15" hidden="false" customHeight="false" outlineLevel="0" collapsed="false">
      <c r="A358" s="1013" t="s">
        <v>710</v>
      </c>
      <c r="B358" s="206" t="n">
        <f aca="false">VLOOKUP(A358,NDasaC,3,0)</f>
        <v>1</v>
      </c>
      <c r="C358" s="998" t="e">
        <f aca="false">IF(MATCH(VLOOKUP(IF((A358="Aq"),VLOOKUP("AqLord",DivCharts,D336,0),IF((A358="Sc"),VLOOKUP("ScLord",DivCharts,D336,0),VLOOKUP(A358,RsInfo,9,0))),DivCharts,D336,0),RsTbl,0)=MATCH(VLOOKUP(IF((A358="Aq"),VLOOKUP("AqLord",DivCharts,D336,0),IF((A358="Sc"),VLOOKUP("ScLord",DivCharts,D336,0),VLOOKUP(A358,RsInfo,9,0))),PlanetData,8,0),RsTbl,0),1,IF(MATCH(VLOOKUP(IF((A358="Aq"),VLOOKUP("AqLord",DivCharts,D336,0),IF((A358="Sc"),VLOOKUP("ScLord",DivCharts,D336,0),VLOOKUP(A358,RsInfo,9,0))),DivCharts,D336,0),RsTbl,0)=MOD(MATCH(VLOOKUP(IF((A358="Aq"),VLOOKUP("AqLord",DivCharts,D336,0),IF((A358="Sc"),VLOOKUP("ScLord",DivCharts,D336,0),VLOOKUP(A358,RsInfo,9,0))),PlanetData,8,0),RsTbl,0)+6,12),-1,0))</f>
        <v>#N/A</v>
      </c>
      <c r="D358" s="998" t="n">
        <f aca="false">MOD((MATCH(VLOOKUP(IF((A358="Aq"),VLOOKUP("AqLord",DivCharts,D336,0),IF((A358="Sc"),VLOOKUP("ScLord",DivCharts,D336,0),VLOOKUP(A358,RsInfo,9,0))),DivCharts,D336,0),RsTbl,0)*B358)-(B358*MATCH(A358,RsTbl,0))+12,12)</f>
        <v>8</v>
      </c>
      <c r="E358" s="206" t="n">
        <f aca="false">ABS(IF(ISNA(MATCH((D358+C358),,0)),(D358+C358),12)+IF(F337,0,-12))</f>
        <v>0</v>
      </c>
      <c r="F358" s="999" t="n">
        <f aca="false">G356</f>
        <v>26133.3841435185</v>
      </c>
      <c r="G358" s="999" t="n">
        <f aca="false">F358+E358*NDDaysInYEar</f>
        <v>26133.3841435185</v>
      </c>
      <c r="H358" s="1000" t="str">
        <f aca="false">A358</f>
        <v>Li</v>
      </c>
      <c r="I358" s="233" t="str">
        <f aca="false">INDEX(SignSym,MOD(B358+MATCH(H358,SignSym,0)-1,12)+1)</f>
        <v>Sc</v>
      </c>
      <c r="J358" s="233" t="str">
        <f aca="false">INDEX(SignSym,MOD(B358+MATCH(I358,SignSym,0)-1,12)+1)</f>
        <v>Sg</v>
      </c>
      <c r="K358" s="234" t="str">
        <f aca="false">INDEX(SignSym,MOD(B358+MATCH(J358,SignSym,0)-1,12)+1)</f>
        <v>Cp</v>
      </c>
      <c r="L358" s="232" t="str">
        <f aca="false">INDEX(SignSym,MOD(B358+MATCH(K358,SignSym,0)-1,12)+1)</f>
        <v>Aq</v>
      </c>
      <c r="M358" s="233" t="str">
        <f aca="false">INDEX(SignSym,MOD(B358+MATCH(L358,SignSym,0)-1,12)+1)</f>
        <v>Pi</v>
      </c>
      <c r="N358" s="233" t="str">
        <f aca="false">INDEX(SignSym,MOD(B358+MATCH(M358,SignSym,0)-1,12)+1)</f>
        <v>Ar</v>
      </c>
      <c r="O358" s="234" t="str">
        <f aca="false">INDEX(SignSym,MOD(B358+MATCH(N358,SignSym,0)-1,12)+1)</f>
        <v>Ta</v>
      </c>
      <c r="P358" s="232" t="str">
        <f aca="false">INDEX(SignSym,MOD(B358+MATCH(O358,SignSym,0)-1,12)+1)</f>
        <v>Ge</v>
      </c>
      <c r="Q358" s="233" t="str">
        <f aca="false">INDEX(SignSym,MOD(B358+MATCH(P358,SignSym,0)-1,12)+1)</f>
        <v>Cn</v>
      </c>
      <c r="R358" s="233" t="str">
        <f aca="false">INDEX(SignSym,MOD(B358+MATCH(Q358,SignSym,0)-1,12)+1)</f>
        <v>Le</v>
      </c>
      <c r="S358" s="234" t="str">
        <f aca="false">INDEX(SignSym,MOD(B358+MATCH(R358,SignSym,0)-1,12)+1)</f>
        <v>Vi</v>
      </c>
    </row>
    <row r="359" s="206" customFormat="true" ht="15" hidden="false" customHeight="false" outlineLevel="0" collapsed="false">
      <c r="C359" s="998"/>
      <c r="D359" s="998"/>
      <c r="F359" s="999"/>
      <c r="G359" s="999"/>
      <c r="H359" s="1001" t="n">
        <f aca="false">F358</f>
        <v>26133.3841435185</v>
      </c>
      <c r="I359" s="1002" t="n">
        <f aca="false">H359+(E358*NDDaysInYEar/12)</f>
        <v>26133.3841435185</v>
      </c>
      <c r="J359" s="1002" t="n">
        <f aca="false">I359+(E358*NDDaysInYEar/12)</f>
        <v>26133.3841435185</v>
      </c>
      <c r="K359" s="1003" t="n">
        <f aca="false">J359+(E358*NDDaysInYEar/12)</f>
        <v>26133.3841435185</v>
      </c>
      <c r="L359" s="1001" t="n">
        <f aca="false">K359+(E358*NDDaysInYEar/12)</f>
        <v>26133.3841435185</v>
      </c>
      <c r="M359" s="1002" t="n">
        <f aca="false">L359+(E358*NDDaysInYEar/12)</f>
        <v>26133.3841435185</v>
      </c>
      <c r="N359" s="1002" t="n">
        <f aca="false">M359+(E358*NDDaysInYEar/12)</f>
        <v>26133.3841435185</v>
      </c>
      <c r="O359" s="1003" t="n">
        <f aca="false">N359+(E358*NDDaysInYEar/12)</f>
        <v>26133.3841435185</v>
      </c>
      <c r="P359" s="1001" t="n">
        <f aca="false">O359+(E358*NDDaysInYEar/12)</f>
        <v>26133.3841435185</v>
      </c>
      <c r="Q359" s="1002" t="n">
        <f aca="false">P359+(E358*NDDaysInYEar/12)</f>
        <v>26133.3841435185</v>
      </c>
      <c r="R359" s="1002" t="n">
        <f aca="false">Q359+(E358*NDDaysInYEar/12)</f>
        <v>26133.3841435185</v>
      </c>
      <c r="S359" s="1003" t="n">
        <f aca="false">R359+(E358*NDDaysInYEar/12)</f>
        <v>26133.3841435185</v>
      </c>
    </row>
    <row r="360" s="206" customFormat="true" ht="15" hidden="false" customHeight="false" outlineLevel="0" collapsed="false">
      <c r="A360" s="206" t="s">
        <v>706</v>
      </c>
      <c r="B360" s="206" t="n">
        <f aca="false">VLOOKUP(A360,NDasaC,3,0)</f>
        <v>-1</v>
      </c>
      <c r="C360" s="998" t="e">
        <f aca="false">IF(MATCH(VLOOKUP(IF((A360="Aq"),VLOOKUP("AqLord",DivCharts,D336,0),IF((A360="Sc"),VLOOKUP("ScLord",DivCharts,D336,0),VLOOKUP(A360,RsInfo,9,0))),DivCharts,D336,0),RsTbl,0)=MATCH(VLOOKUP(IF((A360="Aq"),VLOOKUP("AqLord",DivCharts,D336,0),IF((A360="Sc"),VLOOKUP("ScLord",DivCharts,D336,0),VLOOKUP(A360,RsInfo,9,0))),PlanetData,8,0),RsTbl,0),1,IF(MATCH(VLOOKUP(IF((A360="Aq"),VLOOKUP("AqLord",DivCharts,D336,0),IF((A360="Sc"),VLOOKUP("ScLord",DivCharts,D336,0),VLOOKUP(A360,RsInfo,9,0))),DivCharts,D336,0),RsTbl,0)=MOD(MATCH(VLOOKUP(IF((A360="Aq"),VLOOKUP("AqLord",DivCharts,D336,0),IF((A360="Sc"),VLOOKUP("ScLord",DivCharts,D336,0),VLOOKUP(A360,RsInfo,9,0))),PlanetData,8,0),RsTbl,0)+6,12),-1,0))</f>
        <v>#N/A</v>
      </c>
      <c r="D360" s="998" t="n">
        <f aca="false">MOD((MATCH(VLOOKUP(IF((A360="Aq"),VLOOKUP("AqLord",DivCharts,D336,0),IF((A360="Sc"),VLOOKUP("ScLord",DivCharts,D336,0),VLOOKUP(A360,RsInfo,9,0))),DivCharts,D336,0),RsTbl,0)*B360)-(B360*MATCH(A360,RsTbl,0))+12,12)</f>
        <v>8</v>
      </c>
      <c r="E360" s="206" t="n">
        <f aca="false">ABS(IF(ISNA(MATCH((D360+C360),,0)),(D360+C360),12)+IF(F337,0,-12))</f>
        <v>0</v>
      </c>
      <c r="F360" s="999" t="n">
        <f aca="false">G358</f>
        <v>26133.3841435185</v>
      </c>
      <c r="G360" s="999" t="n">
        <f aca="false">F360+E360*NDDaysInYEar</f>
        <v>26133.3841435185</v>
      </c>
      <c r="H360" s="1000" t="str">
        <f aca="false">A360</f>
        <v>Cp</v>
      </c>
      <c r="I360" s="233" t="str">
        <f aca="false">INDEX(SignSym,MOD(B360+MATCH(H360,SignSym,0)-1,12)+1)</f>
        <v>Sg</v>
      </c>
      <c r="J360" s="233" t="str">
        <f aca="false">INDEX(SignSym,MOD(B360+MATCH(I360,SignSym,0)-1,12)+1)</f>
        <v>Sc</v>
      </c>
      <c r="K360" s="234" t="str">
        <f aca="false">INDEX(SignSym,MOD(B360+MATCH(J360,SignSym,0)-1,12)+1)</f>
        <v>Li</v>
      </c>
      <c r="L360" s="232" t="str">
        <f aca="false">INDEX(SignSym,MOD(B360+MATCH(K360,SignSym,0)-1,12)+1)</f>
        <v>Vi</v>
      </c>
      <c r="M360" s="233" t="str">
        <f aca="false">INDEX(SignSym,MOD(B360+MATCH(L360,SignSym,0)-1,12)+1)</f>
        <v>Le</v>
      </c>
      <c r="N360" s="233" t="str">
        <f aca="false">INDEX(SignSym,MOD(B360+MATCH(M360,SignSym,0)-1,12)+1)</f>
        <v>Cn</v>
      </c>
      <c r="O360" s="234" t="str">
        <f aca="false">INDEX(SignSym,MOD(B360+MATCH(N360,SignSym,0)-1,12)+1)</f>
        <v>Ge</v>
      </c>
      <c r="P360" s="232" t="str">
        <f aca="false">INDEX(SignSym,MOD(B360+MATCH(O360,SignSym,0)-1,12)+1)</f>
        <v>Ta</v>
      </c>
      <c r="Q360" s="233" t="str">
        <f aca="false">INDEX(SignSym,MOD(B360+MATCH(P360,SignSym,0)-1,12)+1)</f>
        <v>Ar</v>
      </c>
      <c r="R360" s="233" t="str">
        <f aca="false">INDEX(SignSym,MOD(B360+MATCH(Q360,SignSym,0)-1,12)+1)</f>
        <v>Pi</v>
      </c>
      <c r="S360" s="234" t="str">
        <f aca="false">INDEX(SignSym,MOD(B360+MATCH(R360,SignSym,0)-1,12)+1)</f>
        <v>Aq</v>
      </c>
    </row>
    <row r="361" s="206" customFormat="true" ht="15" hidden="false" customHeight="false" outlineLevel="0" collapsed="false">
      <c r="C361" s="998"/>
      <c r="D361" s="998"/>
      <c r="F361" s="999"/>
      <c r="G361" s="999"/>
      <c r="H361" s="1001" t="n">
        <f aca="false">F360</f>
        <v>26133.3841435185</v>
      </c>
      <c r="I361" s="1002" t="n">
        <f aca="false">H361+(E360*NDDaysInYEar/12)</f>
        <v>26133.3841435185</v>
      </c>
      <c r="J361" s="1002" t="n">
        <f aca="false">I361+(E360*NDDaysInYEar/12)</f>
        <v>26133.3841435185</v>
      </c>
      <c r="K361" s="1003" t="n">
        <f aca="false">J361+(E360*NDDaysInYEar/12)</f>
        <v>26133.3841435185</v>
      </c>
      <c r="L361" s="1001" t="n">
        <f aca="false">K361+(E360*NDDaysInYEar/12)</f>
        <v>26133.3841435185</v>
      </c>
      <c r="M361" s="1002" t="n">
        <f aca="false">L361+(E360*NDDaysInYEar/12)</f>
        <v>26133.3841435185</v>
      </c>
      <c r="N361" s="1002" t="n">
        <f aca="false">M361+(E360*NDDaysInYEar/12)</f>
        <v>26133.3841435185</v>
      </c>
      <c r="O361" s="1003" t="n">
        <f aca="false">N361+(E360*NDDaysInYEar/12)</f>
        <v>26133.3841435185</v>
      </c>
      <c r="P361" s="1001" t="n">
        <f aca="false">O361+(E360*NDDaysInYEar/12)</f>
        <v>26133.3841435185</v>
      </c>
      <c r="Q361" s="1002" t="n">
        <f aca="false">P361+(E360*NDDaysInYEar/12)</f>
        <v>26133.3841435185</v>
      </c>
      <c r="R361" s="1002" t="n">
        <f aca="false">Q361+(E360*NDDaysInYEar/12)</f>
        <v>26133.3841435185</v>
      </c>
      <c r="S361" s="1003" t="n">
        <f aca="false">R361+(E360*NDDaysInYEar/12)</f>
        <v>26133.3841435185</v>
      </c>
    </row>
    <row r="362" s="206" customFormat="true" ht="15" hidden="false" customHeight="false" outlineLevel="0" collapsed="false">
      <c r="A362" s="1013" t="s">
        <v>689</v>
      </c>
      <c r="B362" s="206" t="n">
        <f aca="false">VLOOKUP(A362,NDasaC,3,0)</f>
        <v>1</v>
      </c>
      <c r="C362" s="998" t="e">
        <f aca="false">IF(MATCH(VLOOKUP(IF((A362="Aq"),VLOOKUP("AqLord",DivCharts,D336,0),IF((A362="Sc"),VLOOKUP("ScLord",DivCharts,D336,0),VLOOKUP(A362,RsInfo,9,0))),DivCharts,D336,0),RsTbl,0)=MATCH(VLOOKUP(IF((A362="Aq"),VLOOKUP("AqLord",DivCharts,D336,0),IF((A362="Sc"),VLOOKUP("ScLord",DivCharts,D336,0),VLOOKUP(A362,RsInfo,9,0))),PlanetData,8,0),RsTbl,0),1,IF(MATCH(VLOOKUP(IF((A362="Aq"),VLOOKUP("AqLord",DivCharts,D336,0),IF((A362="Sc"),VLOOKUP("ScLord",DivCharts,D336,0),VLOOKUP(A362,RsInfo,9,0))),DivCharts,D336,0),RsTbl,0)=MOD(MATCH(VLOOKUP(IF((A362="Aq"),VLOOKUP("AqLord",DivCharts,D336,0),IF((A362="Sc"),VLOOKUP("ScLord",DivCharts,D336,0),VLOOKUP(A362,RsInfo,9,0))),PlanetData,8,0),RsTbl,0)+6,12),-1,0))</f>
        <v>#N/A</v>
      </c>
      <c r="D362" s="998" t="n">
        <f aca="false">MOD((MATCH(VLOOKUP(IF((A362="Aq"),VLOOKUP("AqLord",DivCharts,D336,0),IF((A362="Sc"),VLOOKUP("ScLord",DivCharts,D336,0),VLOOKUP(A362,RsInfo,9,0))),DivCharts,D336,0),RsTbl,0)*B362)-(B362*MATCH(A362,RsTbl,0))+12,12)</f>
        <v>9</v>
      </c>
      <c r="E362" s="206" t="n">
        <f aca="false">ABS(IF(ISNA(MATCH((D362+C362),,0)),(D362+C362),12)+IF(F337,0,-12))</f>
        <v>0</v>
      </c>
      <c r="F362" s="999" t="n">
        <f aca="false">G360</f>
        <v>26133.3841435185</v>
      </c>
      <c r="G362" s="999" t="n">
        <f aca="false">F362+E362*NDDaysInYEar</f>
        <v>26133.3841435185</v>
      </c>
      <c r="H362" s="1000" t="str">
        <f aca="false">A362</f>
        <v>Ar</v>
      </c>
      <c r="I362" s="233" t="str">
        <f aca="false">INDEX(SignSym,MOD(B362+MATCH(H362,SignSym,0)-1,12)+1)</f>
        <v>Ta</v>
      </c>
      <c r="J362" s="233" t="str">
        <f aca="false">INDEX(SignSym,MOD(B362+MATCH(I362,SignSym,0)-1,12)+1)</f>
        <v>Ge</v>
      </c>
      <c r="K362" s="234" t="str">
        <f aca="false">INDEX(SignSym,MOD(B362+MATCH(J362,SignSym,0)-1,12)+1)</f>
        <v>Cn</v>
      </c>
      <c r="L362" s="232" t="str">
        <f aca="false">INDEX(SignSym,MOD(B362+MATCH(K362,SignSym,0)-1,12)+1)</f>
        <v>Le</v>
      </c>
      <c r="M362" s="233" t="str">
        <f aca="false">INDEX(SignSym,MOD(B362+MATCH(L362,SignSym,0)-1,12)+1)</f>
        <v>Vi</v>
      </c>
      <c r="N362" s="233" t="str">
        <f aca="false">INDEX(SignSym,MOD(B362+MATCH(M362,SignSym,0)-1,12)+1)</f>
        <v>Li</v>
      </c>
      <c r="O362" s="234" t="str">
        <f aca="false">INDEX(SignSym,MOD(B362+MATCH(N362,SignSym,0)-1,12)+1)</f>
        <v>Sc</v>
      </c>
      <c r="P362" s="232" t="str">
        <f aca="false">INDEX(SignSym,MOD(B362+MATCH(O362,SignSym,0)-1,12)+1)</f>
        <v>Sg</v>
      </c>
      <c r="Q362" s="233" t="str">
        <f aca="false">INDEX(SignSym,MOD(B362+MATCH(P362,SignSym,0)-1,12)+1)</f>
        <v>Cp</v>
      </c>
      <c r="R362" s="233" t="str">
        <f aca="false">INDEX(SignSym,MOD(B362+MATCH(Q362,SignSym,0)-1,12)+1)</f>
        <v>Aq</v>
      </c>
      <c r="S362" s="234" t="str">
        <f aca="false">INDEX(SignSym,MOD(B362+MATCH(R362,SignSym,0)-1,12)+1)</f>
        <v>Pi</v>
      </c>
    </row>
    <row r="363" s="206" customFormat="true" ht="15" hidden="false" customHeight="false" outlineLevel="0" collapsed="false">
      <c r="D363" s="998"/>
      <c r="F363" s="999"/>
      <c r="G363" s="999"/>
      <c r="H363" s="1001" t="n">
        <f aca="false">F362</f>
        <v>26133.3841435185</v>
      </c>
      <c r="I363" s="1002" t="n">
        <f aca="false">H363+(E362*NDDaysInYEar/12)</f>
        <v>26133.3841435185</v>
      </c>
      <c r="J363" s="1002" t="n">
        <f aca="false">I363+(E362*NDDaysInYEar/12)</f>
        <v>26133.3841435185</v>
      </c>
      <c r="K363" s="1003" t="n">
        <f aca="false">J363+(E362*NDDaysInYEar/12)</f>
        <v>26133.3841435185</v>
      </c>
      <c r="L363" s="1001" t="n">
        <f aca="false">K363+(E362*NDDaysInYEar/12)</f>
        <v>26133.3841435185</v>
      </c>
      <c r="M363" s="1002" t="n">
        <f aca="false">L363+(E362*NDDaysInYEar/12)</f>
        <v>26133.3841435185</v>
      </c>
      <c r="N363" s="1002" t="n">
        <f aca="false">M363+(E362*NDDaysInYEar/12)</f>
        <v>26133.3841435185</v>
      </c>
      <c r="O363" s="1003" t="n">
        <f aca="false">N363+(E362*NDDaysInYEar/12)</f>
        <v>26133.3841435185</v>
      </c>
      <c r="P363" s="1001" t="n">
        <f aca="false">O363+(E362*NDDaysInYEar/12)</f>
        <v>26133.3841435185</v>
      </c>
      <c r="Q363" s="1002" t="n">
        <f aca="false">P363+(E362*NDDaysInYEar/12)</f>
        <v>26133.3841435185</v>
      </c>
      <c r="R363" s="1002" t="n">
        <f aca="false">Q363+(E362*NDDaysInYEar/12)</f>
        <v>26133.3841435185</v>
      </c>
      <c r="S363" s="1003" t="n">
        <f aca="false">R363+(E362*NDDaysInYEar/12)</f>
        <v>26133.3841435185</v>
      </c>
    </row>
    <row r="364" s="206" customFormat="true" ht="15" hidden="false" customHeight="false" outlineLevel="0" collapsed="false">
      <c r="A364" s="1004"/>
      <c r="B364" s="1004"/>
      <c r="C364" s="1004"/>
      <c r="D364" s="1004"/>
      <c r="E364" s="1004"/>
      <c r="F364" s="1004"/>
      <c r="G364" s="1004"/>
      <c r="H364" s="1004"/>
      <c r="I364" s="1004"/>
      <c r="J364" s="1004"/>
      <c r="K364" s="1004"/>
      <c r="L364" s="1004"/>
      <c r="M364" s="1004"/>
      <c r="N364" s="1004"/>
      <c r="O364" s="1004"/>
      <c r="P364" s="1004"/>
      <c r="Q364" s="1004"/>
      <c r="R364" s="1004"/>
      <c r="S364" s="1004"/>
    </row>
    <row r="365" s="206" customFormat="true" ht="15" hidden="true" customHeight="false" outlineLevel="0" collapsed="false">
      <c r="H365" s="1005"/>
      <c r="I365" s="1005"/>
      <c r="J365" s="1005"/>
      <c r="K365" s="1005"/>
      <c r="L365" s="1005"/>
      <c r="M365" s="1005"/>
      <c r="N365" s="1005"/>
      <c r="O365" s="1005"/>
      <c r="P365" s="1005"/>
      <c r="Q365" s="1005"/>
      <c r="R365" s="1005"/>
      <c r="S365" s="1005"/>
    </row>
    <row r="366" s="206" customFormat="true" ht="15" hidden="false" customHeight="false" outlineLevel="0" collapsed="false"/>
    <row r="367" s="206" customFormat="true" ht="15" hidden="false" customHeight="false" outlineLevel="0" collapsed="false"/>
  </sheetData>
  <mergeCells count="21">
    <mergeCell ref="A32:H32"/>
    <mergeCell ref="A35:B35"/>
    <mergeCell ref="A36:B36"/>
    <mergeCell ref="A70:B70"/>
    <mergeCell ref="A71:B71"/>
    <mergeCell ref="A102:B102"/>
    <mergeCell ref="A103:B103"/>
    <mergeCell ref="A135:B135"/>
    <mergeCell ref="A136:B136"/>
    <mergeCell ref="A171:B171"/>
    <mergeCell ref="A172:B172"/>
    <mergeCell ref="A206:B206"/>
    <mergeCell ref="A207:B207"/>
    <mergeCell ref="A241:B241"/>
    <mergeCell ref="A242:B242"/>
    <mergeCell ref="A273:B273"/>
    <mergeCell ref="A274:B274"/>
    <mergeCell ref="A304:B304"/>
    <mergeCell ref="A305:B305"/>
    <mergeCell ref="A336:B336"/>
    <mergeCell ref="A337:B337"/>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44" fitToWidth="1" fitToHeight="1" pageOrder="downThenOver" orientation="landscape" blackAndWhite="false" draft="false" cellComments="none" horizontalDpi="300" verticalDpi="300" copies="1"/>
  <headerFooter differentFirst="false" differentOddEven="false">
    <oddHeader/>
    <oddFooter/>
  </headerFooter>
  <rowBreaks count="4" manualBreakCount="4">
    <brk id="67" man="true" max="16383" min="0"/>
    <brk id="133" man="true" max="16383" min="0"/>
    <brk id="202" man="true" max="16383" min="0"/>
    <brk id="271" man="true" max="16383" min="0"/>
  </rowBreaks>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4"/>
  <sheetViews>
    <sheetView showFormulas="false" showGridLines="true" showRowColHeaders="true" showZeros="true" rightToLeft="false" tabSelected="false" showOutlineSymbols="true" defaultGridColor="true" view="normal" topLeftCell="A4" colorId="64" zoomScale="181" zoomScaleNormal="181" zoomScalePageLayoutView="100" workbookViewId="0">
      <selection pane="topLeft" activeCell="N4" activeCellId="0" sqref="N4"/>
    </sheetView>
  </sheetViews>
  <sheetFormatPr defaultColWidth="7.1484375" defaultRowHeight="15" customHeight="true" zeroHeight="false" outlineLevelRow="0" outlineLevelCol="0"/>
  <cols>
    <col collapsed="false" customWidth="true" hidden="false" outlineLevel="0" max="2" min="2" style="6" width="2.29"/>
    <col collapsed="false" customWidth="true" hidden="false" outlineLevel="0" max="7" min="3" style="6" width="8.42"/>
    <col collapsed="false" customWidth="true" hidden="false" outlineLevel="0" max="8" min="8" style="6" width="9.29"/>
    <col collapsed="false" customWidth="true" hidden="false" outlineLevel="0" max="11" min="9" style="6" width="8.42"/>
    <col collapsed="false" customWidth="true" hidden="false" outlineLevel="0" max="12" min="12" style="6" width="2.29"/>
    <col collapsed="false" customWidth="true" hidden="false" outlineLevel="0" max="13" min="13" style="6" width="10.14"/>
    <col collapsed="false" customWidth="true" hidden="false" outlineLevel="0" max="17" min="17" style="6" width="9.57"/>
  </cols>
  <sheetData>
    <row r="1" customFormat="false" ht="49.5" hidden="false" customHeight="true" outlineLevel="0" collapsed="false">
      <c r="A1" s="1015"/>
      <c r="B1" s="1015"/>
      <c r="C1" s="1015"/>
      <c r="D1" s="1016" t="str">
        <f aca="false">IF(TRUNC(Basics!B67/StarDeg)=2,Basics!$A$67&amp;"/ ","")&amp;IF(TRUNC(Basics!B60/StarDeg)=2,Basics!$A$60&amp;"/ ","")&amp;IF(TRUNC(Basics!B58/StarDeg)=2,Basics!$A$58&amp;"/ ","")&amp;IF(TRUNC(Basics!B59/StarDeg)=2,Basics!$A$59&amp;"/ ","")&amp;IF(TRUNC(Basics!B66/StarDeg)=2,Basics!$A$66&amp;"/ ","")&amp;IF(TRUNC(Basics!B61/StarDeg)=2,Basics!$A$61&amp;"/ ","")&amp;IF(TRUNC(Basics!B65/StarDeg)=2,Basics!$A$65&amp;"/ ","")&amp;IF(TRUNC(Basics!B62/StarDeg)=2,Basics!$A$62&amp;"/ ","")&amp;IF(TRUNC(Basics!B63/StarDeg)=2,Basics!$A$63&amp;"/ ","")&amp;IF(TRUNC(Basics!B64/StarDeg)=2,Basics!$A$64&amp;"/ ","")</f>
        <v>Saturn/ </v>
      </c>
      <c r="E1" s="1017" t="str">
        <f aca="false">IF(TRUNC(Basics!B67/StarDeg)=3,Basics!$A$67&amp;"/ ","")&amp;IF(TRUNC(Basics!B60/StarDeg)=3,Basics!$A$60&amp;"/ ","")&amp;IF(TRUNC(Basics!B58/StarDeg)=3,Basics!$A$58&amp;"/ ","")&amp;IF(TRUNC(Basics!B59/StarDeg)=3,Basics!$A$59&amp;"/ ","")&amp;IF(TRUNC(Basics!B66/StarDeg)=3,Basics!$A$66&amp;"/ ","")&amp;IF(TRUNC(Basics!B61/StarDeg)=3,Basics!$A$61&amp;"/ ","")&amp;IF(TRUNC(Basics!B65/StarDeg)=3,Basics!$A$65&amp;"/ ","")&amp;IF(TRUNC(Basics!B62/StarDeg)=3,Basics!$A$62&amp;"/ ","")&amp;IF(TRUNC(Basics!B63/StarDeg)=3,Basics!$A$63&amp;"/ ","")&amp;IF(TRUNC(Basics!B64/StarDeg)=3,Basics!$A$64&amp;"/ ","")</f>
        <v>Moon/ </v>
      </c>
      <c r="F1" s="1015" t="str">
        <f aca="false">IF(TRUNC(Basics!B67/StarDeg)=4,Basics!$A$67&amp;"/ ","")&amp;IF(TRUNC(Basics!B60/StarDeg)=4,Basics!$A$60&amp;"/ ","")&amp;IF(TRUNC(Basics!B58/StarDeg)=4,Basics!$A$58&amp;"/ ","")&amp;IF(TRUNC(Basics!B59/StarDeg)=4,Basics!$A$59&amp;"/ ","")&amp;IF(TRUNC(Basics!B66/StarDeg)=4,Basics!$A$66&amp;"/ ","")&amp;IF(TRUNC(Basics!B61/StarDeg)=4,Basics!$A$61&amp;"/ ","")&amp;IF(TRUNC(Basics!B65/StarDeg)=4,Basics!$A$65&amp;"/ ","")&amp;IF(TRUNC(Basics!B62/StarDeg)=4,Basics!$A$62&amp;"/ ","")&amp;IF(TRUNC(Basics!B63/StarDeg)=4,Basics!$A$63&amp;"/ ","")&amp;IF(TRUNC(Basics!B64/StarDeg)=4,Basics!$A$64&amp;"/ ","")</f>
        <v/>
      </c>
      <c r="G1" s="1018" t="str">
        <f aca="false">IF(TRUNC(Basics!B67/StarDeg)=5,Basics!$A$67&amp;"/ ","")&amp;IF(TRUNC(Basics!B60/StarDeg)=5,Basics!$A$60&amp;"/ ","")&amp;IF(TRUNC(Basics!B58/StarDeg)=5,Basics!$A$58&amp;"/ ","")&amp;IF(TRUNC(Basics!B59/StarDeg)=5,Basics!$A$59&amp;"/ ","")&amp;IF(TRUNC(Basics!B66/StarDeg)=5,Basics!$A$66&amp;"/ ","")&amp;IF(TRUNC(Basics!B61/StarDeg)=5,Basics!$A$61&amp;"/ ","")&amp;IF(TRUNC(Basics!B65/StarDeg)=5,Basics!$A$65&amp;"/ ","")&amp;IF(TRUNC(Basics!B62/StarDeg)=5,Basics!$A$62&amp;"/ ","")&amp;IF(TRUNC(Basics!B63/StarDeg)=5,Basics!$A$63&amp;"/ ","")&amp;IF(TRUNC(Basics!B64/StarDeg)=5,Basics!$A$64&amp;"/ ","")</f>
        <v/>
      </c>
      <c r="H1" s="1019" t="str">
        <f aca="false">IF(TRUNC(Basics!B67/StarDeg)=6,Basics!$A$67&amp;"/ ","")&amp;IF(TRUNC(Basics!B60/StarDeg)=6,Basics!$A$60&amp;"/ ","")&amp;IF(TRUNC(Basics!B58/StarDeg)=6,Basics!$A$58&amp;"/ ","")&amp;IF(TRUNC(Basics!B59/StarDeg)=6,Basics!$A$59&amp;"/ ","")&amp;IF(TRUNC(Basics!B66/StarDeg)=6,Basics!$A$66&amp;"/ ","")&amp;IF(TRUNC(Basics!B61/StarDeg)=6,Basics!$A$61&amp;"/ ","")&amp;IF(TRUNC(Basics!B65/StarDeg)=6,Basics!$A$65&amp;"/ ","")&amp;IF(TRUNC(Basics!B62/StarDeg)=6,Basics!$A$62&amp;"/ ","")&amp;IF(TRUNC(Basics!B63/StarDeg)=6,Basics!$A$63&amp;"/ ","")&amp;IF(TRUNC(Basics!B64/StarDeg)=6,Basics!$A$64&amp;"/ ","")</f>
        <v>Sun/ Venus/ </v>
      </c>
      <c r="I1" s="1020" t="str">
        <f aca="false">IF(TRUNC(Basics!B67/StarDeg)=7,Basics!$A$67&amp;"/ ","")&amp;IF(TRUNC(Basics!B60/StarDeg)=7,Basics!$A$60&amp;"/ ","")&amp;IF(TRUNC(Basics!B58/StarDeg)=7,Basics!$A$58&amp;"/ ","")&amp;IF(TRUNC(Basics!B59/StarDeg)=7,Basics!$A$59&amp;"/ ","")&amp;IF(TRUNC(Basics!B66/StarDeg)=7,Basics!$A$66&amp;"/ ","")&amp;IF(TRUNC(Basics!B61/StarDeg)=7,Basics!$A$61&amp;"/ ","")&amp;IF(TRUNC(Basics!B65/StarDeg)=7,Basics!$A$65&amp;"/ ","")&amp;IF(TRUNC(Basics!B62/StarDeg)=7,Basics!$A$62&amp;"/ ","")&amp;IF(TRUNC(Basics!B63/StarDeg)=7,Basics!$A$63&amp;"/ ","")&amp;IF(TRUNC(Basics!B64/StarDeg)=7,Basics!$A$64&amp;"/ ","")</f>
        <v/>
      </c>
      <c r="J1" s="1018" t="str">
        <f aca="false">IF(TRUNC(Basics!B67/StarDeg)=8,Basics!$A$67&amp;"/ ","")&amp;IF(TRUNC(Basics!B60/StarDeg)=8,Basics!$A$60&amp;"/ ","")&amp;IF(TRUNC(Basics!B58/StarDeg)=8,Basics!$A$58&amp;"/ ","")&amp;IF(TRUNC(Basics!B59/StarDeg)=8,Basics!$A$59&amp;"/ ","")&amp;IF(TRUNC(Basics!B66/StarDeg)=8,Basics!$A$66&amp;"/ ","")&amp;IF(TRUNC(Basics!B61/StarDeg)=8,Basics!$A$61&amp;"/ ","")&amp;IF(TRUNC(Basics!B65/StarDeg)=8,Basics!$A$65&amp;"/ ","")&amp;IF(TRUNC(Basics!B62/StarDeg)=8,Basics!$A$62&amp;"/ ","")&amp;IF(TRUNC(Basics!B63/StarDeg)=8,Basics!$A$63&amp;"/ ","")&amp;IF(TRUNC(Basics!B64/StarDeg)=8,Basics!$A$64&amp;"/ ","")</f>
        <v>Ketu/ Mercury/ </v>
      </c>
      <c r="K1" s="1021"/>
      <c r="L1" s="35"/>
      <c r="M1" s="1022"/>
    </row>
    <row r="2" customFormat="false" ht="15" hidden="false" customHeight="true" outlineLevel="0" collapsed="false">
      <c r="A2" s="1015"/>
      <c r="B2" s="1015"/>
      <c r="C2" s="1015" t="s">
        <v>4227</v>
      </c>
      <c r="D2" s="1015"/>
      <c r="E2" s="1015"/>
      <c r="F2" s="1015"/>
      <c r="G2" s="1015"/>
      <c r="H2" s="1015"/>
      <c r="I2" s="1015"/>
      <c r="J2" s="1015"/>
      <c r="K2" s="1015"/>
      <c r="L2" s="35"/>
      <c r="M2" s="1022"/>
    </row>
    <row r="3" customFormat="false" ht="50.25" hidden="false" customHeight="true" outlineLevel="0" collapsed="false">
      <c r="A3" s="1023"/>
      <c r="B3" s="1024" t="s">
        <v>4228</v>
      </c>
      <c r="C3" s="1025" t="s">
        <v>4229</v>
      </c>
      <c r="D3" s="1026" t="s">
        <v>4230</v>
      </c>
      <c r="E3" s="1027" t="s">
        <v>641</v>
      </c>
      <c r="F3" s="1026" t="s">
        <v>4231</v>
      </c>
      <c r="G3" s="1027" t="s">
        <v>557</v>
      </c>
      <c r="H3" s="1026" t="s">
        <v>643</v>
      </c>
      <c r="I3" s="1027" t="s">
        <v>4232</v>
      </c>
      <c r="J3" s="1026" t="s">
        <v>4233</v>
      </c>
      <c r="K3" s="1028" t="s">
        <v>4234</v>
      </c>
      <c r="L3" s="1029" t="s">
        <v>4235</v>
      </c>
      <c r="M3" s="1030"/>
    </row>
    <row r="4" customFormat="false" ht="50.25" hidden="false" customHeight="true" outlineLevel="0" collapsed="false">
      <c r="A4" s="1031" t="str">
        <f aca="false">IF(TRUNC(Basics!B67/StarDeg)=1,Basics!$A$67&amp;"/ ","")&amp;IF(TRUNC(Basics!B60/StarDeg)=1,Basics!$A$60&amp;"/ ","")&amp;IF(TRUNC(Basics!B58/StarDeg)=1,Basics!$A$58&amp;"/ ","")&amp;IF(TRUNC(Basics!B59/StarDeg)=1,Basics!$A$59&amp;"/ ","")&amp;IF(TRUNC(Basics!B66/StarDeg)=1,Basics!$A$66&amp;"/ ","")&amp;IF(TRUNC(Basics!B61/StarDeg)=1,Basics!$A$61&amp;"/ ","")&amp;IF(TRUNC(Basics!B65/StarDeg)=1,Basics!$A$65&amp;"/ ","")&amp;IF(TRUNC(Basics!B62/StarDeg)=1,Basics!$A$62&amp;"/ ","")&amp;IF(TRUNC(Basics!B63/StarDeg)=1,Basics!$A$63&amp;"/ ","")&amp;IF(TRUNC(Basics!B64/StarDeg)=1,Basics!$A$64&amp;"/ ","")</f>
        <v/>
      </c>
      <c r="B4" s="1024"/>
      <c r="C4" s="1026" t="s">
        <v>639</v>
      </c>
      <c r="D4" s="1025" t="s">
        <v>4236</v>
      </c>
      <c r="E4" s="1032" t="s">
        <v>4229</v>
      </c>
      <c r="F4" s="1025" t="s">
        <v>4237</v>
      </c>
      <c r="G4" s="1032" t="s">
        <v>4238</v>
      </c>
      <c r="H4" s="1025" t="s">
        <v>4239</v>
      </c>
      <c r="I4" s="1032" t="s">
        <v>4240</v>
      </c>
      <c r="J4" s="1025" t="s">
        <v>4241</v>
      </c>
      <c r="K4" s="1033" t="s">
        <v>4242</v>
      </c>
      <c r="L4" s="1029"/>
      <c r="M4" s="1034" t="str">
        <f aca="false">IF(TRUNC(Basics!B67/StarDeg)=9,Basics!$A$67&amp;"/ ","")&amp;IF(TRUNC(Basics!B60/StarDeg)=9,Basics!$A$60&amp;"/ ","")&amp;IF(TRUNC(Basics!B58/StarDeg)=9,Basics!$A$58&amp;"/ ","")&amp;IF(TRUNC(Basics!B59/StarDeg)=9,Basics!$A$59&amp;"/ ","")&amp;IF(TRUNC(Basics!B66/StarDeg)=9,Basics!$A$66&amp;"/ ","")&amp;IF(TRUNC(Basics!B61/StarDeg)=9,Basics!$A$61&amp;"/ ","")&amp;IF(TRUNC(Basics!B65/StarDeg)=9,Basics!$A$65&amp;"/ ","")&amp;IF(TRUNC(Basics!B62/StarDeg)=9,Basics!$A$62&amp;"/ ","")&amp;IF(TRUNC(Basics!B63/StarDeg)=9,Basics!$A$63&amp;"/ ","")&amp;IF(TRUNC(Basics!B64/StarDeg)=9,Basics!$A$64&amp;"/ ","")</f>
        <v/>
      </c>
      <c r="Q4" s="1035" t="s">
        <v>1365</v>
      </c>
      <c r="R4" s="6" t="s">
        <v>4243</v>
      </c>
      <c r="X4" s="6" t="n">
        <v>4</v>
      </c>
    </row>
    <row r="5" customFormat="false" ht="50.25" hidden="false" customHeight="true" outlineLevel="0" collapsed="false">
      <c r="A5" s="1036" t="str">
        <f aca="false">IF(TRUNC(Basics!B67/StarDeg)=0,Basics!$A$67&amp;"/ ","")&amp;IF(TRUNC(Basics!B60/StarDeg)=0,Basics!$A$60&amp;"/ ","")&amp;IF(TRUNC(Basics!B58/StarDeg)=0,Basics!$A$58&amp;"/ ","")&amp;IF(TRUNC(Basics!B59/StarDeg)=0,Basics!$A$59&amp;"/ ","")&amp;IF(TRUNC(Basics!B66/StarDeg)=0,Basics!$A$66&amp;"/ ","")&amp;IF(TRUNC(Basics!B61/StarDeg)=0,Basics!$A$61&amp;"/ ","")&amp;IF(TRUNC(Basics!B65/StarDeg)=0,Basics!$A$65&amp;"/ ","")&amp;IF(TRUNC(Basics!B62/StarDeg)=0,Basics!$A$62&amp;"/ ","")&amp;IF(TRUNC(Basics!B63/StarDeg)=0,Basics!$A$63&amp;"/ ","")&amp;IF(TRUNC(Basics!B64/StarDeg)=0,Basics!$A$64&amp;"/ ","")</f>
        <v/>
      </c>
      <c r="B5" s="1024"/>
      <c r="C5" s="1027" t="s">
        <v>638</v>
      </c>
      <c r="D5" s="1032" t="s">
        <v>4244</v>
      </c>
      <c r="E5" s="1025" t="s">
        <v>4245</v>
      </c>
      <c r="F5" s="1037" t="s">
        <v>4246</v>
      </c>
      <c r="G5" s="1038" t="s">
        <v>4247</v>
      </c>
      <c r="H5" s="1037" t="s">
        <v>4248</v>
      </c>
      <c r="I5" s="1025" t="s">
        <v>4249</v>
      </c>
      <c r="J5" s="1032" t="s">
        <v>4250</v>
      </c>
      <c r="K5" s="1039" t="s">
        <v>4251</v>
      </c>
      <c r="L5" s="1029"/>
      <c r="M5" s="1034" t="str">
        <f aca="false">IF(TRUNC(Basics!B67/StarDeg)=10,Basics!$A$67&amp;"/ ","")&amp;IF(TRUNC(Basics!B60/StarDeg)=10,Basics!$A$60&amp;"/ ","")&amp;IF(TRUNC(Basics!B58/StarDeg)=10,Basics!$A$58&amp;"/ ","")&amp;IF(TRUNC(Basics!B59/StarDeg)=10,Basics!$A$59&amp;"/ ","")&amp;IF(TRUNC(Basics!B66/StarDeg)=10,Basics!$A$66&amp;"/ ","")&amp;IF(TRUNC(Basics!B61/StarDeg)=10,Basics!$A$61&amp;"/ ","")&amp;IF(TRUNC(Basics!B65/StarDeg)=10,Basics!$A$65&amp;"/ ","")&amp;IF(TRUNC(Basics!B62/StarDeg)=10,Basics!$A$62&amp;"/ ","")&amp;IF(TRUNC(Basics!B63/StarDeg)=10,Basics!$A$63&amp;"/ ","")&amp;IF(TRUNC(Basics!B64/StarDeg)=10,Basics!$A$64&amp;"/ ","")</f>
        <v>Asc/ </v>
      </c>
      <c r="Q5" s="1040" t="s">
        <v>1395</v>
      </c>
      <c r="R5" s="6" t="s">
        <v>4252</v>
      </c>
      <c r="X5" s="6" t="n">
        <v>5</v>
      </c>
    </row>
    <row r="6" customFormat="false" ht="50.25" hidden="false" customHeight="true" outlineLevel="0" collapsed="false">
      <c r="A6" s="1023" t="str">
        <f aca="false">IF(TRUNC(Basics!B67/StarDeg)=26,Basics!$A$67&amp;"/ ","")&amp;IF(TRUNC(Basics!B60/StarDeg)=26,Basics!$A$60&amp;"/ ","")&amp;IF(TRUNC(Basics!B58/StarDeg)=26,Basics!$A$58&amp;"/ ","")&amp;IF(TRUNC(Basics!B59/StarDeg)=26,Basics!$A$59&amp;"/ ","")&amp;IF(TRUNC(Basics!B66/StarDeg)=26,Basics!$A$66&amp;"/ ","")&amp;IF(TRUNC(Basics!B61/StarDeg)=26,Basics!$A$61&amp;"/ ","")&amp;IF(TRUNC(Basics!B65/StarDeg)=26,Basics!$A$65&amp;"/ ","")&amp;IF(TRUNC(Basics!B62/StarDeg)=26,Basics!$A$62&amp;"/ ","")&amp;IF(TRUNC(Basics!B63/StarDeg)=26,Basics!$A$63&amp;"/ ","")&amp;IF(TRUNC(Basics!B64/StarDeg)=26,Basics!$A$64&amp;"/ ","")</f>
        <v/>
      </c>
      <c r="B6" s="1024"/>
      <c r="C6" s="1026" t="s">
        <v>574</v>
      </c>
      <c r="D6" s="1025" t="s">
        <v>4253</v>
      </c>
      <c r="E6" s="1037" t="s">
        <v>4254</v>
      </c>
      <c r="F6" s="1025" t="s">
        <v>4255</v>
      </c>
      <c r="G6" s="1026" t="s">
        <v>4256</v>
      </c>
      <c r="H6" s="1025" t="s">
        <v>4257</v>
      </c>
      <c r="I6" s="1037" t="s">
        <v>4107</v>
      </c>
      <c r="J6" s="1025" t="s">
        <v>4258</v>
      </c>
      <c r="K6" s="1033" t="s">
        <v>4259</v>
      </c>
      <c r="L6" s="1029"/>
      <c r="M6" s="1041" t="str">
        <f aca="false">IF(TRUNC(Basics!B67/StarDeg)=11,Basics!$A$67&amp;"/ ","")&amp;IF(TRUNC(Basics!B60/StarDeg)=11,Basics!$A$60&amp;"/ ","")&amp;IF(TRUNC(Basics!B58/StarDeg)=11,Basics!$A$58&amp;"/ ","")&amp;IF(TRUNC(Basics!B59/StarDeg)=11,Basics!$A$59&amp;"/ ","")&amp;IF(TRUNC(Basics!B66/StarDeg)=11,Basics!$A$66&amp;"/ ","")&amp;IF(TRUNC(Basics!B61/StarDeg)=11,Basics!$A$61&amp;"/ ","")&amp;IF(TRUNC(Basics!B65/StarDeg)=11,Basics!$A$65&amp;"/ ","")&amp;IF(TRUNC(Basics!B62/StarDeg)=11,Basics!$A$62&amp;"/ ","")&amp;IF(TRUNC(Basics!B63/StarDeg)=11,Basics!$A$63&amp;"/ ","")&amp;IF(TRUNC(Basics!B64/StarDeg)=11,Basics!$A$64&amp;"/ ","")</f>
        <v/>
      </c>
      <c r="Q6" s="1042" t="s">
        <v>1426</v>
      </c>
      <c r="R6" s="6" t="s">
        <v>4260</v>
      </c>
      <c r="X6" s="6" t="n">
        <v>2</v>
      </c>
    </row>
    <row r="7" customFormat="false" ht="54" hidden="false" customHeight="true" outlineLevel="0" collapsed="false">
      <c r="A7" s="1043" t="str">
        <f aca="false">IF(TRUNC(Basics!B67/StarDeg)=25,Basics!$A$67&amp;"/ ","")&amp;IF(TRUNC(Basics!B60/StarDeg)=25,Basics!$A$60&amp;"/ ","")&amp;IF(TRUNC(Basics!B58/StarDeg)=25,Basics!$A$58&amp;"/ ","")&amp;IF(TRUNC(Basics!B59/StarDeg)=25,Basics!$A$59&amp;"/ ","")&amp;IF(TRUNC(Basics!B66/StarDeg)=25,Basics!$A$66&amp;"/ ","")&amp;IF(TRUNC(Basics!B61/StarDeg)=25,Basics!$A$61&amp;"/ ","")&amp;IF(TRUNC(Basics!B65/StarDeg)=25,Basics!$A$65&amp;"/ ","")&amp;IF(TRUNC(Basics!B62/StarDeg)=25,Basics!$A$62&amp;"/ ","")&amp;IF(TRUNC(Basics!B63/StarDeg)=25,Basics!$A$63&amp;"/ ","")&amp;IF(TRUNC(Basics!B64/StarDeg)=25,Basics!$A$64&amp;"/ ","")</f>
        <v/>
      </c>
      <c r="B7" s="1024"/>
      <c r="C7" s="1027" t="s">
        <v>4261</v>
      </c>
      <c r="D7" s="1032" t="s">
        <v>4262</v>
      </c>
      <c r="E7" s="1038" t="s">
        <v>4079</v>
      </c>
      <c r="F7" s="1026" t="s">
        <v>4263</v>
      </c>
      <c r="G7" s="1027" t="s">
        <v>4264</v>
      </c>
      <c r="H7" s="1026" t="s">
        <v>4265</v>
      </c>
      <c r="I7" s="1038" t="s">
        <v>4111</v>
      </c>
      <c r="J7" s="1032" t="s">
        <v>4266</v>
      </c>
      <c r="K7" s="1039" t="s">
        <v>648</v>
      </c>
      <c r="L7" s="1029"/>
      <c r="M7" s="1044" t="str">
        <f aca="false">IF(TRUNC(Basics!B67/StarDeg)=12,Basics!$A$67&amp;"/ ","")&amp;IF(TRUNC(Basics!B60/StarDeg)=12,Basics!$A$60&amp;"/ ","")&amp;IF(TRUNC(Basics!B58/StarDeg)=12,Basics!$A$58&amp;"/ ","")&amp;IF(TRUNC(Basics!B59/StarDeg)=12,Basics!$A$59&amp;"/ ","")&amp;IF(TRUNC(Basics!B66/StarDeg)=12,Basics!$A$66&amp;"/ ","")&amp;IF(TRUNC(Basics!B61/StarDeg)=12,Basics!$A$61&amp;"/ ","")&amp;IF(TRUNC(Basics!B65/StarDeg)=12,Basics!$A$65&amp;"/ ","")&amp;IF(TRUNC(Basics!B62/StarDeg)=12,Basics!$A$62&amp;"/ ","")&amp;IF(TRUNC(Basics!B63/StarDeg)=12,Basics!$A$63&amp;"/ ","")&amp;IF(TRUNC(Basics!B64/StarDeg)=12,Basics!$A$64&amp;"/ ","")</f>
        <v/>
      </c>
      <c r="Q7" s="1045" t="s">
        <v>1451</v>
      </c>
      <c r="R7" s="6" t="s">
        <v>4267</v>
      </c>
      <c r="X7" s="6" t="n">
        <v>4</v>
      </c>
    </row>
    <row r="8" customFormat="false" ht="50.25" hidden="false" customHeight="true" outlineLevel="0" collapsed="false">
      <c r="A8" s="1031" t="str">
        <f aca="false">IF(TRUNC(Basics!B67/StarDeg)=24,Basics!$A$67&amp;"/ ","")&amp;IF(TRUNC(Basics!B60/StarDeg)=24,Basics!$A$60&amp;"/ ","")&amp;IF(TRUNC(Basics!B58/StarDeg)=24,Basics!$A$58&amp;"/ ","")&amp;IF(TRUNC(Basics!B59/StarDeg)=24,Basics!$A$59&amp;"/ ","")&amp;IF(TRUNC(Basics!B66/StarDeg)=24,Basics!$A$66&amp;"/ ","")&amp;IF(TRUNC(Basics!B61/StarDeg)=24,Basics!$A$61&amp;"/ ","")&amp;IF(TRUNC(Basics!B65/StarDeg)=24,Basics!$A$65&amp;"/ ","")&amp;IF(TRUNC(Basics!B62/StarDeg)=24,Basics!$A$62&amp;"/ ","")&amp;IF(TRUNC(Basics!B63/StarDeg)=24,Basics!$A$63&amp;"/ ","")&amp;IF(TRUNC(Basics!B64/StarDeg)=24,Basics!$A$64&amp;"/ ","")</f>
        <v/>
      </c>
      <c r="B8" s="1024"/>
      <c r="C8" s="1026" t="s">
        <v>4268</v>
      </c>
      <c r="D8" s="1025" t="s">
        <v>4269</v>
      </c>
      <c r="E8" s="1037" t="s">
        <v>4270</v>
      </c>
      <c r="F8" s="1025" t="s">
        <v>4271</v>
      </c>
      <c r="G8" s="1026" t="s">
        <v>4272</v>
      </c>
      <c r="H8" s="1025" t="s">
        <v>4273</v>
      </c>
      <c r="I8" s="1037" t="s">
        <v>4112</v>
      </c>
      <c r="J8" s="1025" t="s">
        <v>4274</v>
      </c>
      <c r="K8" s="1033" t="s">
        <v>649</v>
      </c>
      <c r="L8" s="1029"/>
      <c r="M8" s="1030" t="str">
        <f aca="false">IF(TRUNC(Basics!B67/StarDeg)=13,Basics!$A$67&amp;"/ ","")&amp;IF(TRUNC(Basics!B60/StarDeg)=13,Basics!$A$60&amp;"/ ","")&amp;IF(TRUNC(Basics!B58/StarDeg)=13,Basics!$A$58&amp;"/ ","")&amp;IF(TRUNC(Basics!B59/StarDeg)=13,Basics!$A$59&amp;"/ ","")&amp;IF(TRUNC(Basics!B66/StarDeg)=13,Basics!$A$66&amp;"/ ","")&amp;IF(TRUNC(Basics!B61/StarDeg)=13,Basics!$A$61&amp;"/ ","")&amp;IF(TRUNC(Basics!B65/StarDeg)=13,Basics!$A$65&amp;"/ ","")&amp;IF(TRUNC(Basics!B62/StarDeg)=13,Basics!$A$62&amp;"/ ","")&amp;IF(TRUNC(Basics!B63/StarDeg)=13,Basics!$A$63&amp;"/ ","")&amp;IF(TRUNC(Basics!B64/StarDeg)=13,Basics!$A$64&amp;"/ ","")</f>
        <v/>
      </c>
      <c r="Q8" s="1046" t="s">
        <v>1479</v>
      </c>
      <c r="R8" s="6" t="s">
        <v>4275</v>
      </c>
      <c r="X8" s="6" t="n">
        <v>4</v>
      </c>
    </row>
    <row r="9" customFormat="false" ht="50.25" hidden="false" customHeight="true" outlineLevel="0" collapsed="false">
      <c r="A9" s="1047" t="str">
        <f aca="false">IF(TRUNC(Basics!B67/StarDeg)=23,Basics!$A$67&amp;"/ ","")&amp;IF(TRUNC(Basics!B60/StarDeg)=23,Basics!$A$60&amp;"/ ","")&amp;IF(TRUNC(Basics!B58/StarDeg)=23,Basics!$A$58&amp;"/ ","")&amp;IF(TRUNC(Basics!B59/StarDeg)=23,Basics!$A$59&amp;"/ ","")&amp;IF(TRUNC(Basics!B66/StarDeg)=23,Basics!$A$66&amp;"/ ","")&amp;IF(TRUNC(Basics!B61/StarDeg)=23,Basics!$A$61&amp;"/ ","")&amp;IF(TRUNC(Basics!B65/StarDeg)=23,Basics!$A$65&amp;"/ ","")&amp;IF(TRUNC(Basics!B62/StarDeg)=23,Basics!$A$62&amp;"/ ","")&amp;IF(TRUNC(Basics!B63/StarDeg)=23,Basics!$A$63&amp;"/ ","")&amp;IF(TRUNC(Basics!B64/StarDeg)=23,Basics!$A$64&amp;"/ ","")</f>
        <v/>
      </c>
      <c r="B9" s="1024"/>
      <c r="C9" s="1027" t="s">
        <v>4276</v>
      </c>
      <c r="D9" s="1032" t="s">
        <v>4277</v>
      </c>
      <c r="E9" s="1025" t="s">
        <v>4278</v>
      </c>
      <c r="F9" s="1037" t="s">
        <v>4279</v>
      </c>
      <c r="G9" s="1038" t="s">
        <v>4280</v>
      </c>
      <c r="H9" s="1037" t="s">
        <v>4281</v>
      </c>
      <c r="I9" s="1025" t="s">
        <v>4282</v>
      </c>
      <c r="J9" s="1032" t="s">
        <v>4283</v>
      </c>
      <c r="K9" s="1039" t="s">
        <v>592</v>
      </c>
      <c r="L9" s="1029"/>
      <c r="M9" s="1048" t="str">
        <f aca="false">IF(TRUNC(Basics!B67/StarDeg)=14,Basics!$A$67&amp;"/ ","")&amp;IF(TRUNC(Basics!B60/StarDeg)=14,Basics!$A$60&amp;"/ ","")&amp;IF(TRUNC(Basics!B58/StarDeg)=14,Basics!$A$58&amp;"/ ","")&amp;IF(TRUNC(Basics!B59/StarDeg)=14,Basics!$A$59&amp;"/ ","")&amp;IF(TRUNC(Basics!B66/StarDeg)=14,Basics!$A$66&amp;"/ ","")&amp;IF(TRUNC(Basics!B61/StarDeg)=14,Basics!$A$61&amp;"/ ","")&amp;IF(TRUNC(Basics!B65/StarDeg)=14,Basics!$A$65&amp;"/ ","")&amp;IF(TRUNC(Basics!B62/StarDeg)=14,Basics!$A$62&amp;"/ ","")&amp;IF(TRUNC(Basics!B63/StarDeg)=14,Basics!$A$63&amp;"/ ","")&amp;IF(TRUNC(Basics!B64/StarDeg)=14,Basics!$A$64&amp;"/ ","")</f>
        <v/>
      </c>
      <c r="Q9" s="1049" t="s">
        <v>1505</v>
      </c>
      <c r="R9" s="6" t="s">
        <v>4284</v>
      </c>
      <c r="X9" s="6" t="n">
        <v>4</v>
      </c>
    </row>
    <row r="10" customFormat="false" ht="50.25" hidden="false" customHeight="true" outlineLevel="0" collapsed="false">
      <c r="A10" s="1047" t="str">
        <f aca="false">IF(TRUNC(Basics!B67/StarDeg)=22,Basics!$A$67&amp;"/ ","")&amp;IF(TRUNC(Basics!B60/StarDeg)=22,Basics!$A$60&amp;"/ ","")&amp;IF(TRUNC(Basics!B58/StarDeg)=22,Basics!$A$58&amp;"/ ","")&amp;IF(TRUNC(Basics!B59/StarDeg)=22,Basics!$A$59&amp;"/ ","")&amp;IF(TRUNC(Basics!B66/StarDeg)=22,Basics!$A$66&amp;"/ ","")&amp;IF(TRUNC(Basics!B61/StarDeg)=22,Basics!$A$61&amp;"/ ","")&amp;IF(TRUNC(Basics!B65/StarDeg)=22,Basics!$A$65&amp;"/ ","")&amp;IF(TRUNC(Basics!B62/StarDeg)=22,Basics!$A$62&amp;"/ ","")&amp;IF(TRUNC(Basics!B63/StarDeg)=22,Basics!$A$63&amp;"/ ","")&amp;IF(TRUNC(Basics!B64/StarDeg)=22,Basics!$A$64&amp;"/ ","")</f>
        <v>Mars/ </v>
      </c>
      <c r="B10" s="1024"/>
      <c r="C10" s="1026" t="s">
        <v>4285</v>
      </c>
      <c r="D10" s="1025" t="s">
        <v>4286</v>
      </c>
      <c r="E10" s="1032" t="s">
        <v>4287</v>
      </c>
      <c r="F10" s="1025" t="s">
        <v>4288</v>
      </c>
      <c r="G10" s="1032" t="s">
        <v>4289</v>
      </c>
      <c r="H10" s="1025" t="s">
        <v>4290</v>
      </c>
      <c r="I10" s="1032" t="s">
        <v>4291</v>
      </c>
      <c r="J10" s="1025" t="s">
        <v>4292</v>
      </c>
      <c r="K10" s="1033" t="s">
        <v>4293</v>
      </c>
      <c r="L10" s="1029"/>
      <c r="M10" s="1050" t="str">
        <f aca="false">IF(TRUNC(Basics!B67/StarDeg)=15,Basics!$A$67&amp;"/ ","")&amp;IF(TRUNC(Basics!B60/StarDeg)=15,Basics!$A$60&amp;"/ ","")&amp;IF(TRUNC(Basics!B58/StarDeg)=15,Basics!$A$58&amp;"/ ","")&amp;IF(TRUNC(Basics!B59/StarDeg)=15,Basics!$A$59&amp;"/ ","")&amp;IF(TRUNC(Basics!B66/StarDeg)=15,Basics!$A$66&amp;"/ ","")&amp;IF(TRUNC(Basics!B61/StarDeg)=15,Basics!$A$61&amp;"/ ","")&amp;IF(TRUNC(Basics!B65/StarDeg)=15,Basics!$A$65&amp;"/ ","")&amp;IF(TRUNC(Basics!B62/StarDeg)=15,Basics!$A$62&amp;"/ ","")&amp;IF(TRUNC(Basics!B63/StarDeg)=15,Basics!$A$63&amp;"/ ","")&amp;IF(TRUNC(Basics!B64/StarDeg)=15,Basics!$A$64&amp;"/ ","")</f>
        <v>Jupiter/ </v>
      </c>
      <c r="Q10" s="1051" t="s">
        <v>1526</v>
      </c>
      <c r="R10" s="6" t="s">
        <v>4294</v>
      </c>
      <c r="X10" s="6" t="n">
        <v>5</v>
      </c>
    </row>
    <row r="11" customFormat="false" ht="50.25" hidden="false" customHeight="true" outlineLevel="0" collapsed="false">
      <c r="A11" s="1023"/>
      <c r="B11" s="1024"/>
      <c r="C11" s="1025" t="s">
        <v>4295</v>
      </c>
      <c r="D11" s="1026" t="s">
        <v>2778</v>
      </c>
      <c r="E11" s="1027" t="s">
        <v>655</v>
      </c>
      <c r="F11" s="1026" t="s">
        <v>4296</v>
      </c>
      <c r="G11" s="1027" t="s">
        <v>4297</v>
      </c>
      <c r="H11" s="1026" t="s">
        <v>652</v>
      </c>
      <c r="I11" s="1027" t="s">
        <v>860</v>
      </c>
      <c r="J11" s="1026" t="s">
        <v>581</v>
      </c>
      <c r="K11" s="1028" t="s">
        <v>4298</v>
      </c>
      <c r="L11" s="1029"/>
      <c r="M11" s="1030"/>
      <c r="P11" s="63"/>
    </row>
    <row r="12" customFormat="false" ht="15" hidden="false" customHeight="false" outlineLevel="0" collapsed="false">
      <c r="A12" s="35"/>
      <c r="B12" s="35"/>
      <c r="C12" s="41" t="s">
        <v>4299</v>
      </c>
      <c r="D12" s="41"/>
      <c r="E12" s="41"/>
      <c r="F12" s="41"/>
      <c r="G12" s="41"/>
      <c r="H12" s="41"/>
      <c r="I12" s="41"/>
      <c r="J12" s="41"/>
      <c r="K12" s="35"/>
      <c r="L12" s="35"/>
      <c r="M12" s="35"/>
    </row>
    <row r="13" customFormat="false" ht="48.75" hidden="false" customHeight="true" outlineLevel="0" collapsed="false">
      <c r="A13" s="1052"/>
      <c r="B13" s="1052"/>
      <c r="C13" s="1053"/>
      <c r="D13" s="1054" t="str">
        <f aca="false">IF(TRUNC(Basics!B67/StarDeg)=21,Basics!$A$67&amp;"/ ","")&amp;IF(TRUNC(Basics!B60/StarDeg)=21,Basics!$A$60&amp;"/ ","")&amp;IF(TRUNC(Basics!B58/StarDeg)=21,Basics!$A$58&amp;"/ ","")&amp;IF(TRUNC(Basics!B59/StarDeg)=21,Basics!$A$59&amp;"/ ","")&amp;IF(TRUNC(Basics!B66/StarDeg)=21,Basics!$A$66&amp;"/ ","")&amp;IF(TRUNC(Basics!B61/StarDeg)=21,Basics!$A$61&amp;"/ ","")&amp;IF(TRUNC(Basics!B65/StarDeg)=21,Basics!$A$65&amp;"/ ","")&amp;IF(TRUNC(Basics!B62/StarDeg)=21,Basics!$A$62&amp;"/ ","")&amp;IF(TRUNC(Basics!B63/StarDeg)=21,Basics!$A$63&amp;"/ ","")&amp;IF(TRUNC(Basics!B64/StarDeg)=21,Basics!$A$64&amp;"/ ","")</f>
        <v>Rahu/ </v>
      </c>
      <c r="E13" s="1055"/>
      <c r="F13" s="1056" t="str">
        <f aca="false">IF(TRUNC(Basics!B67/StarDeg)=20,Basics!$A$67&amp;"/ ","")&amp;IF(TRUNC(Basics!B60/StarDeg)=20,Basics!$A$60&amp;"/ ","")&amp;IF(TRUNC(Basics!B58/StarDeg)=20,Basics!$A$58&amp;"/ ","")&amp;IF(TRUNC(Basics!B59/StarDeg)=20,Basics!$A$59&amp;"/ ","")&amp;IF(TRUNC(Basics!B66/StarDeg)=20,Basics!$A$66&amp;"/ ","")&amp;IF(TRUNC(Basics!B61/StarDeg)=20,Basics!$A$61&amp;"/ ","")&amp;IF(TRUNC(Basics!B65/StarDeg)=20,Basics!$A$65&amp;"/ ","")&amp;IF(TRUNC(Basics!B62/StarDeg)=20,Basics!$A$62&amp;"/ ","")&amp;IF(TRUNC(Basics!B63/StarDeg)=20,Basics!$A$63&amp;"/ ","")&amp;IF(TRUNC(Basics!B64/StarDeg)=20,Basics!$A$64&amp;"/ ","")</f>
        <v/>
      </c>
      <c r="G13" s="1057" t="str">
        <f aca="false">IF(TRUNC(Basics!B67/StarDeg)=19,Basics!$A$67&amp;"/ ","")&amp;IF(TRUNC(Basics!B60/StarDeg)=19,Basics!$A$60&amp;"/ ","")&amp;IF(TRUNC(Basics!B58/StarDeg)=19,Basics!$A$58&amp;"/ ","")&amp;IF(TRUNC(Basics!B59/StarDeg)=19,Basics!$A$59&amp;"/ ","")&amp;IF(TRUNC(Basics!B66/StarDeg)=19,Basics!$A$66&amp;"/ ","")&amp;IF(TRUNC(Basics!B61/StarDeg)=19,Basics!$A$61&amp;"/ ","")&amp;IF(TRUNC(Basics!B65/StarDeg)=19,Basics!$A$65&amp;"/ ","")&amp;IF(TRUNC(Basics!B62/StarDeg)=19,Basics!$A$62&amp;"/ ","")&amp;IF(TRUNC(Basics!B63/StarDeg)=19,Basics!$A$63&amp;"/ ","")&amp;IF(TRUNC(Basics!B64/StarDeg)=19,Basics!$A$64&amp;"/ ","")</f>
        <v/>
      </c>
      <c r="H13" s="1058" t="str">
        <f aca="false">IF(TRUNC(Basics!B67/StarDeg)=18,Basics!$A$67&amp;"/ ","")&amp;IF(TRUNC(Basics!B60/StarDeg)=18,Basics!$A$60&amp;"/ ","")&amp;IF(TRUNC(Basics!B58/StarDeg)=18,Basics!$A$58&amp;"/ ","")&amp;IF(TRUNC(Basics!B59/StarDeg)=18,Basics!$A$59&amp;"/ ","")&amp;IF(TRUNC(Basics!B66/StarDeg)=18,Basics!$A$66&amp;"/ ","")&amp;IF(TRUNC(Basics!B61/StarDeg)=18,Basics!$A$61&amp;"/ ","")&amp;IF(TRUNC(Basics!B65/StarDeg)=18,Basics!$A$65&amp;"/ ","")&amp;IF(TRUNC(Basics!B62/StarDeg)=18,Basics!$A$62&amp;"/ ","")&amp;IF(TRUNC(Basics!B63/StarDeg)=18,Basics!$A$63&amp;"/ ","")&amp;IF(TRUNC(Basics!B64/StarDeg)=18,Basics!$A$64&amp;"/ ","")</f>
        <v/>
      </c>
      <c r="I13" s="1058" t="str">
        <f aca="false">IF(TRUNC(Basics!B67/StarDeg)=17,Basics!$A$67&amp;"/ ","")&amp;IF(TRUNC(Basics!B60/StarDeg)=17,Basics!$A$60&amp;"/ ","")&amp;IF(TRUNC(Basics!B58/StarDeg)=17,Basics!$A$58&amp;"/ ","")&amp;IF(TRUNC(Basics!B59/StarDeg)=17,Basics!$A$59&amp;"/ ","")&amp;IF(TRUNC(Basics!B66/StarDeg)=17,Basics!$A$66&amp;"/ ","")&amp;IF(TRUNC(Basics!B61/StarDeg)=17,Basics!$A$61&amp;"/ ","")&amp;IF(TRUNC(Basics!B65/StarDeg)=17,Basics!$A$65&amp;"/ ","")&amp;IF(TRUNC(Basics!B62/StarDeg)=17,Basics!$A$62&amp;"/ ","")&amp;IF(TRUNC(Basics!B63/StarDeg)=17,Basics!$A$63&amp;"/ ","")&amp;IF(TRUNC(Basics!B64/StarDeg)=17,Basics!$A$64&amp;"/ ","")</f>
        <v/>
      </c>
      <c r="J13" s="1053" t="str">
        <f aca="false">IF(TRUNC(Basics!B67/StarDeg)=16,Basics!$A$67&amp;"/ ","")&amp;IF(TRUNC(Basics!B60/StarDeg)=16,Basics!$A$60&amp;"/ ","")&amp;IF(TRUNC(Basics!B58/StarDeg)=16,Basics!$A$58&amp;"/ ","")&amp;IF(TRUNC(Basics!B59/StarDeg)=16,Basics!$A$59&amp;"/ ","")&amp;IF(TRUNC(Basics!B66/StarDeg)=16,Basics!$A$66&amp;"/ ","")&amp;IF(TRUNC(Basics!B61/StarDeg)=16,Basics!$A$61&amp;"/ ","")&amp;IF(TRUNC(Basics!B65/StarDeg)=16,Basics!$A$65&amp;"/ ","")&amp;IF(TRUNC(Basics!B62/StarDeg)=16,Basics!$A$62&amp;"/ ","")&amp;IF(TRUNC(Basics!B63/StarDeg)=16,Basics!$A$63&amp;"/ ","")&amp;IF(TRUNC(Basics!B64/StarDeg)=16,Basics!$A$64&amp;"/ ","")</f>
        <v/>
      </c>
      <c r="K13" s="1059"/>
      <c r="L13" s="35"/>
      <c r="M13" s="1030"/>
    </row>
    <row r="14" customFormat="false" ht="15" hidden="false" customHeight="false" outlineLevel="0" collapsed="false">
      <c r="A14" s="197" t="s">
        <v>4300</v>
      </c>
      <c r="B14" s="197"/>
      <c r="L14" s="1060"/>
    </row>
  </sheetData>
  <mergeCells count="4">
    <mergeCell ref="C2:K2"/>
    <mergeCell ref="B3:B11"/>
    <mergeCell ref="L3:L11"/>
    <mergeCell ref="C12:J1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1"/>
  <sheetViews>
    <sheetView showFormulas="false" showGridLines="true" showRowColHeaders="true" showZeros="true" rightToLeft="false" tabSelected="false" showOutlineSymbols="true" defaultGridColor="true" view="normal" topLeftCell="A1" colorId="64" zoomScale="181" zoomScaleNormal="181" zoomScalePageLayoutView="100" workbookViewId="0">
      <pane xSplit="4" ySplit="13" topLeftCell="E14" activePane="bottomRight" state="frozen"/>
      <selection pane="topLeft" activeCell="A1" activeCellId="0" sqref="A1"/>
      <selection pane="topRight" activeCell="E1" activeCellId="0" sqref="E1"/>
      <selection pane="bottomLeft" activeCell="A14" activeCellId="0" sqref="A14"/>
      <selection pane="bottomRight" activeCell="G13" activeCellId="0" sqref="G13"/>
    </sheetView>
  </sheetViews>
  <sheetFormatPr defaultColWidth="8.5703125" defaultRowHeight="15" customHeight="true" zeroHeight="false" outlineLevelRow="0" outlineLevelCol="0"/>
  <cols>
    <col collapsed="false" customWidth="true" hidden="false" outlineLevel="0" max="1" min="1" style="6" width="4.14"/>
    <col collapsed="false" customWidth="true" hidden="false" outlineLevel="0" max="2" min="2" style="6" width="12.71"/>
    <col collapsed="false" customWidth="true" hidden="false" outlineLevel="0" max="3" min="3" style="6" width="23.71"/>
    <col collapsed="false" customWidth="true" hidden="false" outlineLevel="0" max="4" min="4" style="6" width="34.57"/>
    <col collapsed="false" customWidth="true" hidden="false" outlineLevel="0" max="5" min="5" style="6" width="29.29"/>
    <col collapsed="false" customWidth="true" hidden="false" outlineLevel="0" max="6" min="6" style="17" width="11.14"/>
    <col collapsed="false" customWidth="true" hidden="false" outlineLevel="0" max="7" min="7" style="17" width="18.57"/>
    <col collapsed="false" customWidth="true" hidden="false" outlineLevel="0" max="8" min="8" style="284" width="9"/>
    <col collapsed="false" customWidth="true" hidden="false" outlineLevel="0" max="9" min="9" style="17" width="9.71"/>
    <col collapsed="false" customWidth="true" hidden="false" outlineLevel="0" max="10" min="10" style="1061" width="10.42"/>
    <col collapsed="false" customWidth="true" hidden="false" outlineLevel="0" max="11" min="11" style="6" width="11.43"/>
    <col collapsed="false" customWidth="true" hidden="false" outlineLevel="0" max="12" min="12" style="6" width="17.86"/>
  </cols>
  <sheetData>
    <row r="1" customFormat="false" ht="15" hidden="false" customHeight="false" outlineLevel="0" collapsed="false">
      <c r="A1" s="21" t="s">
        <v>243</v>
      </c>
      <c r="B1" s="21" t="s">
        <v>4301</v>
      </c>
      <c r="C1" s="21" t="s">
        <v>224</v>
      </c>
      <c r="D1" s="21" t="s">
        <v>4302</v>
      </c>
      <c r="E1" s="21" t="s">
        <v>2018</v>
      </c>
      <c r="F1" s="1062" t="s">
        <v>4303</v>
      </c>
      <c r="G1" s="1062" t="s">
        <v>4304</v>
      </c>
      <c r="H1" s="1062" t="s">
        <v>4305</v>
      </c>
      <c r="I1" s="1062" t="s">
        <v>4306</v>
      </c>
      <c r="J1" s="1063" t="s">
        <v>173</v>
      </c>
      <c r="K1" s="21" t="s">
        <v>1287</v>
      </c>
      <c r="L1" s="21" t="s">
        <v>140</v>
      </c>
      <c r="M1" s="121" t="s">
        <v>4307</v>
      </c>
    </row>
    <row r="2" customFormat="false" ht="15" hidden="false" customHeight="false" outlineLevel="0" collapsed="false">
      <c r="B2" s="6" t="s">
        <v>4308</v>
      </c>
      <c r="D2" s="100" t="s">
        <v>158</v>
      </c>
      <c r="F2" s="26"/>
      <c r="G2" s="26"/>
      <c r="H2" s="1064" t="n">
        <f aca="true">INDIRECT(D2)</f>
        <v>92.3992027777778</v>
      </c>
      <c r="I2" s="26" t="n">
        <f aca="false">MOD(H2+360,360)</f>
        <v>92.3992027777778</v>
      </c>
      <c r="J2" s="1065" t="str">
        <f aca="false">INDEX(RasiDeg,ROUNDUP(I2/30,0),1)</f>
        <v>Cn</v>
      </c>
      <c r="K2" s="1066" t="n">
        <f aca="false">MOD(I2,30)*0.042</f>
        <v>0.100766516666666</v>
      </c>
      <c r="L2" s="27" t="str">
        <f aca="false">INDEX(NakshatraTbl,INT(I2*0.075)+1,1)</f>
        <v>Punarvasu</v>
      </c>
    </row>
    <row r="3" customFormat="false" ht="15" hidden="false" customHeight="false" outlineLevel="0" collapsed="false">
      <c r="B3" s="6" t="s">
        <v>4149</v>
      </c>
      <c r="D3" s="100" t="s">
        <v>161</v>
      </c>
      <c r="F3" s="26"/>
      <c r="G3" s="26"/>
      <c r="H3" s="1064" t="n">
        <f aca="true">INDIRECT(D3)</f>
        <v>117.129786111111</v>
      </c>
      <c r="I3" s="26" t="n">
        <f aca="false">MOD(H3+360,360)</f>
        <v>117.129786111111</v>
      </c>
      <c r="J3" s="1065" t="str">
        <f aca="false">INDEX(RasiDeg,ROUNDUP(I3/30,0),1)</f>
        <v>Cn</v>
      </c>
      <c r="K3" s="1066" t="n">
        <f aca="false">MOD(I3,30)*0.042</f>
        <v>1.13945101666667</v>
      </c>
      <c r="L3" s="27" t="str">
        <f aca="false">INDEX(NakshatraTbl,INT(I3*0.075)+1,1)</f>
        <v>Ashlesha</v>
      </c>
    </row>
    <row r="4" customFormat="false" ht="15" hidden="false" customHeight="false" outlineLevel="0" collapsed="false">
      <c r="B4" s="6" t="s">
        <v>4150</v>
      </c>
      <c r="D4" s="100" t="s">
        <v>163</v>
      </c>
      <c r="F4" s="26"/>
      <c r="G4" s="26"/>
      <c r="H4" s="1064" t="n">
        <f aca="true">INDIRECT(D4)</f>
        <v>81.5406027777778</v>
      </c>
      <c r="I4" s="26" t="n">
        <f aca="false">MOD(H4+360,360)</f>
        <v>81.5406027777778</v>
      </c>
      <c r="J4" s="1065" t="str">
        <f aca="false">INDEX(RasiDeg,ROUNDUP(I4/30,0),1)</f>
        <v>Ge</v>
      </c>
      <c r="K4" s="1066" t="n">
        <f aca="false">MOD(I4,30)*0.042</f>
        <v>0.904705316666667</v>
      </c>
      <c r="L4" s="27" t="str">
        <f aca="false">INDEX(NakshatraTbl,INT(I4*0.075)+1,1)</f>
        <v>Punarvasu</v>
      </c>
    </row>
    <row r="5" customFormat="false" ht="15" hidden="false" customHeight="false" outlineLevel="0" collapsed="false">
      <c r="B5" s="6" t="s">
        <v>4151</v>
      </c>
      <c r="D5" s="100" t="s">
        <v>166</v>
      </c>
      <c r="F5" s="26"/>
      <c r="G5" s="26"/>
      <c r="H5" s="1064" t="n">
        <f aca="true">INDIRECT(D5)</f>
        <v>111.967238888889</v>
      </c>
      <c r="I5" s="26" t="n">
        <f aca="false">MOD(H5+360,360)</f>
        <v>111.967238888889</v>
      </c>
      <c r="J5" s="1065" t="str">
        <f aca="false">INDEX(RasiDeg,ROUNDUP(I5/30,0),1)</f>
        <v>Cn</v>
      </c>
      <c r="K5" s="1066" t="n">
        <f aca="false">MOD(I5,30)*0.042</f>
        <v>0.922624033333334</v>
      </c>
      <c r="L5" s="27" t="str">
        <f aca="false">INDEX(NakshatraTbl,INT(I5*0.075)+1,1)</f>
        <v>Ashlesha</v>
      </c>
    </row>
    <row r="6" customFormat="false" ht="15" hidden="false" customHeight="false" outlineLevel="0" collapsed="false">
      <c r="B6" s="6" t="s">
        <v>4152</v>
      </c>
      <c r="D6" s="100" t="s">
        <v>162</v>
      </c>
      <c r="F6" s="26"/>
      <c r="G6" s="26"/>
      <c r="H6" s="1064" t="n">
        <f aca="true">INDIRECT(D6)</f>
        <v>213.197175</v>
      </c>
      <c r="I6" s="26" t="n">
        <f aca="false">MOD(H6+360,360)</f>
        <v>213.197175</v>
      </c>
      <c r="J6" s="1065" t="str">
        <f aca="false">INDEX(RasiDeg,ROUNDUP(I6/30,0),1)</f>
        <v>Sc</v>
      </c>
      <c r="K6" s="1066" t="n">
        <f aca="false">MOD(I6,30)*0.042</f>
        <v>0.134281350000001</v>
      </c>
      <c r="L6" s="27" t="str">
        <f aca="false">INDEX(NakshatraTbl,INT(I6*0.075)+1,1)</f>
        <v>Vishakha</v>
      </c>
    </row>
    <row r="7" customFormat="false" ht="15" hidden="false" customHeight="false" outlineLevel="0" collapsed="false">
      <c r="B7" s="6" t="s">
        <v>4153</v>
      </c>
      <c r="D7" s="100" t="s">
        <v>164</v>
      </c>
      <c r="F7" s="26"/>
      <c r="G7" s="26"/>
      <c r="H7" s="1064" t="n">
        <f aca="true">INDIRECT(D7)</f>
        <v>39.8852111111111</v>
      </c>
      <c r="I7" s="26" t="n">
        <f aca="false">MOD(H7+360,360)</f>
        <v>39.8852111111111</v>
      </c>
      <c r="J7" s="1065" t="str">
        <f aca="false">INDEX(RasiDeg,ROUNDUP(I7/30,0),1)</f>
        <v>Ta</v>
      </c>
      <c r="K7" s="1066" t="n">
        <f aca="false">MOD(I7,30)*0.042</f>
        <v>0.415178866666667</v>
      </c>
      <c r="L7" s="27" t="str">
        <f aca="false">INDEX(NakshatraTbl,INT(I7*0.075)+1,1)</f>
        <v>Kritika</v>
      </c>
    </row>
    <row r="8" customFormat="false" ht="15" hidden="false" customHeight="false" outlineLevel="0" collapsed="false">
      <c r="B8" s="6" t="s">
        <v>4154</v>
      </c>
      <c r="D8" s="100" t="s">
        <v>164</v>
      </c>
      <c r="F8" s="26"/>
      <c r="G8" s="26"/>
      <c r="H8" s="1064" t="n">
        <f aca="true">INDIRECT(D8)</f>
        <v>39.8852111111111</v>
      </c>
      <c r="I8" s="26" t="n">
        <f aca="false">MOD(H8+360,360)</f>
        <v>39.8852111111111</v>
      </c>
      <c r="J8" s="1065" t="str">
        <f aca="false">INDEX(RasiDeg,ROUNDUP(I8/30,0),1)</f>
        <v>Ta</v>
      </c>
      <c r="K8" s="1066" t="n">
        <f aca="false">MOD(I8,30)*0.042</f>
        <v>0.415178866666667</v>
      </c>
      <c r="L8" s="27" t="str">
        <f aca="false">INDEX(NakshatraTbl,INT(I8*0.075)+1,1)</f>
        <v>Kritika</v>
      </c>
    </row>
    <row r="9" customFormat="false" ht="15" hidden="false" customHeight="false" outlineLevel="0" collapsed="false">
      <c r="B9" s="6" t="s">
        <v>4155</v>
      </c>
      <c r="D9" s="100" t="s">
        <v>162</v>
      </c>
      <c r="F9" s="26"/>
      <c r="G9" s="26"/>
      <c r="H9" s="1064" t="n">
        <f aca="true">INDIRECT(D9)</f>
        <v>213.197175</v>
      </c>
      <c r="I9" s="26" t="n">
        <f aca="false">MOD(H9+360,360)</f>
        <v>213.197175</v>
      </c>
      <c r="J9" s="1065" t="str">
        <f aca="false">INDEX(RasiDeg,ROUNDUP(I9/30,0),1)</f>
        <v>Sc</v>
      </c>
      <c r="K9" s="1066" t="n">
        <f aca="false">MOD(I9,30)*0.042</f>
        <v>0.134281350000001</v>
      </c>
      <c r="L9" s="27" t="str">
        <f aca="false">INDEX(NakshatraTbl,INT(I9*0.075)+1,1)</f>
        <v>Vishakha</v>
      </c>
    </row>
    <row r="10" customFormat="false" ht="15" hidden="false" customHeight="false" outlineLevel="0" collapsed="false">
      <c r="B10" s="6" t="s">
        <v>4156</v>
      </c>
      <c r="D10" s="100" t="s">
        <v>160</v>
      </c>
      <c r="F10" s="26"/>
      <c r="G10" s="26"/>
      <c r="H10" s="1064" t="n">
        <f aca="true">INDIRECT(D10)</f>
        <v>298.108663888889</v>
      </c>
      <c r="I10" s="26" t="n">
        <f aca="false">MOD(H10+360,360)</f>
        <v>298.108663888889</v>
      </c>
      <c r="J10" s="1065" t="str">
        <f aca="false">INDEX(RasiDeg,ROUNDUP(I10/30,0),1)</f>
        <v>Cp</v>
      </c>
      <c r="K10" s="1066" t="n">
        <f aca="false">MOD(I10,30)*0.042</f>
        <v>1.18056388333334</v>
      </c>
      <c r="L10" s="27" t="str">
        <f aca="false">INDEX(NakshatraTbl,INT(I10*0.075)+1,1)</f>
        <v>Shravan</v>
      </c>
    </row>
    <row r="11" customFormat="false" ht="15" hidden="false" customHeight="false" outlineLevel="0" collapsed="false">
      <c r="B11" s="6" t="s">
        <v>4157</v>
      </c>
      <c r="D11" s="100" t="s">
        <v>163</v>
      </c>
      <c r="F11" s="26"/>
      <c r="G11" s="26"/>
      <c r="H11" s="1064" t="n">
        <f aca="true">INDIRECT(D11)</f>
        <v>81.5406027777778</v>
      </c>
      <c r="I11" s="26" t="n">
        <f aca="false">MOD(H11+360,360)</f>
        <v>81.5406027777778</v>
      </c>
      <c r="J11" s="1065" t="str">
        <f aca="false">INDEX(RasiDeg,ROUNDUP(I11/30,0),1)</f>
        <v>Ge</v>
      </c>
      <c r="K11" s="1066" t="n">
        <f aca="false">MOD(I11,30)*0.042</f>
        <v>0.904705316666667</v>
      </c>
      <c r="L11" s="27" t="str">
        <f aca="false">INDEX(NakshatraTbl,INT(I11*0.075)+1,1)</f>
        <v>Punarvasu</v>
      </c>
    </row>
    <row r="12" customFormat="false" ht="15" hidden="false" customHeight="false" outlineLevel="0" collapsed="false">
      <c r="B12" s="6" t="s">
        <v>4158</v>
      </c>
      <c r="D12" s="100" t="s">
        <v>161</v>
      </c>
      <c r="F12" s="26"/>
      <c r="G12" s="26"/>
      <c r="H12" s="1064" t="n">
        <f aca="true">INDIRECT(D12)</f>
        <v>117.129786111111</v>
      </c>
      <c r="I12" s="26" t="n">
        <f aca="false">MOD(H12+360,360)</f>
        <v>117.129786111111</v>
      </c>
      <c r="J12" s="1065" t="str">
        <f aca="false">INDEX(RasiDeg,ROUNDUP(I12/30,0),1)</f>
        <v>Cn</v>
      </c>
      <c r="K12" s="1066" t="n">
        <f aca="false">MOD(I12,30)*0.042</f>
        <v>1.13945101666667</v>
      </c>
      <c r="L12" s="27" t="str">
        <f aca="false">INDEX(NakshatraTbl,INT(I12*0.075)+1,1)</f>
        <v>Ashlesha</v>
      </c>
    </row>
    <row r="13" customFormat="false" ht="15" hidden="false" customHeight="false" outlineLevel="0" collapsed="false">
      <c r="B13" s="6" t="s">
        <v>4159</v>
      </c>
      <c r="D13" s="100" t="s">
        <v>159</v>
      </c>
      <c r="F13" s="26"/>
      <c r="G13" s="26"/>
      <c r="H13" s="1064" t="n">
        <f aca="true">INDIRECT(D13)</f>
        <v>53.0159444444444</v>
      </c>
      <c r="I13" s="26" t="n">
        <f aca="false">MOD(H13+360,360)</f>
        <v>53.0159444444445</v>
      </c>
      <c r="J13" s="1065" t="str">
        <f aca="false">INDEX(RasiDeg,ROUNDUP(I13/30,0),1)</f>
        <v>Ta</v>
      </c>
      <c r="K13" s="1066" t="n">
        <f aca="false">MOD(I13,30)*0.042</f>
        <v>0.966669666666668</v>
      </c>
      <c r="L13" s="27" t="str">
        <f aca="false">INDEX(NakshatraTbl,INT(I13*0.075)+1,1)</f>
        <v>Rohini</v>
      </c>
    </row>
    <row r="14" customFormat="false" ht="15" hidden="false" customHeight="false" outlineLevel="0" collapsed="false">
      <c r="A14" s="6" t="s">
        <v>4309</v>
      </c>
      <c r="B14" s="6" t="s">
        <v>1042</v>
      </c>
      <c r="C14" s="6" t="s">
        <v>4310</v>
      </c>
      <c r="D14" s="6" t="s">
        <v>4311</v>
      </c>
      <c r="E14" s="6" t="s">
        <v>4312</v>
      </c>
      <c r="F14" s="26" t="n">
        <f aca="false">Moon-Sun</f>
        <v>-39.3832583333333</v>
      </c>
      <c r="G14" s="1064" t="n">
        <f aca="false">IF(NOT(DayBirth),F14+Lagna,-F14+Lagna)</f>
        <v>176.094775</v>
      </c>
      <c r="H14" s="1064" t="n">
        <f aca="false">IF(DayBirth,F14+Lagna,-F14+Lagna)</f>
        <v>97.3282583333333</v>
      </c>
      <c r="I14" s="26" t="n">
        <f aca="false">MOD(H14+360,360)</f>
        <v>97.3282583333333</v>
      </c>
      <c r="J14" s="1065" t="str">
        <f aca="false">INDEX(RasiDeg,ROUNDUP(I14/30,0),1)</f>
        <v>Cn</v>
      </c>
      <c r="K14" s="1066" t="n">
        <f aca="false">MOD(I14,30)*0.042</f>
        <v>0.30778685</v>
      </c>
      <c r="L14" s="27" t="str">
        <f aca="false">INDEX(NakshatraTbl,INT(I14*0.075)+1,1)</f>
        <v>Pushya</v>
      </c>
    </row>
    <row r="15" customFormat="false" ht="15" hidden="false" customHeight="false" outlineLevel="0" collapsed="false">
      <c r="A15" s="6" t="s">
        <v>4313</v>
      </c>
      <c r="B15" s="6" t="s">
        <v>4314</v>
      </c>
      <c r="C15" s="6" t="s">
        <v>4315</v>
      </c>
      <c r="D15" s="6" t="s">
        <v>4316</v>
      </c>
      <c r="E15" s="6" t="s">
        <v>4312</v>
      </c>
      <c r="F15" s="26" t="n">
        <f aca="false">Sun-Moon</f>
        <v>39.3832583333333</v>
      </c>
      <c r="G15" s="1064" t="n">
        <f aca="false">IF(NOT(DayBirth),F15+Lagna,-F15+Lagna)</f>
        <v>97.3282583333333</v>
      </c>
      <c r="H15" s="1064" t="n">
        <f aca="false">IF(DayBirth,F15+Lagna,-F15+Lagna)</f>
        <v>176.094775</v>
      </c>
      <c r="I15" s="26" t="n">
        <f aca="false">MOD(H15+360,360)</f>
        <v>176.094775</v>
      </c>
      <c r="J15" s="1065" t="str">
        <f aca="false">INDEX(RasiDeg,ROUNDUP(I15/30,0),1)</f>
        <v>Vi</v>
      </c>
      <c r="K15" s="1066" t="n">
        <f aca="false">MOD(I15,30)*0.042</f>
        <v>1.09598055</v>
      </c>
      <c r="L15" s="27" t="str">
        <f aca="false">INDEX(NakshatraTbl,INT(I15*0.075)+1,1)</f>
        <v>Chitra</v>
      </c>
    </row>
    <row r="16" customFormat="false" ht="15" hidden="false" customHeight="false" outlineLevel="0" collapsed="false">
      <c r="A16" s="6" t="n">
        <v>3</v>
      </c>
      <c r="B16" s="6" t="s">
        <v>4317</v>
      </c>
      <c r="C16" s="6" t="s">
        <v>4318</v>
      </c>
      <c r="D16" s="6" t="s">
        <v>4319</v>
      </c>
      <c r="F16" s="26" t="n">
        <f aca="false">Jupiter-PunyaSaham</f>
        <v>115.868916666667</v>
      </c>
      <c r="G16" s="1064" t="n">
        <f aca="false">IF(NOT(DayBirth),F16+Lagna,-F16+Lagna)</f>
        <v>20.8426</v>
      </c>
      <c r="H16" s="1064" t="n">
        <f aca="false">IF(DayBirth,F16+Lagna,-F16+Lagna)</f>
        <v>252.580433333333</v>
      </c>
      <c r="I16" s="26" t="n">
        <f aca="false">MOD(H16+360,360)</f>
        <v>252.580433333333</v>
      </c>
      <c r="J16" s="1065" t="str">
        <f aca="false">INDEX(RasiDeg,ROUNDUP(I16/30,0),1)</f>
        <v>Sg</v>
      </c>
      <c r="K16" s="1066" t="n">
        <f aca="false">MOD(I16,30)*0.042</f>
        <v>0.528378199999999</v>
      </c>
      <c r="L16" s="27" t="str">
        <f aca="false">INDEX(NakshatraTbl,INT(I16*0.075)+1,1)</f>
        <v>Mula</v>
      </c>
    </row>
    <row r="17" customFormat="false" ht="15" hidden="false" customHeight="false" outlineLevel="0" collapsed="false">
      <c r="A17" s="6" t="n">
        <v>4</v>
      </c>
      <c r="B17" s="6" t="s">
        <v>282</v>
      </c>
      <c r="C17" s="6" t="s">
        <v>4320</v>
      </c>
      <c r="D17" s="6" t="s">
        <v>4321</v>
      </c>
      <c r="F17" s="26" t="n">
        <v>0</v>
      </c>
      <c r="G17" s="1064" t="n">
        <f aca="false">IF(NOT(DayBirth),F17+Lagna,-F17+Lagna)</f>
        <v>136.711516666667</v>
      </c>
      <c r="H17" s="1064" t="n">
        <f aca="false">IF(DayBirth,F17+Lagna,-F17+Lagna)</f>
        <v>136.711516666667</v>
      </c>
      <c r="I17" s="26" t="n">
        <f aca="false">MOD(H17+360,360)</f>
        <v>136.711516666667</v>
      </c>
      <c r="J17" s="1065" t="str">
        <f aca="false">INDEX(RasiDeg,ROUNDUP(I17/30,0),1)</f>
        <v>Le</v>
      </c>
      <c r="K17" s="1066" t="n">
        <f aca="false">MOD(I17,30)*0.042</f>
        <v>0.701883699999998</v>
      </c>
      <c r="L17" s="27" t="str">
        <f aca="false">INDEX(NakshatraTbl,INT(I17*0.075)+1,1)</f>
        <v>Purva Phalguni</v>
      </c>
    </row>
    <row r="18" customFormat="false" ht="15" hidden="false" customHeight="false" outlineLevel="0" collapsed="false">
      <c r="A18" s="6" t="n">
        <v>5</v>
      </c>
      <c r="B18" s="6" t="s">
        <v>4322</v>
      </c>
      <c r="C18" s="6" t="s">
        <v>4323</v>
      </c>
      <c r="D18" s="6" t="s">
        <v>4324</v>
      </c>
      <c r="F18" s="26" t="n">
        <v>0</v>
      </c>
      <c r="G18" s="1064" t="n">
        <f aca="false">IF(NOT(DayBirth),F18+Lagna,-F18+Lagna)</f>
        <v>136.711516666667</v>
      </c>
      <c r="H18" s="1064" t="n">
        <f aca="false">IF(DayBirth,F18+Lagna,-F18+Lagna)</f>
        <v>136.711516666667</v>
      </c>
      <c r="I18" s="26" t="n">
        <f aca="false">MOD(H18+360,360)</f>
        <v>136.711516666667</v>
      </c>
      <c r="J18" s="1065" t="str">
        <f aca="false">INDEX(RasiDeg,ROUNDUP(I18/30,0),1)</f>
        <v>Le</v>
      </c>
      <c r="K18" s="1066" t="n">
        <f aca="false">MOD(I18,30)*0.042</f>
        <v>0.701883699999998</v>
      </c>
      <c r="L18" s="27" t="str">
        <f aca="false">INDEX(NakshatraTbl,INT(I18*0.075)+1,1)</f>
        <v>Purva Phalguni</v>
      </c>
    </row>
    <row r="19" customFormat="false" ht="15" hidden="false" customHeight="false" outlineLevel="0" collapsed="false">
      <c r="A19" s="6" t="n">
        <v>6</v>
      </c>
      <c r="B19" s="6" t="s">
        <v>4325</v>
      </c>
      <c r="C19" s="6" t="s">
        <v>4326</v>
      </c>
      <c r="D19" s="6" t="s">
        <v>4327</v>
      </c>
      <c r="F19" s="26" t="n">
        <f aca="false">Saturn-Mars</f>
        <v>-258.223452777778</v>
      </c>
      <c r="G19" s="1064" t="n">
        <f aca="false">IF(NOT(DayBirth),F19+Lagna,-F19+Lagna)</f>
        <v>394.934969444444</v>
      </c>
      <c r="H19" s="1064" t="n">
        <f aca="false">IF(DayBirth,F19+Lagna,-F19+Lagna)</f>
        <v>-121.511936111111</v>
      </c>
      <c r="I19" s="26" t="n">
        <f aca="false">MOD(H19+360,360)</f>
        <v>238.488063888889</v>
      </c>
      <c r="J19" s="1065" t="str">
        <f aca="false">INDEX(RasiDeg,ROUNDUP(I19/30,0),1)</f>
        <v>Sc</v>
      </c>
      <c r="K19" s="1066" t="n">
        <f aca="false">MOD(I19,30)*0.042</f>
        <v>1.19649868333333</v>
      </c>
      <c r="L19" s="27" t="str">
        <f aca="false">INDEX(NakshatraTbl,INT(I19*0.075)+1,1)</f>
        <v>Jyeshtha</v>
      </c>
    </row>
    <row r="20" customFormat="false" ht="15" hidden="false" customHeight="false" outlineLevel="0" collapsed="false">
      <c r="A20" s="6" t="n">
        <v>7</v>
      </c>
      <c r="B20" s="6" t="s">
        <v>4328</v>
      </c>
      <c r="C20" s="6" t="s">
        <v>4329</v>
      </c>
      <c r="D20" s="6" t="s">
        <v>4330</v>
      </c>
      <c r="E20" s="6" t="s">
        <v>4331</v>
      </c>
      <c r="F20" s="26" t="n">
        <f aca="false">Mars-LagnaLordD</f>
        <v>205.709461111111</v>
      </c>
      <c r="G20" s="1064" t="n">
        <f aca="false">IF(NOT(DayBirth),F20+Lagna,-F20+Lagna)</f>
        <v>-68.9979444444445</v>
      </c>
      <c r="H20" s="1064" t="n">
        <f aca="false">IF(DayBirth,F20+Lagna,-F20+Lagna)</f>
        <v>342.420977777778</v>
      </c>
      <c r="I20" s="26" t="n">
        <f aca="false">MOD(H20+360,360)</f>
        <v>342.420977777778</v>
      </c>
      <c r="J20" s="1065" t="str">
        <f aca="false">INDEX(RasiDeg,ROUNDUP(I20/30,0),1)</f>
        <v>Pi</v>
      </c>
      <c r="K20" s="1066" t="n">
        <f aca="false">MOD(I20,30)*0.042</f>
        <v>0.521681066666668</v>
      </c>
      <c r="L20" s="27" t="str">
        <f aca="false">INDEX(NakshatraTbl,INT(I20*0.075)+1,1)</f>
        <v>Purva Bhadrapad</v>
      </c>
    </row>
    <row r="21" customFormat="false" ht="15" hidden="false" customHeight="false" outlineLevel="0" collapsed="false">
      <c r="A21" s="6" t="n">
        <v>8</v>
      </c>
      <c r="B21" s="6" t="s">
        <v>4332</v>
      </c>
      <c r="C21" s="6" t="s">
        <v>4333</v>
      </c>
      <c r="D21" s="6" t="s">
        <v>4334</v>
      </c>
      <c r="E21" s="6" t="s">
        <v>4335</v>
      </c>
      <c r="F21" s="26" t="n">
        <f aca="false">Jupiter-Saturn</f>
        <v>173.311963888889</v>
      </c>
      <c r="G21" s="1064" t="n">
        <f aca="false">IF(NOT(DayBirth),F21+Lagna,-F21+Lagna)</f>
        <v>-36.6004472222222</v>
      </c>
      <c r="H21" s="1064" t="n">
        <f aca="false">IF(DayBirth,F21+Lagna,-F21+Lagna)</f>
        <v>310.023480555556</v>
      </c>
      <c r="I21" s="26" t="n">
        <f aca="false">MOD(H21+360,360)</f>
        <v>310.023480555556</v>
      </c>
      <c r="J21" s="1065" t="str">
        <f aca="false">INDEX(RasiDeg,ROUNDUP(I21/30,0),1)</f>
        <v>Aq</v>
      </c>
      <c r="K21" s="1066" t="n">
        <f aca="false">MOD(I21,30)*0.042</f>
        <v>0.420986183333334</v>
      </c>
      <c r="L21" s="27" t="str">
        <f aca="false">INDEX(NakshatraTbl,INT(I21*0.075)+1,1)</f>
        <v>Dhanistha</v>
      </c>
    </row>
    <row r="22" customFormat="false" ht="15" hidden="false" customHeight="false" outlineLevel="0" collapsed="false">
      <c r="A22" s="6" t="n">
        <v>9</v>
      </c>
      <c r="B22" s="6" t="s">
        <v>4336</v>
      </c>
      <c r="C22" s="6" t="s">
        <v>4337</v>
      </c>
      <c r="D22" s="6" t="s">
        <v>4338</v>
      </c>
      <c r="F22" s="26" t="n">
        <f aca="false">Jupiter-Moon</f>
        <v>160.181230555556</v>
      </c>
      <c r="G22" s="1064" t="n">
        <f aca="false">IF(NOT(DayBirth),F22+Lagna,-F22+Lagna)</f>
        <v>-23.4697138888889</v>
      </c>
      <c r="H22" s="1064" t="n">
        <f aca="false">IF(DayBirth,F22+Sun,-F22+Sun)</f>
        <v>252.580433333333</v>
      </c>
      <c r="I22" s="26" t="n">
        <f aca="false">MOD(H22+360,360)</f>
        <v>252.580433333333</v>
      </c>
      <c r="J22" s="1065" t="str">
        <f aca="false">INDEX(RasiDeg,ROUNDUP(I22/30,0),1)</f>
        <v>Sg</v>
      </c>
      <c r="K22" s="1066" t="n">
        <f aca="false">MOD(I22,30)*0.042</f>
        <v>0.528378199999999</v>
      </c>
      <c r="L22" s="27" t="str">
        <f aca="false">INDEX(NakshatraTbl,INT(I22*0.075)+1,1)</f>
        <v>Mula</v>
      </c>
    </row>
    <row r="23" customFormat="false" ht="15" hidden="false" customHeight="false" outlineLevel="0" collapsed="false">
      <c r="A23" s="6" t="n">
        <v>10</v>
      </c>
      <c r="B23" s="6" t="s">
        <v>4339</v>
      </c>
      <c r="C23" s="6" t="s">
        <v>4340</v>
      </c>
      <c r="D23" s="6" t="s">
        <v>4341</v>
      </c>
      <c r="F23" s="26" t="n">
        <f aca="false">Saturn-Sun</f>
        <v>-52.5139916666667</v>
      </c>
      <c r="G23" s="1064" t="n">
        <f aca="false">IF(NOT(DayBirth),F23+Lagna,-F23+Lagna)</f>
        <v>189.225508333333</v>
      </c>
      <c r="H23" s="1064" t="n">
        <f aca="false">IF(DayBirth,F23+Lagna,-F23+Lagna)</f>
        <v>84.197525</v>
      </c>
      <c r="I23" s="26" t="n">
        <f aca="false">MOD(H23+360,360)</f>
        <v>84.197525</v>
      </c>
      <c r="J23" s="1065" t="str">
        <f aca="false">INDEX(RasiDeg,ROUNDUP(I23/30,0),1)</f>
        <v>Ge</v>
      </c>
      <c r="K23" s="1066" t="n">
        <f aca="false">MOD(I23,30)*0.042</f>
        <v>1.01629605</v>
      </c>
      <c r="L23" s="27" t="str">
        <f aca="false">INDEX(NakshatraTbl,INT(I23*0.075)+1,1)</f>
        <v>Punarvasu</v>
      </c>
    </row>
    <row r="24" customFormat="false" ht="15" hidden="false" customHeight="false" outlineLevel="0" collapsed="false">
      <c r="A24" s="6" t="n">
        <v>11</v>
      </c>
      <c r="B24" s="6" t="s">
        <v>4342</v>
      </c>
      <c r="C24" s="6" t="s">
        <v>4343</v>
      </c>
      <c r="D24" s="6" t="s">
        <v>4341</v>
      </c>
      <c r="F24" s="26" t="n">
        <f aca="false">Saturn-Sun</f>
        <v>-52.5139916666667</v>
      </c>
      <c r="G24" s="1064" t="n">
        <f aca="false">IF(NOT(DayBirth),F24+Lagna,-F24+Lagna)</f>
        <v>189.225508333333</v>
      </c>
      <c r="H24" s="1064" t="n">
        <f aca="false">IF(DayBirth,F24+Lagna,-F24+Lagna)</f>
        <v>84.197525</v>
      </c>
      <c r="I24" s="26" t="n">
        <f aca="false">MOD(H24+360,360)</f>
        <v>84.197525</v>
      </c>
      <c r="J24" s="1065" t="str">
        <f aca="false">INDEX(RasiDeg,ROUNDUP(I24/30,0),1)</f>
        <v>Ge</v>
      </c>
      <c r="K24" s="1066" t="n">
        <f aca="false">MOD(I24,30)*0.042</f>
        <v>1.01629605</v>
      </c>
      <c r="L24" s="27" t="str">
        <f aca="false">INDEX(NakshatraTbl,INT(I24*0.075)+1,1)</f>
        <v>Punarvasu</v>
      </c>
    </row>
    <row r="25" customFormat="false" ht="15" hidden="false" customHeight="false" outlineLevel="0" collapsed="false">
      <c r="A25" s="6" t="n">
        <v>12</v>
      </c>
      <c r="B25" s="6" t="s">
        <v>4344</v>
      </c>
      <c r="C25" s="6" t="s">
        <v>4345</v>
      </c>
      <c r="D25" s="6" t="s">
        <v>4346</v>
      </c>
      <c r="F25" s="26" t="n">
        <f aca="false">Moon-Venus</f>
        <v>-28.5246583333333</v>
      </c>
      <c r="G25" s="1064" t="n">
        <f aca="false">IF(NOT(DayBirth),F25+Lagna,-F25+Lagna)</f>
        <v>165.236175</v>
      </c>
      <c r="H25" s="1064" t="n">
        <f aca="false">IF(DayBirth,F25+Lagna,-F25+Lagna)</f>
        <v>108.186858333333</v>
      </c>
      <c r="I25" s="26" t="n">
        <f aca="false">MOD(H25+360,360)</f>
        <v>108.186858333333</v>
      </c>
      <c r="J25" s="1065" t="str">
        <f aca="false">INDEX(RasiDeg,ROUNDUP(I25/30,0),1)</f>
        <v>Cn</v>
      </c>
      <c r="K25" s="1066" t="n">
        <f aca="false">MOD(I25,30)*0.042</f>
        <v>0.763848049999999</v>
      </c>
      <c r="L25" s="27" t="str">
        <f aca="false">INDEX(NakshatraTbl,INT(I25*0.075)+1,1)</f>
        <v>Ashlesha</v>
      </c>
    </row>
    <row r="26" customFormat="false" ht="15" hidden="false" customHeight="false" outlineLevel="0" collapsed="false">
      <c r="A26" s="6" t="n">
        <v>13</v>
      </c>
      <c r="B26" s="6" t="s">
        <v>4347</v>
      </c>
      <c r="C26" s="6" t="s">
        <v>4348</v>
      </c>
      <c r="D26" s="6" t="s">
        <v>4349</v>
      </c>
      <c r="F26" s="26" t="n">
        <f aca="false">Jupiter-Moon</f>
        <v>160.181230555556</v>
      </c>
      <c r="G26" s="1064" t="n">
        <f aca="false">IF(NOT(DayBirth),F26+Lagna,-F26+Lagna)</f>
        <v>-23.4697138888889</v>
      </c>
      <c r="H26" s="1064" t="n">
        <f aca="false">IF(DayBirth,F26+Lagna,-F26+Lagna)</f>
        <v>296.892747222222</v>
      </c>
      <c r="I26" s="26" t="n">
        <f aca="false">MOD(H26+360,360)</f>
        <v>296.892747222222</v>
      </c>
      <c r="J26" s="1065" t="str">
        <f aca="false">INDEX(RasiDeg,ROUNDUP(I26/30,0),1)</f>
        <v>Cp</v>
      </c>
      <c r="K26" s="1066" t="n">
        <f aca="false">MOD(I26,30)*0.042</f>
        <v>1.12949538333333</v>
      </c>
      <c r="L26" s="27" t="str">
        <f aca="false">INDEX(NakshatraTbl,INT(I26*0.075)+1,1)</f>
        <v>Shravan</v>
      </c>
    </row>
    <row r="27" customFormat="false" ht="15" hidden="false" customHeight="false" outlineLevel="0" collapsed="false">
      <c r="A27" s="6" t="n">
        <v>14</v>
      </c>
      <c r="B27" s="6" t="s">
        <v>4160</v>
      </c>
      <c r="C27" s="6" t="s">
        <v>4350</v>
      </c>
      <c r="D27" s="6" t="s">
        <v>4351</v>
      </c>
      <c r="F27" s="26" t="n">
        <f aca="false">Saturn-Jupiter</f>
        <v>-173.311963888889</v>
      </c>
      <c r="G27" s="1064" t="n">
        <f aca="false">IF(NOT(DayBirth),F27+Lagna,-F27+Lagna)</f>
        <v>310.023480555556</v>
      </c>
      <c r="H27" s="1064" t="n">
        <f aca="false">IF(DayBirth,F27+Lagna,-F27+Lagna)</f>
        <v>-36.6004472222222</v>
      </c>
      <c r="I27" s="26" t="n">
        <f aca="false">MOD(H27+360,360)</f>
        <v>323.399552777778</v>
      </c>
      <c r="J27" s="1065" t="str">
        <f aca="false">INDEX(RasiDeg,ROUNDUP(I27/30,0),1)</f>
        <v>Aq</v>
      </c>
      <c r="K27" s="1066" t="n">
        <f aca="false">MOD(I27,30)*0.042</f>
        <v>0.982781216666667</v>
      </c>
      <c r="L27" s="27" t="str">
        <f aca="false">INDEX(NakshatraTbl,INT(I27*0.075)+1,1)</f>
        <v>Satabishak</v>
      </c>
    </row>
    <row r="28" customFormat="false" ht="15" hidden="false" customHeight="false" outlineLevel="0" collapsed="false">
      <c r="A28" s="6" t="n">
        <v>15</v>
      </c>
      <c r="B28" s="6" t="s">
        <v>256</v>
      </c>
      <c r="C28" s="6" t="s">
        <v>4352</v>
      </c>
      <c r="D28" s="6" t="s">
        <v>4353</v>
      </c>
      <c r="F28" s="26" t="n">
        <f aca="false">Mars-Mercury</f>
        <v>180.978877777778</v>
      </c>
      <c r="G28" s="1064" t="n">
        <f aca="false">IF(NOT(DayBirth),F28+Lagna,-F28+Lagna)</f>
        <v>-44.2673611111111</v>
      </c>
      <c r="H28" s="1064" t="n">
        <f aca="false">IF(DayBirth,F28+Lagna,-F28+Lagna)</f>
        <v>317.690394444444</v>
      </c>
      <c r="I28" s="26" t="n">
        <f aca="false">MOD(H28+360,360)</f>
        <v>317.690394444444</v>
      </c>
      <c r="J28" s="1065" t="str">
        <f aca="false">INDEX(RasiDeg,ROUNDUP(I28/30,0),1)</f>
        <v>Aq</v>
      </c>
      <c r="K28" s="1066" t="n">
        <f aca="false">MOD(I28,30)*0.042</f>
        <v>0.742996566666667</v>
      </c>
      <c r="L28" s="27" t="str">
        <f aca="false">INDEX(NakshatraTbl,INT(I28*0.075)+1,1)</f>
        <v>Dhanistha</v>
      </c>
    </row>
    <row r="29" customFormat="false" ht="15" hidden="false" customHeight="false" outlineLevel="0" collapsed="false">
      <c r="A29" s="6" t="n">
        <v>16</v>
      </c>
      <c r="B29" s="6" t="s">
        <v>4354</v>
      </c>
      <c r="C29" s="6" t="s">
        <v>4355</v>
      </c>
      <c r="D29" s="6" t="s">
        <v>4356</v>
      </c>
      <c r="E29" s="6" t="s">
        <v>4335</v>
      </c>
      <c r="F29" s="26" t="n">
        <v>0</v>
      </c>
      <c r="G29" s="1064" t="n">
        <f aca="false">IF(NOT(DayBirth),F29+Lagna,-F29+Lagna)</f>
        <v>136.711516666667</v>
      </c>
      <c r="H29" s="1064" t="n">
        <f aca="false">IF(DayBirth,F29+Lagna,-F29+Lagna)</f>
        <v>136.711516666667</v>
      </c>
      <c r="I29" s="26" t="n">
        <f aca="false">MOD(H29+360,360)</f>
        <v>136.711516666667</v>
      </c>
      <c r="J29" s="1065" t="str">
        <f aca="false">INDEX(RasiDeg,ROUNDUP(I29/30,0),1)</f>
        <v>Le</v>
      </c>
      <c r="K29" s="1066" t="n">
        <f aca="false">MOD(I29,30)*0.042</f>
        <v>0.701883699999998</v>
      </c>
      <c r="L29" s="27" t="str">
        <f aca="false">INDEX(NakshatraTbl,INT(I29*0.075)+1,1)</f>
        <v>Purva Phalguni</v>
      </c>
    </row>
    <row r="30" customFormat="false" ht="15" hidden="false" customHeight="false" outlineLevel="0" collapsed="false">
      <c r="A30" s="6" t="n">
        <v>17</v>
      </c>
      <c r="B30" s="6" t="s">
        <v>910</v>
      </c>
      <c r="C30" s="6" t="s">
        <v>4357</v>
      </c>
      <c r="D30" s="6" t="s">
        <v>4358</v>
      </c>
      <c r="F30" s="26" t="n">
        <f aca="false">Jupiter-Mars</f>
        <v>-84.9114888888889</v>
      </c>
      <c r="G30" s="1064" t="n">
        <f aca="false">IF(NOT(DayBirth),F30+Lagna,-F30+Lagna)</f>
        <v>221.623005555556</v>
      </c>
      <c r="H30" s="1064" t="n">
        <f aca="false">IF(DayBirth,F30+Lagna,-F30+Lagna)</f>
        <v>51.8000277777778</v>
      </c>
      <c r="I30" s="26" t="n">
        <f aca="false">MOD(H30+360,360)</f>
        <v>51.8000277777778</v>
      </c>
      <c r="J30" s="1065" t="str">
        <f aca="false">INDEX(RasiDeg,ROUNDUP(I30/30,0),1)</f>
        <v>Ta</v>
      </c>
      <c r="K30" s="1066" t="n">
        <f aca="false">MOD(I30,30)*0.042</f>
        <v>0.915601166666666</v>
      </c>
      <c r="L30" s="27" t="str">
        <f aca="false">INDEX(NakshatraTbl,INT(I30*0.075)+1,1)</f>
        <v>Rohini</v>
      </c>
    </row>
    <row r="31" customFormat="false" ht="15" hidden="false" customHeight="false" outlineLevel="0" collapsed="false">
      <c r="A31" s="6" t="n">
        <v>18</v>
      </c>
      <c r="B31" s="6" t="s">
        <v>4359</v>
      </c>
      <c r="C31" s="6" t="s">
        <v>4360</v>
      </c>
      <c r="D31" s="6" t="s">
        <v>4361</v>
      </c>
      <c r="F31" s="26" t="n">
        <f aca="false">Jupiter-Saturn</f>
        <v>173.311963888889</v>
      </c>
      <c r="G31" s="1064" t="n">
        <f aca="false">IF(NOT(DayBirth),F31+Lagna,-F31+Lagna)</f>
        <v>-36.6004472222222</v>
      </c>
      <c r="H31" s="1064" t="n">
        <f aca="false">IF(DayBirth,F31+Mercury,-F31+Mercury)</f>
        <v>290.44175</v>
      </c>
      <c r="I31" s="26" t="n">
        <f aca="false">MOD(H31+360,360)</f>
        <v>290.44175</v>
      </c>
      <c r="J31" s="1065" t="str">
        <f aca="false">INDEX(RasiDeg,ROUNDUP(I31/30,0),1)</f>
        <v>Cp</v>
      </c>
      <c r="K31" s="1066" t="n">
        <f aca="false">MOD(I31,30)*0.042</f>
        <v>0.858553499999998</v>
      </c>
      <c r="L31" s="27" t="str">
        <f aca="false">INDEX(NakshatraTbl,INT(I31*0.075)+1,1)</f>
        <v>Abhijit</v>
      </c>
    </row>
    <row r="32" customFormat="false" ht="15" hidden="false" customHeight="false" outlineLevel="0" collapsed="false">
      <c r="A32" s="6" t="n">
        <v>19</v>
      </c>
      <c r="B32" s="6" t="s">
        <v>4362</v>
      </c>
      <c r="C32" s="6" t="s">
        <v>4363</v>
      </c>
      <c r="D32" s="6" t="s">
        <v>4364</v>
      </c>
      <c r="F32" s="26" t="n">
        <v>0</v>
      </c>
      <c r="G32" s="1064" t="n">
        <f aca="false">IF(NOT(DayBirth),F32+Lagna,-F32+Lagna)</f>
        <v>136.711516666667</v>
      </c>
      <c r="H32" s="1064" t="n">
        <f aca="false">IF(DayBirth,F32+Lagna,-F32+Lagna)</f>
        <v>136.711516666667</v>
      </c>
      <c r="I32" s="26" t="n">
        <f aca="false">MOD(H32+360,360)</f>
        <v>136.711516666667</v>
      </c>
      <c r="J32" s="1065" t="str">
        <f aca="false">INDEX(RasiDeg,ROUNDUP(I32/30,0),1)</f>
        <v>Le</v>
      </c>
      <c r="K32" s="1066" t="n">
        <f aca="false">MOD(I32,30)*0.042</f>
        <v>0.701883699999998</v>
      </c>
      <c r="L32" s="27" t="str">
        <f aca="false">INDEX(NakshatraTbl,INT(I32*0.075)+1,1)</f>
        <v>Purva Phalguni</v>
      </c>
    </row>
    <row r="33" customFormat="false" ht="15" hidden="false" customHeight="false" outlineLevel="0" collapsed="false">
      <c r="A33" s="6" t="n">
        <v>20</v>
      </c>
      <c r="B33" s="6" t="s">
        <v>1327</v>
      </c>
      <c r="C33" s="6" t="s">
        <v>4365</v>
      </c>
      <c r="D33" s="6" t="s">
        <v>4366</v>
      </c>
      <c r="E33" s="6" t="s">
        <v>4335</v>
      </c>
      <c r="F33" s="26" t="n">
        <v>0</v>
      </c>
      <c r="G33" s="1064" t="n">
        <f aca="false">IF(NOT(DayBirth),F33+Lagna,-F33+Lagna)</f>
        <v>136.711516666667</v>
      </c>
      <c r="H33" s="1064" t="n">
        <f aca="false">IF(DayBirth,F33+Lagna,-F33+Lagna)</f>
        <v>136.711516666667</v>
      </c>
      <c r="I33" s="26" t="n">
        <f aca="false">MOD(H33+360,360)</f>
        <v>136.711516666667</v>
      </c>
      <c r="J33" s="1065" t="str">
        <f aca="false">INDEX(RasiDeg,ROUNDUP(I33/30,0),1)</f>
        <v>Le</v>
      </c>
      <c r="K33" s="1066" t="n">
        <f aca="false">MOD(I33,30)*0.042</f>
        <v>0.701883699999998</v>
      </c>
      <c r="L33" s="27" t="str">
        <f aca="false">INDEX(NakshatraTbl,INT(I33*0.075)+1,1)</f>
        <v>Purva Phalguni</v>
      </c>
    </row>
    <row r="34" customFormat="false" ht="15" hidden="false" customHeight="false" outlineLevel="0" collapsed="false">
      <c r="A34" s="6" t="n">
        <v>21</v>
      </c>
      <c r="B34" s="6" t="s">
        <v>4367</v>
      </c>
      <c r="C34" s="6" t="s">
        <v>4368</v>
      </c>
      <c r="D34" s="6" t="s">
        <v>4369</v>
      </c>
      <c r="E34" s="6" t="s">
        <v>4335</v>
      </c>
      <c r="F34" s="26" t="n">
        <f aca="false">Lagna+240</f>
        <v>376.711516666667</v>
      </c>
      <c r="G34" s="1064" t="n">
        <f aca="false">IF(NOT(DayBirth),F34+Lagna,-F34+Lagna)</f>
        <v>-240</v>
      </c>
      <c r="H34" s="1064" t="n">
        <f aca="false">IF(DayBirth,F34+Lagna,-F34+Lagna)</f>
        <v>513.423033333333</v>
      </c>
      <c r="I34" s="26" t="n">
        <f aca="false">MOD(H34+360,360)</f>
        <v>153.423033333333</v>
      </c>
      <c r="J34" s="1065" t="str">
        <f aca="false">INDEX(RasiDeg,ROUNDUP(I34/30,0),1)</f>
        <v>Vi</v>
      </c>
      <c r="K34" s="1066" t="n">
        <f aca="false">MOD(I34,30)*0.042</f>
        <v>0.143767399999997</v>
      </c>
      <c r="L34" s="27" t="str">
        <f aca="false">INDEX(NakshatraTbl,INT(I34*0.075)+1,1)</f>
        <v>Uttara Phalguni</v>
      </c>
    </row>
    <row r="35" customFormat="false" ht="15" hidden="false" customHeight="false" outlineLevel="0" collapsed="false">
      <c r="A35" s="6" t="n">
        <v>22</v>
      </c>
      <c r="B35" s="6" t="s">
        <v>1383</v>
      </c>
      <c r="C35" s="6" t="s">
        <v>4370</v>
      </c>
      <c r="D35" s="6" t="s">
        <v>4371</v>
      </c>
      <c r="E35" s="6" t="s">
        <v>4335</v>
      </c>
      <c r="F35" s="26" t="n">
        <f aca="false">Lagna+30-3:3</f>
        <v>166.711516666667</v>
      </c>
      <c r="G35" s="1064" t="n">
        <f aca="false">IF(NOT(DayBirth),F35+Lagna,-F35+Lagna)</f>
        <v>-30</v>
      </c>
      <c r="H35" s="1064" t="n">
        <f aca="false">IF(DayBirth,F35+Lagna,-F35+Lagna)</f>
        <v>303.423033333333</v>
      </c>
      <c r="I35" s="26" t="n">
        <f aca="false">MOD(H35+360,360)</f>
        <v>303.423033333333</v>
      </c>
      <c r="J35" s="1065" t="str">
        <f aca="false">INDEX(RasiDeg,ROUNDUP(I35/30,0),1)</f>
        <v>Aq</v>
      </c>
      <c r="K35" s="1066" t="n">
        <f aca="false">MOD(I35,30)*0.042</f>
        <v>0.143767399999997</v>
      </c>
      <c r="L35" s="27" t="str">
        <f aca="false">INDEX(NakshatraTbl,INT(I35*0.075)+1,1)</f>
        <v>Shravan</v>
      </c>
    </row>
    <row r="36" customFormat="false" ht="15" hidden="false" customHeight="false" outlineLevel="0" collapsed="false">
      <c r="A36" s="6" t="n">
        <v>23</v>
      </c>
      <c r="B36" s="6" t="s">
        <v>4372</v>
      </c>
      <c r="C36" s="6" t="s">
        <v>4373</v>
      </c>
      <c r="D36" s="6" t="s">
        <v>4374</v>
      </c>
      <c r="F36" s="26" t="n">
        <f aca="false">Venus-Sun</f>
        <v>-10.8586</v>
      </c>
      <c r="G36" s="1064" t="n">
        <f aca="false">IF(NOT(DayBirth),F36+Lagna,-F36+Lagna)</f>
        <v>147.570116666667</v>
      </c>
      <c r="H36" s="1064" t="n">
        <f aca="false">IF(DayBirth,F36+Lagna,-F36+Lagna)</f>
        <v>125.852916666667</v>
      </c>
      <c r="I36" s="26" t="n">
        <f aca="false">MOD(H36+360,360)</f>
        <v>125.852916666667</v>
      </c>
      <c r="J36" s="1065" t="str">
        <f aca="false">INDEX(RasiDeg,ROUNDUP(I36/30,0),1)</f>
        <v>Le</v>
      </c>
      <c r="K36" s="1066" t="n">
        <f aca="false">MOD(I36,30)*0.042</f>
        <v>0.2458225</v>
      </c>
      <c r="L36" s="27" t="str">
        <f aca="false">INDEX(NakshatraTbl,INT(I36*0.075)+1,1)</f>
        <v>Magha</v>
      </c>
    </row>
    <row r="37" customFormat="false" ht="15" hidden="false" customHeight="false" outlineLevel="0" collapsed="false">
      <c r="A37" s="6" t="n">
        <v>24</v>
      </c>
      <c r="B37" s="6" t="s">
        <v>4375</v>
      </c>
      <c r="C37" s="6" t="s">
        <v>4376</v>
      </c>
      <c r="D37" s="6" t="s">
        <v>4377</v>
      </c>
      <c r="F37" s="26" t="n">
        <v>0</v>
      </c>
      <c r="G37" s="1064" t="n">
        <f aca="false">IF(NOT(DayBirth),F37+Lagna,-F37+Lagna)</f>
        <v>136.711516666667</v>
      </c>
      <c r="H37" s="1064" t="n">
        <f aca="false">IF(DayBirth,F37+Lagna,-F37+Lagna)</f>
        <v>136.711516666667</v>
      </c>
      <c r="I37" s="26" t="n">
        <f aca="false">MOD(H37+360,360)</f>
        <v>136.711516666667</v>
      </c>
      <c r="J37" s="1065" t="str">
        <f aca="false">INDEX(RasiDeg,ROUNDUP(I37/30,0),1)</f>
        <v>Le</v>
      </c>
      <c r="K37" s="1066" t="n">
        <f aca="false">MOD(I37,30)*0.042</f>
        <v>0.701883699999998</v>
      </c>
      <c r="L37" s="27" t="str">
        <f aca="false">INDEX(NakshatraTbl,INT(I37*0.075)+1,1)</f>
        <v>Purva Phalguni</v>
      </c>
    </row>
    <row r="38" customFormat="false" ht="15" hidden="false" customHeight="false" outlineLevel="0" collapsed="false">
      <c r="A38" s="6" t="n">
        <v>25</v>
      </c>
      <c r="B38" s="6" t="s">
        <v>4378</v>
      </c>
      <c r="C38" s="6" t="s">
        <v>4379</v>
      </c>
      <c r="D38" s="6" t="s">
        <v>4380</v>
      </c>
      <c r="E38" s="6" t="s">
        <v>4381</v>
      </c>
      <c r="F38" s="26" t="n">
        <v>0</v>
      </c>
      <c r="G38" s="1064" t="n">
        <f aca="false">IF(NOT(DayBirth),F38+Lagna,-F38+Lagna)</f>
        <v>136.711516666667</v>
      </c>
      <c r="H38" s="1064" t="n">
        <f aca="false">IF(DayBirth,F38+Lagna,-F38+Lagna)</f>
        <v>136.711516666667</v>
      </c>
      <c r="I38" s="26" t="n">
        <f aca="false">MOD(H38+360,360)</f>
        <v>136.711516666667</v>
      </c>
      <c r="J38" s="1065" t="str">
        <f aca="false">INDEX(RasiDeg,ROUNDUP(I38/30,0),1)</f>
        <v>Le</v>
      </c>
      <c r="K38" s="1066" t="n">
        <f aca="false">MOD(I38,30)*0.042</f>
        <v>0.701883699999998</v>
      </c>
      <c r="L38" s="27" t="str">
        <f aca="false">INDEX(NakshatraTbl,INT(I38*0.075)+1,1)</f>
        <v>Purva Phalguni</v>
      </c>
    </row>
    <row r="39" customFormat="false" ht="15" hidden="false" customHeight="false" outlineLevel="0" collapsed="false">
      <c r="A39" s="6" t="n">
        <v>26</v>
      </c>
      <c r="B39" s="6" t="s">
        <v>4382</v>
      </c>
      <c r="C39" s="6" t="s">
        <v>4383</v>
      </c>
      <c r="D39" s="6" t="s">
        <v>4384</v>
      </c>
      <c r="F39" s="26" t="n">
        <f aca="false">Venus-Saturn</f>
        <v>41.6553916666667</v>
      </c>
      <c r="G39" s="1064" t="n">
        <f aca="false">IF(NOT(DayBirth),F39+Lagna,-F39+Lagna)</f>
        <v>95.056125</v>
      </c>
      <c r="H39" s="1064" t="n">
        <f aca="false">IF(DayBirth,F39+Lagna,-F39+Lagna)</f>
        <v>178.366908333333</v>
      </c>
      <c r="I39" s="26" t="n">
        <f aca="false">MOD(H39+360,360)</f>
        <v>178.366908333333</v>
      </c>
      <c r="J39" s="1065" t="str">
        <f aca="false">INDEX(RasiDeg,ROUNDUP(I39/30,0),1)</f>
        <v>Vi</v>
      </c>
      <c r="K39" s="1066" t="n">
        <f aca="false">MOD(I39,30)*0.042</f>
        <v>1.19141015</v>
      </c>
      <c r="L39" s="27" t="str">
        <f aca="false">INDEX(NakshatraTbl,INT(I39*0.075)+1,1)</f>
        <v>Chitra</v>
      </c>
    </row>
    <row r="40" customFormat="false" ht="15" hidden="false" customHeight="false" outlineLevel="0" collapsed="false">
      <c r="A40" s="6" t="n">
        <v>27</v>
      </c>
      <c r="B40" s="6" t="s">
        <v>4385</v>
      </c>
      <c r="C40" s="6" t="s">
        <v>4386</v>
      </c>
      <c r="D40" s="6" t="s">
        <v>4387</v>
      </c>
      <c r="F40" s="26" t="n">
        <v>0</v>
      </c>
      <c r="G40" s="1064" t="n">
        <f aca="false">IF(NOT(DayBirth),F40+Lagna,-F40+Lagna)</f>
        <v>136.711516666667</v>
      </c>
      <c r="H40" s="1064" t="n">
        <f aca="false">IF(DayBirth,F40+Lagna,-F40+Lagna)</f>
        <v>136.711516666667</v>
      </c>
      <c r="I40" s="26" t="n">
        <f aca="false">MOD(H40+360,360)</f>
        <v>136.711516666667</v>
      </c>
      <c r="J40" s="1065" t="str">
        <f aca="false">INDEX(RasiDeg,ROUNDUP(I40/30,0),1)</f>
        <v>Le</v>
      </c>
      <c r="K40" s="1066" t="n">
        <f aca="false">MOD(I40,30)*0.042</f>
        <v>0.701883699999998</v>
      </c>
      <c r="L40" s="27" t="str">
        <f aca="false">INDEX(NakshatraTbl,INT(I40*0.075)+1,1)</f>
        <v>Purva Phalguni</v>
      </c>
    </row>
    <row r="41" customFormat="false" ht="15" hidden="false" customHeight="false" outlineLevel="0" collapsed="false">
      <c r="A41" s="6" t="n">
        <v>28</v>
      </c>
      <c r="B41" s="6" t="s">
        <v>4388</v>
      </c>
      <c r="C41" s="6" t="s">
        <v>4389</v>
      </c>
      <c r="D41" s="6" t="s">
        <v>4390</v>
      </c>
      <c r="F41" s="26" t="n">
        <v>0</v>
      </c>
      <c r="G41" s="1064" t="n">
        <f aca="false">IF(NOT(DayBirth),F41+Lagna,-F41+Lagna)</f>
        <v>136.711516666667</v>
      </c>
      <c r="H41" s="1064" t="n">
        <f aca="false">IF(DayBirth,F41+Lagna,-F41+Lagna)</f>
        <v>136.711516666667</v>
      </c>
      <c r="I41" s="26" t="n">
        <f aca="false">MOD(H41+360,360)</f>
        <v>136.711516666667</v>
      </c>
      <c r="J41" s="1065" t="str">
        <f aca="false">INDEX(RasiDeg,ROUNDUP(I41/30,0),1)</f>
        <v>Le</v>
      </c>
      <c r="K41" s="1066" t="n">
        <f aca="false">MOD(I41,30)*0.042</f>
        <v>0.701883699999998</v>
      </c>
      <c r="L41" s="27" t="str">
        <f aca="false">INDEX(NakshatraTbl,INT(I41*0.075)+1,1)</f>
        <v>Purva Phalguni</v>
      </c>
    </row>
    <row r="42" customFormat="false" ht="15" hidden="false" customHeight="false" outlineLevel="0" collapsed="false">
      <c r="A42" s="6" t="n">
        <v>29</v>
      </c>
      <c r="B42" s="6" t="s">
        <v>4391</v>
      </c>
      <c r="C42" s="6" t="s">
        <v>4392</v>
      </c>
      <c r="D42" s="6" t="s">
        <v>4393</v>
      </c>
      <c r="F42" s="26" t="n">
        <v>0</v>
      </c>
      <c r="G42" s="1064" t="n">
        <f aca="false">IF(NOT(DayBirth),F42+Lagna,-F42+Lagna)</f>
        <v>136.711516666667</v>
      </c>
      <c r="H42" s="1064" t="n">
        <f aca="false">IF(DayBirth,F42+Lagna,-F42+Lagna)</f>
        <v>136.711516666667</v>
      </c>
      <c r="I42" s="26" t="n">
        <f aca="false">MOD(H42+360,360)</f>
        <v>136.711516666667</v>
      </c>
      <c r="J42" s="1065" t="str">
        <f aca="false">INDEX(RasiDeg,ROUNDUP(I42/30,0),1)</f>
        <v>Le</v>
      </c>
      <c r="K42" s="1066" t="n">
        <f aca="false">MOD(I42,30)*0.042</f>
        <v>0.701883699999998</v>
      </c>
      <c r="L42" s="27" t="str">
        <f aca="false">INDEX(NakshatraTbl,INT(I42*0.075)+1,1)</f>
        <v>Purva Phalguni</v>
      </c>
    </row>
    <row r="43" customFormat="false" ht="15" hidden="false" customHeight="false" outlineLevel="0" collapsed="false">
      <c r="A43" s="6" t="n">
        <v>30</v>
      </c>
      <c r="B43" s="6" t="s">
        <v>4394</v>
      </c>
      <c r="C43" s="6" t="s">
        <v>4395</v>
      </c>
      <c r="D43" s="6" t="s">
        <v>4396</v>
      </c>
      <c r="F43" s="26" t="n">
        <v>0</v>
      </c>
      <c r="G43" s="1064" t="n">
        <f aca="false">IF(NOT(DayBirth),F43+Lagna,-F43+Lagna)</f>
        <v>136.711516666667</v>
      </c>
      <c r="H43" s="1064" t="n">
        <f aca="false">IF(DayBirth,F43+Lagna,-F43+Lagna)</f>
        <v>136.711516666667</v>
      </c>
      <c r="I43" s="26" t="n">
        <f aca="false">MOD(H43+360,360)</f>
        <v>136.711516666667</v>
      </c>
      <c r="J43" s="1065" t="str">
        <f aca="false">INDEX(RasiDeg,ROUNDUP(I43/30,0),1)</f>
        <v>Le</v>
      </c>
      <c r="K43" s="1066" t="n">
        <f aca="false">MOD(I43,30)*0.042</f>
        <v>0.701883699999998</v>
      </c>
      <c r="L43" s="27" t="str">
        <f aca="false">INDEX(NakshatraTbl,INT(I43*0.075)+1,1)</f>
        <v>Purva Phalguni</v>
      </c>
    </row>
    <row r="44" customFormat="false" ht="15" hidden="false" customHeight="false" outlineLevel="0" collapsed="false">
      <c r="A44" s="6" t="n">
        <v>31</v>
      </c>
      <c r="B44" s="6" t="s">
        <v>4397</v>
      </c>
      <c r="C44" s="6" t="s">
        <v>1182</v>
      </c>
      <c r="D44" s="6" t="s">
        <v>4398</v>
      </c>
      <c r="E44" s="6" t="s">
        <v>4335</v>
      </c>
      <c r="F44" s="26" t="n">
        <f aca="false">Mars-Saturn</f>
        <v>258.223452777778</v>
      </c>
      <c r="G44" s="1064" t="n">
        <f aca="false">IF(NOT(DayBirth),F44+Lagna,-F44+Lagna)</f>
        <v>-121.511936111111</v>
      </c>
      <c r="H44" s="1064" t="n">
        <f aca="false">IF(DayBirth,F44+Lagna,-F44+Lagna)</f>
        <v>394.934969444444</v>
      </c>
      <c r="I44" s="26" t="n">
        <f aca="false">MOD(H44+360,360)</f>
        <v>34.9349694444444</v>
      </c>
      <c r="J44" s="1065" t="str">
        <f aca="false">INDEX(RasiDeg,ROUNDUP(I44/30,0),1)</f>
        <v>Ta</v>
      </c>
      <c r="K44" s="1066" t="n">
        <f aca="false">MOD(I44,30)*0.042</f>
        <v>0.207268716666664</v>
      </c>
      <c r="L44" s="27" t="str">
        <f aca="false">INDEX(NakshatraTbl,INT(I44*0.075)+1,1)</f>
        <v>Kritika</v>
      </c>
    </row>
    <row r="45" customFormat="false" ht="15" hidden="false" customHeight="false" outlineLevel="0" collapsed="false">
      <c r="A45" s="6" t="n">
        <v>32</v>
      </c>
      <c r="B45" s="6" t="s">
        <v>4399</v>
      </c>
      <c r="C45" s="6" t="s">
        <v>4400</v>
      </c>
      <c r="D45" s="6" t="s">
        <v>4398</v>
      </c>
      <c r="F45" s="26" t="n">
        <f aca="false">Mars-Saturn</f>
        <v>258.223452777778</v>
      </c>
      <c r="G45" s="1064" t="n">
        <f aca="false">IF(NOT(DayBirth),F45+Lagna,-F45+Lagna)</f>
        <v>-121.511936111111</v>
      </c>
      <c r="H45" s="1064" t="n">
        <f aca="false">IF(DayBirth,F45+Lagna,-F45+Lagna)</f>
        <v>394.934969444444</v>
      </c>
      <c r="I45" s="26" t="n">
        <f aca="false">MOD(H45+360,360)</f>
        <v>34.9349694444444</v>
      </c>
      <c r="J45" s="1065" t="str">
        <f aca="false">INDEX(RasiDeg,ROUNDUP(I45/30,0),1)</f>
        <v>Ta</v>
      </c>
      <c r="K45" s="1066" t="n">
        <f aca="false">MOD(I45,30)*0.042</f>
        <v>0.207268716666664</v>
      </c>
      <c r="L45" s="27" t="str">
        <f aca="false">INDEX(NakshatraTbl,INT(I45*0.075)+1,1)</f>
        <v>Kritika</v>
      </c>
    </row>
    <row r="46" customFormat="false" ht="15" hidden="false" customHeight="false" outlineLevel="0" collapsed="false">
      <c r="A46" s="6" t="n">
        <v>33</v>
      </c>
      <c r="B46" s="6" t="s">
        <v>4401</v>
      </c>
      <c r="C46" s="6" t="s">
        <v>4402</v>
      </c>
      <c r="D46" s="6" t="s">
        <v>4403</v>
      </c>
      <c r="F46" s="26" t="n">
        <f aca="false">105-Saturn</f>
        <v>65.1147888888889</v>
      </c>
      <c r="G46" s="1064" t="n">
        <f aca="false">IF(NOT(DayBirth),F46+Lagna,-F46+Lagna)</f>
        <v>71.5967277777778</v>
      </c>
      <c r="H46" s="1064" t="n">
        <f aca="false">IF(DayBirth,F46+Lagna,-F46+Lagna)</f>
        <v>201.826305555556</v>
      </c>
      <c r="I46" s="26" t="n">
        <f aca="false">MOD(H46+360,360)</f>
        <v>201.826305555556</v>
      </c>
      <c r="J46" s="1065" t="str">
        <f aca="false">INDEX(RasiDeg,ROUNDUP(I46/30,0),1)</f>
        <v>Li</v>
      </c>
      <c r="K46" s="1066" t="n">
        <f aca="false">MOD(I46,30)*0.042</f>
        <v>0.916704833333334</v>
      </c>
      <c r="L46" s="27" t="str">
        <f aca="false">INDEX(NakshatraTbl,INT(I46*0.075)+1,1)</f>
        <v>Vishakha</v>
      </c>
    </row>
    <row r="47" customFormat="false" ht="15" hidden="false" customHeight="false" outlineLevel="0" collapsed="false">
      <c r="A47" s="6" t="n">
        <v>34</v>
      </c>
      <c r="B47" s="6" t="s">
        <v>4404</v>
      </c>
      <c r="C47" s="6" t="s">
        <v>4405</v>
      </c>
      <c r="D47" s="6" t="s">
        <v>4406</v>
      </c>
      <c r="F47" s="26" t="n">
        <v>0</v>
      </c>
      <c r="G47" s="1064" t="n">
        <f aca="false">IF(NOT(DayBirth),F47+Lagna,-F47+Lagna)</f>
        <v>136.711516666667</v>
      </c>
      <c r="H47" s="1064" t="n">
        <f aca="false">IF(DayBirth,F47+Lagna,-F47+Lagna)</f>
        <v>136.711516666667</v>
      </c>
      <c r="I47" s="26" t="n">
        <f aca="false">MOD(H47+360,360)</f>
        <v>136.711516666667</v>
      </c>
      <c r="J47" s="1065" t="str">
        <f aca="false">INDEX(RasiDeg,ROUNDUP(I47/30,0),1)</f>
        <v>Le</v>
      </c>
      <c r="K47" s="1066" t="n">
        <f aca="false">MOD(I47,30)*0.042</f>
        <v>0.701883699999998</v>
      </c>
      <c r="L47" s="27" t="str">
        <f aca="false">INDEX(NakshatraTbl,INT(I47*0.075)+1,1)</f>
        <v>Purva Phalguni</v>
      </c>
    </row>
    <row r="48" customFormat="false" ht="15" hidden="false" customHeight="false" outlineLevel="0" collapsed="false">
      <c r="A48" s="6" t="n">
        <v>35</v>
      </c>
      <c r="B48" s="6" t="s">
        <v>4407</v>
      </c>
      <c r="C48" s="6" t="s">
        <v>4408</v>
      </c>
      <c r="D48" s="6" t="s">
        <v>4409</v>
      </c>
      <c r="F48" s="26" t="n">
        <v>0</v>
      </c>
      <c r="G48" s="1064" t="n">
        <f aca="false">IF(NOT(DayBirth),F48+Lagna,-F48+Lagna)</f>
        <v>136.711516666667</v>
      </c>
      <c r="H48" s="1064" t="n">
        <f aca="false">IF(DayBirth,F48+Lagna,-F48+Lagna)</f>
        <v>136.711516666667</v>
      </c>
      <c r="I48" s="26" t="n">
        <f aca="false">MOD(H48+360,360)</f>
        <v>136.711516666667</v>
      </c>
      <c r="J48" s="1065" t="str">
        <f aca="false">INDEX(RasiDeg,ROUNDUP(I48/30,0),1)</f>
        <v>Le</v>
      </c>
      <c r="K48" s="1066" t="n">
        <f aca="false">MOD(I48,30)*0.042</f>
        <v>0.701883699999998</v>
      </c>
      <c r="L48" s="27" t="str">
        <f aca="false">INDEX(NakshatraTbl,INT(I48*0.075)+1,1)</f>
        <v>Purva Phalguni</v>
      </c>
    </row>
    <row r="49" customFormat="false" ht="15" hidden="false" customHeight="false" outlineLevel="0" collapsed="false">
      <c r="A49" s="6" t="n">
        <v>36</v>
      </c>
      <c r="B49" s="6" t="s">
        <v>4410</v>
      </c>
      <c r="C49" s="6" t="s">
        <v>4411</v>
      </c>
      <c r="D49" s="6" t="s">
        <v>4412</v>
      </c>
      <c r="E49" s="6" t="s">
        <v>4335</v>
      </c>
      <c r="F49" s="26" t="n">
        <v>0</v>
      </c>
      <c r="G49" s="1064" t="n">
        <f aca="false">IF(NOT(DayBirth),F49+Lagna,-F49+Lagna)</f>
        <v>136.711516666667</v>
      </c>
      <c r="H49" s="1064" t="n">
        <f aca="false">IF(DayBirth,F49+Lagna,-F49+Lagna)</f>
        <v>136.711516666667</v>
      </c>
      <c r="I49" s="26" t="n">
        <f aca="false">MOD(H49+360,360)</f>
        <v>136.711516666667</v>
      </c>
      <c r="J49" s="1065" t="str">
        <f aca="false">INDEX(RasiDeg,ROUNDUP(I49/30,0),1)</f>
        <v>Le</v>
      </c>
      <c r="K49" s="1066" t="n">
        <f aca="false">MOD(I49,30)*0.042</f>
        <v>0.701883699999998</v>
      </c>
      <c r="L49" s="27" t="str">
        <f aca="false">INDEX(NakshatraTbl,INT(I49*0.075)+1,1)</f>
        <v>Purva Phalguni</v>
      </c>
    </row>
    <row r="50" customFormat="false" ht="15" hidden="false" customHeight="false" outlineLevel="0" collapsed="false">
      <c r="A50" s="6" t="n">
        <v>37</v>
      </c>
      <c r="B50" s="6" t="s">
        <v>2001</v>
      </c>
      <c r="C50" s="6" t="s">
        <v>4413</v>
      </c>
      <c r="D50" s="6" t="s">
        <v>4414</v>
      </c>
      <c r="E50" s="6" t="s">
        <v>4415</v>
      </c>
      <c r="F50" s="26" t="n">
        <f aca="false">Moon-LagnaLordD</f>
        <v>-39.3832583333333</v>
      </c>
      <c r="G50" s="1064" t="n">
        <f aca="false">IF(NOT(DayBirth),F50+Lagna,-F50+Lagna)</f>
        <v>176.094775</v>
      </c>
      <c r="H50" s="1064" t="n">
        <f aca="false">IF(DayBirth,F50+Lagna,-F50+Lagna)</f>
        <v>97.3282583333333</v>
      </c>
      <c r="I50" s="26" t="n">
        <f aca="false">MOD(H50+360,360)</f>
        <v>97.3282583333333</v>
      </c>
      <c r="J50" s="1065" t="str">
        <f aca="false">INDEX(RasiDeg,ROUNDUP(I50/30,0),1)</f>
        <v>Cn</v>
      </c>
      <c r="K50" s="1066" t="n">
        <f aca="false">MOD(I50,30)*0.042</f>
        <v>0.30778685</v>
      </c>
      <c r="L50" s="27" t="str">
        <f aca="false">INDEX(NakshatraTbl,INT(I50*0.075)+1,1)</f>
        <v>Pushya</v>
      </c>
    </row>
    <row r="51" customFormat="false" ht="15" hidden="false" customHeight="false" outlineLevel="0" collapsed="false">
      <c r="A51" s="6" t="n">
        <v>38</v>
      </c>
      <c r="D51" s="6" t="s">
        <v>4416</v>
      </c>
      <c r="F51" s="26"/>
      <c r="G51" s="1064"/>
      <c r="H51" s="26" t="n">
        <f aca="false">Sun+Moon+Jupiter</f>
        <v>358.612322222222</v>
      </c>
      <c r="I51" s="26" t="n">
        <f aca="false">MOD(H51+360,360)</f>
        <v>358.612322222222</v>
      </c>
      <c r="J51" s="1065" t="str">
        <f aca="false">INDEX(RasiDeg,ROUNDUP(I51/30,0),1)</f>
        <v>Pi</v>
      </c>
      <c r="K51" s="1066" t="n">
        <f aca="false">MOD(H51,30)*0.042</f>
        <v>1.20171753333333</v>
      </c>
      <c r="L51" s="27" t="str">
        <f aca="false">INDEX(NakshatraTbl,INT(H51*0.075)+1,1)</f>
        <v>Uttara Bhadrapad</v>
      </c>
    </row>
    <row r="52" customFormat="false" ht="15" hidden="false" customHeight="false" outlineLevel="0" collapsed="false">
      <c r="A52" s="6" t="n">
        <v>39</v>
      </c>
      <c r="F52" s="26"/>
      <c r="G52" s="1064"/>
      <c r="H52" s="1064"/>
      <c r="I52" s="26" t="n">
        <f aca="false">MOD(H52+360,360)</f>
        <v>0</v>
      </c>
      <c r="J52" s="1065" t="e">
        <f aca="false">INDEX(RasiDeg,ROUNDUP(I52/30,0),1)</f>
        <v>#VALUE!</v>
      </c>
      <c r="K52" s="1066" t="n">
        <f aca="false">MOD(I52,30)*0.042</f>
        <v>0</v>
      </c>
      <c r="L52" s="27" t="str">
        <f aca="false">INDEX(NakshatraTbl,INT(I52*0.075)+1,1)</f>
        <v>Ashvini</v>
      </c>
    </row>
    <row r="53" customFormat="false" ht="15" hidden="false" customHeight="false" outlineLevel="0" collapsed="false">
      <c r="A53" s="6" t="n">
        <v>40</v>
      </c>
      <c r="F53" s="26"/>
      <c r="G53" s="1064"/>
      <c r="H53" s="1064"/>
      <c r="I53" s="26" t="n">
        <f aca="false">MOD(H53+360,360)</f>
        <v>0</v>
      </c>
      <c r="J53" s="1065" t="e">
        <f aca="false">INDEX(RasiDeg,ROUNDUP(I53/30,0),1)</f>
        <v>#VALUE!</v>
      </c>
      <c r="K53" s="1066" t="n">
        <f aca="false">MOD(I53,30)*0.042</f>
        <v>0</v>
      </c>
      <c r="L53" s="27" t="str">
        <f aca="false">INDEX(NakshatraTbl,INT(I53*0.075)+1,1)</f>
        <v>Ashvini</v>
      </c>
    </row>
    <row r="54" customFormat="false" ht="15" hidden="false" customHeight="false" outlineLevel="0" collapsed="false">
      <c r="A54" s="6" t="n">
        <v>41</v>
      </c>
      <c r="F54" s="26"/>
      <c r="G54" s="1064"/>
      <c r="H54" s="1064"/>
      <c r="I54" s="26" t="n">
        <f aca="false">MOD(H54+360,360)</f>
        <v>0</v>
      </c>
      <c r="J54" s="1065" t="e">
        <f aca="false">INDEX(RasiDeg,ROUNDUP(I54/30,0),1)</f>
        <v>#VALUE!</v>
      </c>
      <c r="K54" s="1066" t="n">
        <f aca="false">MOD(I54,30)*0.042</f>
        <v>0</v>
      </c>
      <c r="L54" s="27" t="str">
        <f aca="false">INDEX(NakshatraTbl,INT(I54*0.075)+1,1)</f>
        <v>Ashvini</v>
      </c>
    </row>
    <row r="55" customFormat="false" ht="15" hidden="false" customHeight="false" outlineLevel="0" collapsed="false">
      <c r="A55" s="6" t="n">
        <v>42</v>
      </c>
      <c r="F55" s="26"/>
      <c r="G55" s="1064"/>
      <c r="H55" s="1064"/>
      <c r="I55" s="26" t="n">
        <f aca="false">MOD(H55+360,360)</f>
        <v>0</v>
      </c>
      <c r="J55" s="1065" t="e">
        <f aca="false">INDEX(RasiDeg,ROUNDUP(I55/30,0),1)</f>
        <v>#VALUE!</v>
      </c>
      <c r="K55" s="1066" t="n">
        <f aca="false">MOD(I55,30)*0.042</f>
        <v>0</v>
      </c>
      <c r="L55" s="27" t="str">
        <f aca="false">INDEX(NakshatraTbl,INT(I55*0.075)+1,1)</f>
        <v>Ashvini</v>
      </c>
    </row>
    <row r="56" customFormat="false" ht="15" hidden="false" customHeight="false" outlineLevel="0" collapsed="false">
      <c r="A56" s="6" t="n">
        <v>43</v>
      </c>
      <c r="F56" s="26"/>
      <c r="G56" s="1064"/>
      <c r="H56" s="1064"/>
      <c r="I56" s="26" t="n">
        <f aca="false">MOD(H56+360,360)</f>
        <v>0</v>
      </c>
      <c r="J56" s="1065" t="e">
        <f aca="false">INDEX(RasiDeg,ROUNDUP(I56/30,0),1)</f>
        <v>#VALUE!</v>
      </c>
      <c r="K56" s="1066" t="n">
        <f aca="false">MOD(I56,30)*0.042</f>
        <v>0</v>
      </c>
      <c r="L56" s="27" t="str">
        <f aca="false">INDEX(NakshatraTbl,INT(I56*0.075)+1,1)</f>
        <v>Ashvini</v>
      </c>
    </row>
    <row r="57" customFormat="false" ht="15" hidden="false" customHeight="false" outlineLevel="0" collapsed="false">
      <c r="A57" s="6" t="n">
        <v>44</v>
      </c>
      <c r="F57" s="26"/>
      <c r="G57" s="1064"/>
      <c r="H57" s="1064"/>
      <c r="I57" s="26" t="n">
        <f aca="false">MOD(H57+360,360)</f>
        <v>0</v>
      </c>
      <c r="J57" s="1065" t="e">
        <f aca="false">INDEX(RasiDeg,ROUNDUP(I57/30,0),1)</f>
        <v>#VALUE!</v>
      </c>
      <c r="K57" s="1066" t="n">
        <f aca="false">MOD(I57,30)*0.042</f>
        <v>0</v>
      </c>
      <c r="L57" s="27" t="str">
        <f aca="false">INDEX(NakshatraTbl,INT(I57*0.075)+1,1)</f>
        <v>Ashvini</v>
      </c>
    </row>
    <row r="58" customFormat="false" ht="15" hidden="false" customHeight="false" outlineLevel="0" collapsed="false">
      <c r="A58" s="6" t="n">
        <v>45</v>
      </c>
      <c r="F58" s="26"/>
      <c r="G58" s="1064"/>
      <c r="H58" s="1064"/>
      <c r="I58" s="26" t="n">
        <f aca="false">MOD(H58+360,360)</f>
        <v>0</v>
      </c>
      <c r="J58" s="1065" t="e">
        <f aca="false">INDEX(RasiDeg,ROUNDUP(I58/30,0),1)</f>
        <v>#VALUE!</v>
      </c>
      <c r="K58" s="1066" t="n">
        <f aca="false">MOD(I58,30)*0.042</f>
        <v>0</v>
      </c>
      <c r="L58" s="27" t="str">
        <f aca="false">INDEX(NakshatraTbl,INT(I58*0.075)+1,1)</f>
        <v>Ashvini</v>
      </c>
    </row>
    <row r="59" customFormat="false" ht="15" hidden="false" customHeight="false" outlineLevel="0" collapsed="false">
      <c r="D59" s="6" t="s">
        <v>4417</v>
      </c>
      <c r="E59" s="6" t="s">
        <v>4418</v>
      </c>
      <c r="F59" s="17" t="n">
        <f aca="false">5*Moon-5*Sun</f>
        <v>-196.916291666667</v>
      </c>
      <c r="G59" s="1064" t="n">
        <f aca="false">IF(NOT(DayBirth),F59+Lagna,-F59+Lagna)</f>
        <v>333.627808333333</v>
      </c>
      <c r="H59" s="1064" t="n">
        <f aca="false">IF(DayBirth,F59+Lagna,-F59+Lagna)</f>
        <v>-60.204775</v>
      </c>
      <c r="I59" s="17" t="n">
        <f aca="false">MOD(H59+360,360)</f>
        <v>299.795225</v>
      </c>
      <c r="J59" s="1065" t="str">
        <f aca="false">INDEX(RasiDeg,ROUNDUP(I59/30,0),1)</f>
        <v>Cp</v>
      </c>
      <c r="K59" s="1067" t="n">
        <f aca="false">MOD(I59,30)*0.042</f>
        <v>1.25139945</v>
      </c>
    </row>
    <row r="60" customFormat="false" ht="15" hidden="false" customHeight="false" outlineLevel="0" collapsed="false">
      <c r="E60" s="6" t="s">
        <v>4419</v>
      </c>
      <c r="F60" s="17" t="n">
        <f aca="false">5*Moon-5*Sun</f>
        <v>-196.916291666667</v>
      </c>
      <c r="G60" s="1064" t="n">
        <f aca="false">IF(NOT(DayBirth),F60+Lagna,-F60+Lagna)</f>
        <v>333.627808333333</v>
      </c>
      <c r="H60" s="284" t="n">
        <f aca="false">F60</f>
        <v>-196.916291666667</v>
      </c>
      <c r="I60" s="17" t="n">
        <f aca="false">MOD(H60+360,360)</f>
        <v>163.083708333333</v>
      </c>
      <c r="J60" s="1065" t="str">
        <f aca="false">INDEX(RasiDeg,ROUNDUP(I60/30,0),1)</f>
        <v>Vi</v>
      </c>
      <c r="K60" s="1067" t="n">
        <f aca="false">MOD(I60,30)*0.042</f>
        <v>0.549515750000002</v>
      </c>
    </row>
    <row r="61" customFormat="false" ht="15" hidden="false" customHeight="false" outlineLevel="0" collapsed="false">
      <c r="F61" s="17" t="e">
        <f aca="false">LagnaLord+Jupiter</f>
        <v>#VALUE!</v>
      </c>
      <c r="G61" s="17" t="e">
        <f aca="false">LagnaLord+Jupiter</f>
        <v>#VALUE!</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&amp;C&amp;"Arial,Regular"&amp;10&amp;A</oddHeader>
    <oddFooter>&amp;C&amp;"Arial,Regular"&amp;10Page &amp;P</oddFooter>
  </headerFooter>
  <legacyDrawing r:id="rId2"/>
  <tableParts>
    <tablePart r:id="rId3"/>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3:T12"/>
  <sheetViews>
    <sheetView showFormulas="false" showGridLines="true" showRowColHeaders="true" showZeros="true" rightToLeft="false" tabSelected="false" showOutlineSymbols="true" defaultGridColor="true" view="normal" topLeftCell="C1" colorId="64" zoomScale="181" zoomScaleNormal="181" zoomScalePageLayoutView="100" workbookViewId="0">
      <selection pane="topLeft" activeCell="O9" activeCellId="0" sqref="O9"/>
    </sheetView>
  </sheetViews>
  <sheetFormatPr defaultColWidth="4.71484375" defaultRowHeight="15" customHeight="true" zeroHeight="false" outlineLevelRow="0" outlineLevelCol="0"/>
  <cols>
    <col collapsed="false" customWidth="false" hidden="false" outlineLevel="0" max="1024" min="1" style="802" width="4.71"/>
  </cols>
  <sheetData>
    <row r="3" customFormat="false" ht="27" hidden="false" customHeight="true" outlineLevel="0" collapsed="false">
      <c r="K3" s="1068" t="n">
        <v>27</v>
      </c>
      <c r="L3" s="1069" t="n">
        <v>1</v>
      </c>
    </row>
    <row r="4" customFormat="false" ht="27" hidden="false" customHeight="true" outlineLevel="0" collapsed="false">
      <c r="J4" s="1070" t="n">
        <f aca="false">K3-1</f>
        <v>26</v>
      </c>
      <c r="M4" s="1071" t="n">
        <f aca="false">L3+1</f>
        <v>2</v>
      </c>
    </row>
    <row r="5" customFormat="false" ht="27" hidden="false" customHeight="true" outlineLevel="0" collapsed="false">
      <c r="I5" s="1072" t="n">
        <f aca="false">J4-1</f>
        <v>25</v>
      </c>
      <c r="N5" s="1073" t="n">
        <f aca="false">M4+1</f>
        <v>3</v>
      </c>
    </row>
    <row r="6" customFormat="false" ht="27" hidden="false" customHeight="true" outlineLevel="0" collapsed="false">
      <c r="H6" s="1074" t="n">
        <f aca="false">I5-1</f>
        <v>24</v>
      </c>
      <c r="O6" s="1071" t="n">
        <f aca="false">N5+1</f>
        <v>4</v>
      </c>
    </row>
    <row r="7" customFormat="false" ht="27" hidden="false" customHeight="true" outlineLevel="0" collapsed="false">
      <c r="G7" s="1075" t="n">
        <f aca="false">H6-1</f>
        <v>23</v>
      </c>
      <c r="P7" s="1075" t="n">
        <f aca="false">O6+1</f>
        <v>5</v>
      </c>
    </row>
    <row r="8" customFormat="false" ht="27" hidden="false" customHeight="true" outlineLevel="0" collapsed="false">
      <c r="F8" s="1076" t="n">
        <f aca="false">G7-1</f>
        <v>22</v>
      </c>
      <c r="H8" s="1077"/>
      <c r="O8" s="1078"/>
      <c r="Q8" s="1076" t="n">
        <f aca="false">P7+1</f>
        <v>6</v>
      </c>
    </row>
    <row r="9" customFormat="false" ht="27" hidden="false" customHeight="true" outlineLevel="0" collapsed="false">
      <c r="E9" s="1079" t="n">
        <f aca="false">F8-1</f>
        <v>21</v>
      </c>
      <c r="G9" s="1077"/>
      <c r="I9" s="1077"/>
      <c r="N9" s="1078"/>
      <c r="P9" s="1078"/>
      <c r="R9" s="1079" t="n">
        <f aca="false">Q8+1</f>
        <v>7</v>
      </c>
    </row>
    <row r="10" customFormat="false" ht="27" hidden="false" customHeight="true" outlineLevel="0" collapsed="false">
      <c r="D10" s="1080" t="n">
        <f aca="false">E9-1</f>
        <v>20</v>
      </c>
      <c r="F10" s="1077"/>
      <c r="H10" s="1077"/>
      <c r="J10" s="1077"/>
      <c r="M10" s="1078"/>
      <c r="O10" s="1078"/>
      <c r="Q10" s="1078"/>
      <c r="S10" s="1080" t="n">
        <f aca="false">R9+1</f>
        <v>8</v>
      </c>
    </row>
    <row r="11" customFormat="false" ht="27" hidden="false" customHeight="true" outlineLevel="0" collapsed="false">
      <c r="C11" s="1081" t="n">
        <f aca="false">D10-1</f>
        <v>19</v>
      </c>
      <c r="E11" s="1077"/>
      <c r="G11" s="1077"/>
      <c r="I11" s="1077"/>
      <c r="K11" s="1077"/>
      <c r="L11" s="1078"/>
      <c r="N11" s="1078"/>
      <c r="P11" s="1078"/>
      <c r="R11" s="1078"/>
      <c r="T11" s="1081" t="n">
        <f aca="false">S10+1</f>
        <v>9</v>
      </c>
    </row>
    <row r="12" customFormat="false" ht="27" hidden="false" customHeight="true" outlineLevel="0" collapsed="false">
      <c r="C12" s="1082" t="n">
        <f aca="false">E12+1</f>
        <v>18</v>
      </c>
      <c r="D12" s="1082" t="n">
        <f aca="false">F12+1</f>
        <v>8</v>
      </c>
      <c r="E12" s="1083" t="n">
        <f aca="false">G12+1</f>
        <v>17</v>
      </c>
      <c r="F12" s="1083" t="n">
        <f aca="false">H12+1</f>
        <v>7</v>
      </c>
      <c r="G12" s="1084" t="n">
        <f aca="false">I12+1</f>
        <v>16</v>
      </c>
      <c r="H12" s="1084" t="n">
        <f aca="false">J12+1</f>
        <v>6</v>
      </c>
      <c r="I12" s="1083" t="n">
        <f aca="false">K12+1</f>
        <v>15</v>
      </c>
      <c r="J12" s="1083" t="n">
        <f aca="false">L12+1</f>
        <v>5</v>
      </c>
      <c r="K12" s="1085" t="n">
        <f aca="false">M12+1</f>
        <v>14</v>
      </c>
      <c r="L12" s="1085" t="n">
        <f aca="false">N12+1</f>
        <v>4</v>
      </c>
      <c r="M12" s="1086" t="n">
        <f aca="false">O12+1</f>
        <v>13</v>
      </c>
      <c r="N12" s="1086" t="n">
        <f aca="false">P12+1</f>
        <v>3</v>
      </c>
      <c r="O12" s="1087" t="n">
        <f aca="false">Q12+1</f>
        <v>12</v>
      </c>
      <c r="P12" s="1087" t="n">
        <f aca="false">R12+1</f>
        <v>2</v>
      </c>
      <c r="Q12" s="1088" t="n">
        <f aca="false">S12+1</f>
        <v>11</v>
      </c>
      <c r="R12" s="1088" t="n">
        <f aca="false">T12+1</f>
        <v>1</v>
      </c>
      <c r="S12" s="1089" t="n">
        <v>10</v>
      </c>
      <c r="T12" s="1089"/>
    </row>
  </sheetData>
  <mergeCells count="9">
    <mergeCell ref="C12:D12"/>
    <mergeCell ref="E12:F12"/>
    <mergeCell ref="G12:H12"/>
    <mergeCell ref="I12:J12"/>
    <mergeCell ref="K12:L12"/>
    <mergeCell ref="M12:N12"/>
    <mergeCell ref="O12:P12"/>
    <mergeCell ref="Q12:R12"/>
    <mergeCell ref="S12:T12"/>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&amp;C&amp;"Arial,Regular"&amp;10&amp;A</oddHeader>
    <oddFooter>&amp;C&amp;"Arial,Regular"&amp;10Page &amp;P</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7"/>
  <sheetViews>
    <sheetView showFormulas="false" showGridLines="true" showRowColHeaders="true" showZeros="true" rightToLeft="false" tabSelected="false" showOutlineSymbols="true" defaultGridColor="true" view="normal" topLeftCell="A5" colorId="64" zoomScale="181" zoomScaleNormal="181" zoomScalePageLayoutView="100" workbookViewId="0">
      <selection pane="topLeft" activeCell="D11" activeCellId="0" sqref="D11"/>
    </sheetView>
  </sheetViews>
  <sheetFormatPr defaultColWidth="8.5703125" defaultRowHeight="15" customHeight="true" zeroHeight="false" outlineLevelRow="0" outlineLevelCol="0"/>
  <cols>
    <col collapsed="false" customWidth="true" hidden="false" outlineLevel="0" max="1" min="1" style="6" width="16.43"/>
    <col collapsed="false" customWidth="true" hidden="false" outlineLevel="0" max="4" min="2" style="6" width="21.14"/>
    <col collapsed="false" customWidth="true" hidden="false" outlineLevel="0" max="5" min="5" style="6" width="17.71"/>
    <col collapsed="false" customWidth="true" hidden="false" outlineLevel="0" max="6" min="6" style="6" width="19.42"/>
    <col collapsed="false" customWidth="true" hidden="false" outlineLevel="0" max="7" min="7" style="6" width="1.71"/>
    <col collapsed="false" customWidth="true" hidden="false" outlineLevel="0" max="9" min="8" style="6" width="18.42"/>
    <col collapsed="false" customWidth="true" hidden="false" outlineLevel="0" max="10" min="10" style="6" width="21.43"/>
    <col collapsed="false" customWidth="true" hidden="false" outlineLevel="0" max="11" min="11" style="6" width="18.42"/>
    <col collapsed="false" customWidth="true" hidden="false" outlineLevel="0" max="12" min="12" style="6" width="20"/>
    <col collapsed="false" customWidth="true" hidden="false" outlineLevel="0" max="13" min="13" style="6" width="32.71"/>
  </cols>
  <sheetData>
    <row r="1" customFormat="false" ht="15" hidden="false" customHeight="false" outlineLevel="0" collapsed="false">
      <c r="A1" s="1090" t="s">
        <v>4420</v>
      </c>
      <c r="B1" s="1090"/>
      <c r="C1" s="1090"/>
      <c r="D1" s="1090"/>
      <c r="E1" s="1090"/>
      <c r="F1" s="1090"/>
      <c r="G1" s="1090"/>
      <c r="H1" s="1090"/>
      <c r="I1" s="1090"/>
      <c r="J1" s="1090"/>
      <c r="K1" s="1090"/>
      <c r="L1" s="1090"/>
      <c r="M1" s="1090"/>
    </row>
    <row r="2" customFormat="false" ht="15" hidden="false" customHeight="false" outlineLevel="0" collapsed="false">
      <c r="A2" s="372"/>
      <c r="B2" s="1091" t="s">
        <v>4421</v>
      </c>
      <c r="C2" s="1091"/>
      <c r="D2" s="1091"/>
      <c r="E2" s="1091"/>
      <c r="F2" s="1091"/>
      <c r="G2" s="1091"/>
      <c r="H2" s="1091"/>
      <c r="I2" s="1091"/>
      <c r="J2" s="1091"/>
      <c r="K2" s="1091"/>
      <c r="L2" s="1091"/>
      <c r="M2" s="519"/>
    </row>
    <row r="3" s="802" customFormat="true" ht="15" hidden="false" customHeight="false" outlineLevel="0" collapsed="false">
      <c r="A3" s="1092" t="s">
        <v>4422</v>
      </c>
      <c r="B3" s="1093" t="s">
        <v>2200</v>
      </c>
      <c r="C3" s="1094" t="s">
        <v>2202</v>
      </c>
      <c r="D3" s="1094" t="s">
        <v>2204</v>
      </c>
      <c r="E3" s="1094" t="s">
        <v>2208</v>
      </c>
      <c r="F3" s="1095" t="s">
        <v>2210</v>
      </c>
      <c r="G3" s="1094"/>
      <c r="H3" s="1096" t="s">
        <v>2236</v>
      </c>
      <c r="I3" s="1094" t="s">
        <v>4423</v>
      </c>
      <c r="J3" s="1094" t="s">
        <v>4424</v>
      </c>
      <c r="K3" s="1094" t="s">
        <v>4425</v>
      </c>
      <c r="L3" s="1097" t="s">
        <v>4426</v>
      </c>
      <c r="M3" s="1098" t="s">
        <v>4427</v>
      </c>
    </row>
    <row r="4" s="802" customFormat="true" ht="15" hidden="false" customHeight="false" outlineLevel="0" collapsed="false">
      <c r="A4" s="1092"/>
      <c r="B4" s="1099" t="s">
        <v>2240</v>
      </c>
      <c r="C4" s="1100" t="s">
        <v>4428</v>
      </c>
      <c r="D4" s="1100" t="s">
        <v>4429</v>
      </c>
      <c r="E4" s="1100" t="s">
        <v>4430</v>
      </c>
      <c r="F4" s="1101" t="s">
        <v>4431</v>
      </c>
      <c r="G4" s="1100"/>
      <c r="H4" s="1102" t="s">
        <v>2222</v>
      </c>
      <c r="I4" s="1100" t="s">
        <v>4432</v>
      </c>
      <c r="J4" s="1100" t="s">
        <v>4433</v>
      </c>
      <c r="K4" s="1100" t="s">
        <v>4434</v>
      </c>
      <c r="L4" s="1103" t="s">
        <v>4435</v>
      </c>
      <c r="M4" s="1098"/>
    </row>
    <row r="5" s="802" customFormat="true" ht="15" hidden="false" customHeight="false" outlineLevel="0" collapsed="false">
      <c r="A5" s="1092"/>
      <c r="B5" s="1099" t="s">
        <v>2213</v>
      </c>
      <c r="C5" s="1100" t="s">
        <v>4436</v>
      </c>
      <c r="D5" s="1104" t="s">
        <v>4437</v>
      </c>
      <c r="E5" s="1100" t="s">
        <v>4438</v>
      </c>
      <c r="F5" s="1101" t="s">
        <v>4439</v>
      </c>
      <c r="G5" s="1100"/>
      <c r="H5" s="1102" t="s">
        <v>2232</v>
      </c>
      <c r="I5" s="1100" t="s">
        <v>4440</v>
      </c>
      <c r="J5" s="1104" t="s">
        <v>4441</v>
      </c>
      <c r="K5" s="1100" t="s">
        <v>4442</v>
      </c>
      <c r="L5" s="1103" t="s">
        <v>4443</v>
      </c>
      <c r="M5" s="1098"/>
    </row>
    <row r="6" s="802" customFormat="true" ht="15" hidden="false" customHeight="false" outlineLevel="0" collapsed="false">
      <c r="A6" s="1092"/>
      <c r="B6" s="1099" t="s">
        <v>2244</v>
      </c>
      <c r="C6" s="1100" t="s">
        <v>4444</v>
      </c>
      <c r="D6" s="1100" t="s">
        <v>4445</v>
      </c>
      <c r="E6" s="1100" t="s">
        <v>4446</v>
      </c>
      <c r="F6" s="1101" t="s">
        <v>4447</v>
      </c>
      <c r="G6" s="1100"/>
      <c r="H6" s="1102" t="s">
        <v>2238</v>
      </c>
      <c r="I6" s="1100" t="s">
        <v>4448</v>
      </c>
      <c r="J6" s="1100" t="s">
        <v>4449</v>
      </c>
      <c r="K6" s="1100" t="s">
        <v>4450</v>
      </c>
      <c r="L6" s="1103" t="s">
        <v>4451</v>
      </c>
      <c r="M6" s="1098"/>
    </row>
    <row r="7" s="802" customFormat="true" ht="15" hidden="false" customHeight="false" outlineLevel="0" collapsed="false">
      <c r="A7" s="1092"/>
      <c r="B7" s="1105" t="s">
        <v>2224</v>
      </c>
      <c r="C7" s="1106" t="s">
        <v>4452</v>
      </c>
      <c r="D7" s="1106" t="s">
        <v>4453</v>
      </c>
      <c r="E7" s="1106" t="s">
        <v>4454</v>
      </c>
      <c r="F7" s="1107" t="s">
        <v>4455</v>
      </c>
      <c r="G7" s="1100"/>
      <c r="H7" s="1108" t="s">
        <v>2227</v>
      </c>
      <c r="I7" s="1109" t="s">
        <v>4456</v>
      </c>
      <c r="J7" s="1109" t="s">
        <v>4457</v>
      </c>
      <c r="K7" s="1109" t="s">
        <v>4458</v>
      </c>
      <c r="L7" s="1110" t="s">
        <v>4459</v>
      </c>
      <c r="M7" s="1098"/>
    </row>
    <row r="8" s="802" customFormat="true" ht="15" hidden="false" customHeight="false" outlineLevel="0" collapsed="false">
      <c r="A8" s="1092"/>
      <c r="B8" s="1099"/>
      <c r="C8" s="1100"/>
      <c r="D8" s="1100"/>
      <c r="E8" s="1100"/>
      <c r="F8" s="1100"/>
      <c r="G8" s="1100"/>
      <c r="H8" s="1100"/>
      <c r="I8" s="1100"/>
      <c r="J8" s="1100"/>
      <c r="K8" s="1100"/>
      <c r="L8" s="1103"/>
      <c r="M8" s="1098"/>
    </row>
    <row r="9" s="802" customFormat="true" ht="15" hidden="false" customHeight="false" outlineLevel="0" collapsed="false">
      <c r="A9" s="1092"/>
      <c r="B9" s="1111" t="s">
        <v>2215</v>
      </c>
      <c r="C9" s="1112" t="s">
        <v>4460</v>
      </c>
      <c r="D9" s="1112" t="s">
        <v>4461</v>
      </c>
      <c r="E9" s="1112" t="s">
        <v>4462</v>
      </c>
      <c r="F9" s="1113" t="s">
        <v>4463</v>
      </c>
      <c r="G9" s="1100"/>
      <c r="H9" s="1114" t="s">
        <v>2231</v>
      </c>
      <c r="I9" s="1112" t="s">
        <v>4464</v>
      </c>
      <c r="J9" s="1112" t="s">
        <v>4465</v>
      </c>
      <c r="K9" s="1112" t="s">
        <v>4466</v>
      </c>
      <c r="L9" s="1115" t="s">
        <v>4467</v>
      </c>
      <c r="M9" s="1098"/>
    </row>
    <row r="10" s="802" customFormat="true" ht="15" hidden="false" customHeight="false" outlineLevel="0" collapsed="false">
      <c r="A10" s="1092"/>
      <c r="B10" s="1099" t="s">
        <v>2243</v>
      </c>
      <c r="C10" s="1100" t="s">
        <v>4468</v>
      </c>
      <c r="D10" s="1100" t="s">
        <v>4469</v>
      </c>
      <c r="E10" s="1100" t="s">
        <v>4470</v>
      </c>
      <c r="F10" s="1116" t="s">
        <v>4471</v>
      </c>
      <c r="G10" s="1100"/>
      <c r="H10" s="1102" t="s">
        <v>2237</v>
      </c>
      <c r="I10" s="1100" t="s">
        <v>4472</v>
      </c>
      <c r="J10" s="1100" t="s">
        <v>4473</v>
      </c>
      <c r="K10" s="1100" t="s">
        <v>4474</v>
      </c>
      <c r="L10" s="1103" t="s">
        <v>4475</v>
      </c>
      <c r="M10" s="1098"/>
    </row>
    <row r="11" s="802" customFormat="true" ht="15" hidden="false" customHeight="false" outlineLevel="0" collapsed="false">
      <c r="A11" s="1092"/>
      <c r="B11" s="1099" t="s">
        <v>2229</v>
      </c>
      <c r="C11" s="1100" t="s">
        <v>4476</v>
      </c>
      <c r="D11" s="1104" t="s">
        <v>4477</v>
      </c>
      <c r="E11" s="1100" t="s">
        <v>4478</v>
      </c>
      <c r="F11" s="1116" t="s">
        <v>4479</v>
      </c>
      <c r="G11" s="1100"/>
      <c r="H11" s="1102" t="s">
        <v>2235</v>
      </c>
      <c r="I11" s="1100" t="s">
        <v>4480</v>
      </c>
      <c r="J11" s="1104" t="s">
        <v>4481</v>
      </c>
      <c r="K11" s="1100" t="s">
        <v>4482</v>
      </c>
      <c r="L11" s="1103" t="s">
        <v>4483</v>
      </c>
      <c r="M11" s="1098"/>
    </row>
    <row r="12" s="802" customFormat="true" ht="15" hidden="false" customHeight="false" outlineLevel="0" collapsed="false">
      <c r="A12" s="1092"/>
      <c r="B12" s="1099" t="s">
        <v>2218</v>
      </c>
      <c r="C12" s="1100" t="s">
        <v>4484</v>
      </c>
      <c r="D12" s="1100" t="s">
        <v>4485</v>
      </c>
      <c r="E12" s="1100" t="s">
        <v>4486</v>
      </c>
      <c r="F12" s="1116" t="s">
        <v>4487</v>
      </c>
      <c r="G12" s="1100"/>
      <c r="H12" s="1102" t="s">
        <v>2219</v>
      </c>
      <c r="I12" s="1100" t="s">
        <v>4488</v>
      </c>
      <c r="J12" s="1100" t="s">
        <v>4489</v>
      </c>
      <c r="K12" s="1100" t="s">
        <v>4490</v>
      </c>
      <c r="L12" s="1103" t="s">
        <v>4491</v>
      </c>
      <c r="M12" s="1098"/>
    </row>
    <row r="13" s="802" customFormat="true" ht="15" hidden="false" customHeight="false" outlineLevel="0" collapsed="false">
      <c r="A13" s="1092"/>
      <c r="B13" s="1117" t="s">
        <v>2239</v>
      </c>
      <c r="C13" s="1118" t="s">
        <v>4492</v>
      </c>
      <c r="D13" s="1118" t="s">
        <v>4493</v>
      </c>
      <c r="E13" s="1118" t="s">
        <v>4494</v>
      </c>
      <c r="F13" s="1119" t="s">
        <v>4495</v>
      </c>
      <c r="G13" s="1118"/>
      <c r="H13" s="1120" t="s">
        <v>2214</v>
      </c>
      <c r="I13" s="1118" t="s">
        <v>4496</v>
      </c>
      <c r="J13" s="1118" t="s">
        <v>4497</v>
      </c>
      <c r="K13" s="1118" t="s">
        <v>4498</v>
      </c>
      <c r="L13" s="1121" t="s">
        <v>4499</v>
      </c>
      <c r="M13" s="1098"/>
    </row>
    <row r="14" customFormat="false" ht="15" hidden="false" customHeight="false" outlineLevel="0" collapsed="false">
      <c r="A14" s="419"/>
      <c r="B14" s="1122" t="s">
        <v>4500</v>
      </c>
      <c r="C14" s="1122"/>
      <c r="D14" s="1122"/>
      <c r="E14" s="1122"/>
      <c r="F14" s="1122"/>
      <c r="G14" s="1122"/>
      <c r="H14" s="1122"/>
      <c r="I14" s="1122"/>
      <c r="J14" s="1122"/>
      <c r="K14" s="1122"/>
      <c r="L14" s="1122"/>
      <c r="M14" s="420"/>
    </row>
    <row r="16" customFormat="false" ht="15" hidden="false" customHeight="false" outlineLevel="0" collapsed="false">
      <c r="A16" s="1123" t="s">
        <v>4501</v>
      </c>
      <c r="B16" s="1123"/>
      <c r="C16" s="1123"/>
      <c r="D16" s="1123"/>
      <c r="E16" s="1123"/>
      <c r="F16" s="1123"/>
      <c r="G16" s="1123"/>
      <c r="H16" s="1123"/>
      <c r="I16" s="1123"/>
      <c r="J16" s="1123"/>
      <c r="K16" s="1123"/>
      <c r="L16" s="1123"/>
      <c r="M16" s="1123"/>
    </row>
    <row r="17" customFormat="false" ht="19.7" hidden="false" customHeight="false" outlineLevel="0" collapsed="false">
      <c r="A17" s="372"/>
      <c r="B17" s="1124" t="s">
        <v>4227</v>
      </c>
      <c r="C17" s="1124"/>
      <c r="D17" s="1124"/>
      <c r="E17" s="1124"/>
      <c r="F17" s="1124"/>
      <c r="G17" s="1124"/>
      <c r="H17" s="1124"/>
      <c r="I17" s="1124"/>
      <c r="J17" s="1124"/>
      <c r="K17" s="1124"/>
      <c r="L17" s="1124"/>
      <c r="M17" s="519"/>
    </row>
    <row r="18" customFormat="false" ht="15" hidden="false" customHeight="false" outlineLevel="0" collapsed="false">
      <c r="A18" s="1125" t="s">
        <v>4228</v>
      </c>
      <c r="B18" s="1126" t="s">
        <v>2247</v>
      </c>
      <c r="C18" s="1127" t="s">
        <v>2249</v>
      </c>
      <c r="D18" s="1127" t="s">
        <v>2251</v>
      </c>
      <c r="E18" s="1127" t="s">
        <v>2257</v>
      </c>
      <c r="F18" s="1128" t="s">
        <v>2259</v>
      </c>
      <c r="G18" s="1094"/>
      <c r="H18" s="1129" t="s">
        <v>2286</v>
      </c>
      <c r="I18" s="1127" t="s">
        <v>4502</v>
      </c>
      <c r="J18" s="1127" t="s">
        <v>4503</v>
      </c>
      <c r="K18" s="1127" t="s">
        <v>4504</v>
      </c>
      <c r="L18" s="1130" t="s">
        <v>4505</v>
      </c>
      <c r="M18" s="1131" t="s">
        <v>4235</v>
      </c>
    </row>
    <row r="19" customFormat="false" ht="15" hidden="false" customHeight="false" outlineLevel="0" collapsed="false">
      <c r="A19" s="1125"/>
      <c r="B19" s="1132" t="s">
        <v>2290</v>
      </c>
      <c r="C19" s="1133" t="s">
        <v>4506</v>
      </c>
      <c r="D19" s="1133" t="s">
        <v>4507</v>
      </c>
      <c r="E19" s="1133" t="s">
        <v>4508</v>
      </c>
      <c r="F19" s="1134" t="s">
        <v>4509</v>
      </c>
      <c r="G19" s="1100"/>
      <c r="H19" s="1135" t="s">
        <v>2272</v>
      </c>
      <c r="I19" s="1133" t="s">
        <v>4510</v>
      </c>
      <c r="J19" s="1133" t="s">
        <v>4511</v>
      </c>
      <c r="K19" s="1133" t="s">
        <v>4512</v>
      </c>
      <c r="L19" s="1136" t="s">
        <v>4513</v>
      </c>
      <c r="M19" s="1131"/>
    </row>
    <row r="20" customFormat="false" ht="15" hidden="false" customHeight="false" outlineLevel="0" collapsed="false">
      <c r="A20" s="1125"/>
      <c r="B20" s="1132" t="s">
        <v>2263</v>
      </c>
      <c r="C20" s="1133" t="s">
        <v>4514</v>
      </c>
      <c r="D20" s="1137" t="s">
        <v>4515</v>
      </c>
      <c r="E20" s="1133" t="s">
        <v>4516</v>
      </c>
      <c r="F20" s="1134" t="s">
        <v>4517</v>
      </c>
      <c r="G20" s="1100"/>
      <c r="H20" s="1135" t="s">
        <v>2282</v>
      </c>
      <c r="I20" s="1133" t="s">
        <v>4518</v>
      </c>
      <c r="J20" s="1137" t="s">
        <v>4519</v>
      </c>
      <c r="K20" s="1133" t="s">
        <v>4520</v>
      </c>
      <c r="L20" s="1136" t="s">
        <v>4521</v>
      </c>
      <c r="M20" s="1131"/>
    </row>
    <row r="21" customFormat="false" ht="15" hidden="false" customHeight="false" outlineLevel="0" collapsed="false">
      <c r="A21" s="1125"/>
      <c r="B21" s="1132" t="s">
        <v>2294</v>
      </c>
      <c r="C21" s="1133" t="s">
        <v>4522</v>
      </c>
      <c r="D21" s="1133" t="s">
        <v>4523</v>
      </c>
      <c r="E21" s="1133" t="s">
        <v>4524</v>
      </c>
      <c r="F21" s="1134" t="s">
        <v>4525</v>
      </c>
      <c r="G21" s="1100"/>
      <c r="H21" s="1135" t="s">
        <v>2288</v>
      </c>
      <c r="I21" s="1133" t="s">
        <v>4526</v>
      </c>
      <c r="J21" s="1133" t="s">
        <v>4527</v>
      </c>
      <c r="K21" s="1133" t="s">
        <v>4528</v>
      </c>
      <c r="L21" s="1136" t="s">
        <v>4529</v>
      </c>
      <c r="M21" s="1131"/>
    </row>
    <row r="22" customFormat="false" ht="15" hidden="false" customHeight="false" outlineLevel="0" collapsed="false">
      <c r="A22" s="1125"/>
      <c r="B22" s="1138" t="s">
        <v>2274</v>
      </c>
      <c r="C22" s="1139" t="s">
        <v>4530</v>
      </c>
      <c r="D22" s="1139" t="s">
        <v>4531</v>
      </c>
      <c r="E22" s="1139" t="s">
        <v>4532</v>
      </c>
      <c r="F22" s="1140" t="s">
        <v>4533</v>
      </c>
      <c r="G22" s="1100"/>
      <c r="H22" s="1141" t="s">
        <v>2277</v>
      </c>
      <c r="I22" s="1142" t="s">
        <v>4534</v>
      </c>
      <c r="J22" s="1142" t="s">
        <v>4535</v>
      </c>
      <c r="K22" s="1142" t="s">
        <v>4536</v>
      </c>
      <c r="L22" s="1143" t="s">
        <v>4537</v>
      </c>
      <c r="M22" s="1131"/>
    </row>
    <row r="23" customFormat="false" ht="15" hidden="false" customHeight="false" outlineLevel="0" collapsed="false">
      <c r="A23" s="1125"/>
      <c r="B23" s="1099"/>
      <c r="C23" s="1100"/>
      <c r="D23" s="1100"/>
      <c r="E23" s="1100"/>
      <c r="F23" s="1100"/>
      <c r="G23" s="1100"/>
      <c r="H23" s="1100"/>
      <c r="I23" s="1100"/>
      <c r="J23" s="1100"/>
      <c r="K23" s="1100"/>
      <c r="L23" s="1103"/>
      <c r="M23" s="1131"/>
    </row>
    <row r="24" customFormat="false" ht="15" hidden="false" customHeight="false" outlineLevel="0" collapsed="false">
      <c r="A24" s="1125"/>
      <c r="B24" s="1144" t="s">
        <v>2265</v>
      </c>
      <c r="C24" s="1145" t="s">
        <v>4538</v>
      </c>
      <c r="D24" s="1145" t="s">
        <v>4539</v>
      </c>
      <c r="E24" s="1145" t="s">
        <v>4540</v>
      </c>
      <c r="F24" s="1146" t="s">
        <v>4541</v>
      </c>
      <c r="G24" s="1100"/>
      <c r="H24" s="1147" t="s">
        <v>2281</v>
      </c>
      <c r="I24" s="1145" t="s">
        <v>4542</v>
      </c>
      <c r="J24" s="1145" t="s">
        <v>4543</v>
      </c>
      <c r="K24" s="1145" t="s">
        <v>4544</v>
      </c>
      <c r="L24" s="1148" t="s">
        <v>4545</v>
      </c>
      <c r="M24" s="1131"/>
    </row>
    <row r="25" customFormat="false" ht="15" hidden="false" customHeight="false" outlineLevel="0" collapsed="false">
      <c r="A25" s="1125"/>
      <c r="B25" s="1132" t="s">
        <v>2293</v>
      </c>
      <c r="C25" s="1133" t="s">
        <v>4546</v>
      </c>
      <c r="D25" s="1133" t="s">
        <v>4547</v>
      </c>
      <c r="E25" s="1133" t="s">
        <v>4548</v>
      </c>
      <c r="F25" s="1149" t="s">
        <v>4549</v>
      </c>
      <c r="G25" s="1100"/>
      <c r="H25" s="1135" t="s">
        <v>2287</v>
      </c>
      <c r="I25" s="1133" t="s">
        <v>4550</v>
      </c>
      <c r="J25" s="1133" t="s">
        <v>4551</v>
      </c>
      <c r="K25" s="1133" t="s">
        <v>4552</v>
      </c>
      <c r="L25" s="1136" t="s">
        <v>4553</v>
      </c>
      <c r="M25" s="1131"/>
    </row>
    <row r="26" customFormat="false" ht="15" hidden="false" customHeight="false" outlineLevel="0" collapsed="false">
      <c r="A26" s="1125"/>
      <c r="B26" s="1132" t="s">
        <v>2279</v>
      </c>
      <c r="C26" s="1133" t="s">
        <v>4554</v>
      </c>
      <c r="D26" s="1137" t="s">
        <v>4555</v>
      </c>
      <c r="E26" s="1133" t="s">
        <v>4556</v>
      </c>
      <c r="F26" s="1149" t="s">
        <v>4557</v>
      </c>
      <c r="G26" s="1100"/>
      <c r="H26" s="1135" t="s">
        <v>2285</v>
      </c>
      <c r="I26" s="1133" t="s">
        <v>4558</v>
      </c>
      <c r="J26" s="1137" t="s">
        <v>4559</v>
      </c>
      <c r="K26" s="1133" t="s">
        <v>4560</v>
      </c>
      <c r="L26" s="1136" t="s">
        <v>4561</v>
      </c>
      <c r="M26" s="1131"/>
    </row>
    <row r="27" customFormat="false" ht="15" hidden="false" customHeight="false" outlineLevel="0" collapsed="false">
      <c r="A27" s="1125"/>
      <c r="B27" s="1132" t="s">
        <v>2268</v>
      </c>
      <c r="C27" s="1133" t="s">
        <v>4562</v>
      </c>
      <c r="D27" s="1133" t="s">
        <v>4563</v>
      </c>
      <c r="E27" s="1133" t="s">
        <v>4564</v>
      </c>
      <c r="F27" s="1149" t="s">
        <v>4565</v>
      </c>
      <c r="G27" s="1100"/>
      <c r="H27" s="1135" t="s">
        <v>2269</v>
      </c>
      <c r="I27" s="1133" t="s">
        <v>4566</v>
      </c>
      <c r="J27" s="1133" t="s">
        <v>4567</v>
      </c>
      <c r="K27" s="1133" t="s">
        <v>4568</v>
      </c>
      <c r="L27" s="1136" t="s">
        <v>4569</v>
      </c>
      <c r="M27" s="1131"/>
    </row>
    <row r="28" customFormat="false" ht="15" hidden="false" customHeight="false" outlineLevel="0" collapsed="false">
      <c r="A28" s="1125"/>
      <c r="B28" s="1150" t="s">
        <v>2289</v>
      </c>
      <c r="C28" s="1151" t="s">
        <v>4570</v>
      </c>
      <c r="D28" s="1151" t="s">
        <v>4571</v>
      </c>
      <c r="E28" s="1151" t="s">
        <v>4572</v>
      </c>
      <c r="F28" s="1152" t="s">
        <v>4573</v>
      </c>
      <c r="G28" s="1118"/>
      <c r="H28" s="1153" t="s">
        <v>2264</v>
      </c>
      <c r="I28" s="1151" t="s">
        <v>4574</v>
      </c>
      <c r="J28" s="1151" t="s">
        <v>4575</v>
      </c>
      <c r="K28" s="1151" t="s">
        <v>4576</v>
      </c>
      <c r="L28" s="1154" t="s">
        <v>4577</v>
      </c>
      <c r="M28" s="1131"/>
    </row>
    <row r="29" customFormat="false" ht="19.5" hidden="false" customHeight="false" outlineLevel="0" collapsed="false">
      <c r="A29" s="419"/>
      <c r="B29" s="1155" t="s">
        <v>4299</v>
      </c>
      <c r="C29" s="1155"/>
      <c r="D29" s="1155"/>
      <c r="E29" s="1155"/>
      <c r="F29" s="1155"/>
      <c r="G29" s="1155"/>
      <c r="H29" s="1155"/>
      <c r="I29" s="1155"/>
      <c r="J29" s="1155"/>
      <c r="K29" s="1155"/>
      <c r="L29" s="1155"/>
      <c r="M29" s="420"/>
    </row>
    <row r="30" customFormat="false" ht="15" hidden="false" customHeight="false" outlineLevel="0" collapsed="false">
      <c r="A30" s="406"/>
      <c r="B30" s="407"/>
      <c r="C30" s="407"/>
      <c r="D30" s="407"/>
      <c r="E30" s="407"/>
      <c r="F30" s="1156" t="s">
        <v>4578</v>
      </c>
      <c r="G30" s="1156"/>
      <c r="H30" s="1156"/>
      <c r="I30" s="407"/>
      <c r="J30" s="407"/>
      <c r="K30" s="407"/>
      <c r="L30" s="407"/>
      <c r="M30" s="1157"/>
    </row>
    <row r="31" customFormat="false" ht="19.7" hidden="false" customHeight="false" outlineLevel="0" collapsed="false">
      <c r="A31" s="372"/>
      <c r="B31" s="1124" t="s">
        <v>4227</v>
      </c>
      <c r="C31" s="1124"/>
      <c r="D31" s="1124"/>
      <c r="E31" s="1124"/>
      <c r="F31" s="1124"/>
      <c r="G31" s="1124"/>
      <c r="H31" s="1124"/>
      <c r="I31" s="1124"/>
      <c r="J31" s="1124"/>
      <c r="K31" s="1124"/>
      <c r="L31" s="1124"/>
      <c r="M31" s="519"/>
    </row>
    <row r="32" customFormat="false" ht="15" hidden="false" customHeight="false" outlineLevel="0" collapsed="false">
      <c r="A32" s="1125" t="s">
        <v>4228</v>
      </c>
      <c r="B32" s="1126" t="s">
        <v>2247</v>
      </c>
      <c r="C32" s="1127" t="s">
        <v>2249</v>
      </c>
      <c r="D32" s="1127" t="s">
        <v>2251</v>
      </c>
      <c r="E32" s="1127" t="s">
        <v>2257</v>
      </c>
      <c r="F32" s="1128" t="s">
        <v>2259</v>
      </c>
      <c r="G32" s="1094"/>
      <c r="H32" s="1129" t="s">
        <v>2286</v>
      </c>
      <c r="I32" s="1127" t="s">
        <v>4502</v>
      </c>
      <c r="J32" s="1127" t="s">
        <v>4503</v>
      </c>
      <c r="K32" s="1127" t="s">
        <v>4504</v>
      </c>
      <c r="L32" s="1130" t="s">
        <v>4505</v>
      </c>
      <c r="M32" s="1131" t="s">
        <v>4235</v>
      </c>
    </row>
    <row r="33" customFormat="false" ht="15" hidden="false" customHeight="false" outlineLevel="0" collapsed="false">
      <c r="A33" s="1125"/>
      <c r="B33" s="1132" t="s">
        <v>2290</v>
      </c>
      <c r="C33" s="1133" t="s">
        <v>4506</v>
      </c>
      <c r="D33" s="1133" t="s">
        <v>4507</v>
      </c>
      <c r="E33" s="1133" t="s">
        <v>4508</v>
      </c>
      <c r="F33" s="1134" t="s">
        <v>4509</v>
      </c>
      <c r="G33" s="1100"/>
      <c r="H33" s="1135" t="s">
        <v>693</v>
      </c>
      <c r="I33" s="1133" t="s">
        <v>4579</v>
      </c>
      <c r="J33" s="1133" t="s">
        <v>4580</v>
      </c>
      <c r="K33" s="1133" t="s">
        <v>4581</v>
      </c>
      <c r="L33" s="1136" t="s">
        <v>4582</v>
      </c>
      <c r="M33" s="1131"/>
    </row>
    <row r="34" customFormat="false" ht="15" hidden="false" customHeight="false" outlineLevel="0" collapsed="false">
      <c r="A34" s="1125"/>
      <c r="B34" s="1132" t="s">
        <v>2263</v>
      </c>
      <c r="C34" s="1133" t="s">
        <v>4514</v>
      </c>
      <c r="D34" s="1137" t="s">
        <v>4583</v>
      </c>
      <c r="E34" s="1133" t="s">
        <v>4516</v>
      </c>
      <c r="F34" s="1134" t="s">
        <v>4517</v>
      </c>
      <c r="G34" s="1100"/>
      <c r="H34" s="1135" t="s">
        <v>2282</v>
      </c>
      <c r="I34" s="1133" t="s">
        <v>4518</v>
      </c>
      <c r="J34" s="1137" t="s">
        <v>4584</v>
      </c>
      <c r="K34" s="1133" t="s">
        <v>4520</v>
      </c>
      <c r="L34" s="1136" t="s">
        <v>4521</v>
      </c>
      <c r="M34" s="1131"/>
    </row>
    <row r="35" customFormat="false" ht="15" hidden="false" customHeight="false" outlineLevel="0" collapsed="false">
      <c r="A35" s="1125"/>
      <c r="B35" s="1132" t="s">
        <v>2294</v>
      </c>
      <c r="C35" s="1133" t="s">
        <v>4522</v>
      </c>
      <c r="D35" s="1133" t="s">
        <v>4523</v>
      </c>
      <c r="E35" s="1133" t="s">
        <v>4524</v>
      </c>
      <c r="F35" s="1134" t="s">
        <v>4525</v>
      </c>
      <c r="G35" s="1100"/>
      <c r="H35" s="1135" t="s">
        <v>2288</v>
      </c>
      <c r="I35" s="1133" t="s">
        <v>4526</v>
      </c>
      <c r="J35" s="1133" t="s">
        <v>4527</v>
      </c>
      <c r="K35" s="1133" t="s">
        <v>4528</v>
      </c>
      <c r="L35" s="1136" t="s">
        <v>4529</v>
      </c>
      <c r="M35" s="1131"/>
    </row>
    <row r="36" customFormat="false" ht="15" hidden="false" customHeight="false" outlineLevel="0" collapsed="false">
      <c r="A36" s="1125"/>
      <c r="B36" s="1138" t="s">
        <v>4585</v>
      </c>
      <c r="C36" s="1139" t="s">
        <v>4586</v>
      </c>
      <c r="D36" s="1139" t="s">
        <v>4587</v>
      </c>
      <c r="E36" s="1139" t="s">
        <v>4588</v>
      </c>
      <c r="F36" s="1140" t="s">
        <v>4589</v>
      </c>
      <c r="G36" s="1100"/>
      <c r="H36" s="1141" t="s">
        <v>2277</v>
      </c>
      <c r="I36" s="1142" t="s">
        <v>4534</v>
      </c>
      <c r="J36" s="1142" t="s">
        <v>4535</v>
      </c>
      <c r="K36" s="1142" t="s">
        <v>4536</v>
      </c>
      <c r="L36" s="1143" t="s">
        <v>4537</v>
      </c>
      <c r="M36" s="1131"/>
    </row>
    <row r="37" customFormat="false" ht="15" hidden="false" customHeight="false" outlineLevel="0" collapsed="false">
      <c r="A37" s="1125"/>
      <c r="B37" s="1099"/>
      <c r="C37" s="1100"/>
      <c r="D37" s="1100"/>
      <c r="E37" s="1100"/>
      <c r="F37" s="1100"/>
      <c r="G37" s="1100"/>
      <c r="H37" s="1100"/>
      <c r="I37" s="1100"/>
      <c r="J37" s="1100"/>
      <c r="K37" s="1100"/>
      <c r="L37" s="1103"/>
      <c r="M37" s="1131"/>
    </row>
    <row r="38" customFormat="false" ht="15" hidden="false" customHeight="false" outlineLevel="0" collapsed="false">
      <c r="A38" s="1125"/>
      <c r="B38" s="1144" t="s">
        <v>2265</v>
      </c>
      <c r="C38" s="1145" t="s">
        <v>4538</v>
      </c>
      <c r="D38" s="1145" t="s">
        <v>4539</v>
      </c>
      <c r="E38" s="1145" t="s">
        <v>4540</v>
      </c>
      <c r="F38" s="1146" t="s">
        <v>4541</v>
      </c>
      <c r="G38" s="1100"/>
      <c r="H38" s="1147" t="s">
        <v>2281</v>
      </c>
      <c r="I38" s="1145" t="s">
        <v>4542</v>
      </c>
      <c r="J38" s="1145" t="s">
        <v>4543</v>
      </c>
      <c r="K38" s="1145" t="s">
        <v>4544</v>
      </c>
      <c r="L38" s="1148" t="s">
        <v>4545</v>
      </c>
      <c r="M38" s="1131"/>
    </row>
    <row r="39" customFormat="false" ht="15" hidden="false" customHeight="false" outlineLevel="0" collapsed="false">
      <c r="A39" s="1125"/>
      <c r="B39" s="1132" t="s">
        <v>2293</v>
      </c>
      <c r="C39" s="1133" t="s">
        <v>4546</v>
      </c>
      <c r="D39" s="1133" t="s">
        <v>4547</v>
      </c>
      <c r="E39" s="1133" t="s">
        <v>4548</v>
      </c>
      <c r="F39" s="1149" t="s">
        <v>4549</v>
      </c>
      <c r="G39" s="1100"/>
      <c r="H39" s="1135" t="s">
        <v>2287</v>
      </c>
      <c r="I39" s="1133" t="s">
        <v>4550</v>
      </c>
      <c r="J39" s="1133" t="s">
        <v>4551</v>
      </c>
      <c r="K39" s="1133" t="s">
        <v>4552</v>
      </c>
      <c r="L39" s="1136" t="s">
        <v>4553</v>
      </c>
      <c r="M39" s="1131"/>
    </row>
    <row r="40" customFormat="false" ht="15" hidden="false" customHeight="false" outlineLevel="0" collapsed="false">
      <c r="A40" s="1125"/>
      <c r="B40" s="1132" t="s">
        <v>2279</v>
      </c>
      <c r="C40" s="1133" t="s">
        <v>4554</v>
      </c>
      <c r="D40" s="1137" t="s">
        <v>4590</v>
      </c>
      <c r="E40" s="1133" t="s">
        <v>4556</v>
      </c>
      <c r="F40" s="1149" t="s">
        <v>4557</v>
      </c>
      <c r="G40" s="1100"/>
      <c r="H40" s="1135" t="s">
        <v>2285</v>
      </c>
      <c r="I40" s="1133" t="s">
        <v>4558</v>
      </c>
      <c r="J40" s="1137" t="s">
        <v>4591</v>
      </c>
      <c r="K40" s="1133" t="s">
        <v>4560</v>
      </c>
      <c r="L40" s="1136" t="s">
        <v>4561</v>
      </c>
      <c r="M40" s="1131"/>
    </row>
    <row r="41" customFormat="false" ht="15" hidden="false" customHeight="false" outlineLevel="0" collapsed="false">
      <c r="A41" s="1125"/>
      <c r="B41" s="1132" t="s">
        <v>2268</v>
      </c>
      <c r="C41" s="1133" t="s">
        <v>4562</v>
      </c>
      <c r="D41" s="1133" t="s">
        <v>4563</v>
      </c>
      <c r="E41" s="1133" t="s">
        <v>4564</v>
      </c>
      <c r="F41" s="1149" t="s">
        <v>4565</v>
      </c>
      <c r="G41" s="1100"/>
      <c r="H41" s="1135" t="s">
        <v>2269</v>
      </c>
      <c r="I41" s="1133" t="s">
        <v>4566</v>
      </c>
      <c r="J41" s="1133" t="s">
        <v>4567</v>
      </c>
      <c r="K41" s="1133" t="s">
        <v>4568</v>
      </c>
      <c r="L41" s="1136" t="s">
        <v>4569</v>
      </c>
      <c r="M41" s="1131"/>
    </row>
    <row r="42" customFormat="false" ht="15" hidden="false" customHeight="false" outlineLevel="0" collapsed="false">
      <c r="A42" s="1125"/>
      <c r="B42" s="1150" t="s">
        <v>2289</v>
      </c>
      <c r="C42" s="1151" t="s">
        <v>4570</v>
      </c>
      <c r="D42" s="1151" t="s">
        <v>4571</v>
      </c>
      <c r="E42" s="1151" t="s">
        <v>4572</v>
      </c>
      <c r="F42" s="1152" t="s">
        <v>4573</v>
      </c>
      <c r="G42" s="1118"/>
      <c r="H42" s="1153" t="s">
        <v>2264</v>
      </c>
      <c r="I42" s="1151" t="s">
        <v>4574</v>
      </c>
      <c r="J42" s="1151" t="s">
        <v>4575</v>
      </c>
      <c r="K42" s="1151" t="s">
        <v>4576</v>
      </c>
      <c r="L42" s="1154" t="s">
        <v>4577</v>
      </c>
      <c r="M42" s="1131"/>
    </row>
    <row r="43" customFormat="false" ht="19.5" hidden="false" customHeight="false" outlineLevel="0" collapsed="false">
      <c r="A43" s="419"/>
      <c r="B43" s="1155" t="s">
        <v>4299</v>
      </c>
      <c r="C43" s="1155"/>
      <c r="D43" s="1155"/>
      <c r="E43" s="1155"/>
      <c r="F43" s="1155"/>
      <c r="G43" s="1155"/>
      <c r="H43" s="1155"/>
      <c r="I43" s="1155"/>
      <c r="J43" s="1155"/>
      <c r="K43" s="1155"/>
      <c r="L43" s="1155"/>
      <c r="M43" s="420"/>
    </row>
    <row r="45" customFormat="false" ht="14.15" hidden="false" customHeight="false" outlineLevel="0" collapsed="false">
      <c r="A45" s="1090" t="str">
        <f aca="false">A1&amp;" "&amp;A16</f>
        <v>शत पथ चक्र śata patha cakra </v>
      </c>
      <c r="B45" s="1090" t="str">
        <f aca="false">B1&amp;" "&amp;B16</f>
        <v> </v>
      </c>
      <c r="C45" s="1090" t="str">
        <f aca="false">C1&amp;" "&amp;C16</f>
        <v> </v>
      </c>
      <c r="D45" s="1090" t="str">
        <f aca="false">D1&amp;" "&amp;D16</f>
        <v> </v>
      </c>
      <c r="E45" s="1090" t="str">
        <f aca="false">E1&amp;" "&amp;E16</f>
        <v> </v>
      </c>
      <c r="F45" s="1090" t="str">
        <f aca="false">F1&amp;" "&amp;F16</f>
        <v> </v>
      </c>
      <c r="G45" s="1090" t="str">
        <f aca="false">G1&amp;" "&amp;G16</f>
        <v> </v>
      </c>
      <c r="H45" s="1090" t="str">
        <f aca="false">H1&amp;" "&amp;H16</f>
        <v> </v>
      </c>
      <c r="I45" s="1090" t="str">
        <f aca="false">I1&amp;" "&amp;I16</f>
        <v> </v>
      </c>
      <c r="J45" s="1090" t="str">
        <f aca="false">J1&amp;" "&amp;J16</f>
        <v> </v>
      </c>
      <c r="K45" s="1090" t="str">
        <f aca="false">K1&amp;" "&amp;K16</f>
        <v> </v>
      </c>
      <c r="L45" s="1090" t="str">
        <f aca="false">L1&amp;" "&amp;L16</f>
        <v> </v>
      </c>
      <c r="M45" s="1090" t="str">
        <f aca="false">M1&amp;" "&amp;M16</f>
        <v> </v>
      </c>
    </row>
    <row r="46" customFormat="false" ht="15" hidden="false" customHeight="false" outlineLevel="0" collapsed="false">
      <c r="A46" s="372" t="str">
        <f aca="false">A2&amp;" "&amp;A17</f>
        <v> </v>
      </c>
      <c r="B46" s="1091" t="str">
        <f aca="false">B2&amp;" "&amp;B17</f>
        <v>इन्द्र EAST</v>
      </c>
      <c r="C46" s="1091" t="str">
        <f aca="false">C2&amp;" "&amp;C17</f>
        <v> </v>
      </c>
      <c r="D46" s="1091" t="str">
        <f aca="false">D2&amp;" "&amp;D17</f>
        <v> </v>
      </c>
      <c r="E46" s="1091" t="str">
        <f aca="false">E2&amp;" "&amp;E17</f>
        <v> </v>
      </c>
      <c r="F46" s="1091" t="str">
        <f aca="false">F2&amp;" "&amp;F17</f>
        <v> </v>
      </c>
      <c r="G46" s="1091" t="str">
        <f aca="false">G2&amp;" "&amp;G17</f>
        <v> </v>
      </c>
      <c r="H46" s="1091" t="str">
        <f aca="false">H2&amp;" "&amp;H17</f>
        <v> </v>
      </c>
      <c r="I46" s="1091" t="str">
        <f aca="false">I2&amp;" "&amp;I17</f>
        <v> </v>
      </c>
      <c r="J46" s="1091" t="str">
        <f aca="false">J2&amp;" "&amp;J17</f>
        <v> </v>
      </c>
      <c r="K46" s="1091" t="str">
        <f aca="false">K2&amp;" "&amp;K17</f>
        <v> </v>
      </c>
      <c r="L46" s="1091" t="str">
        <f aca="false">L2&amp;" "&amp;L17</f>
        <v> </v>
      </c>
      <c r="M46" s="519" t="str">
        <f aca="false">M2&amp;" "&amp;M17</f>
        <v> </v>
      </c>
    </row>
    <row r="47" customFormat="false" ht="15" hidden="false" customHeight="false" outlineLevel="0" collapsed="false">
      <c r="A47" s="1158" t="str">
        <f aca="false">A3&amp;" "&amp;A18</f>
        <v>कुबेर NORTH</v>
      </c>
      <c r="B47" s="1093" t="str">
        <f aca="false">B3&amp;" "&amp;B18</f>
        <v>अ a</v>
      </c>
      <c r="C47" s="1094" t="str">
        <f aca="false">C3&amp;" "&amp;C18</f>
        <v>इ i</v>
      </c>
      <c r="D47" s="1094" t="str">
        <f aca="false">D3&amp;" "&amp;D18</f>
        <v>उ u</v>
      </c>
      <c r="E47" s="1094" t="str">
        <f aca="false">E3&amp;" "&amp;E18</f>
        <v>ए e</v>
      </c>
      <c r="F47" s="1095" t="str">
        <f aca="false">F3&amp;" "&amp;F18</f>
        <v>ओ o</v>
      </c>
      <c r="G47" s="1094" t="str">
        <f aca="false">G3&amp;" "&amp;G18</f>
        <v> </v>
      </c>
      <c r="H47" s="1096" t="str">
        <f aca="false">H3&amp;" "&amp;H18</f>
        <v>म ma</v>
      </c>
      <c r="I47" s="1094" t="str">
        <f aca="false">I3&amp;" "&amp;I18</f>
        <v>मि mi</v>
      </c>
      <c r="J47" s="1094" t="str">
        <f aca="false">J3&amp;" "&amp;J18</f>
        <v>मु mu</v>
      </c>
      <c r="K47" s="1094" t="str">
        <f aca="false">K3&amp;" "&amp;K18</f>
        <v>मे me</v>
      </c>
      <c r="L47" s="1097" t="str">
        <f aca="false">L3&amp;" "&amp;L18</f>
        <v>मो mo</v>
      </c>
      <c r="M47" s="1159" t="str">
        <f aca="false">M3&amp;" "&amp;M18</f>
        <v>यम SOUTH</v>
      </c>
    </row>
    <row r="48" customFormat="false" ht="15" hidden="false" customHeight="false" outlineLevel="0" collapsed="false">
      <c r="A48" s="1158" t="str">
        <f aca="false">A4&amp;" "&amp;A19</f>
        <v> </v>
      </c>
      <c r="B48" s="1099" t="str">
        <f aca="false">B4&amp;" "&amp;B19</f>
        <v>व va</v>
      </c>
      <c r="C48" s="1100" t="str">
        <f aca="false">C4&amp;" "&amp;C19</f>
        <v>वि vi</v>
      </c>
      <c r="D48" s="1100" t="str">
        <f aca="false">D4&amp;" "&amp;D19</f>
        <v>वु vu</v>
      </c>
      <c r="E48" s="1100" t="str">
        <f aca="false">E4&amp;" "&amp;E19</f>
        <v>वे ve</v>
      </c>
      <c r="F48" s="1101" t="str">
        <f aca="false">F4&amp;" "&amp;F19</f>
        <v>वो vo</v>
      </c>
      <c r="G48" s="1100" t="str">
        <f aca="false">G4&amp;" "&amp;G19</f>
        <v> </v>
      </c>
      <c r="H48" s="1102" t="str">
        <f aca="false">H4&amp;" "&amp;H19</f>
        <v>ट ṭa</v>
      </c>
      <c r="I48" s="1100" t="str">
        <f aca="false">I4&amp;" "&amp;I19</f>
        <v>टि ṭi</v>
      </c>
      <c r="J48" s="1100" t="str">
        <f aca="false">J4&amp;" "&amp;J19</f>
        <v>टु ṭu</v>
      </c>
      <c r="K48" s="1100" t="str">
        <f aca="false">K4&amp;" "&amp;K19</f>
        <v>टे ṭe</v>
      </c>
      <c r="L48" s="1103" t="str">
        <f aca="false">L4&amp;" "&amp;L19</f>
        <v>टो ṭo</v>
      </c>
      <c r="M48" s="1159" t="str">
        <f aca="false">M4&amp;" "&amp;M19</f>
        <v> </v>
      </c>
    </row>
    <row r="49" customFormat="false" ht="26.85" hidden="false" customHeight="false" outlineLevel="0" collapsed="false">
      <c r="A49" s="1158" t="str">
        <f aca="false">A5&amp;" "&amp;A20</f>
        <v> </v>
      </c>
      <c r="B49" s="1099" t="str">
        <f aca="false">B5&amp;" "&amp;B20</f>
        <v>क ka</v>
      </c>
      <c r="C49" s="1100" t="str">
        <f aca="false">C5&amp;" "&amp;C20</f>
        <v>कि ki</v>
      </c>
      <c r="D49" s="1160" t="str">
        <f aca="false">D5&amp;CHAR(10)&amp;" "&amp;D20</f>
        <v>कु घ ङ च
 ku gha ṅa ca</v>
      </c>
      <c r="E49" s="1100" t="str">
        <f aca="false">E5&amp;" "&amp;E20</f>
        <v>के ke</v>
      </c>
      <c r="F49" s="1101" t="str">
        <f aca="false">F5&amp;" "&amp;F20</f>
        <v>को ko</v>
      </c>
      <c r="G49" s="1100" t="str">
        <f aca="false">G5&amp;" "&amp;G20</f>
        <v> </v>
      </c>
      <c r="H49" s="1102" t="str">
        <f aca="false">H5&amp;" "&amp;H20</f>
        <v>प pa</v>
      </c>
      <c r="I49" s="1100" t="str">
        <f aca="false">I5&amp;" "&amp;I20</f>
        <v>पि pi</v>
      </c>
      <c r="J49" s="1160" t="str">
        <f aca="false">J5&amp;CHAR(10)&amp;" "&amp;J20</f>
        <v> पु ष ण ठ
 pu ṣa ṇa ṭha</v>
      </c>
      <c r="K49" s="1100" t="str">
        <f aca="false">K5&amp;" "&amp;K20</f>
        <v>पे pe</v>
      </c>
      <c r="L49" s="1103" t="str">
        <f aca="false">L5&amp;" "&amp;L20</f>
        <v>पो po</v>
      </c>
      <c r="M49" s="1159" t="str">
        <f aca="false">M5&amp;" "&amp;M20</f>
        <v> </v>
      </c>
    </row>
    <row r="50" customFormat="false" ht="15" hidden="false" customHeight="false" outlineLevel="0" collapsed="false">
      <c r="A50" s="1158" t="str">
        <f aca="false">A6&amp;" "&amp;A21</f>
        <v> </v>
      </c>
      <c r="B50" s="1099" t="str">
        <f aca="false">B6&amp;" "&amp;B21</f>
        <v>ह ha</v>
      </c>
      <c r="C50" s="1100" t="str">
        <f aca="false">C6&amp;" "&amp;C21</f>
        <v>हि hi</v>
      </c>
      <c r="D50" s="1100" t="str">
        <f aca="false">D6&amp;" "&amp;D21</f>
        <v>हु hu</v>
      </c>
      <c r="E50" s="1100" t="str">
        <f aca="false">E6&amp;" "&amp;E21</f>
        <v>हे he</v>
      </c>
      <c r="F50" s="1101" t="str">
        <f aca="false">F6&amp;" "&amp;F21</f>
        <v>हो ho</v>
      </c>
      <c r="G50" s="1100" t="str">
        <f aca="false">G6&amp;" "&amp;G21</f>
        <v> </v>
      </c>
      <c r="H50" s="1102" t="str">
        <f aca="false">H6&amp;" "&amp;H21</f>
        <v>र ra</v>
      </c>
      <c r="I50" s="1100" t="str">
        <f aca="false">I6&amp;" "&amp;I21</f>
        <v>रि ri</v>
      </c>
      <c r="J50" s="1100" t="str">
        <f aca="false">J6&amp;" "&amp;J21</f>
        <v>रु ru</v>
      </c>
      <c r="K50" s="1100" t="str">
        <f aca="false">K6&amp;" "&amp;K21</f>
        <v>रे re</v>
      </c>
      <c r="L50" s="1103" t="str">
        <f aca="false">L6&amp;" "&amp;L21</f>
        <v>रो ro</v>
      </c>
      <c r="M50" s="1159" t="str">
        <f aca="false">M6&amp;" "&amp;M21</f>
        <v> </v>
      </c>
    </row>
    <row r="51" customFormat="false" ht="15" hidden="false" customHeight="false" outlineLevel="0" collapsed="false">
      <c r="A51" s="1158" t="str">
        <f aca="false">A7&amp;" "&amp;A22</f>
        <v> </v>
      </c>
      <c r="B51" s="1105" t="str">
        <f aca="false">B7&amp;" "&amp;B22</f>
        <v>ड ḍa</v>
      </c>
      <c r="C51" s="1106" t="str">
        <f aca="false">C7&amp;" "&amp;C22</f>
        <v>डि ḍi</v>
      </c>
      <c r="D51" s="1106" t="str">
        <f aca="false">D7&amp;" "&amp;D22</f>
        <v>डु ḍu</v>
      </c>
      <c r="E51" s="1106" t="str">
        <f aca="false">E7&amp;" "&amp;E22</f>
        <v>डे ḍe</v>
      </c>
      <c r="F51" s="1107" t="str">
        <f aca="false">F7&amp;" "&amp;F22</f>
        <v>डो ḍo</v>
      </c>
      <c r="G51" s="1100" t="str">
        <f aca="false">G7&amp;" "&amp;G22</f>
        <v> </v>
      </c>
      <c r="H51" s="1108" t="str">
        <f aca="false">H7&amp;" "&amp;H22</f>
        <v>त ta</v>
      </c>
      <c r="I51" s="1109" t="str">
        <f aca="false">I7&amp;" "&amp;I22</f>
        <v>ति ti</v>
      </c>
      <c r="J51" s="1109" t="str">
        <f aca="false">J7&amp;" "&amp;J22</f>
        <v>तु tu</v>
      </c>
      <c r="K51" s="1109" t="str">
        <f aca="false">K7&amp;" "&amp;K22</f>
        <v>ते te</v>
      </c>
      <c r="L51" s="1110" t="str">
        <f aca="false">L7&amp;" "&amp;L22</f>
        <v>तो to</v>
      </c>
      <c r="M51" s="1159" t="str">
        <f aca="false">M7&amp;" "&amp;M22</f>
        <v> </v>
      </c>
    </row>
    <row r="52" customFormat="false" ht="15" hidden="false" customHeight="false" outlineLevel="0" collapsed="false">
      <c r="A52" s="1158" t="str">
        <f aca="false">A8&amp;" "&amp;A23</f>
        <v> </v>
      </c>
      <c r="B52" s="1099" t="str">
        <f aca="false">B8&amp;" "&amp;B23</f>
        <v> </v>
      </c>
      <c r="C52" s="1100" t="str">
        <f aca="false">C8&amp;" "&amp;C23</f>
        <v> </v>
      </c>
      <c r="D52" s="1100" t="str">
        <f aca="false">D8&amp;" "&amp;D23</f>
        <v> </v>
      </c>
      <c r="E52" s="1100" t="str">
        <f aca="false">E8&amp;" "&amp;E23</f>
        <v> </v>
      </c>
      <c r="F52" s="1100" t="str">
        <f aca="false">F8&amp;" "&amp;F23</f>
        <v> </v>
      </c>
      <c r="G52" s="1100" t="str">
        <f aca="false">G8&amp;" "&amp;G23</f>
        <v> </v>
      </c>
      <c r="H52" s="1100" t="str">
        <f aca="false">H8&amp;" "&amp;H23</f>
        <v> </v>
      </c>
      <c r="I52" s="1100" t="str">
        <f aca="false">I8&amp;" "&amp;I23</f>
        <v> </v>
      </c>
      <c r="J52" s="1100" t="str">
        <f aca="false">J8&amp;" "&amp;J23</f>
        <v> </v>
      </c>
      <c r="K52" s="1100" t="str">
        <f aca="false">K8&amp;" "&amp;K23</f>
        <v> </v>
      </c>
      <c r="L52" s="1103" t="str">
        <f aca="false">L8&amp;" "&amp;L23</f>
        <v> </v>
      </c>
      <c r="M52" s="1159" t="str">
        <f aca="false">M8&amp;" "&amp;M23</f>
        <v> </v>
      </c>
    </row>
    <row r="53" customFormat="false" ht="15" hidden="false" customHeight="false" outlineLevel="0" collapsed="false">
      <c r="A53" s="1158" t="str">
        <f aca="false">A9&amp;" "&amp;A24</f>
        <v> </v>
      </c>
      <c r="B53" s="1111" t="str">
        <f aca="false">B9&amp;" "&amp;B24</f>
        <v>ग ga</v>
      </c>
      <c r="C53" s="1112" t="str">
        <f aca="false">C9&amp;" "&amp;C24</f>
        <v>गि gi</v>
      </c>
      <c r="D53" s="1112" t="str">
        <f aca="false">D9&amp;" "&amp;D24</f>
        <v>गु gu</v>
      </c>
      <c r="E53" s="1112" t="str">
        <f aca="false">E9&amp;" "&amp;E24</f>
        <v>गे ge</v>
      </c>
      <c r="F53" s="1113" t="str">
        <f aca="false">F9&amp;" "&amp;F24</f>
        <v>गो go</v>
      </c>
      <c r="G53" s="1100" t="str">
        <f aca="false">G9&amp;" "&amp;G24</f>
        <v> </v>
      </c>
      <c r="H53" s="1114" t="str">
        <f aca="false">H9&amp;" "&amp;H24</f>
        <v>न na</v>
      </c>
      <c r="I53" s="1112" t="str">
        <f aca="false">I9&amp;" "&amp;I24</f>
        <v>नि ni</v>
      </c>
      <c r="J53" s="1112" t="str">
        <f aca="false">J9&amp;" "&amp;J24</f>
        <v>नु nu</v>
      </c>
      <c r="K53" s="1112" t="str">
        <f aca="false">K9&amp;" "&amp;K24</f>
        <v>ने ne</v>
      </c>
      <c r="L53" s="1115" t="str">
        <f aca="false">L9&amp;" "&amp;L24</f>
        <v>नो no</v>
      </c>
      <c r="M53" s="1159" t="str">
        <f aca="false">M9&amp;" "&amp;M24</f>
        <v> </v>
      </c>
    </row>
    <row r="54" customFormat="false" ht="15" hidden="false" customHeight="false" outlineLevel="0" collapsed="false">
      <c r="A54" s="1158" t="str">
        <f aca="false">A10&amp;" "&amp;A25</f>
        <v> </v>
      </c>
      <c r="B54" s="1099" t="str">
        <f aca="false">B10&amp;" "&amp;B25</f>
        <v>स sa</v>
      </c>
      <c r="C54" s="1100" t="str">
        <f aca="false">C10&amp;" "&amp;C25</f>
        <v>सि si</v>
      </c>
      <c r="D54" s="1100" t="str">
        <f aca="false">D10&amp;" "&amp;D25</f>
        <v>सु su</v>
      </c>
      <c r="E54" s="1100" t="str">
        <f aca="false">E10&amp;" "&amp;E25</f>
        <v>से se</v>
      </c>
      <c r="F54" s="1116" t="str">
        <f aca="false">F10&amp;" "&amp;F25</f>
        <v>सो so</v>
      </c>
      <c r="G54" s="1100" t="str">
        <f aca="false">G10&amp;" "&amp;G25</f>
        <v> </v>
      </c>
      <c r="H54" s="1102" t="str">
        <f aca="false">H10&amp;" "&amp;H25</f>
        <v>य ya</v>
      </c>
      <c r="I54" s="1100" t="str">
        <f aca="false">I10&amp;" "&amp;I25</f>
        <v>यि yi</v>
      </c>
      <c r="J54" s="1100" t="str">
        <f aca="false">J10&amp;" "&amp;J25</f>
        <v>यु yu</v>
      </c>
      <c r="K54" s="1100" t="str">
        <f aca="false">K10&amp;" "&amp;K25</f>
        <v>ये ye</v>
      </c>
      <c r="L54" s="1103" t="str">
        <f aca="false">L10&amp;" "&amp;L25</f>
        <v>यो yo</v>
      </c>
      <c r="M54" s="1159" t="str">
        <f aca="false">M10&amp;" "&amp;M25</f>
        <v> </v>
      </c>
    </row>
    <row r="55" customFormat="false" ht="26.85" hidden="false" customHeight="false" outlineLevel="0" collapsed="false">
      <c r="A55" s="1158" t="str">
        <f aca="false">A11&amp;" "&amp;A26</f>
        <v> </v>
      </c>
      <c r="B55" s="1099" t="str">
        <f aca="false">B11&amp;" "&amp;B26</f>
        <v>द da</v>
      </c>
      <c r="C55" s="1100" t="str">
        <f aca="false">C11&amp;" "&amp;C26</f>
        <v>दि di</v>
      </c>
      <c r="D55" s="1160" t="str">
        <f aca="false">D11&amp;CHAR(10)&amp;" "&amp;D26</f>
        <v>दु थ झ म
 du tha jha ma</v>
      </c>
      <c r="E55" s="1100" t="str">
        <f aca="false">E11&amp;" "&amp;E26</f>
        <v>दे de</v>
      </c>
      <c r="F55" s="1116" t="str">
        <f aca="false">F11&amp;" "&amp;F26</f>
        <v>दो do</v>
      </c>
      <c r="G55" s="1100" t="str">
        <f aca="false">G11&amp;" "&amp;G26</f>
        <v> </v>
      </c>
      <c r="H55" s="1102" t="str">
        <f aca="false">H11&amp;" "&amp;H26</f>
        <v>भ bha</v>
      </c>
      <c r="I55" s="1100" t="str">
        <f aca="false">I11&amp;" "&amp;I26</f>
        <v>भि bhi</v>
      </c>
      <c r="J55" s="1160" t="str">
        <f aca="false">J11&amp;CHAR(10)&amp;" "&amp;J26</f>
        <v>भु ध फ ट
 bhu dha pha ṭa</v>
      </c>
      <c r="K55" s="1100" t="str">
        <f aca="false">K11&amp;" "&amp;K26</f>
        <v>भे bhe</v>
      </c>
      <c r="L55" s="1103" t="str">
        <f aca="false">L11&amp;" "&amp;L26</f>
        <v>भो bho</v>
      </c>
      <c r="M55" s="1159" t="str">
        <f aca="false">M11&amp;" "&amp;M26</f>
        <v> </v>
      </c>
    </row>
    <row r="56" customFormat="false" ht="15" hidden="false" customHeight="false" outlineLevel="0" collapsed="false">
      <c r="A56" s="1158" t="str">
        <f aca="false">A12&amp;" "&amp;A27</f>
        <v> </v>
      </c>
      <c r="B56" s="1099" t="str">
        <f aca="false">B12&amp;" "&amp;B27</f>
        <v>च ca</v>
      </c>
      <c r="C56" s="1100" t="str">
        <f aca="false">C12&amp;" "&amp;C27</f>
        <v>चि ci</v>
      </c>
      <c r="D56" s="1100" t="str">
        <f aca="false">D12&amp;" "&amp;D27</f>
        <v>चु cu</v>
      </c>
      <c r="E56" s="1100" t="str">
        <f aca="false">E12&amp;" "&amp;E27</f>
        <v>चे ce</v>
      </c>
      <c r="F56" s="1116" t="str">
        <f aca="false">F12&amp;" "&amp;F27</f>
        <v>चो co</v>
      </c>
      <c r="G56" s="1100" t="str">
        <f aca="false">G12&amp;" "&amp;G27</f>
        <v> </v>
      </c>
      <c r="H56" s="1102" t="str">
        <f aca="false">H12&amp;" "&amp;H27</f>
        <v>ज ja</v>
      </c>
      <c r="I56" s="1100" t="str">
        <f aca="false">I12&amp;" "&amp;I27</f>
        <v>जि ji</v>
      </c>
      <c r="J56" s="1100" t="str">
        <f aca="false">J12&amp;" "&amp;J27</f>
        <v>जु ju</v>
      </c>
      <c r="K56" s="1100" t="str">
        <f aca="false">K12&amp;" "&amp;K27</f>
        <v>जे je</v>
      </c>
      <c r="L56" s="1103" t="str">
        <f aca="false">L12&amp;" "&amp;L27</f>
        <v>जो jo</v>
      </c>
      <c r="M56" s="1159" t="str">
        <f aca="false">M12&amp;" "&amp;M27</f>
        <v> </v>
      </c>
    </row>
    <row r="57" customFormat="false" ht="15" hidden="false" customHeight="false" outlineLevel="0" collapsed="false">
      <c r="A57" s="1158" t="str">
        <f aca="false">A13&amp;" "&amp;A28</f>
        <v> </v>
      </c>
      <c r="B57" s="1117" t="str">
        <f aca="false">B13&amp;" "&amp;B28</f>
        <v>ल la</v>
      </c>
      <c r="C57" s="1118" t="str">
        <f aca="false">C13&amp;" "&amp;C28</f>
        <v>लि li</v>
      </c>
      <c r="D57" s="1118" t="str">
        <f aca="false">D13&amp;" "&amp;D28</f>
        <v>लु lu</v>
      </c>
      <c r="E57" s="1118" t="str">
        <f aca="false">E13&amp;" "&amp;E28</f>
        <v>ले le</v>
      </c>
      <c r="F57" s="1119" t="str">
        <f aca="false">F13&amp;" "&amp;F28</f>
        <v>लो lo</v>
      </c>
      <c r="G57" s="1118" t="str">
        <f aca="false">G13&amp;" "&amp;G28</f>
        <v> </v>
      </c>
      <c r="H57" s="1120" t="str">
        <f aca="false">H13&amp;" "&amp;H28</f>
        <v>ख kha</v>
      </c>
      <c r="I57" s="1118" t="str">
        <f aca="false">I13&amp;" "&amp;I28</f>
        <v>खि khi</v>
      </c>
      <c r="J57" s="1118" t="str">
        <f aca="false">J13&amp;" "&amp;J28</f>
        <v>खु khu</v>
      </c>
      <c r="K57" s="1118" t="str">
        <f aca="false">K13&amp;" "&amp;K28</f>
        <v>खे khe</v>
      </c>
      <c r="L57" s="1121" t="str">
        <f aca="false">L13&amp;" "&amp;L28</f>
        <v>खो kho</v>
      </c>
      <c r="M57" s="1159" t="str">
        <f aca="false">M13&amp;" "&amp;M28</f>
        <v> </v>
      </c>
    </row>
    <row r="58" customFormat="false" ht="15" hidden="false" customHeight="false" outlineLevel="0" collapsed="false">
      <c r="A58" s="419" t="str">
        <f aca="false">A14&amp;" "&amp;A29</f>
        <v> </v>
      </c>
      <c r="B58" s="1122" t="str">
        <f aca="false">B14&amp;" "&amp;B29</f>
        <v>वरुण WEST</v>
      </c>
      <c r="C58" s="1122" t="str">
        <f aca="false">C14&amp;" "&amp;C29</f>
        <v> </v>
      </c>
      <c r="D58" s="1122" t="str">
        <f aca="false">D14&amp;" "&amp;D29</f>
        <v> </v>
      </c>
      <c r="E58" s="1122" t="str">
        <f aca="false">E14&amp;" "&amp;E29</f>
        <v> </v>
      </c>
      <c r="F58" s="1122" t="str">
        <f aca="false">F14&amp;" "&amp;F29</f>
        <v> </v>
      </c>
      <c r="G58" s="1122" t="str">
        <f aca="false">G14&amp;" "&amp;G29</f>
        <v> </v>
      </c>
      <c r="H58" s="1122" t="str">
        <f aca="false">H14&amp;" "&amp;H29</f>
        <v> </v>
      </c>
      <c r="I58" s="1122" t="str">
        <f aca="false">I14&amp;" "&amp;I29</f>
        <v> </v>
      </c>
      <c r="J58" s="1122" t="str">
        <f aca="false">J14&amp;" "&amp;J29</f>
        <v> </v>
      </c>
      <c r="K58" s="1122" t="str">
        <f aca="false">K14&amp;" "&amp;K29</f>
        <v> </v>
      </c>
      <c r="L58" s="1122" t="str">
        <f aca="false">L14&amp;" "&amp;L29</f>
        <v> </v>
      </c>
      <c r="M58" s="420" t="str">
        <f aca="false">M14&amp;" "&amp;M29</f>
        <v> </v>
      </c>
    </row>
    <row r="59" customFormat="false" ht="15" hidden="false" customHeight="false" outlineLevel="0" collapsed="false">
      <c r="A59" s="6" t="str">
        <f aca="false">A15&amp;" "&amp;A30</f>
        <v> </v>
      </c>
      <c r="B59" s="6" t="str">
        <f aca="false">B15&amp;" "&amp;B30</f>
        <v> </v>
      </c>
      <c r="C59" s="6" t="str">
        <f aca="false">C15&amp;" "&amp;C30</f>
        <v> </v>
      </c>
      <c r="D59" s="6" t="str">
        <f aca="false">D15&amp;" "&amp;D30</f>
        <v> </v>
      </c>
      <c r="E59" s="6" t="str">
        <f aca="false">E15&amp;" "&amp;E30</f>
        <v> </v>
      </c>
      <c r="F59" s="6" t="str">
        <f aca="false">F15&amp;" "&amp;F30</f>
        <v> shata patha cakra </v>
      </c>
      <c r="H59" s="6" t="str">
        <f aca="false">H15&amp;" "&amp;H30</f>
        <v> </v>
      </c>
      <c r="I59" s="6" t="str">
        <f aca="false">I15&amp;" "&amp;I30</f>
        <v> </v>
      </c>
      <c r="J59" s="6" t="str">
        <f aca="false">J15&amp;" "&amp;J30</f>
        <v> </v>
      </c>
      <c r="K59" s="6" t="str">
        <f aca="false">K15&amp;" "&amp;K30</f>
        <v> </v>
      </c>
      <c r="L59" s="6" t="str">
        <f aca="false">L15&amp;" "&amp;L30</f>
        <v> </v>
      </c>
      <c r="M59" s="6" t="str">
        <f aca="false">M15&amp;" "&amp;M30</f>
        <v> </v>
      </c>
    </row>
    <row r="60" customFormat="false" ht="15" hidden="false" customHeight="false" outlineLevel="0" collapsed="false">
      <c r="A60" s="1123" t="s">
        <v>4592</v>
      </c>
      <c r="B60" s="1123"/>
      <c r="C60" s="1123"/>
      <c r="D60" s="1123"/>
      <c r="E60" s="1123"/>
      <c r="F60" s="1123"/>
      <c r="G60" s="1123"/>
      <c r="H60" s="1123"/>
      <c r="I60" s="1123"/>
      <c r="J60" s="1123"/>
      <c r="K60" s="1123"/>
      <c r="L60" s="1123"/>
      <c r="M60" s="1123"/>
    </row>
    <row r="61" customFormat="false" ht="19.7" hidden="false" customHeight="false" outlineLevel="0" collapsed="false">
      <c r="A61" s="372"/>
      <c r="B61" s="1161"/>
      <c r="C61" s="206"/>
      <c r="D61" s="206"/>
      <c r="E61" s="206"/>
      <c r="F61" s="206"/>
      <c r="G61" s="206"/>
      <c r="H61" s="206"/>
      <c r="I61" s="206"/>
      <c r="J61" s="206"/>
      <c r="K61" s="206"/>
      <c r="L61" s="206"/>
      <c r="M61" s="519"/>
    </row>
    <row r="62" customFormat="false" ht="19.7" hidden="false" customHeight="false" outlineLevel="0" collapsed="false">
      <c r="A62" s="1162"/>
      <c r="B62" s="1126" t="s">
        <v>4593</v>
      </c>
      <c r="C62" s="1127" t="s">
        <v>4594</v>
      </c>
      <c r="D62" s="1127" t="s">
        <v>4595</v>
      </c>
      <c r="E62" s="1127" t="s">
        <v>4596</v>
      </c>
      <c r="F62" s="1128" t="s">
        <v>4597</v>
      </c>
      <c r="G62" s="1094"/>
      <c r="H62" s="1129" t="s">
        <v>4598</v>
      </c>
      <c r="I62" s="1127" t="s">
        <v>4599</v>
      </c>
      <c r="J62" s="1127" t="s">
        <v>4600</v>
      </c>
      <c r="K62" s="1127" t="s">
        <v>4601</v>
      </c>
      <c r="L62" s="1130" t="s">
        <v>4602</v>
      </c>
      <c r="M62" s="1163"/>
    </row>
    <row r="63" customFormat="false" ht="15" hidden="false" customHeight="false" outlineLevel="0" collapsed="false">
      <c r="A63" s="1164"/>
      <c r="B63" s="1132" t="s">
        <v>4603</v>
      </c>
      <c r="C63" s="1133" t="s">
        <v>4604</v>
      </c>
      <c r="D63" s="1133" t="s">
        <v>4605</v>
      </c>
      <c r="E63" s="1133" t="s">
        <v>4606</v>
      </c>
      <c r="F63" s="1134" t="s">
        <v>4607</v>
      </c>
      <c r="G63" s="1100"/>
      <c r="H63" s="1135" t="s">
        <v>4608</v>
      </c>
      <c r="I63" s="1133" t="s">
        <v>4609</v>
      </c>
      <c r="J63" s="1133" t="s">
        <v>4610</v>
      </c>
      <c r="K63" s="1133" t="s">
        <v>4611</v>
      </c>
      <c r="L63" s="1136" t="s">
        <v>4612</v>
      </c>
      <c r="M63" s="1165"/>
    </row>
    <row r="64" customFormat="false" ht="15" hidden="false" customHeight="false" outlineLevel="0" collapsed="false">
      <c r="A64" s="1164"/>
      <c r="B64" s="1132" t="s">
        <v>4613</v>
      </c>
      <c r="C64" s="1133" t="s">
        <v>4614</v>
      </c>
      <c r="D64" s="1166" t="s">
        <v>4615</v>
      </c>
      <c r="E64" s="1133" t="s">
        <v>4616</v>
      </c>
      <c r="F64" s="1134" t="s">
        <v>4617</v>
      </c>
      <c r="G64" s="1100"/>
      <c r="H64" s="1135" t="s">
        <v>4618</v>
      </c>
      <c r="I64" s="1133" t="s">
        <v>4619</v>
      </c>
      <c r="J64" s="1166" t="s">
        <v>4620</v>
      </c>
      <c r="K64" s="1133" t="s">
        <v>4621</v>
      </c>
      <c r="L64" s="1136" t="s">
        <v>4622</v>
      </c>
      <c r="M64" s="1165"/>
    </row>
    <row r="65" customFormat="false" ht="15" hidden="false" customHeight="false" outlineLevel="0" collapsed="false">
      <c r="A65" s="1164"/>
      <c r="B65" s="1132" t="s">
        <v>4623</v>
      </c>
      <c r="C65" s="1133" t="s">
        <v>4624</v>
      </c>
      <c r="D65" s="1133" t="s">
        <v>4625</v>
      </c>
      <c r="E65" s="1133" t="s">
        <v>4626</v>
      </c>
      <c r="F65" s="1134" t="s">
        <v>4627</v>
      </c>
      <c r="G65" s="1100"/>
      <c r="H65" s="1135" t="s">
        <v>4628</v>
      </c>
      <c r="I65" s="1133" t="s">
        <v>4629</v>
      </c>
      <c r="J65" s="1133" t="s">
        <v>4630</v>
      </c>
      <c r="K65" s="1133" t="s">
        <v>4631</v>
      </c>
      <c r="L65" s="1136" t="s">
        <v>4632</v>
      </c>
      <c r="M65" s="1165"/>
    </row>
    <row r="66" customFormat="false" ht="15" hidden="false" customHeight="false" outlineLevel="0" collapsed="false">
      <c r="A66" s="1164"/>
      <c r="B66" s="1138" t="s">
        <v>4633</v>
      </c>
      <c r="C66" s="1139" t="s">
        <v>4634</v>
      </c>
      <c r="D66" s="1139" t="s">
        <v>4635</v>
      </c>
      <c r="E66" s="1139" t="s">
        <v>4636</v>
      </c>
      <c r="F66" s="1140" t="s">
        <v>4637</v>
      </c>
      <c r="G66" s="1100"/>
      <c r="H66" s="1141" t="s">
        <v>4638</v>
      </c>
      <c r="I66" s="1142" t="s">
        <v>4639</v>
      </c>
      <c r="J66" s="1142" t="s">
        <v>4640</v>
      </c>
      <c r="K66" s="1142" t="s">
        <v>4641</v>
      </c>
      <c r="L66" s="1143" t="s">
        <v>4642</v>
      </c>
      <c r="M66" s="1165"/>
    </row>
    <row r="67" customFormat="false" ht="15" hidden="false" customHeight="false" outlineLevel="0" collapsed="false">
      <c r="A67" s="1164"/>
      <c r="B67" s="1099"/>
      <c r="C67" s="1100"/>
      <c r="D67" s="1100"/>
      <c r="E67" s="1100"/>
      <c r="F67" s="1100"/>
      <c r="G67" s="1100"/>
      <c r="H67" s="1100"/>
      <c r="I67" s="1100"/>
      <c r="J67" s="1100"/>
      <c r="K67" s="1100"/>
      <c r="L67" s="1103"/>
      <c r="M67" s="1165"/>
    </row>
    <row r="68" customFormat="false" ht="15" hidden="false" customHeight="false" outlineLevel="0" collapsed="false">
      <c r="A68" s="1164"/>
      <c r="B68" s="1151" t="s">
        <v>4643</v>
      </c>
      <c r="C68" s="1151" t="s">
        <v>4644</v>
      </c>
      <c r="D68" s="1151" t="s">
        <v>4645</v>
      </c>
      <c r="E68" s="1154" t="s">
        <v>4646</v>
      </c>
      <c r="F68" s="1144" t="s">
        <v>4647</v>
      </c>
      <c r="G68" s="1100"/>
      <c r="H68" s="1147" t="s">
        <v>4648</v>
      </c>
      <c r="I68" s="1145" t="s">
        <v>4649</v>
      </c>
      <c r="J68" s="1145" t="s">
        <v>4650</v>
      </c>
      <c r="K68" s="1145" t="s">
        <v>4651</v>
      </c>
      <c r="L68" s="1148" t="s">
        <v>4652</v>
      </c>
      <c r="M68" s="1165"/>
    </row>
    <row r="69" customFormat="false" ht="15" hidden="false" customHeight="false" outlineLevel="0" collapsed="false">
      <c r="A69" s="1164"/>
      <c r="B69" s="1145" t="s">
        <v>4653</v>
      </c>
      <c r="C69" s="1145" t="s">
        <v>4654</v>
      </c>
      <c r="D69" s="1145" t="s">
        <v>4655</v>
      </c>
      <c r="E69" s="1146" t="s">
        <v>4656</v>
      </c>
      <c r="F69" s="1132" t="s">
        <v>4657</v>
      </c>
      <c r="G69" s="1100"/>
      <c r="H69" s="1135" t="s">
        <v>4658</v>
      </c>
      <c r="I69" s="1133" t="s">
        <v>4659</v>
      </c>
      <c r="J69" s="1133" t="s">
        <v>4660</v>
      </c>
      <c r="K69" s="1133" t="s">
        <v>4661</v>
      </c>
      <c r="L69" s="1136" t="s">
        <v>4662</v>
      </c>
      <c r="M69" s="1165"/>
    </row>
    <row r="70" customFormat="false" ht="15" hidden="false" customHeight="false" outlineLevel="0" collapsed="false">
      <c r="A70" s="1164"/>
      <c r="B70" s="1133" t="s">
        <v>4663</v>
      </c>
      <c r="C70" s="1133" t="s">
        <v>4664</v>
      </c>
      <c r="D70" s="1133" t="s">
        <v>4665</v>
      </c>
      <c r="E70" s="1137" t="s">
        <v>4666</v>
      </c>
      <c r="F70" s="1137" t="s">
        <v>4667</v>
      </c>
      <c r="G70" s="1100"/>
      <c r="H70" s="1135" t="s">
        <v>4668</v>
      </c>
      <c r="I70" s="1133" t="s">
        <v>4669</v>
      </c>
      <c r="J70" s="1166" t="s">
        <v>4670</v>
      </c>
      <c r="K70" s="1133" t="s">
        <v>4671</v>
      </c>
      <c r="L70" s="1136" t="s">
        <v>4672</v>
      </c>
      <c r="M70" s="1165"/>
    </row>
    <row r="71" customFormat="false" ht="15" hidden="false" customHeight="false" outlineLevel="0" collapsed="false">
      <c r="A71" s="1164"/>
      <c r="B71" s="1137" t="s">
        <v>4673</v>
      </c>
      <c r="C71" s="1137" t="s">
        <v>4674</v>
      </c>
      <c r="D71" s="1133" t="s">
        <v>4675</v>
      </c>
      <c r="E71" s="1149" t="s">
        <v>4676</v>
      </c>
      <c r="F71" s="1132" t="s">
        <v>4677</v>
      </c>
      <c r="G71" s="1100"/>
      <c r="H71" s="1135" t="s">
        <v>4678</v>
      </c>
      <c r="I71" s="1133" t="s">
        <v>4679</v>
      </c>
      <c r="J71" s="6" t="s">
        <v>4680</v>
      </c>
      <c r="K71" s="6" t="s">
        <v>4681</v>
      </c>
      <c r="L71" s="6" t="s">
        <v>4682</v>
      </c>
      <c r="M71" s="1165"/>
    </row>
    <row r="72" customFormat="false" ht="15" hidden="false" customHeight="false" outlineLevel="0" collapsed="false">
      <c r="A72" s="1164"/>
      <c r="B72" s="1133" t="s">
        <v>4683</v>
      </c>
      <c r="C72" s="1133" t="s">
        <v>4684</v>
      </c>
      <c r="D72" s="1133" t="s">
        <v>4685</v>
      </c>
      <c r="E72" s="1149" t="s">
        <v>4686</v>
      </c>
      <c r="F72" s="1150" t="s">
        <v>4687</v>
      </c>
      <c r="G72" s="1118"/>
      <c r="H72" s="6" t="s">
        <v>4682</v>
      </c>
      <c r="I72" s="1133" t="s">
        <v>4688</v>
      </c>
      <c r="J72" s="1133" t="s">
        <v>4689</v>
      </c>
      <c r="K72" s="1136" t="s">
        <v>4690</v>
      </c>
      <c r="L72" s="1153" t="s">
        <v>4691</v>
      </c>
      <c r="M72" s="1165"/>
    </row>
    <row r="73" customFormat="false" ht="19.5" hidden="false" customHeight="false" outlineLevel="0" collapsed="false">
      <c r="A73" s="419"/>
      <c r="B73" s="1155"/>
      <c r="C73" s="522"/>
      <c r="D73" s="522"/>
      <c r="E73" s="522"/>
      <c r="F73" s="522"/>
      <c r="G73" s="522"/>
      <c r="H73" s="522"/>
      <c r="I73" s="522"/>
      <c r="J73" s="522"/>
      <c r="K73" s="522"/>
      <c r="L73" s="522"/>
      <c r="M73" s="1167" t="s">
        <v>4692</v>
      </c>
    </row>
    <row r="75" customFormat="false" ht="45.5" hidden="false" customHeight="false" outlineLevel="0" collapsed="false">
      <c r="A75" s="1168" t="str">
        <f aca="false">A60&amp;CHAR(10)&amp;A45</f>
        <v>Hundred Paths Chakra
शत पथ चक्र śata patha cakra </v>
      </c>
      <c r="B75" s="1168" t="str">
        <f aca="false">B60&amp;CHAR(10)&amp;B45</f>
        <v>
 </v>
      </c>
      <c r="C75" s="1168" t="str">
        <f aca="false">C60&amp;CHAR(10)&amp;C45</f>
        <v>
 </v>
      </c>
      <c r="D75" s="1168" t="str">
        <f aca="false">D60&amp;CHAR(10)&amp;D45</f>
        <v>
 </v>
      </c>
      <c r="E75" s="1168" t="str">
        <f aca="false">E60&amp;CHAR(10)&amp;E45</f>
        <v>
 </v>
      </c>
      <c r="F75" s="1168" t="str">
        <f aca="false">F60&amp;CHAR(10)&amp;F45</f>
        <v>
 </v>
      </c>
      <c r="G75" s="1168" t="str">
        <f aca="false">G60&amp;CHAR(10)&amp;G45</f>
        <v>
 </v>
      </c>
      <c r="H75" s="1168" t="str">
        <f aca="false">H60&amp;CHAR(10)&amp;H45</f>
        <v>
 </v>
      </c>
      <c r="I75" s="1168" t="str">
        <f aca="false">I60&amp;CHAR(10)&amp;I45</f>
        <v>
 </v>
      </c>
      <c r="J75" s="1168" t="str">
        <f aca="false">J60&amp;CHAR(10)&amp;J45</f>
        <v>
 </v>
      </c>
      <c r="K75" s="1168" t="str">
        <f aca="false">K60&amp;CHAR(10)&amp;K45</f>
        <v>
 </v>
      </c>
      <c r="L75" s="1168" t="str">
        <f aca="false">L60&amp;CHAR(10)&amp;L45</f>
        <v>
 </v>
      </c>
      <c r="M75" s="1168" t="str">
        <f aca="false">M60&amp;CHAR(10)&amp;M45</f>
        <v>
 </v>
      </c>
    </row>
    <row r="76" customFormat="false" ht="45.5" hidden="false" customHeight="false" outlineLevel="0" collapsed="false">
      <c r="A76" s="1169" t="str">
        <f aca="false">A61&amp;CHAR(10)&amp;A46</f>
        <v>
 </v>
      </c>
      <c r="B76" s="1170" t="str">
        <f aca="false">B61&amp;CHAR(10)&amp;B46</f>
        <v>
इन्द्र EAST</v>
      </c>
      <c r="C76" s="1170" t="str">
        <f aca="false">C61&amp;CHAR(10)&amp;C46</f>
        <v>
 </v>
      </c>
      <c r="D76" s="1170" t="str">
        <f aca="false">D61&amp;CHAR(10)&amp;D46</f>
        <v>
 </v>
      </c>
      <c r="E76" s="1170" t="str">
        <f aca="false">E61&amp;CHAR(10)&amp;E46</f>
        <v>
 </v>
      </c>
      <c r="F76" s="1170" t="str">
        <f aca="false">F61&amp;CHAR(10)&amp;F46</f>
        <v>
 </v>
      </c>
      <c r="G76" s="1170" t="str">
        <f aca="false">G61&amp;CHAR(10)&amp;G46</f>
        <v>
 </v>
      </c>
      <c r="H76" s="1170" t="str">
        <f aca="false">H61&amp;CHAR(10)&amp;H46</f>
        <v>
 </v>
      </c>
      <c r="I76" s="1170" t="str">
        <f aca="false">I61&amp;CHAR(10)&amp;I46</f>
        <v>
 </v>
      </c>
      <c r="J76" s="1170" t="str">
        <f aca="false">J61&amp;CHAR(10)&amp;J46</f>
        <v>
 </v>
      </c>
      <c r="K76" s="1170" t="str">
        <f aca="false">K61&amp;CHAR(10)&amp;K46</f>
        <v>
 </v>
      </c>
      <c r="L76" s="1170" t="str">
        <f aca="false">L61&amp;CHAR(10)&amp;L46</f>
        <v>
 </v>
      </c>
      <c r="M76" s="1171" t="str">
        <f aca="false">M61&amp;CHAR(10)&amp;M46</f>
        <v>
 </v>
      </c>
    </row>
    <row r="77" customFormat="false" ht="45.5" hidden="false" customHeight="false" outlineLevel="0" collapsed="false">
      <c r="A77" s="1172" t="str">
        <f aca="false">A62&amp;CHAR(10)&amp;A47</f>
        <v>
कुबेर NORTH</v>
      </c>
      <c r="B77" s="1173" t="str">
        <f aca="false">B62&amp;CHAR(10)&amp;B47</f>
        <v>Krittika 1
अ a</v>
      </c>
      <c r="C77" s="1173" t="str">
        <f aca="false">C62&amp;CHAR(10)&amp;C47</f>
        <v>Krittika 2
इ i</v>
      </c>
      <c r="D77" s="1173" t="str">
        <f aca="false">D62&amp;CHAR(10)&amp;D47</f>
        <v>Krittika 3
उ u</v>
      </c>
      <c r="E77" s="1173" t="str">
        <f aca="false">E62&amp;CHAR(10)&amp;E47</f>
        <v>Krittika 4
ए e</v>
      </c>
      <c r="F77" s="1173" t="str">
        <f aca="false">F62&amp;CHAR(10)&amp;F47</f>
        <v>Rohini 1
ओ o</v>
      </c>
      <c r="G77" s="1173" t="str">
        <f aca="false">G62&amp;CHAR(10)&amp;G47</f>
        <v>
 </v>
      </c>
      <c r="H77" s="1173" t="str">
        <f aca="false">H62&amp;CHAR(10)&amp;H47</f>
        <v>Magha 1
म ma</v>
      </c>
      <c r="I77" s="1173" t="str">
        <f aca="false">I62&amp;CHAR(10)&amp;I47</f>
        <v>Magha 2
मि mi</v>
      </c>
      <c r="J77" s="1173" t="str">
        <f aca="false">J62&amp;CHAR(10)&amp;J47</f>
        <v>Magha 3
मु mu</v>
      </c>
      <c r="K77" s="1173" t="str">
        <f aca="false">K62&amp;CHAR(10)&amp;K47</f>
        <v>Magha 4
मे me</v>
      </c>
      <c r="L77" s="1173" t="str">
        <f aca="false">L62&amp;CHAR(10)&amp;L47</f>
        <v>P.Phaluguni 1
मो mo</v>
      </c>
      <c r="M77" s="1174" t="str">
        <f aca="false">M62&amp;CHAR(10)&amp;M47</f>
        <v>
यम SOUTH</v>
      </c>
    </row>
    <row r="78" customFormat="false" ht="45.5" hidden="false" customHeight="false" outlineLevel="0" collapsed="false">
      <c r="A78" s="1172" t="str">
        <f aca="false">A63&amp;CHAR(10)&amp;A48</f>
        <v>
 </v>
      </c>
      <c r="B78" s="1173" t="str">
        <f aca="false">B63&amp;CHAR(10)&amp;B48</f>
        <v>Rohini 2
व va</v>
      </c>
      <c r="C78" s="1173" t="str">
        <f aca="false">C63&amp;CHAR(10)&amp;C48</f>
        <v>Rohini 3
वि vi</v>
      </c>
      <c r="D78" s="1173" t="str">
        <f aca="false">D63&amp;CHAR(10)&amp;D48</f>
        <v>Rohini 4
वु vu</v>
      </c>
      <c r="E78" s="1173" t="str">
        <f aca="false">E63&amp;CHAR(10)&amp;E48</f>
        <v>Mrigashir 1
वे ve</v>
      </c>
      <c r="F78" s="1173" t="str">
        <f aca="false">F63&amp;CHAR(10)&amp;F48</f>
        <v>Mrigashir 2
वो vo</v>
      </c>
      <c r="G78" s="1173" t="str">
        <f aca="false">G63&amp;CHAR(10)&amp;G48</f>
        <v>
 </v>
      </c>
      <c r="H78" s="1173" t="str">
        <f aca="false">H63&amp;CHAR(10)&amp;H48</f>
        <v>P.Phalguni 2
ट ṭa</v>
      </c>
      <c r="I78" s="1173" t="str">
        <f aca="false">I63&amp;CHAR(10)&amp;I48</f>
        <v>P.Phalguni 3
टि ṭi</v>
      </c>
      <c r="J78" s="1173" t="str">
        <f aca="false">J63&amp;CHAR(10)&amp;J48</f>
        <v>P.Phalguni 4
टु ṭu</v>
      </c>
      <c r="K78" s="1173" t="str">
        <f aca="false">K63&amp;CHAR(10)&amp;K48</f>
        <v>U.Phalguni 1
टे ṭe</v>
      </c>
      <c r="L78" s="1173" t="str">
        <f aca="false">L63&amp;CHAR(10)&amp;L48</f>
        <v>U.Phalguni 2
टो ṭo</v>
      </c>
      <c r="M78" s="1174" t="str">
        <f aca="false">M63&amp;CHAR(10)&amp;M48</f>
        <v>
 </v>
      </c>
    </row>
    <row r="79" customFormat="false" ht="64.15" hidden="false" customHeight="false" outlineLevel="0" collapsed="false">
      <c r="A79" s="1172" t="str">
        <f aca="false">A64&amp;CHAR(10)&amp;A49</f>
        <v>
 </v>
      </c>
      <c r="B79" s="1173" t="str">
        <f aca="false">B64&amp;CHAR(10)&amp;B49</f>
        <v>Mrigashir 3
क ka</v>
      </c>
      <c r="C79" s="1173" t="str">
        <f aca="false">C64&amp;CHAR(10)&amp;C49</f>
        <v>Mrigashir 4
कि ki</v>
      </c>
      <c r="D79" s="1173" t="str">
        <f aca="false">D64&amp;CHAR(10)&amp;D49</f>
        <v>Ardra 1-4
कु घ ङ च
 ku gha ṅa ca</v>
      </c>
      <c r="E79" s="1173" t="str">
        <f aca="false">E64&amp;CHAR(10)&amp;E49</f>
        <v>Punarvasu 1
के ke</v>
      </c>
      <c r="F79" s="1173" t="str">
        <f aca="false">F64&amp;CHAR(10)&amp;F49</f>
        <v>Punarvasu 2
को ko</v>
      </c>
      <c r="G79" s="1173" t="str">
        <f aca="false">G64&amp;CHAR(10)&amp;G49</f>
        <v>
 </v>
      </c>
      <c r="H79" s="1173" t="str">
        <f aca="false">H64&amp;CHAR(10)&amp;H49</f>
        <v>U.Phalguni 3
प pa</v>
      </c>
      <c r="I79" s="1173" t="str">
        <f aca="false">I64&amp;CHAR(10)&amp;I49</f>
        <v>U.Phalguni 4
पि pi</v>
      </c>
      <c r="J79" s="1173" t="str">
        <f aca="false">J64&amp;CHAR(10)&amp;J49</f>
        <v>Hasta 1-4
 पु ष ण ठ
 pu ṣa ṇa ṭha</v>
      </c>
      <c r="K79" s="1173" t="str">
        <f aca="false">K64&amp;CHAR(10)&amp;K49</f>
        <v>Chitra 1
पे pe</v>
      </c>
      <c r="L79" s="1173" t="str">
        <f aca="false">L64&amp;CHAR(10)&amp;L49</f>
        <v>Chitra 2
पो po</v>
      </c>
      <c r="M79" s="1174" t="str">
        <f aca="false">M64&amp;CHAR(10)&amp;M49</f>
        <v>
 </v>
      </c>
    </row>
    <row r="80" customFormat="false" ht="45.5" hidden="false" customHeight="false" outlineLevel="0" collapsed="false">
      <c r="A80" s="1172" t="str">
        <f aca="false">A65&amp;CHAR(10)&amp;A50</f>
        <v>
 </v>
      </c>
      <c r="B80" s="1173" t="str">
        <f aca="false">B65&amp;CHAR(10)&amp;B50</f>
        <v>Punarvasu 3
ह ha</v>
      </c>
      <c r="C80" s="1173" t="str">
        <f aca="false">C65&amp;CHAR(10)&amp;C50</f>
        <v>Punarvasu 4
हि hi</v>
      </c>
      <c r="D80" s="1173" t="str">
        <f aca="false">D65&amp;CHAR(10)&amp;D50</f>
        <v>Pushya 1
हु hu</v>
      </c>
      <c r="E80" s="1173" t="str">
        <f aca="false">E65&amp;CHAR(10)&amp;E50</f>
        <v>Pushya 2
हे he</v>
      </c>
      <c r="F80" s="1173" t="str">
        <f aca="false">F65&amp;CHAR(10)&amp;F50</f>
        <v>Pushya 3
हो ho</v>
      </c>
      <c r="G80" s="1173" t="str">
        <f aca="false">G65&amp;CHAR(10)&amp;G50</f>
        <v>
 </v>
      </c>
      <c r="H80" s="1173" t="str">
        <f aca="false">H65&amp;CHAR(10)&amp;H50</f>
        <v>Chitra 3
र ra</v>
      </c>
      <c r="I80" s="1173" t="str">
        <f aca="false">I65&amp;CHAR(10)&amp;I50</f>
        <v>Chitra 4
रि ri</v>
      </c>
      <c r="J80" s="1173" t="str">
        <f aca="false">J65&amp;CHAR(10)&amp;J50</f>
        <v>Swati 1
रु ru</v>
      </c>
      <c r="K80" s="1173" t="str">
        <f aca="false">K65&amp;CHAR(10)&amp;K50</f>
        <v>Swati 2
रे re</v>
      </c>
      <c r="L80" s="1173" t="str">
        <f aca="false">L65&amp;CHAR(10)&amp;L50</f>
        <v>Swati 3
रो ro</v>
      </c>
      <c r="M80" s="1174" t="str">
        <f aca="false">M65&amp;CHAR(10)&amp;M50</f>
        <v>
 </v>
      </c>
    </row>
    <row r="81" customFormat="false" ht="45.5" hidden="false" customHeight="false" outlineLevel="0" collapsed="false">
      <c r="A81" s="1172" t="str">
        <f aca="false">A66&amp;CHAR(10)&amp;A51</f>
        <v>
 </v>
      </c>
      <c r="B81" s="1173" t="str">
        <f aca="false">B66&amp;CHAR(10)&amp;B51</f>
        <v>Pushya 4
ड ḍa</v>
      </c>
      <c r="C81" s="1173" t="str">
        <f aca="false">C66&amp;CHAR(10)&amp;C51</f>
        <v>Ashlesha 1
डि ḍi</v>
      </c>
      <c r="D81" s="1173" t="str">
        <f aca="false">D66&amp;CHAR(10)&amp;D51</f>
        <v>Ashlesha 2
डु ḍu</v>
      </c>
      <c r="E81" s="1173" t="str">
        <f aca="false">E66&amp;CHAR(10)&amp;E51</f>
        <v>Ashlesha 3
डे ḍe</v>
      </c>
      <c r="F81" s="1173" t="str">
        <f aca="false">F66&amp;CHAR(10)&amp;F51</f>
        <v>Ashlesha 4
डो ḍo</v>
      </c>
      <c r="G81" s="1173" t="str">
        <f aca="false">G66&amp;CHAR(10)&amp;G51</f>
        <v>
 </v>
      </c>
      <c r="H81" s="1173" t="str">
        <f aca="false">H66&amp;CHAR(10)&amp;H51</f>
        <v>Swati 4
त ta</v>
      </c>
      <c r="I81" s="1173" t="str">
        <f aca="false">I66&amp;CHAR(10)&amp;I51</f>
        <v>Vishaka 1
ति ti</v>
      </c>
      <c r="J81" s="1173" t="str">
        <f aca="false">J66&amp;CHAR(10)&amp;J51</f>
        <v>Vishaka 2
तु tu</v>
      </c>
      <c r="K81" s="1173" t="str">
        <f aca="false">K66&amp;CHAR(10)&amp;K51</f>
        <v>Vishaka 3
ते te</v>
      </c>
      <c r="L81" s="1173" t="str">
        <f aca="false">L66&amp;CHAR(10)&amp;L51</f>
        <v>Vishaka 4
तो to</v>
      </c>
      <c r="M81" s="1174" t="str">
        <f aca="false">M66&amp;CHAR(10)&amp;M51</f>
        <v>
 </v>
      </c>
    </row>
    <row r="82" customFormat="false" ht="14.25" hidden="false" customHeight="true" outlineLevel="0" collapsed="false">
      <c r="A82" s="1172" t="str">
        <f aca="false">A67&amp;CHAR(10)&amp;A52</f>
        <v>
 </v>
      </c>
      <c r="B82" s="1173" t="str">
        <f aca="false">B67&amp;CHAR(10)&amp;B52</f>
        <v>
 </v>
      </c>
      <c r="C82" s="1173" t="str">
        <f aca="false">C67&amp;CHAR(10)&amp;C52</f>
        <v>
 </v>
      </c>
      <c r="D82" s="1173" t="str">
        <f aca="false">D67&amp;CHAR(10)&amp;D52</f>
        <v>
 </v>
      </c>
      <c r="E82" s="1173" t="str">
        <f aca="false">E67&amp;CHAR(10)&amp;E52</f>
        <v>
 </v>
      </c>
      <c r="F82" s="1173" t="str">
        <f aca="false">F67&amp;CHAR(10)&amp;F52</f>
        <v>
 </v>
      </c>
      <c r="G82" s="1173" t="str">
        <f aca="false">G67&amp;CHAR(10)&amp;G52</f>
        <v>
 </v>
      </c>
      <c r="H82" s="1173" t="str">
        <f aca="false">H67&amp;CHAR(10)&amp;H52</f>
        <v>
 </v>
      </c>
      <c r="I82" s="1173" t="str">
        <f aca="false">I67&amp;CHAR(10)&amp;I52</f>
        <v>
 </v>
      </c>
      <c r="J82" s="1173" t="str">
        <f aca="false">J67&amp;CHAR(10)&amp;J52</f>
        <v>
 </v>
      </c>
      <c r="K82" s="1173" t="str">
        <f aca="false">K67&amp;CHAR(10)&amp;K52</f>
        <v>
 </v>
      </c>
      <c r="L82" s="1173" t="str">
        <f aca="false">L67&amp;CHAR(10)&amp;L52</f>
        <v>
 </v>
      </c>
      <c r="M82" s="1174" t="str">
        <f aca="false">M67&amp;CHAR(10)&amp;M52</f>
        <v>
 </v>
      </c>
    </row>
    <row r="83" customFormat="false" ht="45.5" hidden="false" customHeight="false" outlineLevel="0" collapsed="false">
      <c r="A83" s="1172" t="str">
        <f aca="false">A68&amp;CHAR(10)&amp;A53</f>
        <v>
 </v>
      </c>
      <c r="B83" s="1173" t="str">
        <f aca="false">B68&amp;CHAR(10)&amp;B53</f>
        <v>Dhanishta 1
ग ga</v>
      </c>
      <c r="C83" s="1173" t="str">
        <f aca="false">C68&amp;CHAR(10)&amp;C53</f>
        <v>Dhanishta 2
गि gi</v>
      </c>
      <c r="D83" s="1173" t="str">
        <f aca="false">D68&amp;CHAR(10)&amp;D53</f>
        <v>Dhanishta 3
गु gu</v>
      </c>
      <c r="E83" s="1173" t="str">
        <f aca="false">E68&amp;CHAR(10)&amp;E53</f>
        <v>Dhanishta 4
गे ge</v>
      </c>
      <c r="F83" s="1173" t="str">
        <f aca="false">F68&amp;CHAR(10)&amp;F53</f>
        <v>Shatbhishaj 1
गो go</v>
      </c>
      <c r="G83" s="1173" t="str">
        <f aca="false">G68&amp;CHAR(10)&amp;G53</f>
        <v>
 </v>
      </c>
      <c r="H83" s="1173" t="str">
        <f aca="false">H68&amp;CHAR(10)&amp;H53</f>
        <v>Anuradha 1
न na</v>
      </c>
      <c r="I83" s="1173" t="str">
        <f aca="false">I68&amp;CHAR(10)&amp;I53</f>
        <v>Anuradha 2
नि ni</v>
      </c>
      <c r="J83" s="1173" t="str">
        <f aca="false">J68&amp;CHAR(10)&amp;J53</f>
        <v>Anuradha 3
नु nu</v>
      </c>
      <c r="K83" s="1173" t="str">
        <f aca="false">K68&amp;CHAR(10)&amp;K53</f>
        <v>Anuradha 4
ने ne</v>
      </c>
      <c r="L83" s="1173" t="str">
        <f aca="false">L68&amp;CHAR(10)&amp;L53</f>
        <v>Jyeshta 1
नो no</v>
      </c>
      <c r="M83" s="1174" t="str">
        <f aca="false">M68&amp;CHAR(10)&amp;M53</f>
        <v>
 </v>
      </c>
    </row>
    <row r="84" customFormat="false" ht="45.5" hidden="false" customHeight="false" outlineLevel="0" collapsed="false">
      <c r="A84" s="1172" t="str">
        <f aca="false">A69&amp;CHAR(10)&amp;A54</f>
        <v>
 </v>
      </c>
      <c r="B84" s="1173" t="str">
        <f aca="false">B69&amp;CHAR(10)&amp;B54</f>
        <v>Shatabhishaj 2
स sa</v>
      </c>
      <c r="C84" s="1173" t="str">
        <f aca="false">C69&amp;CHAR(10)&amp;C54</f>
        <v>Shatabhishaj 3
सि si</v>
      </c>
      <c r="D84" s="1173" t="str">
        <f aca="false">D69&amp;CHAR(10)&amp;D54</f>
        <v>Shatabhishaj 4
सु su</v>
      </c>
      <c r="E84" s="1173" t="str">
        <f aca="false">E69&amp;CHAR(10)&amp;E54</f>
        <v>P.Bhadra 1
से se</v>
      </c>
      <c r="F84" s="1173" t="str">
        <f aca="false">F69&amp;CHAR(10)&amp;F54</f>
        <v>P.Bhadra 2
सो so</v>
      </c>
      <c r="G84" s="1173" t="str">
        <f aca="false">G69&amp;CHAR(10)&amp;G54</f>
        <v>
 </v>
      </c>
      <c r="H84" s="1173" t="str">
        <f aca="false">H69&amp;CHAR(10)&amp;H54</f>
        <v>Jyeshta 2
य ya</v>
      </c>
      <c r="I84" s="1173" t="str">
        <f aca="false">I69&amp;CHAR(10)&amp;I54</f>
        <v>Jyeshta 3
यि yi</v>
      </c>
      <c r="J84" s="1173" t="str">
        <f aca="false">J69&amp;CHAR(10)&amp;J54</f>
        <v>Jyestha 4
यु yu</v>
      </c>
      <c r="K84" s="1173" t="str">
        <f aca="false">K69&amp;CHAR(10)&amp;K54</f>
        <v>Moola 1
ये ye</v>
      </c>
      <c r="L84" s="1173" t="str">
        <f aca="false">L69&amp;CHAR(10)&amp;L54</f>
        <v>Moola 2
यो yo</v>
      </c>
      <c r="M84" s="1174" t="str">
        <f aca="false">M69&amp;CHAR(10)&amp;M54</f>
        <v>
 </v>
      </c>
    </row>
    <row r="85" customFormat="false" ht="85.05" hidden="false" customHeight="false" outlineLevel="0" collapsed="false">
      <c r="A85" s="1172" t="str">
        <f aca="false">A70&amp;CHAR(10)&amp;A55</f>
        <v>
 </v>
      </c>
      <c r="B85" s="1173" t="str">
        <f aca="false">B70&amp;CHAR(10)&amp;B55</f>
        <v>P.Bhadra 3
द da</v>
      </c>
      <c r="C85" s="1173" t="str">
        <f aca="false">C70&amp;CHAR(10)&amp;C55</f>
        <v>P.Bhadra 4
दि di</v>
      </c>
      <c r="D85" s="1173" t="str">
        <f aca="false">D70&amp;CHAR(10)&amp;D55</f>
        <v>U.Bhadra 1-4
दु थ झ म
 du tha jha ma</v>
      </c>
      <c r="E85" s="1173" t="str">
        <f aca="false">E70&amp;CHAR(10)&amp;E55</f>
        <v>Revati 1
दे de</v>
      </c>
      <c r="F85" s="1173" t="str">
        <f aca="false">F70&amp;CHAR(10)&amp;F55</f>
        <v>Revati 2
दो do</v>
      </c>
      <c r="G85" s="1173" t="str">
        <f aca="false">G70&amp;CHAR(10)&amp;G55</f>
        <v>
 </v>
      </c>
      <c r="H85" s="1173" t="str">
        <f aca="false">H70&amp;CHAR(10)&amp;H55</f>
        <v>Moola 3
भ bha</v>
      </c>
      <c r="I85" s="1173" t="str">
        <f aca="false">I70&amp;CHAR(10)&amp;I55</f>
        <v>Moola 4
भि bhi</v>
      </c>
      <c r="J85" s="1173" t="str">
        <f aca="false">J70&amp;CHAR(10)&amp;J55</f>
        <v>P.Ashada 1-4
भु ध फ ट
 bhu dha pha ṭa</v>
      </c>
      <c r="K85" s="1173" t="str">
        <f aca="false">K70&amp;CHAR(10)&amp;K55</f>
        <v>U.Ashada 1
भे bhe</v>
      </c>
      <c r="L85" s="1173" t="str">
        <f aca="false">L70&amp;CHAR(10)&amp;L55</f>
        <v>U.Ashada 2
भो bho</v>
      </c>
      <c r="M85" s="1174" t="str">
        <f aca="false">M70&amp;CHAR(10)&amp;M55</f>
        <v>
 </v>
      </c>
    </row>
    <row r="86" customFormat="false" ht="45.5" hidden="false" customHeight="false" outlineLevel="0" collapsed="false">
      <c r="A86" s="1172" t="str">
        <f aca="false">A71&amp;CHAR(10)&amp;A56</f>
        <v>
 </v>
      </c>
      <c r="B86" s="1173" t="str">
        <f aca="false">B71&amp;CHAR(10)&amp;B56</f>
        <v>Revati 3
च ca</v>
      </c>
      <c r="C86" s="1173" t="str">
        <f aca="false">C71&amp;CHAR(10)&amp;C56</f>
        <v>Revati 4
चि ci</v>
      </c>
      <c r="D86" s="1173" t="str">
        <f aca="false">D71&amp;CHAR(10)&amp;D56</f>
        <v>Ashvini 1
चु cu</v>
      </c>
      <c r="E86" s="1173" t="str">
        <f aca="false">E71&amp;CHAR(10)&amp;E56</f>
        <v>Ashvini 2
चे ce</v>
      </c>
      <c r="F86" s="1173" t="str">
        <f aca="false">F71&amp;CHAR(10)&amp;F56</f>
        <v>Ashvini 3
चो co</v>
      </c>
      <c r="G86" s="1173" t="str">
        <f aca="false">G71&amp;CHAR(10)&amp;G56</f>
        <v>
 </v>
      </c>
      <c r="H86" s="1173" t="str">
        <f aca="false">H71&amp;CHAR(10)&amp;H56</f>
        <v>U.Ashada 3
ज ja</v>
      </c>
      <c r="I86" s="1173" t="str">
        <f aca="false">I71&amp;CHAR(10)&amp;I56</f>
        <v>U.Ashada 4
जि ji</v>
      </c>
      <c r="J86" s="1173" t="str">
        <f aca="false">J71&amp;CHAR(10)&amp;J56</f>
        <v>Abhijit 1
जु ju</v>
      </c>
      <c r="K86" s="1173" t="str">
        <f aca="false">K71&amp;CHAR(10)&amp;K56</f>
        <v>Abhijit 2
जे je</v>
      </c>
      <c r="L86" s="1173" t="str">
        <f aca="false">L71&amp;CHAR(10)&amp;L56</f>
        <v>Abhijit 3
जो jo</v>
      </c>
      <c r="M86" s="1174" t="str">
        <f aca="false">M71&amp;CHAR(10)&amp;M56</f>
        <v>
 </v>
      </c>
    </row>
    <row r="87" customFormat="false" ht="45.5" hidden="false" customHeight="false" outlineLevel="0" collapsed="false">
      <c r="A87" s="1172" t="str">
        <f aca="false">A72&amp;CHAR(10)&amp;A57</f>
        <v>
 </v>
      </c>
      <c r="B87" s="1173" t="str">
        <f aca="false">B72&amp;CHAR(10)&amp;B57</f>
        <v>Ashvini 4
ल la</v>
      </c>
      <c r="C87" s="1173" t="str">
        <f aca="false">C72&amp;CHAR(10)&amp;C57</f>
        <v>Bharani 1
लि li</v>
      </c>
      <c r="D87" s="1173" t="str">
        <f aca="false">D72&amp;CHAR(10)&amp;D57</f>
        <v>Bharani 2
लु lu</v>
      </c>
      <c r="E87" s="1173" t="str">
        <f aca="false">E72&amp;CHAR(10)&amp;E57</f>
        <v>Bharani 3
ले le</v>
      </c>
      <c r="F87" s="1173" t="str">
        <f aca="false">F72&amp;CHAR(10)&amp;F57</f>
        <v>Bharini 4
लो lo</v>
      </c>
      <c r="G87" s="1173" t="str">
        <f aca="false">G72&amp;CHAR(10)&amp;G57</f>
        <v>
 </v>
      </c>
      <c r="H87" s="1173" t="str">
        <f aca="false">H72&amp;CHAR(10)&amp;H57</f>
        <v>Abhijit 3
ख kha</v>
      </c>
      <c r="I87" s="1173" t="str">
        <f aca="false">I72&amp;CHAR(10)&amp;I57</f>
        <v>Sravana 1
खि khi</v>
      </c>
      <c r="J87" s="1173" t="str">
        <f aca="false">J72&amp;CHAR(10)&amp;J57</f>
        <v>Sravana 2
खु khu</v>
      </c>
      <c r="K87" s="1173" t="str">
        <f aca="false">K72&amp;CHAR(10)&amp;K57</f>
        <v>Sravana 3
खे khe</v>
      </c>
      <c r="L87" s="1173" t="str">
        <f aca="false">L72&amp;CHAR(10)&amp;L57</f>
        <v>Sravana 4
खो kho</v>
      </c>
      <c r="M87" s="1174" t="str">
        <f aca="false">M72&amp;CHAR(10)&amp;M57</f>
        <v>
 </v>
      </c>
    </row>
    <row r="88" customFormat="false" ht="45.5" hidden="false" customHeight="false" outlineLevel="0" collapsed="false">
      <c r="A88" s="1175" t="str">
        <f aca="false">A73&amp;CHAR(10)&amp;A58</f>
        <v>
 </v>
      </c>
      <c r="B88" s="1176" t="str">
        <f aca="false">B73&amp;CHAR(10)&amp;B58</f>
        <v>
वरुण WEST</v>
      </c>
      <c r="C88" s="1176" t="str">
        <f aca="false">C73&amp;CHAR(10)&amp;C58</f>
        <v>
 </v>
      </c>
      <c r="D88" s="1176" t="str">
        <f aca="false">D73&amp;CHAR(10)&amp;D58</f>
        <v>
 </v>
      </c>
      <c r="E88" s="1176" t="str">
        <f aca="false">E73&amp;CHAR(10)&amp;E58</f>
        <v>
 </v>
      </c>
      <c r="F88" s="1176" t="str">
        <f aca="false">F73&amp;CHAR(10)&amp;F58</f>
        <v>
 </v>
      </c>
      <c r="G88" s="1176" t="str">
        <f aca="false">G73&amp;CHAR(10)&amp;G58</f>
        <v>
 </v>
      </c>
      <c r="H88" s="1176" t="str">
        <f aca="false">H73&amp;CHAR(10)&amp;H58</f>
        <v>
 </v>
      </c>
      <c r="I88" s="1176" t="str">
        <f aca="false">I73&amp;CHAR(10)&amp;I58</f>
        <v>
 </v>
      </c>
      <c r="J88" s="1176" t="str">
        <f aca="false">J73&amp;CHAR(10)&amp;J58</f>
        <v>
 </v>
      </c>
      <c r="K88" s="1176" t="str">
        <f aca="false">K73&amp;CHAR(10)&amp;K58</f>
        <v>
 </v>
      </c>
      <c r="L88" s="1176" t="str">
        <f aca="false">L73&amp;CHAR(10)&amp;L58</f>
        <v>
 </v>
      </c>
      <c r="M88" s="1177" t="str">
        <f aca="false">M73&amp;CHAR(10)&amp;M58</f>
        <v>©Sanjay Prabhakaran
 </v>
      </c>
    </row>
    <row r="97" customFormat="false" ht="41.75" hidden="false" customHeight="false" outlineLevel="0" collapsed="false">
      <c r="A97" s="63" t="str">
        <f aca="false">A82&amp;CHAR(10)&amp;A67</f>
        <v>
</v>
      </c>
      <c r="B97" s="63" t="str">
        <f aca="false">B82&amp;CHAR(10)&amp;B67</f>
        <v>
</v>
      </c>
      <c r="C97" s="63" t="str">
        <f aca="false">C82&amp;CHAR(10)&amp;C67</f>
        <v>
</v>
      </c>
      <c r="D97" s="63" t="str">
        <f aca="false">D82&amp;CHAR(10)&amp;D67</f>
        <v>
</v>
      </c>
      <c r="E97" s="63" t="str">
        <f aca="false">E82&amp;CHAR(10)&amp;E67</f>
        <v>
</v>
      </c>
      <c r="F97" s="63" t="str">
        <f aca="false">F82&amp;CHAR(10)&amp;F67</f>
        <v>
</v>
      </c>
      <c r="G97" s="63" t="str">
        <f aca="false">G82&amp;CHAR(10)&amp;G67</f>
        <v>
</v>
      </c>
      <c r="H97" s="63" t="str">
        <f aca="false">H82&amp;CHAR(10)&amp;H67</f>
        <v>
</v>
      </c>
      <c r="I97" s="63" t="str">
        <f aca="false">I82&amp;CHAR(10)&amp;I67</f>
        <v>
</v>
      </c>
      <c r="J97" s="63" t="str">
        <f aca="false">J82&amp;CHAR(10)&amp;J67</f>
        <v>
</v>
      </c>
      <c r="K97" s="63" t="str">
        <f aca="false">K82&amp;CHAR(10)&amp;K67</f>
        <v>
</v>
      </c>
      <c r="L97" s="63" t="str">
        <f aca="false">L82&amp;CHAR(10)&amp;L67</f>
        <v>
</v>
      </c>
      <c r="M97" s="63" t="str">
        <f aca="false">M82&amp;CHAR(10)&amp;M67</f>
        <v>
</v>
      </c>
    </row>
  </sheetData>
  <mergeCells count="26">
    <mergeCell ref="A1:M1"/>
    <mergeCell ref="B2:L2"/>
    <mergeCell ref="A3:A13"/>
    <mergeCell ref="M3:M13"/>
    <mergeCell ref="B14:L14"/>
    <mergeCell ref="A16:M16"/>
    <mergeCell ref="B17:L17"/>
    <mergeCell ref="A18:A28"/>
    <mergeCell ref="M18:M28"/>
    <mergeCell ref="B29:L29"/>
    <mergeCell ref="F30:H30"/>
    <mergeCell ref="B31:L31"/>
    <mergeCell ref="A32:A42"/>
    <mergeCell ref="M32:M42"/>
    <mergeCell ref="B43:L43"/>
    <mergeCell ref="A45:M45"/>
    <mergeCell ref="B46:L46"/>
    <mergeCell ref="A47:A57"/>
    <mergeCell ref="M47:M57"/>
    <mergeCell ref="B58:L58"/>
    <mergeCell ref="A60:M60"/>
    <mergeCell ref="A75:M75"/>
    <mergeCell ref="B76:L76"/>
    <mergeCell ref="A77:A87"/>
    <mergeCell ref="M77:M87"/>
    <mergeCell ref="B88:L88"/>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&amp;C&amp;"Arial,Regular"&amp;10&amp;A</oddHeader>
    <oddFooter>&amp;C&amp;"Arial,Regular"&amp;10Page &amp;P</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5"/>
  <sheetViews>
    <sheetView showFormulas="false" showGridLines="true" showRowColHeaders="true" showZeros="true" rightToLeft="false" tabSelected="false" showOutlineSymbols="true" defaultGridColor="true" view="normal" topLeftCell="A1" colorId="64" zoomScale="181" zoomScaleNormal="181" zoomScalePageLayoutView="100" workbookViewId="0">
      <selection pane="topLeft" activeCell="B3" activeCellId="0" sqref="B3"/>
    </sheetView>
  </sheetViews>
  <sheetFormatPr defaultColWidth="5.71484375" defaultRowHeight="15" customHeight="true" zeroHeight="false" outlineLevelRow="0" outlineLevelCol="0"/>
  <cols>
    <col collapsed="false" customWidth="true" hidden="false" outlineLevel="0" max="1" min="1" style="6" width="7"/>
    <col collapsed="false" customWidth="true" hidden="false" outlineLevel="0" max="19" min="19" style="6" width="16.43"/>
    <col collapsed="false" customWidth="true" hidden="false" outlineLevel="0" max="20" min="20" style="6" width="11.29"/>
    <col collapsed="false" customWidth="true" hidden="false" outlineLevel="0" max="21" min="21" style="6" width="28.71"/>
    <col collapsed="false" customWidth="true" hidden="false" outlineLevel="0" max="22" min="22" style="6" width="13.57"/>
    <col collapsed="false" customWidth="true" hidden="false" outlineLevel="0" max="23" min="23" style="6" width="28.86"/>
  </cols>
  <sheetData>
    <row r="1" customFormat="false" ht="15" hidden="false" customHeight="false" outlineLevel="0" collapsed="false">
      <c r="A1" s="6" t="s">
        <v>801</v>
      </c>
      <c r="H1" s="6" t="s">
        <v>158</v>
      </c>
      <c r="I1" s="6" t="s">
        <v>4693</v>
      </c>
      <c r="O1" s="6" t="s">
        <v>163</v>
      </c>
    </row>
    <row r="2" customFormat="false" ht="33" hidden="false" customHeight="true" outlineLevel="0" collapsed="false">
      <c r="B2" s="6" t="s">
        <v>165</v>
      </c>
      <c r="H2" s="6" t="s">
        <v>158</v>
      </c>
      <c r="I2" s="6" t="s">
        <v>2107</v>
      </c>
      <c r="N2" s="6" t="s">
        <v>160</v>
      </c>
    </row>
    <row r="3" customFormat="false" ht="33" hidden="false" customHeight="true" outlineLevel="0" collapsed="false">
      <c r="C3" s="1178" t="s">
        <v>4694</v>
      </c>
      <c r="D3" s="1178"/>
      <c r="E3" s="1178"/>
      <c r="F3" s="1068"/>
      <c r="G3" s="1068"/>
      <c r="H3" s="70" t="s">
        <v>4695</v>
      </c>
      <c r="I3" s="1068"/>
      <c r="J3" s="1068"/>
      <c r="K3" s="1073"/>
      <c r="L3" s="1073"/>
      <c r="M3" s="1179" t="s">
        <v>4696</v>
      </c>
      <c r="R3" s="1180" t="s">
        <v>243</v>
      </c>
      <c r="S3" s="1180" t="s">
        <v>807</v>
      </c>
      <c r="T3" s="1180" t="s">
        <v>4697</v>
      </c>
      <c r="U3" s="1180" t="s">
        <v>4698</v>
      </c>
      <c r="V3" s="1180" t="s">
        <v>4699</v>
      </c>
      <c r="W3" s="1180" t="s">
        <v>4700</v>
      </c>
    </row>
    <row r="4" customFormat="false" ht="33" hidden="false" customHeight="true" outlineLevel="0" collapsed="false">
      <c r="C4" s="1178"/>
      <c r="D4" s="1181" t="n">
        <v>24</v>
      </c>
      <c r="E4" s="802"/>
      <c r="F4" s="802"/>
      <c r="G4" s="802"/>
      <c r="H4" s="1182" t="n">
        <v>1</v>
      </c>
      <c r="I4" s="802"/>
      <c r="J4" s="802"/>
      <c r="K4" s="802"/>
      <c r="L4" s="1181" t="n">
        <v>6</v>
      </c>
      <c r="M4" s="1073"/>
      <c r="R4" s="1180" t="n">
        <v>1</v>
      </c>
      <c r="S4" s="1180" t="s">
        <v>826</v>
      </c>
      <c r="T4" s="1180" t="s">
        <v>4701</v>
      </c>
      <c r="U4" s="1183" t="s">
        <v>4702</v>
      </c>
      <c r="V4" s="1184" t="s">
        <v>4703</v>
      </c>
      <c r="W4" s="1185" t="s">
        <v>4704</v>
      </c>
    </row>
    <row r="5" customFormat="false" ht="33" hidden="false" customHeight="true" outlineLevel="0" collapsed="false">
      <c r="C5" s="1178"/>
      <c r="D5" s="802"/>
      <c r="E5" s="1181" t="n">
        <v>23</v>
      </c>
      <c r="F5" s="802"/>
      <c r="G5" s="802"/>
      <c r="H5" s="1182" t="n">
        <v>2</v>
      </c>
      <c r="I5" s="802"/>
      <c r="J5" s="802"/>
      <c r="K5" s="1181" t="n">
        <v>5</v>
      </c>
      <c r="L5" s="802"/>
      <c r="M5" s="1073"/>
      <c r="R5" s="1180" t="n">
        <v>2</v>
      </c>
      <c r="S5" s="1180" t="s">
        <v>854</v>
      </c>
      <c r="T5" s="1180" t="s">
        <v>4705</v>
      </c>
      <c r="U5" s="1186" t="s">
        <v>4706</v>
      </c>
      <c r="V5" s="1187" t="s">
        <v>4707</v>
      </c>
      <c r="W5" s="1185" t="s">
        <v>4708</v>
      </c>
    </row>
    <row r="6" customFormat="false" ht="33" hidden="false" customHeight="true" outlineLevel="0" collapsed="false">
      <c r="C6" s="1188"/>
      <c r="D6" s="802"/>
      <c r="E6" s="802"/>
      <c r="F6" s="1181" t="n">
        <v>22</v>
      </c>
      <c r="G6" s="802"/>
      <c r="H6" s="1182" t="n">
        <v>3</v>
      </c>
      <c r="I6" s="802"/>
      <c r="J6" s="1181" t="n">
        <v>4</v>
      </c>
      <c r="K6" s="802"/>
      <c r="L6" s="802"/>
      <c r="M6" s="1068"/>
      <c r="R6" s="1180" t="n">
        <v>3</v>
      </c>
      <c r="S6" s="1180" t="s">
        <v>836</v>
      </c>
      <c r="T6" s="1180" t="s">
        <v>4709</v>
      </c>
      <c r="U6" s="1186" t="s">
        <v>4710</v>
      </c>
      <c r="V6" s="1187" t="s">
        <v>4711</v>
      </c>
      <c r="W6" s="1185" t="s">
        <v>4712</v>
      </c>
    </row>
    <row r="7" customFormat="false" ht="33" hidden="false" customHeight="true" outlineLevel="0" collapsed="false">
      <c r="C7" s="1188"/>
      <c r="D7" s="802"/>
      <c r="E7" s="802"/>
      <c r="F7" s="802"/>
      <c r="G7" s="1182"/>
      <c r="H7" s="1182" t="n">
        <v>25</v>
      </c>
      <c r="I7" s="1182"/>
      <c r="J7" s="802"/>
      <c r="K7" s="802"/>
      <c r="L7" s="802"/>
      <c r="M7" s="1068"/>
      <c r="R7" s="1180" t="n">
        <v>4</v>
      </c>
      <c r="S7" s="1180" t="s">
        <v>866</v>
      </c>
      <c r="T7" s="1180" t="s">
        <v>4713</v>
      </c>
      <c r="U7" s="1186" t="s">
        <v>4714</v>
      </c>
      <c r="V7" s="1187" t="s">
        <v>4715</v>
      </c>
      <c r="W7" s="1185" t="s">
        <v>4716</v>
      </c>
    </row>
    <row r="8" customFormat="false" ht="33" hidden="false" customHeight="true" outlineLevel="0" collapsed="false">
      <c r="A8" s="6" t="s">
        <v>161</v>
      </c>
      <c r="B8" s="6" t="s">
        <v>159</v>
      </c>
      <c r="C8" s="1189" t="s">
        <v>4717</v>
      </c>
      <c r="D8" s="1182" t="n">
        <v>19</v>
      </c>
      <c r="E8" s="1182" t="n">
        <v>20</v>
      </c>
      <c r="F8" s="1182" t="n">
        <v>21</v>
      </c>
      <c r="G8" s="1182"/>
      <c r="H8" s="1182" t="s">
        <v>4718</v>
      </c>
      <c r="I8" s="1182"/>
      <c r="J8" s="1182" t="n">
        <v>9</v>
      </c>
      <c r="K8" s="1182" t="n">
        <v>8</v>
      </c>
      <c r="L8" s="1182" t="n">
        <v>7</v>
      </c>
      <c r="M8" s="1190" t="s">
        <v>4719</v>
      </c>
      <c r="N8" s="6" t="s">
        <v>162</v>
      </c>
      <c r="O8" s="6" t="s">
        <v>160</v>
      </c>
      <c r="R8" s="1180" t="n">
        <v>5</v>
      </c>
      <c r="S8" s="1180" t="s">
        <v>861</v>
      </c>
      <c r="T8" s="1180" t="s">
        <v>4720</v>
      </c>
      <c r="U8" s="1186" t="s">
        <v>4721</v>
      </c>
      <c r="V8" s="1187" t="s">
        <v>4722</v>
      </c>
      <c r="W8" s="1185" t="s">
        <v>4723</v>
      </c>
    </row>
    <row r="9" customFormat="false" ht="33" hidden="false" customHeight="true" outlineLevel="0" collapsed="false">
      <c r="C9" s="1188"/>
      <c r="D9" s="802"/>
      <c r="E9" s="802"/>
      <c r="F9" s="802"/>
      <c r="G9" s="1182" t="n">
        <v>27</v>
      </c>
      <c r="H9" s="1182"/>
      <c r="I9" s="1182" t="n">
        <v>26</v>
      </c>
      <c r="J9" s="802"/>
      <c r="K9" s="802"/>
      <c r="L9" s="802"/>
      <c r="M9" s="1068"/>
      <c r="R9" s="1180" t="n">
        <v>6</v>
      </c>
      <c r="S9" s="1180" t="s">
        <v>831</v>
      </c>
      <c r="T9" s="1180" t="s">
        <v>4724</v>
      </c>
      <c r="U9" s="1186" t="s">
        <v>4725</v>
      </c>
      <c r="V9" s="1187" t="s">
        <v>4726</v>
      </c>
      <c r="W9" s="1185" t="s">
        <v>4727</v>
      </c>
    </row>
    <row r="10" customFormat="false" ht="33" hidden="false" customHeight="true" outlineLevel="0" collapsed="false">
      <c r="C10" s="1188"/>
      <c r="D10" s="802"/>
      <c r="E10" s="802"/>
      <c r="F10" s="1181" t="n">
        <v>16</v>
      </c>
      <c r="G10" s="802"/>
      <c r="H10" s="1182" t="n">
        <v>15</v>
      </c>
      <c r="I10" s="802"/>
      <c r="J10" s="1181" t="n">
        <v>10</v>
      </c>
      <c r="K10" s="802"/>
      <c r="L10" s="802"/>
      <c r="M10" s="1068"/>
      <c r="R10" s="1180" t="n">
        <v>7</v>
      </c>
      <c r="S10" s="1180" t="s">
        <v>842</v>
      </c>
      <c r="T10" s="1180" t="s">
        <v>4728</v>
      </c>
      <c r="U10" s="1186" t="s">
        <v>4729</v>
      </c>
      <c r="V10" s="1187" t="s">
        <v>4730</v>
      </c>
      <c r="W10" s="1185" t="s">
        <v>4731</v>
      </c>
    </row>
    <row r="11" customFormat="false" ht="33" hidden="false" customHeight="true" outlineLevel="0" collapsed="false">
      <c r="C11" s="1191"/>
      <c r="D11" s="802"/>
      <c r="E11" s="1181" t="n">
        <v>17</v>
      </c>
      <c r="F11" s="802"/>
      <c r="G11" s="802"/>
      <c r="H11" s="1182" t="n">
        <v>14</v>
      </c>
      <c r="I11" s="802"/>
      <c r="J11" s="802"/>
      <c r="K11" s="1181" t="n">
        <v>11</v>
      </c>
      <c r="L11" s="802"/>
      <c r="M11" s="1178"/>
      <c r="R11" s="1180" t="n">
        <v>8</v>
      </c>
      <c r="S11" s="1180" t="s">
        <v>848</v>
      </c>
      <c r="T11" s="1180" t="s">
        <v>4732</v>
      </c>
      <c r="U11" s="1186" t="s">
        <v>4733</v>
      </c>
      <c r="V11" s="1187" t="s">
        <v>4734</v>
      </c>
      <c r="W11" s="1185" t="s">
        <v>4735</v>
      </c>
    </row>
    <row r="12" customFormat="false" ht="33" hidden="false" customHeight="true" outlineLevel="0" collapsed="false">
      <c r="C12" s="1191"/>
      <c r="D12" s="1181" t="n">
        <v>18</v>
      </c>
      <c r="E12" s="802"/>
      <c r="F12" s="802"/>
      <c r="G12" s="802"/>
      <c r="H12" s="1182" t="n">
        <v>13</v>
      </c>
      <c r="I12" s="802"/>
      <c r="J12" s="802"/>
      <c r="K12" s="802"/>
      <c r="L12" s="1181" t="n">
        <v>12</v>
      </c>
      <c r="M12" s="1178"/>
    </row>
    <row r="13" customFormat="false" ht="33" hidden="false" customHeight="true" outlineLevel="0" collapsed="false">
      <c r="C13" s="1192" t="s">
        <v>4736</v>
      </c>
      <c r="D13" s="1191"/>
      <c r="E13" s="1191"/>
      <c r="F13" s="1188"/>
      <c r="G13" s="1188"/>
      <c r="H13" s="1193" t="s">
        <v>4737</v>
      </c>
      <c r="I13" s="1188"/>
      <c r="J13" s="1188"/>
      <c r="K13" s="1178"/>
      <c r="L13" s="1178"/>
      <c r="M13" s="1194" t="s">
        <v>4738</v>
      </c>
    </row>
    <row r="14" customFormat="false" ht="33" hidden="false" customHeight="true" outlineLevel="0" collapsed="false">
      <c r="B14" s="6" t="s">
        <v>164</v>
      </c>
      <c r="H14" s="6" t="s">
        <v>163</v>
      </c>
      <c r="N14" s="6" t="s">
        <v>800</v>
      </c>
    </row>
    <row r="15" customFormat="false" ht="15" hidden="false" customHeight="false" outlineLevel="0" collapsed="false">
      <c r="A15" s="6" t="s">
        <v>159</v>
      </c>
      <c r="H15" s="6" t="s">
        <v>164</v>
      </c>
      <c r="O15" s="6" t="s">
        <v>165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&amp;C&amp;"Arial,Regular"&amp;10&amp;A</oddHeader>
    <oddFooter>&amp;C&amp;"Arial,Regular"&amp;10Page &amp;P</oddFooter>
  </headerFooter>
  <legacyDrawing r:id="rId2"/>
  <tableParts>
    <tablePart r:id="rId3"/>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4"/>
  <sheetViews>
    <sheetView showFormulas="false" showGridLines="true" showRowColHeaders="true" showZeros="true" rightToLeft="false" tabSelected="false" showOutlineSymbols="true" defaultGridColor="true" view="normal" topLeftCell="G1" colorId="64" zoomScale="181" zoomScaleNormal="181" zoomScalePageLayoutView="100" workbookViewId="0">
      <selection pane="topLeft" activeCell="Y13" activeCellId="0" sqref="Y13"/>
    </sheetView>
  </sheetViews>
  <sheetFormatPr defaultColWidth="6.859375" defaultRowHeight="15" customHeight="true" zeroHeight="false" outlineLevelRow="0" outlineLevelCol="0"/>
  <cols>
    <col collapsed="false" customWidth="true" hidden="false" outlineLevel="0" max="1" min="1" style="920" width="18.86"/>
    <col collapsed="false" customWidth="true" hidden="false" outlineLevel="0" max="2" min="2" style="920" width="17.15"/>
    <col collapsed="false" customWidth="false" hidden="false" outlineLevel="0" max="3" min="3" style="920" width="6.85"/>
    <col collapsed="false" customWidth="true" hidden="false" outlineLevel="0" max="4" min="4" style="920" width="15.29"/>
    <col collapsed="false" customWidth="false" hidden="false" outlineLevel="0" max="5" min="5" style="920" width="6.85"/>
    <col collapsed="false" customWidth="true" hidden="false" outlineLevel="0" max="6" min="6" style="920" width="8.57"/>
    <col collapsed="false" customWidth="true" hidden="false" outlineLevel="0" max="7" min="7" style="920" width="9.29"/>
    <col collapsed="false" customWidth="true" hidden="false" outlineLevel="0" max="8" min="8" style="920" width="15.29"/>
    <col collapsed="false" customWidth="true" hidden="false" outlineLevel="0" max="9" min="9" style="920" width="15.85"/>
    <col collapsed="false" customWidth="true" hidden="false" outlineLevel="0" max="10" min="10" style="920" width="13"/>
    <col collapsed="false" customWidth="true" hidden="false" outlineLevel="0" max="11" min="11" style="920" width="9.42"/>
    <col collapsed="false" customWidth="true" hidden="false" outlineLevel="0" max="12" min="12" style="920" width="15.71"/>
    <col collapsed="false" customWidth="true" hidden="false" outlineLevel="0" max="13" min="13" style="920" width="12.57"/>
    <col collapsed="false" customWidth="true" hidden="false" outlineLevel="0" max="14" min="14" style="920" width="8.42"/>
    <col collapsed="false" customWidth="true" hidden="false" outlineLevel="0" max="15" min="15" style="920" width="6.71"/>
    <col collapsed="false" customWidth="true" hidden="false" outlineLevel="0" max="16" min="16" style="920" width="14.71"/>
    <col collapsed="false" customWidth="true" hidden="false" outlineLevel="0" max="17" min="17" style="920" width="7.29"/>
    <col collapsed="false" customWidth="true" hidden="false" outlineLevel="0" max="18" min="18" style="920" width="9.57"/>
    <col collapsed="false" customWidth="true" hidden="false" outlineLevel="0" max="19" min="19" style="920" width="11"/>
    <col collapsed="false" customWidth="false" hidden="false" outlineLevel="0" max="20" min="20" style="920" width="6.85"/>
    <col collapsed="false" customWidth="true" hidden="false" outlineLevel="0" max="22" min="21" style="920" width="11"/>
    <col collapsed="false" customWidth="false" hidden="false" outlineLevel="0" max="1024" min="23" style="920" width="6.85"/>
  </cols>
  <sheetData>
    <row r="1" customFormat="false" ht="15" hidden="false" customHeight="true" outlineLevel="0" collapsed="false">
      <c r="A1" s="920" t="s">
        <v>4739</v>
      </c>
      <c r="B1" s="1195" t="n">
        <f aca="false">DoB</f>
        <v>26133.3841435185</v>
      </c>
      <c r="D1" s="1196"/>
      <c r="F1" s="1196"/>
    </row>
    <row r="2" customFormat="false" ht="15" hidden="false" customHeight="true" outlineLevel="0" collapsed="false">
      <c r="A2" s="920" t="s">
        <v>4740</v>
      </c>
      <c r="B2" s="1196" t="n">
        <f aca="false">B1+2415018.5</f>
        <v>2441151.88414352</v>
      </c>
      <c r="D2" s="1196"/>
      <c r="F2" s="1196"/>
      <c r="I2" s="920" t="s">
        <v>4741</v>
      </c>
    </row>
    <row r="3" customFormat="false" ht="15" hidden="false" customHeight="true" outlineLevel="0" collapsed="false">
      <c r="A3" s="920" t="s">
        <v>4742</v>
      </c>
      <c r="B3" s="1197" t="n">
        <f aca="false">VALUE(MID(JHora!A8,11,13))</f>
        <v>0.229166666666667</v>
      </c>
      <c r="G3" s="920" t="s">
        <v>4743</v>
      </c>
      <c r="H3" s="100" t="n">
        <v>0</v>
      </c>
      <c r="I3" s="920" t="s">
        <v>4744</v>
      </c>
      <c r="J3" s="151" t="n">
        <f aca="false">TAN(RADIANS(H3))*12</f>
        <v>0</v>
      </c>
      <c r="K3" s="920" t="str">
        <f aca="false">_xlfn.FORMULATEXT(J3)</f>
        <v>=TAN(RADIANS(H3))*12</v>
      </c>
    </row>
    <row r="4" customFormat="false" ht="15" hidden="false" customHeight="true" outlineLevel="0" collapsed="false">
      <c r="A4" s="920" t="s">
        <v>4745</v>
      </c>
      <c r="B4" s="920" t="str">
        <f aca="false">MID(JHora!A8,25,4)</f>
        <v>East</v>
      </c>
      <c r="D4" s="1196"/>
      <c r="G4" s="920" t="s">
        <v>4746</v>
      </c>
      <c r="H4" s="151" t="n">
        <f aca="false">palbhaa*10</f>
        <v>0</v>
      </c>
      <c r="I4" s="920" t="str">
        <f aca="false">_xlfn.FORMULATEXT(H4)</f>
        <v>=palbhaa*10</v>
      </c>
      <c r="J4" s="151" t="n">
        <f aca="false">H4*6</f>
        <v>0</v>
      </c>
      <c r="K4" s="920" t="s">
        <v>4747</v>
      </c>
    </row>
    <row r="5" customFormat="false" ht="15" hidden="false" customHeight="true" outlineLevel="0" collapsed="false">
      <c r="A5" s="920" t="s">
        <v>4748</v>
      </c>
      <c r="B5" s="1196" t="n">
        <f aca="false">MOD(B3,1)*24*IF(B4="East",-1,1)</f>
        <v>-5.5</v>
      </c>
      <c r="D5" s="1196"/>
      <c r="G5" s="920" t="s">
        <v>4749</v>
      </c>
      <c r="H5" s="151" t="n">
        <f aca="false">palbhaa*8</f>
        <v>0</v>
      </c>
      <c r="I5" s="920" t="str">
        <f aca="false">_xlfn.FORMULATEXT(H5)</f>
        <v>=palbhaa*8</v>
      </c>
      <c r="J5" s="151" t="n">
        <f aca="false">H5*6</f>
        <v>0</v>
      </c>
      <c r="K5" s="920" t="s">
        <v>4747</v>
      </c>
    </row>
    <row r="6" customFormat="false" ht="15" hidden="false" customHeight="true" outlineLevel="0" collapsed="false">
      <c r="A6" s="920" t="s">
        <v>4750</v>
      </c>
      <c r="B6" s="930" t="n">
        <f aca="false">MOD(B1,1)*24</f>
        <v>9.2194444439665</v>
      </c>
      <c r="G6" s="920" t="s">
        <v>4751</v>
      </c>
      <c r="H6" s="151" t="n">
        <f aca="false">palbhaa*10/3</f>
        <v>0</v>
      </c>
      <c r="I6" s="920" t="str">
        <f aca="false">_xlfn.FORMULATEXT(H6)</f>
        <v>=palbhaa*10/3</v>
      </c>
      <c r="J6" s="151" t="n">
        <f aca="false">H6*6</f>
        <v>0</v>
      </c>
      <c r="K6" s="920" t="s">
        <v>4747</v>
      </c>
    </row>
    <row r="7" customFormat="false" ht="15" hidden="false" customHeight="true" outlineLevel="0" collapsed="false">
      <c r="A7" s="920" t="s">
        <v>4752</v>
      </c>
      <c r="B7" s="1198" t="n">
        <f aca="false">VALUE(RIGHT(SUBSTITUTE(JHora!A27,"-",":"),11)*24*-1)</f>
        <v>-23.4442194444444</v>
      </c>
      <c r="J7" s="151"/>
    </row>
    <row r="8" customFormat="false" ht="15" hidden="false" customHeight="true" outlineLevel="0" collapsed="false">
      <c r="A8" s="920" t="s">
        <v>4753</v>
      </c>
      <c r="B8" s="930" t="n">
        <f aca="false">B6+B5</f>
        <v>3.7194444439665</v>
      </c>
      <c r="F8" s="920" t="s">
        <v>1075</v>
      </c>
      <c r="G8" s="920" t="s">
        <v>4754</v>
      </c>
      <c r="H8" s="920" t="s">
        <v>4755</v>
      </c>
      <c r="J8" s="151"/>
      <c r="K8" s="920" t="s">
        <v>4756</v>
      </c>
      <c r="L8" s="920" t="s">
        <v>4757</v>
      </c>
      <c r="M8" s="920" t="s">
        <v>4758</v>
      </c>
      <c r="N8" s="920" t="s">
        <v>4759</v>
      </c>
    </row>
    <row r="9" customFormat="false" ht="15" hidden="false" customHeight="true" outlineLevel="0" collapsed="false">
      <c r="A9" s="920" t="s">
        <v>4760</v>
      </c>
      <c r="B9" s="920" t="n">
        <f aca="false">((B2 - 2415020) + B8/24 - 0.5)/36525</f>
        <v>0.715442549496786</v>
      </c>
      <c r="F9" s="920" t="s">
        <v>4761</v>
      </c>
      <c r="G9" s="920" t="s">
        <v>896</v>
      </c>
      <c r="H9" s="920" t="s">
        <v>951</v>
      </c>
      <c r="I9" s="920" t="s">
        <v>961</v>
      </c>
      <c r="J9" s="151" t="s">
        <v>1006</v>
      </c>
      <c r="K9" s="920" t="n">
        <v>1674</v>
      </c>
      <c r="L9" s="1199" t="n">
        <v>0.0775</v>
      </c>
      <c r="M9" s="920" t="n">
        <f aca="false">K9/6</f>
        <v>279</v>
      </c>
      <c r="N9" s="920" t="n">
        <f aca="false">K9/5400</f>
        <v>0.31</v>
      </c>
    </row>
    <row r="10" customFormat="false" ht="15" hidden="false" customHeight="true" outlineLevel="0" collapsed="false">
      <c r="A10" s="920" t="s">
        <v>4762</v>
      </c>
      <c r="B10" s="1198" t="n">
        <f aca="false">VALUE(SUBSTITUTE(SUBSTITUTE(SUBSTITUTE(MID(JHora!A9,16,11)," E ",":"),"' ",":")," W ",":")*24*IF(ISERROR(SEARCH(" E ",JHora!A9)),1,-1))</f>
        <v>-78.0847222222222</v>
      </c>
      <c r="F10" s="920" t="s">
        <v>4763</v>
      </c>
      <c r="G10" s="920" t="s">
        <v>908</v>
      </c>
      <c r="H10" s="920" t="s">
        <v>943</v>
      </c>
      <c r="I10" s="920" t="s">
        <v>969</v>
      </c>
      <c r="J10" s="151" t="s">
        <v>997</v>
      </c>
      <c r="K10" s="920" t="n">
        <v>1795</v>
      </c>
      <c r="L10" s="1199" t="n">
        <v>0.0831018518518519</v>
      </c>
      <c r="M10" s="920" t="n">
        <f aca="false">K10/6</f>
        <v>299.166666666667</v>
      </c>
      <c r="N10" s="920" t="n">
        <f aca="false">K10/5400</f>
        <v>0.332407407407407</v>
      </c>
      <c r="W10" s="920" t="n">
        <f aca="false">RaashiMaana1</f>
        <v>1674</v>
      </c>
      <c r="X10" s="920" t="s">
        <v>4764</v>
      </c>
      <c r="Y10" s="920" t="n">
        <f aca="false">W10*$N$9</f>
        <v>518.94</v>
      </c>
    </row>
    <row r="11" customFormat="false" ht="15" hidden="false" customHeight="true" outlineLevel="0" collapsed="false">
      <c r="A11" s="920" t="s">
        <v>4765</v>
      </c>
      <c r="B11" s="1198" t="n">
        <f aca="false">VALUE(SUBSTITUTE(SUBSTITUTE(SUBSTITUTE(MID(JHora!A9,30,11)," N ",":"),"' ",":")," S ",":")*24*IF(ISERROR(SEARCH(" S ",JHora!A9)),1,-1))</f>
        <v>10.9630555555556</v>
      </c>
      <c r="F11" s="920" t="s">
        <v>4766</v>
      </c>
      <c r="G11" s="920" t="s">
        <v>920</v>
      </c>
      <c r="H11" s="920" t="s">
        <v>931</v>
      </c>
      <c r="I11" s="920" t="s">
        <v>3175</v>
      </c>
      <c r="J11" s="920" t="s">
        <v>987</v>
      </c>
      <c r="K11" s="920" t="n">
        <v>1931</v>
      </c>
      <c r="L11" s="1199" t="n">
        <v>0.0893981481481482</v>
      </c>
      <c r="M11" s="920" t="n">
        <f aca="false">K11/6</f>
        <v>321.833333333333</v>
      </c>
      <c r="N11" s="920" t="n">
        <f aca="false">K11/5400</f>
        <v>0.357592592592593</v>
      </c>
      <c r="W11" s="920" t="n">
        <f aca="false">RaashiMaana1</f>
        <v>1674</v>
      </c>
      <c r="X11" s="920" t="s">
        <v>4767</v>
      </c>
      <c r="Y11" s="920" t="n">
        <f aca="false">W11*$N$10</f>
        <v>556.449999999999</v>
      </c>
    </row>
    <row r="12" customFormat="false" ht="15" hidden="false" customHeight="true" outlineLevel="0" collapsed="false">
      <c r="A12" s="920" t="s">
        <v>4768</v>
      </c>
      <c r="B12" s="920" t="n">
        <f aca="false">(MOD(((6.6460656 + 2400.0512617 * B9 + 0.00002581 * B9 * B9 + B8) * 15 - B10), 360)) * PI()/180</f>
        <v>1.22259397720494</v>
      </c>
      <c r="W12" s="920" t="n">
        <f aca="false">RaashiMaana1</f>
        <v>1674</v>
      </c>
      <c r="X12" s="920" t="s">
        <v>4769</v>
      </c>
      <c r="Y12" s="920" t="n">
        <f aca="false">W12*$N$11</f>
        <v>598.610000000001</v>
      </c>
    </row>
    <row r="13" customFormat="false" ht="15" hidden="false" customHeight="true" outlineLevel="0" collapsed="false">
      <c r="A13" s="920" t="s">
        <v>4770</v>
      </c>
      <c r="B13" s="920" t="n">
        <f aca="false">(23.452294 - 0.0130125 * B9  - 0.00000164 * B9*B9 + 0.000000503 *B9*B9*B9 ) * PI()/180</f>
        <v>0.40915725115889</v>
      </c>
      <c r="W13" s="920" t="n">
        <v>1795</v>
      </c>
      <c r="X13" s="920" t="s">
        <v>4771</v>
      </c>
      <c r="Y13" s="920" t="n">
        <f aca="false">W13*$N$9</f>
        <v>556.45</v>
      </c>
    </row>
    <row r="14" customFormat="false" ht="15" hidden="false" customHeight="true" outlineLevel="0" collapsed="false">
      <c r="A14" s="920" t="s">
        <v>4772</v>
      </c>
      <c r="B14" s="920" t="n">
        <f aca="false">ATAN2(COS(B13),TAN(B12))</f>
        <v>1.24931885330873</v>
      </c>
      <c r="W14" s="920" t="n">
        <v>1795</v>
      </c>
      <c r="X14" s="920" t="s">
        <v>4773</v>
      </c>
      <c r="Y14" s="920" t="n">
        <f aca="false">W14*$N$10</f>
        <v>596.671296296296</v>
      </c>
    </row>
    <row r="15" customFormat="false" ht="15" hidden="false" customHeight="true" outlineLevel="0" collapsed="false">
      <c r="A15" s="920" t="s">
        <v>4774</v>
      </c>
      <c r="B15" s="920" t="n">
        <f aca="false">IF(B14&lt;0,PI(),0)+B14</f>
        <v>1.24931885330873</v>
      </c>
      <c r="G15" s="920" t="s">
        <v>4754</v>
      </c>
      <c r="M15" s="920" t="s">
        <v>4775</v>
      </c>
      <c r="N15" s="920" t="s">
        <v>4755</v>
      </c>
      <c r="O15" s="920" t="s">
        <v>4755</v>
      </c>
      <c r="P15" s="920" t="s">
        <v>4755</v>
      </c>
      <c r="Q15" s="920" t="s">
        <v>4755</v>
      </c>
      <c r="R15" s="920" t="s">
        <v>4755</v>
      </c>
      <c r="S15" s="920" t="s">
        <v>4755</v>
      </c>
      <c r="W15" s="920" t="n">
        <v>1795</v>
      </c>
      <c r="X15" s="920" t="s">
        <v>4776</v>
      </c>
      <c r="Y15" s="920" t="n">
        <f aca="false">W15*$N$11</f>
        <v>641.878703703704</v>
      </c>
    </row>
    <row r="16" customFormat="false" ht="15" hidden="false" customHeight="true" outlineLevel="0" collapsed="false">
      <c r="A16" s="920" t="s">
        <v>4777</v>
      </c>
      <c r="B16" s="920" t="n">
        <f aca="false">IF(SIN(B12)&lt;0,PI(),0)+B15</f>
        <v>1.24931885330873</v>
      </c>
      <c r="F16" s="920" t="s">
        <v>1075</v>
      </c>
      <c r="G16" s="920" t="s">
        <v>4754</v>
      </c>
      <c r="H16" s="920" t="s">
        <v>4778</v>
      </c>
      <c r="I16" s="920" t="s">
        <v>4779</v>
      </c>
      <c r="J16" s="920" t="s">
        <v>4780</v>
      </c>
      <c r="K16" s="920" t="s">
        <v>730</v>
      </c>
      <c r="L16" s="920" t="s">
        <v>805</v>
      </c>
      <c r="M16" s="920" t="s">
        <v>4755</v>
      </c>
      <c r="N16" s="920" t="s">
        <v>4781</v>
      </c>
      <c r="O16" s="920" t="s">
        <v>4782</v>
      </c>
      <c r="P16" s="920" t="s">
        <v>4783</v>
      </c>
      <c r="Q16" s="920" t="s">
        <v>4784</v>
      </c>
      <c r="R16" s="920" t="s">
        <v>4785</v>
      </c>
      <c r="S16" s="920" t="s">
        <v>4786</v>
      </c>
      <c r="T16" s="920" t="s">
        <v>4787</v>
      </c>
      <c r="U16" s="920" t="s">
        <v>4788</v>
      </c>
      <c r="W16" s="920" t="n">
        <v>1931</v>
      </c>
      <c r="X16" s="920" t="s">
        <v>4789</v>
      </c>
      <c r="Y16" s="920" t="n">
        <f aca="false">W16*$N$9</f>
        <v>598.61</v>
      </c>
    </row>
    <row r="17" customFormat="false" ht="15" hidden="false" customHeight="true" outlineLevel="0" collapsed="false">
      <c r="A17" s="920" t="s">
        <v>4790</v>
      </c>
      <c r="B17" s="920" t="n">
        <f aca="false">B16*180/PI()</f>
        <v>71.5806975607137</v>
      </c>
      <c r="E17" s="563" t="s">
        <v>4791</v>
      </c>
      <c r="F17" s="920" t="s">
        <v>4761</v>
      </c>
      <c r="G17" s="563" t="n">
        <v>1</v>
      </c>
      <c r="H17" s="920" t="s">
        <v>896</v>
      </c>
      <c r="I17" s="151" t="n">
        <f aca="false">K9-J4</f>
        <v>1674</v>
      </c>
      <c r="J17" s="190" t="n">
        <f aca="false">4/(24*60*60)*I17</f>
        <v>0.0775</v>
      </c>
      <c r="K17" s="190" t="n">
        <f aca="false">IF(G17=$B$31,$B$34,K18-J17)</f>
        <v>26132.9984534376</v>
      </c>
      <c r="L17" s="1200" t="n">
        <f aca="false">K17+J17</f>
        <v>26133.0759534376</v>
      </c>
      <c r="M17" s="1201" t="n">
        <v>0.0773148148148148</v>
      </c>
      <c r="N17" s="920" t="n">
        <f aca="false">M17*(24*60*60)/4</f>
        <v>1670</v>
      </c>
      <c r="O17" s="1202" t="n">
        <f aca="false">N17/6</f>
        <v>278.333333333333</v>
      </c>
      <c r="P17" s="1203" t="n">
        <f aca="false">ABS(J17-M17)</f>
        <v>0.000185185185185185</v>
      </c>
      <c r="Q17" s="920" t="n">
        <v>279</v>
      </c>
      <c r="R17" s="920" t="n">
        <f aca="false">Q17*6</f>
        <v>1674</v>
      </c>
      <c r="S17" s="190" t="n">
        <f aca="false">4/(24*60*60)*R17</f>
        <v>0.0775</v>
      </c>
      <c r="T17" s="920" t="n">
        <v>15</v>
      </c>
      <c r="U17" s="920" t="n">
        <f aca="false">SIN(4*Table14[[#This Row],[Dec]]/180*PI())</f>
        <v>0.866025403784439</v>
      </c>
      <c r="W17" s="920" t="n">
        <v>1931</v>
      </c>
      <c r="X17" s="920" t="s">
        <v>4792</v>
      </c>
      <c r="Y17" s="920" t="n">
        <f aca="false">W17*$N$10</f>
        <v>641.878703703704</v>
      </c>
    </row>
    <row r="18" customFormat="false" ht="15" hidden="false" customHeight="true" outlineLevel="0" collapsed="false">
      <c r="A18" s="920" t="s">
        <v>4793</v>
      </c>
      <c r="B18" s="920" t="n">
        <f aca="false">ATAN2(-SIN(B12)*COS(B13)-TAN(B11 * PI()/180)*SIN(B13),COS(B12))</f>
        <v>2.79321122356783</v>
      </c>
      <c r="E18" s="563" t="s">
        <v>4791</v>
      </c>
      <c r="F18" s="920" t="s">
        <v>4763</v>
      </c>
      <c r="G18" s="563" t="n">
        <v>2</v>
      </c>
      <c r="H18" s="920" t="s">
        <v>908</v>
      </c>
      <c r="I18" s="151" t="n">
        <f aca="false">K10-J5</f>
        <v>1795</v>
      </c>
      <c r="J18" s="190" t="n">
        <f aca="false">4/(24*60*60)*I18</f>
        <v>0.0831018518518518</v>
      </c>
      <c r="K18" s="190" t="n">
        <f aca="false">IF(G18=$B$31,$B$34,K19-J18)</f>
        <v>26133.0759534376</v>
      </c>
      <c r="L18" s="1200" t="n">
        <f aca="false">K18+J18</f>
        <v>26133.1590552895</v>
      </c>
      <c r="M18" s="1201" t="n">
        <v>0.0828472222222222</v>
      </c>
      <c r="N18" s="920" t="n">
        <f aca="false">M18*(24*60*60)/4</f>
        <v>1789.5</v>
      </c>
      <c r="O18" s="1202" t="n">
        <f aca="false">N18/6</f>
        <v>298.25</v>
      </c>
      <c r="P18" s="1203" t="n">
        <f aca="false">ABS(J18-M18)</f>
        <v>0.00025462962962963</v>
      </c>
      <c r="Q18" s="920" t="n">
        <v>299</v>
      </c>
      <c r="R18" s="920" t="n">
        <f aca="false">Q18*6</f>
        <v>1794</v>
      </c>
      <c r="S18" s="190" t="n">
        <f aca="false">4/(24*60*60)*R18</f>
        <v>0.0830555555555556</v>
      </c>
      <c r="T18" s="920" t="n">
        <v>45</v>
      </c>
      <c r="U18" s="920" t="n">
        <f aca="false">SIN(4*Table14[[#This Row],[Dec]]/180*PI())</f>
        <v>1.22514845490862E-016</v>
      </c>
      <c r="W18" s="920" t="n">
        <v>1931</v>
      </c>
      <c r="X18" s="920" t="s">
        <v>4794</v>
      </c>
      <c r="Y18" s="920" t="n">
        <f aca="false">W18*$N$11</f>
        <v>690.511296296296</v>
      </c>
    </row>
    <row r="19" customFormat="false" ht="15" hidden="false" customHeight="true" outlineLevel="0" collapsed="false">
      <c r="A19" s="920" t="s">
        <v>4795</v>
      </c>
      <c r="B19" s="920" t="n">
        <f aca="false">IF(B18&lt;0,PI(),0)+B18</f>
        <v>2.79321122356783</v>
      </c>
      <c r="E19" s="563" t="s">
        <v>4791</v>
      </c>
      <c r="F19" s="920" t="s">
        <v>4766</v>
      </c>
      <c r="G19" s="563" t="n">
        <v>3</v>
      </c>
      <c r="H19" s="920" t="s">
        <v>920</v>
      </c>
      <c r="I19" s="151" t="n">
        <f aca="false">K11-J6</f>
        <v>1931</v>
      </c>
      <c r="J19" s="190" t="n">
        <f aca="false">4/(24*60*60)*I19</f>
        <v>0.0893981481481481</v>
      </c>
      <c r="K19" s="190" t="n">
        <f aca="false">IF(G19=$B$31,$B$34,K20-J19)</f>
        <v>26133.1590552895</v>
      </c>
      <c r="L19" s="1200" t="n">
        <f aca="false">K19+J19</f>
        <v>26133.2484534376</v>
      </c>
      <c r="M19" s="1201" t="n">
        <v>0.0891435185185185</v>
      </c>
      <c r="N19" s="920" t="n">
        <f aca="false">M19*(24*60*60)/4</f>
        <v>1925.5</v>
      </c>
      <c r="O19" s="1202" t="n">
        <f aca="false">N19/6</f>
        <v>320.916666666667</v>
      </c>
      <c r="P19" s="1203" t="n">
        <f aca="false">ABS(J19-M19)</f>
        <v>0.00025462962962963</v>
      </c>
      <c r="Q19" s="920" t="n">
        <v>322</v>
      </c>
      <c r="R19" s="920" t="n">
        <f aca="false">Q19*6</f>
        <v>1932</v>
      </c>
      <c r="S19" s="190" t="n">
        <f aca="false">4/(24*60*60)*R19</f>
        <v>0.0894444444444444</v>
      </c>
      <c r="T19" s="920" t="n">
        <v>75</v>
      </c>
      <c r="U19" s="920" t="n">
        <f aca="false">SIN(4*Table14[[#This Row],[Dec]]/180*PI())</f>
        <v>-0.866025403784439</v>
      </c>
    </row>
    <row r="20" customFormat="false" ht="15" hidden="false" customHeight="true" outlineLevel="0" collapsed="false">
      <c r="A20" s="920" t="s">
        <v>4796</v>
      </c>
      <c r="B20" s="920" t="n">
        <f aca="false">IF(COS(B12)&lt;0,PI(),0)+B19</f>
        <v>2.79321122356783</v>
      </c>
      <c r="E20" s="563" t="s">
        <v>4797</v>
      </c>
      <c r="F20" s="920" t="s">
        <v>4761</v>
      </c>
      <c r="G20" s="563" t="n">
        <v>4</v>
      </c>
      <c r="H20" s="920" t="s">
        <v>931</v>
      </c>
      <c r="I20" s="151" t="n">
        <f aca="false">K11+J6</f>
        <v>1931</v>
      </c>
      <c r="J20" s="190" t="n">
        <f aca="false">4/(24*60*60)*I20</f>
        <v>0.0893981481481481</v>
      </c>
      <c r="K20" s="190" t="n">
        <f aca="false">IF(G20=$B$31,$B$34,K21-J20)</f>
        <v>26133.2484534376</v>
      </c>
      <c r="L20" s="1200" t="n">
        <f aca="false">K20+J20</f>
        <v>26133.3378515858</v>
      </c>
      <c r="M20" s="1201" t="n">
        <v>0.0891435185185185</v>
      </c>
      <c r="N20" s="920" t="n">
        <f aca="false">M20*(24*60*60)/4</f>
        <v>1925.5</v>
      </c>
      <c r="O20" s="1202" t="n">
        <f aca="false">N20/6</f>
        <v>320.916666666667</v>
      </c>
      <c r="P20" s="1203" t="n">
        <f aca="false">ABS(J20-M20)</f>
        <v>0.00025462962962963</v>
      </c>
      <c r="Q20" s="920" t="n">
        <f aca="false">Q19</f>
        <v>322</v>
      </c>
      <c r="R20" s="920" t="n">
        <f aca="false">Q20*6</f>
        <v>1932</v>
      </c>
      <c r="S20" s="190" t="n">
        <f aca="false">4/(24*60*60)*R20</f>
        <v>0.0894444444444444</v>
      </c>
      <c r="T20" s="920" t="n">
        <v>105</v>
      </c>
      <c r="U20" s="920" t="n">
        <f aca="false">SIN(4*Table14[[#This Row],[Dec]]/180*PI())</f>
        <v>0.866025403784439</v>
      </c>
    </row>
    <row r="21" customFormat="false" ht="15" hidden="false" customHeight="true" outlineLevel="0" collapsed="false">
      <c r="A21" s="920" t="s">
        <v>4798</v>
      </c>
      <c r="B21" s="920" t="n">
        <f aca="false">MOD(B20*180/PI(),360)</f>
        <v>160.039214399009</v>
      </c>
      <c r="E21" s="563" t="s">
        <v>4797</v>
      </c>
      <c r="F21" s="920" t="s">
        <v>4763</v>
      </c>
      <c r="G21" s="563" t="n">
        <v>5</v>
      </c>
      <c r="H21" s="920" t="s">
        <v>943</v>
      </c>
      <c r="I21" s="151" t="n">
        <f aca="false">K10+J5</f>
        <v>1795</v>
      </c>
      <c r="J21" s="190" t="n">
        <f aca="false">4/(24*60*60)*I21</f>
        <v>0.0831018518518518</v>
      </c>
      <c r="K21" s="190" t="n">
        <f aca="false">IF(G21=$B$31,$B$34,K22-J21)</f>
        <v>26133.3378515858</v>
      </c>
      <c r="L21" s="1200" t="n">
        <f aca="false">K21+J21</f>
        <v>26133.4209534376</v>
      </c>
      <c r="M21" s="1201" t="n">
        <v>0.0828472222222222</v>
      </c>
      <c r="N21" s="920" t="n">
        <f aca="false">M21*(24*60*60)/4</f>
        <v>1789.5</v>
      </c>
      <c r="O21" s="1202" t="n">
        <f aca="false">N21/6</f>
        <v>298.25</v>
      </c>
      <c r="P21" s="1203" t="n">
        <f aca="false">ABS(J21-M21)</f>
        <v>0.00025462962962963</v>
      </c>
      <c r="Q21" s="920" t="n">
        <f aca="false">Q18</f>
        <v>299</v>
      </c>
      <c r="R21" s="920" t="n">
        <f aca="false">Q21*6</f>
        <v>1794</v>
      </c>
      <c r="S21" s="190" t="n">
        <f aca="false">4/(24*60*60)*R21</f>
        <v>0.0830555555555556</v>
      </c>
      <c r="T21" s="920" t="n">
        <v>135</v>
      </c>
      <c r="U21" s="920" t="n">
        <f aca="false">SIN(4*Table14[[#This Row],[Dec]]/180*PI())</f>
        <v>3.67544536472586E-016</v>
      </c>
    </row>
    <row r="22" customFormat="false" ht="15" hidden="false" customHeight="true" outlineLevel="0" collapsed="false">
      <c r="A22" s="920" t="s">
        <v>4799</v>
      </c>
      <c r="B22" s="920" t="n">
        <f aca="false">B21+B7</f>
        <v>136.594994954565</v>
      </c>
      <c r="D22" s="920" t="n">
        <f aca="false">B22/24</f>
        <v>5.69145812310688</v>
      </c>
      <c r="E22" s="563" t="s">
        <v>4797</v>
      </c>
      <c r="F22" s="920" t="s">
        <v>4766</v>
      </c>
      <c r="G22" s="563" t="n">
        <v>6</v>
      </c>
      <c r="H22" s="920" t="s">
        <v>951</v>
      </c>
      <c r="I22" s="151" t="n">
        <f aca="false">K9+J4</f>
        <v>1674</v>
      </c>
      <c r="J22" s="190" t="n">
        <f aca="false">4/(24*60*60)*I22</f>
        <v>0.0775</v>
      </c>
      <c r="K22" s="190" t="n">
        <f aca="false">IF(G22=$B$31,$B$34,K23-J22)</f>
        <v>26133.4209534376</v>
      </c>
      <c r="L22" s="1200" t="n">
        <f aca="false">K22+J22</f>
        <v>26133.4984534376</v>
      </c>
      <c r="M22" s="1201" t="n">
        <v>0.0773148148148148</v>
      </c>
      <c r="N22" s="920" t="n">
        <f aca="false">M22*(24*60*60)/4</f>
        <v>1670</v>
      </c>
      <c r="O22" s="1202" t="n">
        <f aca="false">N22/6</f>
        <v>278.333333333333</v>
      </c>
      <c r="P22" s="1203" t="n">
        <f aca="false">ABS(J22-M22)</f>
        <v>0.000185185185185185</v>
      </c>
      <c r="Q22" s="920" t="n">
        <f aca="false">Q17</f>
        <v>279</v>
      </c>
      <c r="R22" s="920" t="n">
        <f aca="false">Q22*6</f>
        <v>1674</v>
      </c>
      <c r="S22" s="190" t="n">
        <f aca="false">4/(24*60*60)*R22</f>
        <v>0.0775</v>
      </c>
      <c r="T22" s="920" t="n">
        <v>165</v>
      </c>
      <c r="U22" s="920" t="n">
        <f aca="false">SIN(4*Table14[[#This Row],[Dec]]/180*PI())</f>
        <v>-0.866025403784439</v>
      </c>
    </row>
    <row r="23" customFormat="false" ht="15" hidden="false" customHeight="true" outlineLevel="0" collapsed="false">
      <c r="E23" s="563" t="s">
        <v>4797</v>
      </c>
      <c r="F23" s="920" t="s">
        <v>4766</v>
      </c>
      <c r="G23" s="1204" t="n">
        <v>7</v>
      </c>
      <c r="H23" s="920" t="s">
        <v>961</v>
      </c>
      <c r="I23" s="1202" t="n">
        <f aca="false">I22</f>
        <v>1674</v>
      </c>
      <c r="J23" s="190" t="n">
        <f aca="false">J22</f>
        <v>0.0775</v>
      </c>
      <c r="K23" s="190" t="n">
        <f aca="false">IF(G23=$B$31,$B$34,K24-J23)</f>
        <v>26133.4984534376</v>
      </c>
      <c r="L23" s="1200" t="n">
        <f aca="false">K23+J23</f>
        <v>26133.5759534376</v>
      </c>
      <c r="M23" s="1201" t="n">
        <v>0.0773148148148148</v>
      </c>
      <c r="N23" s="920" t="n">
        <f aca="false">M23*(24*60*60)/4</f>
        <v>1670</v>
      </c>
      <c r="O23" s="1202" t="n">
        <f aca="false">N23/6</f>
        <v>278.333333333333</v>
      </c>
      <c r="P23" s="1203" t="n">
        <f aca="false">ABS(J23-M23)</f>
        <v>0.000185185185185185</v>
      </c>
      <c r="Q23" s="920" t="n">
        <f aca="false">Q22</f>
        <v>279</v>
      </c>
      <c r="R23" s="920" t="n">
        <f aca="false">Q23*6</f>
        <v>1674</v>
      </c>
      <c r="S23" s="190" t="n">
        <f aca="false">4/(24*60*60)*R23</f>
        <v>0.0775</v>
      </c>
      <c r="T23" s="920" t="n">
        <v>195</v>
      </c>
      <c r="U23" s="920" t="n">
        <f aca="false">SIN(4*Table14[[#This Row],[Dec]]/180*PI())</f>
        <v>0.866025403784438</v>
      </c>
    </row>
    <row r="24" customFormat="false" ht="15" hidden="false" customHeight="true" outlineLevel="0" collapsed="false">
      <c r="E24" s="563" t="s">
        <v>4797</v>
      </c>
      <c r="F24" s="920" t="s">
        <v>4763</v>
      </c>
      <c r="G24" s="1204" t="n">
        <v>8</v>
      </c>
      <c r="H24" s="920" t="s">
        <v>969</v>
      </c>
      <c r="I24" s="1202" t="n">
        <f aca="false">I21</f>
        <v>1795</v>
      </c>
      <c r="J24" s="190" t="n">
        <f aca="false">J21</f>
        <v>0.0831018518518518</v>
      </c>
      <c r="K24" s="190" t="n">
        <f aca="false">IF(G24=$B$31,$B$34,K25-J24)</f>
        <v>26133.5759534376</v>
      </c>
      <c r="L24" s="1200" t="n">
        <f aca="false">K24+J24</f>
        <v>26133.6590552895</v>
      </c>
      <c r="M24" s="1201" t="n">
        <v>0.0828472222222222</v>
      </c>
      <c r="N24" s="920" t="n">
        <f aca="false">M24*(24*60*60)/4</f>
        <v>1789.5</v>
      </c>
      <c r="O24" s="1202" t="n">
        <f aca="false">N24/6</f>
        <v>298.25</v>
      </c>
      <c r="P24" s="1203" t="n">
        <f aca="false">ABS(J24-M24)</f>
        <v>0.00025462962962963</v>
      </c>
      <c r="Q24" s="920" t="n">
        <f aca="false">Q21</f>
        <v>299</v>
      </c>
      <c r="R24" s="920" t="n">
        <f aca="false">Q24*6</f>
        <v>1794</v>
      </c>
      <c r="S24" s="190" t="n">
        <f aca="false">4/(24*60*60)*R24</f>
        <v>0.0830555555555556</v>
      </c>
      <c r="T24" s="920" t="n">
        <v>225</v>
      </c>
      <c r="U24" s="920" t="n">
        <f aca="false">SIN(4*Table14[[#This Row],[Dec]]/180*PI())</f>
        <v>6.1257422745431E-016</v>
      </c>
    </row>
    <row r="25" customFormat="false" ht="15" hidden="false" customHeight="true" outlineLevel="0" collapsed="false">
      <c r="A25" s="920" t="s">
        <v>4800</v>
      </c>
      <c r="B25" s="1196" t="n">
        <f aca="false">Lagna</f>
        <v>136.711516666667</v>
      </c>
      <c r="D25" s="920" t="n">
        <f aca="false">B25/24</f>
        <v>5.69631319444444</v>
      </c>
      <c r="E25" s="563" t="s">
        <v>4797</v>
      </c>
      <c r="F25" s="920" t="s">
        <v>4761</v>
      </c>
      <c r="G25" s="1204" t="n">
        <v>9</v>
      </c>
      <c r="H25" s="920" t="s">
        <v>4063</v>
      </c>
      <c r="I25" s="1202" t="n">
        <f aca="false">I20</f>
        <v>1931</v>
      </c>
      <c r="J25" s="190" t="n">
        <f aca="false">J20</f>
        <v>0.0893981481481481</v>
      </c>
      <c r="K25" s="190" t="n">
        <f aca="false">IF(G25=$B$31,$B$34,K26-J25)</f>
        <v>26133.6590552895</v>
      </c>
      <c r="L25" s="1200" t="n">
        <f aca="false">K25+J25</f>
        <v>26133.7484534376</v>
      </c>
      <c r="M25" s="1201" t="n">
        <v>0.0891435185185185</v>
      </c>
      <c r="N25" s="920" t="n">
        <f aca="false">M25*(24*60*60)/4</f>
        <v>1925.5</v>
      </c>
      <c r="O25" s="1202" t="n">
        <f aca="false">N25/6</f>
        <v>320.916666666667</v>
      </c>
      <c r="P25" s="1203" t="n">
        <f aca="false">ABS(J25-M25)</f>
        <v>0.00025462962962963</v>
      </c>
      <c r="Q25" s="920" t="n">
        <f aca="false">Q20</f>
        <v>322</v>
      </c>
      <c r="R25" s="920" t="n">
        <f aca="false">Q25*6</f>
        <v>1932</v>
      </c>
      <c r="S25" s="190" t="n">
        <f aca="false">4/(24*60*60)*R25</f>
        <v>0.0894444444444444</v>
      </c>
      <c r="T25" s="920" t="n">
        <v>255</v>
      </c>
      <c r="U25" s="920" t="n">
        <f aca="false">SIN(4*Table14[[#This Row],[Dec]]/180*PI())</f>
        <v>-0.866025403784438</v>
      </c>
    </row>
    <row r="26" customFormat="false" ht="15" hidden="false" customHeight="true" outlineLevel="0" collapsed="false">
      <c r="A26" s="920" t="s">
        <v>4801</v>
      </c>
      <c r="B26" s="920" t="n">
        <f aca="false">B25-B22</f>
        <v>0.116521712101587</v>
      </c>
      <c r="D26" s="920" t="n">
        <f aca="false">D25-D22</f>
        <v>0.00485507133756613</v>
      </c>
      <c r="E26" s="563" t="s">
        <v>4791</v>
      </c>
      <c r="F26" s="920" t="s">
        <v>4766</v>
      </c>
      <c r="G26" s="1204" t="n">
        <v>10</v>
      </c>
      <c r="H26" s="920" t="s">
        <v>987</v>
      </c>
      <c r="I26" s="1202" t="n">
        <f aca="false">I19</f>
        <v>1931</v>
      </c>
      <c r="J26" s="190" t="n">
        <f aca="false">J19</f>
        <v>0.0893981481481481</v>
      </c>
      <c r="K26" s="190" t="n">
        <f aca="false">IF(G26=$B$31,$B$34,K27-J26)</f>
        <v>26133.7484534376</v>
      </c>
      <c r="L26" s="1200" t="n">
        <f aca="false">K26+J26</f>
        <v>26133.8378515858</v>
      </c>
      <c r="M26" s="1201" t="n">
        <v>0.0891435185185185</v>
      </c>
      <c r="N26" s="920" t="n">
        <f aca="false">M26*(24*60*60)/4</f>
        <v>1925.5</v>
      </c>
      <c r="O26" s="1202" t="n">
        <f aca="false">N26/6</f>
        <v>320.916666666667</v>
      </c>
      <c r="P26" s="1203" t="n">
        <f aca="false">ABS(J26-M26)</f>
        <v>0.00025462962962963</v>
      </c>
      <c r="Q26" s="920" t="n">
        <f aca="false">Q25</f>
        <v>322</v>
      </c>
      <c r="R26" s="920" t="n">
        <f aca="false">Q26*6</f>
        <v>1932</v>
      </c>
      <c r="S26" s="190" t="n">
        <f aca="false">4/(24*60*60)*R26</f>
        <v>0.0894444444444444</v>
      </c>
      <c r="T26" s="920" t="n">
        <v>285</v>
      </c>
      <c r="U26" s="920" t="n">
        <f aca="false">SIN(4*Table14[[#This Row],[Dec]]/180*PI())</f>
        <v>0.866025403784438</v>
      </c>
    </row>
    <row r="27" customFormat="false" ht="15" hidden="false" customHeight="true" outlineLevel="0" collapsed="false">
      <c r="E27" s="563" t="s">
        <v>4791</v>
      </c>
      <c r="F27" s="920" t="s">
        <v>4763</v>
      </c>
      <c r="G27" s="1204" t="n">
        <v>11</v>
      </c>
      <c r="H27" s="920" t="s">
        <v>997</v>
      </c>
      <c r="I27" s="1202" t="n">
        <f aca="false">I18</f>
        <v>1795</v>
      </c>
      <c r="J27" s="190" t="n">
        <f aca="false">J18</f>
        <v>0.0831018518518518</v>
      </c>
      <c r="K27" s="190" t="n">
        <f aca="false">IF(G27=$B$31,$B$34,K28-J27)</f>
        <v>26133.8378515858</v>
      </c>
      <c r="L27" s="1200" t="n">
        <f aca="false">K27+J27</f>
        <v>26133.9209534376</v>
      </c>
      <c r="M27" s="1201" t="n">
        <v>0.0828472222222222</v>
      </c>
      <c r="N27" s="920" t="n">
        <f aca="false">M27*(24*60*60)/4</f>
        <v>1789.5</v>
      </c>
      <c r="O27" s="1202" t="n">
        <f aca="false">N27/6</f>
        <v>298.25</v>
      </c>
      <c r="P27" s="1203" t="n">
        <f aca="false">ABS(J27-M27)</f>
        <v>0.00025462962962963</v>
      </c>
      <c r="Q27" s="920" t="n">
        <f aca="false">Q24</f>
        <v>299</v>
      </c>
      <c r="R27" s="920" t="n">
        <f aca="false">Q27*6</f>
        <v>1794</v>
      </c>
      <c r="S27" s="190" t="n">
        <f aca="false">4/(24*60*60)*R27</f>
        <v>0.0830555555555556</v>
      </c>
      <c r="T27" s="920" t="n">
        <v>315</v>
      </c>
      <c r="U27" s="920" t="n">
        <f aca="false">SIN(4*Table14[[#This Row],[Dec]]/180*PI())</f>
        <v>8.57603918436034E-016</v>
      </c>
    </row>
    <row r="28" customFormat="false" ht="15" hidden="false" customHeight="true" outlineLevel="0" collapsed="false">
      <c r="A28" s="920" t="s">
        <v>4118</v>
      </c>
      <c r="B28" s="190" t="n">
        <f aca="false">SunRise</f>
        <v>26133.2522800926</v>
      </c>
      <c r="E28" s="563" t="s">
        <v>4791</v>
      </c>
      <c r="F28" s="920" t="s">
        <v>4761</v>
      </c>
      <c r="G28" s="1204" t="n">
        <v>12</v>
      </c>
      <c r="H28" s="920" t="s">
        <v>1006</v>
      </c>
      <c r="I28" s="1202" t="n">
        <f aca="false">I17</f>
        <v>1674</v>
      </c>
      <c r="J28" s="190" t="n">
        <f aca="false">J17</f>
        <v>0.0775</v>
      </c>
      <c r="K28" s="190" t="n">
        <f aca="false">IF(G28=$B$31,$B$34,1+K17-J28)</f>
        <v>26133.9209534376</v>
      </c>
      <c r="L28" s="1200" t="n">
        <f aca="false">K28+J28</f>
        <v>26133.9984534376</v>
      </c>
      <c r="M28" s="1201" t="n">
        <v>0.0773148148148148</v>
      </c>
      <c r="N28" s="920" t="n">
        <f aca="false">M28*(24*60*60)/4</f>
        <v>1670</v>
      </c>
      <c r="O28" s="1202" t="n">
        <f aca="false">N28/6</f>
        <v>278.333333333333</v>
      </c>
      <c r="P28" s="1203" t="n">
        <f aca="false">ABS(J28-M28)</f>
        <v>0.000185185185185185</v>
      </c>
      <c r="Q28" s="920" t="n">
        <f aca="false">Q23</f>
        <v>279</v>
      </c>
      <c r="R28" s="920" t="n">
        <f aca="false">Q28*6</f>
        <v>1674</v>
      </c>
      <c r="S28" s="190" t="n">
        <f aca="false">4/(24*60*60)*R28</f>
        <v>0.0775</v>
      </c>
      <c r="T28" s="920" t="n">
        <v>345</v>
      </c>
      <c r="U28" s="920" t="n">
        <f aca="false">SIN(4*Table14[[#This Row],[Dec]]/180*PI())</f>
        <v>-0.866025403784439</v>
      </c>
    </row>
    <row r="29" customFormat="false" ht="15" hidden="false" customHeight="true" outlineLevel="0" collapsed="false">
      <c r="A29" s="920" t="s">
        <v>158</v>
      </c>
      <c r="B29" s="1196" t="n">
        <f aca="false">Sun</f>
        <v>92.3992027777778</v>
      </c>
      <c r="G29" s="1204"/>
      <c r="I29" s="1202"/>
      <c r="J29" s="1200"/>
      <c r="K29" s="1200"/>
      <c r="L29" s="1200"/>
      <c r="M29" s="1205"/>
      <c r="O29" s="1202"/>
      <c r="P29" s="1203" t="n">
        <f aca="false">ABS(J29-M29)</f>
        <v>0</v>
      </c>
      <c r="S29" s="1200"/>
      <c r="U29" s="920" t="n">
        <f aca="false">SIN(4*Table14[[#This Row],[Dec]]/180*PI())</f>
        <v>0</v>
      </c>
    </row>
    <row r="30" customFormat="false" ht="15" hidden="false" customHeight="true" outlineLevel="0" collapsed="false">
      <c r="A30" s="920" t="s">
        <v>137</v>
      </c>
      <c r="F30" s="920" t="s">
        <v>320</v>
      </c>
      <c r="G30" s="563"/>
      <c r="I30" s="151" t="n">
        <f aca="false">SUBTOTAL(109,Table14[Asus])</f>
        <v>21600</v>
      </c>
      <c r="J30" s="190" t="n">
        <f aca="false">SUBTOTAL(109,Table14[hr-mn-sc])</f>
        <v>1</v>
      </c>
      <c r="M30" s="1199" t="n">
        <f aca="false">SUBTOTAL(109,Table14[Lankodaya])</f>
        <v>0.997222222222222</v>
      </c>
      <c r="N30" s="920" t="n">
        <f aca="false">SUBTOTAL(109,Table14[Asus2])</f>
        <v>21540</v>
      </c>
      <c r="O30" s="151" t="n">
        <f aca="false">SUBTOTAL(109,Table14[Vigh or Pala])</f>
        <v>3590</v>
      </c>
      <c r="P30" s="190" t="n">
        <f aca="false">SUBTOTAL(109,Table14[Corrected])</f>
        <v>0.00277777777777778</v>
      </c>
      <c r="Q30" s="920" t="n">
        <f aca="false">SUBTOTAL(109,Table14[ViGh])</f>
        <v>3600</v>
      </c>
      <c r="R30" s="920" t="n">
        <f aca="false">SUBTOTAL(109,Table14[Asus3])</f>
        <v>21600</v>
      </c>
      <c r="S30" s="190" t="n">
        <f aca="false">SUBTOTAL(109,Table14[Time])</f>
        <v>1</v>
      </c>
      <c r="T30" s="920" t="n">
        <f aca="false">SUBTOTAL(109,Table14[Dec])</f>
        <v>2160</v>
      </c>
      <c r="U30" s="920" t="n">
        <f aca="false">SUBTOTAL(109,Table14[sin])</f>
        <v>0</v>
      </c>
    </row>
    <row r="31" customFormat="false" ht="15" hidden="false" customHeight="true" outlineLevel="0" collapsed="false">
      <c r="A31" s="920" t="s">
        <v>4084</v>
      </c>
      <c r="B31" s="920" t="n">
        <f aca="false">INT(B25/30)+1</f>
        <v>5</v>
      </c>
    </row>
    <row r="32" customFormat="false" ht="15" hidden="false" customHeight="true" outlineLevel="0" collapsed="false">
      <c r="A32" s="920" t="s">
        <v>4802</v>
      </c>
      <c r="B32" s="920" t="n">
        <f aca="false">MOD(B25,30)/30</f>
        <v>0.557050555555555</v>
      </c>
    </row>
    <row r="33" customFormat="false" ht="15" hidden="false" customHeight="true" outlineLevel="0" collapsed="false">
      <c r="A33" s="920" t="s">
        <v>305</v>
      </c>
      <c r="B33" s="190" t="n">
        <f aca="false">VLOOKUP(B31,RaashiMaana,4)</f>
        <v>0.0831018518518518</v>
      </c>
    </row>
    <row r="34" customFormat="false" ht="15" hidden="false" customHeight="true" outlineLevel="0" collapsed="false">
      <c r="A34" s="920" t="s">
        <v>4803</v>
      </c>
      <c r="B34" s="1200" t="n">
        <f aca="false">DoB-B33*B32</f>
        <v>26133.3378515858</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&amp;C&amp;"Arial,Regular"&amp;10&amp;A</oddHeader>
    <oddFooter>&amp;C&amp;"Arial,Regular"&amp;10Page &amp;P</odd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O50"/>
  <sheetViews>
    <sheetView showFormulas="false" showGridLines="true" showRowColHeaders="true" showZeros="true" rightToLeft="false" tabSelected="false" showOutlineSymbols="true" defaultGridColor="true" view="normal" topLeftCell="A1" colorId="64" zoomScale="181" zoomScaleNormal="181" zoomScalePageLayoutView="100" workbookViewId="0">
      <pane xSplit="2" ySplit="2" topLeftCell="C33" activePane="bottomRight" state="frozen"/>
      <selection pane="topLeft" activeCell="A1" activeCellId="0" sqref="A1"/>
      <selection pane="topRight" activeCell="C1" activeCellId="0" sqref="C1"/>
      <selection pane="bottomLeft" activeCell="A33" activeCellId="0" sqref="A33"/>
      <selection pane="bottomRight" activeCell="H38" activeCellId="0" sqref="H38"/>
    </sheetView>
  </sheetViews>
  <sheetFormatPr defaultColWidth="8.5703125" defaultRowHeight="15.75" customHeight="true" zeroHeight="false" outlineLevelRow="0" outlineLevelCol="0"/>
  <cols>
    <col collapsed="false" customWidth="true" hidden="false" outlineLevel="0" max="1" min="1" style="1206" width="16.84"/>
    <col collapsed="false" customWidth="true" hidden="false" outlineLevel="0" max="2" min="2" style="1207" width="20.57"/>
    <col collapsed="false" customWidth="true" hidden="false" outlineLevel="0" max="38" min="3" style="206" width="4.86"/>
    <col collapsed="false" customWidth="true" hidden="false" outlineLevel="0" max="39" min="39" style="1206" width="16.84"/>
    <col collapsed="false" customWidth="true" hidden="false" outlineLevel="0" max="40" min="40" style="1207" width="20.57"/>
    <col collapsed="false" customWidth="true" hidden="false" outlineLevel="0" max="41" min="41" style="206" width="153.42"/>
  </cols>
  <sheetData>
    <row r="1" customFormat="false" ht="15.75" hidden="false" customHeight="false" outlineLevel="0" collapsed="false">
      <c r="A1" s="1208" t="s">
        <v>4804</v>
      </c>
      <c r="B1" s="1209" t="s">
        <v>4805</v>
      </c>
      <c r="C1" s="1210" t="s">
        <v>1341</v>
      </c>
      <c r="D1" s="1210"/>
      <c r="E1" s="1210"/>
      <c r="F1" s="1210" t="s">
        <v>4806</v>
      </c>
      <c r="G1" s="1210"/>
      <c r="H1" s="1210"/>
      <c r="I1" s="1210" t="s">
        <v>4125</v>
      </c>
      <c r="J1" s="1210"/>
      <c r="K1" s="1210"/>
      <c r="L1" s="1210" t="s">
        <v>4126</v>
      </c>
      <c r="M1" s="1210"/>
      <c r="N1" s="1210"/>
      <c r="O1" s="1210" t="s">
        <v>4807</v>
      </c>
      <c r="P1" s="1210"/>
      <c r="Q1" s="1210"/>
      <c r="R1" s="1210" t="s">
        <v>4128</v>
      </c>
      <c r="S1" s="1210"/>
      <c r="T1" s="1210"/>
      <c r="U1" s="1210" t="s">
        <v>4129</v>
      </c>
      <c r="V1" s="1210"/>
      <c r="W1" s="1210"/>
      <c r="X1" s="1210" t="s">
        <v>4808</v>
      </c>
      <c r="Y1" s="1210"/>
      <c r="Z1" s="1210"/>
      <c r="AA1" s="1210" t="s">
        <v>4809</v>
      </c>
      <c r="AB1" s="1210"/>
      <c r="AC1" s="1210"/>
      <c r="AD1" s="1210" t="s">
        <v>4132</v>
      </c>
      <c r="AE1" s="1210"/>
      <c r="AF1" s="1210"/>
      <c r="AG1" s="1210" t="s">
        <v>4133</v>
      </c>
      <c r="AH1" s="1210"/>
      <c r="AI1" s="1210"/>
      <c r="AJ1" s="1210" t="s">
        <v>4134</v>
      </c>
      <c r="AK1" s="1210"/>
      <c r="AL1" s="1210"/>
      <c r="AM1" s="1208" t="s">
        <v>4804</v>
      </c>
      <c r="AN1" s="1209" t="s">
        <v>4805</v>
      </c>
      <c r="AO1" s="491"/>
    </row>
    <row r="2" customFormat="false" ht="86.25" hidden="false" customHeight="true" outlineLevel="0" collapsed="false">
      <c r="A2" s="1211" t="s">
        <v>4810</v>
      </c>
      <c r="B2" s="1212" t="s">
        <v>4811</v>
      </c>
      <c r="C2" s="1213" t="s">
        <v>2470</v>
      </c>
      <c r="D2" s="1214" t="s">
        <v>639</v>
      </c>
      <c r="E2" s="1215" t="s">
        <v>4593</v>
      </c>
      <c r="F2" s="1213" t="s">
        <v>4812</v>
      </c>
      <c r="G2" s="1214" t="s">
        <v>641</v>
      </c>
      <c r="H2" s="1215" t="s">
        <v>4813</v>
      </c>
      <c r="I2" s="1213" t="s">
        <v>4814</v>
      </c>
      <c r="J2" s="1214" t="s">
        <v>557</v>
      </c>
      <c r="K2" s="1215" t="s">
        <v>4815</v>
      </c>
      <c r="L2" s="1213" t="s">
        <v>4624</v>
      </c>
      <c r="M2" s="1214" t="s">
        <v>566</v>
      </c>
      <c r="N2" s="1215" t="s">
        <v>644</v>
      </c>
      <c r="O2" s="1213" t="s">
        <v>645</v>
      </c>
      <c r="P2" s="1214" t="s">
        <v>1588</v>
      </c>
      <c r="Q2" s="1215" t="s">
        <v>4816</v>
      </c>
      <c r="R2" s="1213" t="s">
        <v>4817</v>
      </c>
      <c r="S2" s="1214" t="s">
        <v>648</v>
      </c>
      <c r="T2" s="1215" t="s">
        <v>4818</v>
      </c>
      <c r="U2" s="1213" t="s">
        <v>4819</v>
      </c>
      <c r="V2" s="1214" t="s">
        <v>4820</v>
      </c>
      <c r="W2" s="1215" t="s">
        <v>4821</v>
      </c>
      <c r="X2" s="1213" t="s">
        <v>4642</v>
      </c>
      <c r="Y2" s="1214" t="s">
        <v>581</v>
      </c>
      <c r="Z2" s="1215" t="s">
        <v>651</v>
      </c>
      <c r="AA2" s="1213" t="s">
        <v>597</v>
      </c>
      <c r="AB2" s="1214" t="s">
        <v>4822</v>
      </c>
      <c r="AC2" s="1215" t="s">
        <v>4823</v>
      </c>
      <c r="AD2" s="1213" t="s">
        <v>4824</v>
      </c>
      <c r="AE2" s="1214" t="s">
        <v>4825</v>
      </c>
      <c r="AF2" s="1215" t="s">
        <v>4826</v>
      </c>
      <c r="AG2" s="1213" t="s">
        <v>4827</v>
      </c>
      <c r="AH2" s="1214" t="s">
        <v>658</v>
      </c>
      <c r="AI2" s="1215" t="s">
        <v>4828</v>
      </c>
      <c r="AJ2" s="1213" t="s">
        <v>4829</v>
      </c>
      <c r="AK2" s="1214" t="s">
        <v>4830</v>
      </c>
      <c r="AL2" s="1215" t="s">
        <v>574</v>
      </c>
      <c r="AM2" s="1211" t="s">
        <v>4810</v>
      </c>
      <c r="AN2" s="1212" t="s">
        <v>4811</v>
      </c>
      <c r="AO2" s="351" t="s">
        <v>4831</v>
      </c>
    </row>
    <row r="3" customFormat="false" ht="20.25" hidden="false" customHeight="true" outlineLevel="0" collapsed="false">
      <c r="A3" s="1216" t="s">
        <v>4832</v>
      </c>
      <c r="B3" s="1217" t="s">
        <v>2470</v>
      </c>
      <c r="C3" s="1218" t="n">
        <v>28</v>
      </c>
      <c r="D3" s="1219" t="n">
        <v>33</v>
      </c>
      <c r="E3" s="1220" t="n">
        <v>27</v>
      </c>
      <c r="F3" s="1218" t="n">
        <v>17</v>
      </c>
      <c r="G3" s="1219" t="n">
        <v>23</v>
      </c>
      <c r="H3" s="1220" t="n">
        <v>22</v>
      </c>
      <c r="I3" s="1218" t="n">
        <v>25</v>
      </c>
      <c r="J3" s="1219" t="n">
        <v>16</v>
      </c>
      <c r="K3" s="1220" t="n">
        <v>17</v>
      </c>
      <c r="L3" s="1218" t="n">
        <v>22</v>
      </c>
      <c r="M3" s="1219" t="n">
        <v>30</v>
      </c>
      <c r="N3" s="1220" t="n">
        <v>27</v>
      </c>
      <c r="O3" s="1221" t="n">
        <v>20</v>
      </c>
      <c r="P3" s="1219" t="n">
        <v>24</v>
      </c>
      <c r="Q3" s="1220" t="n">
        <v>14</v>
      </c>
      <c r="R3" s="1218" t="n">
        <v>9</v>
      </c>
      <c r="S3" s="1219" t="n">
        <v>10</v>
      </c>
      <c r="T3" s="1220" t="n">
        <v>12</v>
      </c>
      <c r="U3" s="1218" t="n">
        <v>22</v>
      </c>
      <c r="V3" s="1219" t="n">
        <v>28</v>
      </c>
      <c r="W3" s="1220" t="n">
        <v>22</v>
      </c>
      <c r="X3" s="1218" t="n">
        <v>18</v>
      </c>
      <c r="Y3" s="1219" t="n">
        <v>24</v>
      </c>
      <c r="Z3" s="1222" t="n">
        <v>13</v>
      </c>
      <c r="AA3" s="1218" t="n">
        <v>12</v>
      </c>
      <c r="AB3" s="1219" t="n">
        <v>24</v>
      </c>
      <c r="AC3" s="1220" t="n">
        <v>23</v>
      </c>
      <c r="AD3" s="1218" t="n">
        <v>25</v>
      </c>
      <c r="AE3" s="1219" t="n">
        <v>26</v>
      </c>
      <c r="AF3" s="1220" t="n">
        <v>20</v>
      </c>
      <c r="AG3" s="1218" t="n">
        <v>19</v>
      </c>
      <c r="AH3" s="1219" t="n">
        <v>14</v>
      </c>
      <c r="AI3" s="1220" t="n">
        <v>15</v>
      </c>
      <c r="AJ3" s="1218" t="n">
        <v>14</v>
      </c>
      <c r="AK3" s="1219" t="n">
        <v>23</v>
      </c>
      <c r="AL3" s="1220" t="n">
        <v>26</v>
      </c>
      <c r="AM3" s="1216" t="s">
        <v>4833</v>
      </c>
      <c r="AN3" s="1217" t="s">
        <v>2470</v>
      </c>
      <c r="AO3" s="351" t="s">
        <v>4834</v>
      </c>
    </row>
    <row r="4" customFormat="false" ht="20.25" hidden="false" customHeight="true" outlineLevel="0" collapsed="false">
      <c r="A4" s="1216"/>
      <c r="B4" s="1223" t="s">
        <v>639</v>
      </c>
      <c r="C4" s="1224" t="n">
        <v>33</v>
      </c>
      <c r="D4" s="1225" t="n">
        <v>28</v>
      </c>
      <c r="E4" s="1226" t="n">
        <v>23</v>
      </c>
      <c r="F4" s="1224" t="n">
        <v>18</v>
      </c>
      <c r="G4" s="1227" t="n">
        <v>26</v>
      </c>
      <c r="H4" s="1226" t="n">
        <v>14</v>
      </c>
      <c r="I4" s="1224" t="n">
        <v>17</v>
      </c>
      <c r="J4" s="1227" t="n">
        <v>25</v>
      </c>
      <c r="K4" s="1226" t="n">
        <v>25</v>
      </c>
      <c r="L4" s="1224" t="n">
        <v>30</v>
      </c>
      <c r="M4" s="1227" t="n">
        <v>22</v>
      </c>
      <c r="N4" s="1226" t="n">
        <v>24</v>
      </c>
      <c r="O4" s="1228" t="n">
        <v>19</v>
      </c>
      <c r="P4" s="1227" t="n">
        <v>17</v>
      </c>
      <c r="Q4" s="1226" t="n">
        <v>24</v>
      </c>
      <c r="R4" s="1224" t="n">
        <v>19</v>
      </c>
      <c r="S4" s="1227" t="n">
        <v>18</v>
      </c>
      <c r="T4" s="1226" t="n">
        <v>3</v>
      </c>
      <c r="U4" s="1224" t="n">
        <v>13</v>
      </c>
      <c r="V4" s="1227" t="n">
        <v>28</v>
      </c>
      <c r="W4" s="1226" t="n">
        <v>21</v>
      </c>
      <c r="X4" s="1224" t="n">
        <v>18</v>
      </c>
      <c r="Y4" s="1229" t="n">
        <v>17</v>
      </c>
      <c r="Z4" s="1226" t="n">
        <v>19</v>
      </c>
      <c r="AA4" s="1224" t="n">
        <v>19</v>
      </c>
      <c r="AB4" s="1227" t="n">
        <v>17</v>
      </c>
      <c r="AC4" s="1226" t="n">
        <v>25</v>
      </c>
      <c r="AD4" s="1224" t="n">
        <v>27</v>
      </c>
      <c r="AE4" s="1227" t="n">
        <v>28</v>
      </c>
      <c r="AF4" s="1226" t="n">
        <v>10</v>
      </c>
      <c r="AG4" s="1224" t="n">
        <v>9</v>
      </c>
      <c r="AH4" s="1227" t="n">
        <v>19</v>
      </c>
      <c r="AI4" s="1226" t="n">
        <v>23</v>
      </c>
      <c r="AJ4" s="1224" t="n">
        <v>22</v>
      </c>
      <c r="AK4" s="1227" t="n">
        <v>4</v>
      </c>
      <c r="AL4" s="1226" t="n">
        <v>25</v>
      </c>
      <c r="AM4" s="1216"/>
      <c r="AN4" s="1223" t="s">
        <v>639</v>
      </c>
      <c r="AO4" s="351" t="s">
        <v>4835</v>
      </c>
    </row>
    <row r="5" customFormat="false" ht="20.25" hidden="false" customHeight="true" outlineLevel="0" collapsed="false">
      <c r="A5" s="1216"/>
      <c r="B5" s="1230" t="s">
        <v>4593</v>
      </c>
      <c r="C5" s="1231" t="n">
        <v>26</v>
      </c>
      <c r="D5" s="1232" t="n">
        <v>28</v>
      </c>
      <c r="E5" s="1233" t="n">
        <v>28</v>
      </c>
      <c r="F5" s="1231" t="n">
        <v>18</v>
      </c>
      <c r="G5" s="1232" t="n">
        <v>10</v>
      </c>
      <c r="H5" s="1233" t="n">
        <v>16</v>
      </c>
      <c r="I5" s="1231" t="n">
        <v>19</v>
      </c>
      <c r="J5" s="1232" t="n">
        <v>19</v>
      </c>
      <c r="K5" s="1233" t="n">
        <v>19</v>
      </c>
      <c r="L5" s="1231" t="n">
        <v>24</v>
      </c>
      <c r="M5" s="1232" t="n">
        <v>26</v>
      </c>
      <c r="N5" s="1233" t="n">
        <v>22</v>
      </c>
      <c r="O5" s="1234" t="n">
        <v>15</v>
      </c>
      <c r="P5" s="1232" t="n">
        <v>10</v>
      </c>
      <c r="Q5" s="1233" t="n">
        <v>20</v>
      </c>
      <c r="R5" s="1231" t="n">
        <v>15</v>
      </c>
      <c r="S5" s="1232" t="n">
        <v>14</v>
      </c>
      <c r="T5" s="1233" t="n">
        <v>17</v>
      </c>
      <c r="U5" s="1231" t="n">
        <v>27</v>
      </c>
      <c r="V5" s="1232" t="n">
        <v>14</v>
      </c>
      <c r="W5" s="1233" t="n">
        <v>19</v>
      </c>
      <c r="X5" s="1235" t="n">
        <v>16</v>
      </c>
      <c r="Y5" s="1232" t="n">
        <v>19</v>
      </c>
      <c r="Z5" s="1233" t="n">
        <v>25</v>
      </c>
      <c r="AA5" s="1231" t="n">
        <v>25</v>
      </c>
      <c r="AB5" s="1232" t="n">
        <v>19</v>
      </c>
      <c r="AC5" s="1233" t="n">
        <v>11</v>
      </c>
      <c r="AD5" s="1231" t="n">
        <v>13</v>
      </c>
      <c r="AE5" s="1232" t="n">
        <v>13</v>
      </c>
      <c r="AF5" s="1233" t="n">
        <v>25</v>
      </c>
      <c r="AG5" s="1231" t="n">
        <v>24</v>
      </c>
      <c r="AH5" s="1232" t="n">
        <v>25</v>
      </c>
      <c r="AI5" s="1233" t="n">
        <v>18</v>
      </c>
      <c r="AJ5" s="1231" t="n">
        <v>17</v>
      </c>
      <c r="AK5" s="1232" t="n">
        <v>14</v>
      </c>
      <c r="AL5" s="1233" t="n">
        <v>10</v>
      </c>
      <c r="AM5" s="1216"/>
      <c r="AN5" s="1230" t="s">
        <v>4593</v>
      </c>
      <c r="AO5" s="351" t="s">
        <v>4836</v>
      </c>
    </row>
    <row r="6" customFormat="false" ht="20.25" hidden="false" customHeight="true" outlineLevel="0" collapsed="false">
      <c r="A6" s="1216" t="s">
        <v>4837</v>
      </c>
      <c r="B6" s="1236" t="s">
        <v>4812</v>
      </c>
      <c r="C6" s="1237" t="n">
        <v>19</v>
      </c>
      <c r="D6" s="1238" t="n">
        <v>19</v>
      </c>
      <c r="E6" s="1239" t="n">
        <v>19</v>
      </c>
      <c r="F6" s="1237" t="n">
        <v>28</v>
      </c>
      <c r="G6" s="1238" t="n">
        <v>18</v>
      </c>
      <c r="H6" s="1239" t="n">
        <v>26</v>
      </c>
      <c r="I6" s="1237" t="n">
        <v>17</v>
      </c>
      <c r="J6" s="1238" t="n">
        <v>17</v>
      </c>
      <c r="K6" s="1239" t="n">
        <v>17</v>
      </c>
      <c r="L6" s="1237" t="n">
        <v>21</v>
      </c>
      <c r="M6" s="1238" t="n">
        <v>23</v>
      </c>
      <c r="N6" s="1239" t="n">
        <v>19</v>
      </c>
      <c r="O6" s="1237" t="n">
        <v>19</v>
      </c>
      <c r="P6" s="1238" t="n">
        <v>21</v>
      </c>
      <c r="Q6" s="1239" t="n">
        <v>22</v>
      </c>
      <c r="R6" s="1237" t="n">
        <v>20</v>
      </c>
      <c r="S6" s="1240" t="n">
        <v>18</v>
      </c>
      <c r="T6" s="1239" t="n">
        <v>23</v>
      </c>
      <c r="U6" s="1237" t="n">
        <v>22</v>
      </c>
      <c r="V6" s="1238" t="n">
        <v>9</v>
      </c>
      <c r="W6" s="1241" t="n">
        <v>14</v>
      </c>
      <c r="X6" s="1237" t="n">
        <v>21</v>
      </c>
      <c r="Y6" s="1238" t="n">
        <v>24</v>
      </c>
      <c r="Z6" s="1239" t="n">
        <v>30</v>
      </c>
      <c r="AA6" s="1237" t="n">
        <v>22</v>
      </c>
      <c r="AB6" s="1238" t="n">
        <v>15</v>
      </c>
      <c r="AC6" s="1239" t="n">
        <v>7</v>
      </c>
      <c r="AD6" s="1237" t="n">
        <v>12</v>
      </c>
      <c r="AE6" s="1238" t="n">
        <v>10</v>
      </c>
      <c r="AF6" s="1239" t="n">
        <v>24</v>
      </c>
      <c r="AG6" s="1237" t="n">
        <v>29</v>
      </c>
      <c r="AH6" s="1238" t="n">
        <v>30</v>
      </c>
      <c r="AI6" s="1239" t="n">
        <v>23</v>
      </c>
      <c r="AJ6" s="1237" t="n">
        <v>20</v>
      </c>
      <c r="AK6" s="1238" t="n">
        <v>22</v>
      </c>
      <c r="AL6" s="1239" t="n">
        <v>13</v>
      </c>
      <c r="AM6" s="1216" t="s">
        <v>4837</v>
      </c>
      <c r="AN6" s="1236" t="s">
        <v>4812</v>
      </c>
      <c r="AO6" s="351" t="s">
        <v>4838</v>
      </c>
    </row>
    <row r="7" customFormat="false" ht="20.25" hidden="false" customHeight="true" outlineLevel="0" collapsed="false">
      <c r="A7" s="1216"/>
      <c r="B7" s="1242" t="s">
        <v>641</v>
      </c>
      <c r="C7" s="1243" t="n">
        <v>23</v>
      </c>
      <c r="D7" s="1244" t="n">
        <v>23</v>
      </c>
      <c r="E7" s="1245" t="n">
        <v>11</v>
      </c>
      <c r="F7" s="1243" t="n">
        <v>20</v>
      </c>
      <c r="G7" s="1244" t="n">
        <v>28</v>
      </c>
      <c r="H7" s="1245" t="n">
        <v>30</v>
      </c>
      <c r="I7" s="1243" t="n">
        <v>26</v>
      </c>
      <c r="J7" s="1244" t="n">
        <v>23</v>
      </c>
      <c r="K7" s="1245" t="n">
        <v>22</v>
      </c>
      <c r="L7" s="1243" t="n">
        <v>26</v>
      </c>
      <c r="M7" s="1244" t="n">
        <v>27</v>
      </c>
      <c r="N7" s="1245" t="n">
        <v>12</v>
      </c>
      <c r="O7" s="1243" t="n">
        <v>10</v>
      </c>
      <c r="P7" s="1244" t="n">
        <v>24</v>
      </c>
      <c r="Q7" s="1245" t="n">
        <v>27</v>
      </c>
      <c r="R7" s="1243" t="n">
        <v>25</v>
      </c>
      <c r="S7" s="1246" t="n">
        <v>25</v>
      </c>
      <c r="T7" s="1245" t="n">
        <v>18</v>
      </c>
      <c r="U7" s="1243" t="n">
        <v>17</v>
      </c>
      <c r="V7" s="1247" t="n">
        <v>15</v>
      </c>
      <c r="W7" s="1245" t="n">
        <v>8</v>
      </c>
      <c r="X7" s="1243" t="n">
        <v>14</v>
      </c>
      <c r="Y7" s="1244" t="n">
        <v>29</v>
      </c>
      <c r="Z7" s="1245" t="n">
        <v>23</v>
      </c>
      <c r="AA7" s="1243" t="n">
        <v>13</v>
      </c>
      <c r="AB7" s="1244" t="n">
        <v>19</v>
      </c>
      <c r="AC7" s="1245" t="n">
        <v>11</v>
      </c>
      <c r="AD7" s="1243" t="n">
        <v>16</v>
      </c>
      <c r="AE7" s="1244" t="n">
        <v>18</v>
      </c>
      <c r="AF7" s="1245" t="n">
        <v>19</v>
      </c>
      <c r="AG7" s="1243" t="n">
        <v>24</v>
      </c>
      <c r="AH7" s="1244" t="n">
        <v>24</v>
      </c>
      <c r="AI7" s="1245" t="n">
        <v>29</v>
      </c>
      <c r="AJ7" s="1243" t="n">
        <v>26</v>
      </c>
      <c r="AK7" s="1244" t="n">
        <v>27</v>
      </c>
      <c r="AL7" s="1245" t="n">
        <v>19</v>
      </c>
      <c r="AM7" s="1216"/>
      <c r="AN7" s="1242" t="s">
        <v>641</v>
      </c>
      <c r="AO7" s="351" t="s">
        <v>4839</v>
      </c>
    </row>
    <row r="8" customFormat="false" ht="20.25" hidden="false" customHeight="true" outlineLevel="0" collapsed="false">
      <c r="A8" s="1216"/>
      <c r="B8" s="1248" t="s">
        <v>4813</v>
      </c>
      <c r="C8" s="1249" t="n">
        <v>23</v>
      </c>
      <c r="D8" s="1250" t="n">
        <v>14</v>
      </c>
      <c r="E8" s="1251" t="n">
        <v>18</v>
      </c>
      <c r="F8" s="1249" t="n">
        <v>27</v>
      </c>
      <c r="G8" s="1250" t="n">
        <v>35</v>
      </c>
      <c r="H8" s="1252" t="n">
        <v>28</v>
      </c>
      <c r="I8" s="1253" t="n">
        <v>18</v>
      </c>
      <c r="J8" s="1250" t="n">
        <v>23</v>
      </c>
      <c r="K8" s="1251" t="n">
        <v>22</v>
      </c>
      <c r="L8" s="1249" t="n">
        <v>26</v>
      </c>
      <c r="M8" s="1250" t="n">
        <v>19</v>
      </c>
      <c r="N8" s="1251" t="n">
        <v>21</v>
      </c>
      <c r="O8" s="1249" t="n">
        <v>19</v>
      </c>
      <c r="P8" s="1250" t="n">
        <v>15</v>
      </c>
      <c r="Q8" s="1251" t="n">
        <v>24</v>
      </c>
      <c r="R8" s="1249" t="n">
        <v>23</v>
      </c>
      <c r="S8" s="1254" t="n">
        <v>25</v>
      </c>
      <c r="T8" s="1252" t="n">
        <v>11</v>
      </c>
      <c r="U8" s="1253" t="n">
        <v>10</v>
      </c>
      <c r="V8" s="1250" t="n">
        <v>9</v>
      </c>
      <c r="W8" s="1251" t="n">
        <v>17</v>
      </c>
      <c r="X8" s="1249" t="n">
        <v>23</v>
      </c>
      <c r="Y8" s="1250" t="n">
        <v>21</v>
      </c>
      <c r="Z8" s="1251" t="n">
        <v>24</v>
      </c>
      <c r="AA8" s="1249" t="n">
        <v>14</v>
      </c>
      <c r="AB8" s="1250" t="n">
        <v>10</v>
      </c>
      <c r="AC8" s="1251" t="n">
        <v>16</v>
      </c>
      <c r="AD8" s="1249" t="n">
        <v>21</v>
      </c>
      <c r="AE8" s="1250" t="n">
        <v>26</v>
      </c>
      <c r="AF8" s="1252" t="n">
        <v>12</v>
      </c>
      <c r="AG8" s="1253" t="n">
        <v>17</v>
      </c>
      <c r="AH8" s="1250" t="n">
        <v>26</v>
      </c>
      <c r="AI8" s="1251" t="n">
        <v>28</v>
      </c>
      <c r="AJ8" s="1249" t="n">
        <v>25</v>
      </c>
      <c r="AK8" s="1250" t="n">
        <v>28</v>
      </c>
      <c r="AL8" s="1251" t="n">
        <v>27</v>
      </c>
      <c r="AM8" s="1216"/>
      <c r="AN8" s="1248" t="s">
        <v>4813</v>
      </c>
      <c r="AO8" s="351" t="s">
        <v>4840</v>
      </c>
    </row>
    <row r="9" customFormat="false" ht="20.25" hidden="false" customHeight="true" outlineLevel="0" collapsed="false">
      <c r="A9" s="1216" t="s">
        <v>4841</v>
      </c>
      <c r="B9" s="1217" t="s">
        <v>4814</v>
      </c>
      <c r="C9" s="1218" t="n">
        <v>28</v>
      </c>
      <c r="D9" s="1219" t="n">
        <v>17</v>
      </c>
      <c r="E9" s="1220" t="n">
        <v>21</v>
      </c>
      <c r="F9" s="1218" t="n">
        <v>19</v>
      </c>
      <c r="G9" s="1219" t="n">
        <v>26</v>
      </c>
      <c r="H9" s="1222" t="n">
        <v>19</v>
      </c>
      <c r="I9" s="1255" t="n">
        <v>28</v>
      </c>
      <c r="J9" s="1219" t="n">
        <v>33</v>
      </c>
      <c r="K9" s="1220" t="n">
        <v>31</v>
      </c>
      <c r="L9" s="1218" t="n">
        <v>18</v>
      </c>
      <c r="M9" s="1219" t="n">
        <v>11</v>
      </c>
      <c r="N9" s="1220" t="n">
        <v>13</v>
      </c>
      <c r="O9" s="1218" t="n">
        <v>22</v>
      </c>
      <c r="P9" s="1219" t="n">
        <v>18</v>
      </c>
      <c r="Q9" s="1220" t="n">
        <v>27</v>
      </c>
      <c r="R9" s="1218" t="n">
        <v>31</v>
      </c>
      <c r="S9" s="1219" t="n">
        <v>34</v>
      </c>
      <c r="T9" s="1222" t="n">
        <v>20</v>
      </c>
      <c r="U9" s="1255" t="n">
        <v>13</v>
      </c>
      <c r="V9" s="1256" t="n">
        <v>27</v>
      </c>
      <c r="W9" s="1220" t="n">
        <v>19</v>
      </c>
      <c r="X9" s="1218" t="n">
        <v>13</v>
      </c>
      <c r="Y9" s="1219" t="n">
        <v>13</v>
      </c>
      <c r="Z9" s="1220" t="n">
        <v>14</v>
      </c>
      <c r="AA9" s="1218" t="n">
        <v>23</v>
      </c>
      <c r="AB9" s="1219" t="n">
        <v>19</v>
      </c>
      <c r="AC9" s="1220" t="n">
        <v>23</v>
      </c>
      <c r="AD9" s="1218" t="n">
        <v>19</v>
      </c>
      <c r="AE9" s="1219" t="n">
        <v>24</v>
      </c>
      <c r="AF9" s="1222" t="n">
        <v>10</v>
      </c>
      <c r="AG9" s="1255" t="n">
        <v>12</v>
      </c>
      <c r="AH9" s="1219" t="n">
        <v>21</v>
      </c>
      <c r="AI9" s="1220" t="n">
        <v>22</v>
      </c>
      <c r="AJ9" s="1218" t="n">
        <v>24</v>
      </c>
      <c r="AK9" s="1219" t="n">
        <v>17</v>
      </c>
      <c r="AL9" s="1220" t="n">
        <v>26</v>
      </c>
      <c r="AM9" s="1216" t="s">
        <v>4841</v>
      </c>
      <c r="AN9" s="1217" t="s">
        <v>4814</v>
      </c>
      <c r="AO9" s="351" t="s">
        <v>4842</v>
      </c>
    </row>
    <row r="10" customFormat="false" ht="20.25" hidden="false" customHeight="true" outlineLevel="0" collapsed="false">
      <c r="A10" s="1216"/>
      <c r="B10" s="1223" t="s">
        <v>557</v>
      </c>
      <c r="C10" s="1224" t="n">
        <v>18</v>
      </c>
      <c r="D10" s="1227" t="n">
        <v>26</v>
      </c>
      <c r="E10" s="1226" t="n">
        <v>21</v>
      </c>
      <c r="F10" s="1224" t="n">
        <v>19</v>
      </c>
      <c r="G10" s="1227" t="n">
        <v>24</v>
      </c>
      <c r="H10" s="1226" t="n">
        <v>25</v>
      </c>
      <c r="I10" s="1224" t="n">
        <v>34</v>
      </c>
      <c r="J10" s="1227" t="n">
        <v>28</v>
      </c>
      <c r="K10" s="1226" t="n">
        <v>25</v>
      </c>
      <c r="L10" s="1224" t="n">
        <v>12</v>
      </c>
      <c r="M10" s="1227" t="n">
        <v>20</v>
      </c>
      <c r="N10" s="1226" t="n">
        <v>12</v>
      </c>
      <c r="O10" s="1224" t="n">
        <v>21</v>
      </c>
      <c r="P10" s="1227" t="n">
        <v>27</v>
      </c>
      <c r="Q10" s="1226" t="n">
        <v>20</v>
      </c>
      <c r="R10" s="1224" t="n">
        <v>24</v>
      </c>
      <c r="S10" s="1227" t="n">
        <v>24</v>
      </c>
      <c r="T10" s="1226" t="n">
        <v>27</v>
      </c>
      <c r="U10" s="1224" t="n">
        <v>20</v>
      </c>
      <c r="V10" s="1257" t="n">
        <v>27</v>
      </c>
      <c r="W10" s="1226" t="n">
        <v>20</v>
      </c>
      <c r="X10" s="1224" t="n">
        <v>13</v>
      </c>
      <c r="Y10" s="1227" t="n">
        <v>19</v>
      </c>
      <c r="Z10" s="1226" t="n">
        <v>5</v>
      </c>
      <c r="AA10" s="1224" t="n">
        <v>15</v>
      </c>
      <c r="AB10" s="1227" t="n">
        <v>28</v>
      </c>
      <c r="AC10" s="1226" t="n">
        <v>27</v>
      </c>
      <c r="AD10" s="1224" t="n">
        <v>21</v>
      </c>
      <c r="AE10" s="1229" t="n">
        <v>22</v>
      </c>
      <c r="AF10" s="1226" t="n">
        <v>17</v>
      </c>
      <c r="AG10" s="1224" t="n">
        <v>19</v>
      </c>
      <c r="AH10" s="1227" t="n">
        <v>12</v>
      </c>
      <c r="AI10" s="1226" t="n">
        <v>17</v>
      </c>
      <c r="AJ10" s="1224" t="n">
        <v>18</v>
      </c>
      <c r="AK10" s="1227" t="n">
        <v>26</v>
      </c>
      <c r="AL10" s="1226" t="n">
        <v>26</v>
      </c>
      <c r="AM10" s="1216"/>
      <c r="AN10" s="1223" t="s">
        <v>557</v>
      </c>
      <c r="AO10" s="351" t="s">
        <v>4843</v>
      </c>
    </row>
    <row r="11" customFormat="false" ht="20.25" hidden="false" customHeight="true" outlineLevel="0" collapsed="false">
      <c r="A11" s="1216"/>
      <c r="B11" s="1230" t="s">
        <v>4815</v>
      </c>
      <c r="C11" s="1231" t="n">
        <v>18</v>
      </c>
      <c r="D11" s="1232" t="n">
        <v>25</v>
      </c>
      <c r="E11" s="1233" t="n">
        <v>21</v>
      </c>
      <c r="F11" s="1231" t="n">
        <v>19</v>
      </c>
      <c r="G11" s="1232" t="n">
        <v>22</v>
      </c>
      <c r="H11" s="1233" t="n">
        <v>23</v>
      </c>
      <c r="I11" s="1231" t="n">
        <v>31</v>
      </c>
      <c r="J11" s="1232" t="n">
        <v>24</v>
      </c>
      <c r="K11" s="1233" t="n">
        <v>28</v>
      </c>
      <c r="L11" s="1231" t="n">
        <v>14</v>
      </c>
      <c r="M11" s="1232" t="n">
        <v>21</v>
      </c>
      <c r="N11" s="1233" t="n">
        <v>15</v>
      </c>
      <c r="O11" s="1231" t="n">
        <v>21</v>
      </c>
      <c r="P11" s="1232" t="n">
        <v>25</v>
      </c>
      <c r="Q11" s="1233" t="n">
        <v>19</v>
      </c>
      <c r="R11" s="1231" t="n">
        <v>23</v>
      </c>
      <c r="S11" s="1232" t="n">
        <v>24</v>
      </c>
      <c r="T11" s="1233" t="n">
        <v>26</v>
      </c>
      <c r="U11" s="1231" t="n">
        <v>19</v>
      </c>
      <c r="V11" s="1258" t="n">
        <v>27</v>
      </c>
      <c r="W11" s="1233" t="n">
        <v>21</v>
      </c>
      <c r="X11" s="1231" t="n">
        <v>14</v>
      </c>
      <c r="Y11" s="1232" t="n">
        <v>20</v>
      </c>
      <c r="Z11" s="1233" t="n">
        <v>6</v>
      </c>
      <c r="AA11" s="1231" t="n">
        <v>14</v>
      </c>
      <c r="AB11" s="1232" t="n">
        <v>27</v>
      </c>
      <c r="AC11" s="1259" t="n">
        <v>27</v>
      </c>
      <c r="AD11" s="1235" t="n">
        <v>21</v>
      </c>
      <c r="AE11" s="1232" t="n">
        <v>22</v>
      </c>
      <c r="AF11" s="1233" t="n">
        <v>16</v>
      </c>
      <c r="AG11" s="1231" t="n">
        <v>18</v>
      </c>
      <c r="AH11" s="1232" t="n">
        <v>13</v>
      </c>
      <c r="AI11" s="1233" t="n">
        <v>16</v>
      </c>
      <c r="AJ11" s="1231" t="n">
        <v>17</v>
      </c>
      <c r="AK11" s="1232" t="n">
        <v>26</v>
      </c>
      <c r="AL11" s="1233" t="n">
        <v>26</v>
      </c>
      <c r="AM11" s="1216"/>
      <c r="AN11" s="1230" t="s">
        <v>4815</v>
      </c>
      <c r="AO11" s="351" t="s">
        <v>4844</v>
      </c>
    </row>
    <row r="12" customFormat="false" ht="20.25" hidden="false" customHeight="true" outlineLevel="0" collapsed="false">
      <c r="A12" s="1216" t="s">
        <v>4845</v>
      </c>
      <c r="B12" s="1236" t="s">
        <v>4624</v>
      </c>
      <c r="C12" s="1237" t="n">
        <v>21</v>
      </c>
      <c r="D12" s="1238" t="n">
        <v>28</v>
      </c>
      <c r="E12" s="1239" t="n">
        <v>24</v>
      </c>
      <c r="F12" s="1237" t="n">
        <v>21</v>
      </c>
      <c r="G12" s="1238" t="n">
        <v>24</v>
      </c>
      <c r="H12" s="1239" t="n">
        <v>25</v>
      </c>
      <c r="I12" s="1237" t="n">
        <v>17</v>
      </c>
      <c r="J12" s="1238" t="n">
        <v>10</v>
      </c>
      <c r="K12" s="1239" t="n">
        <v>13</v>
      </c>
      <c r="L12" s="1237" t="n">
        <v>28</v>
      </c>
      <c r="M12" s="1238" t="n">
        <v>34</v>
      </c>
      <c r="N12" s="1239" t="n">
        <v>28</v>
      </c>
      <c r="O12" s="1237" t="n">
        <v>16</v>
      </c>
      <c r="P12" s="1238" t="n">
        <v>20</v>
      </c>
      <c r="Q12" s="1239" t="n">
        <v>14</v>
      </c>
      <c r="R12" s="1237" t="n">
        <v>16</v>
      </c>
      <c r="S12" s="1238" t="n">
        <v>17</v>
      </c>
      <c r="T12" s="1239" t="n">
        <v>19</v>
      </c>
      <c r="U12" s="1237" t="n">
        <v>19</v>
      </c>
      <c r="V12" s="1238" t="n">
        <v>26</v>
      </c>
      <c r="W12" s="1239" t="n">
        <v>20</v>
      </c>
      <c r="X12" s="1237" t="n">
        <v>19</v>
      </c>
      <c r="Y12" s="1240" t="n">
        <v>26</v>
      </c>
      <c r="Z12" s="1239" t="n">
        <v>20</v>
      </c>
      <c r="AA12" s="1237" t="n">
        <v>7</v>
      </c>
      <c r="AB12" s="1238" t="n">
        <v>20</v>
      </c>
      <c r="AC12" s="1241" t="n">
        <v>20</v>
      </c>
      <c r="AD12" s="1260" t="n">
        <v>16</v>
      </c>
      <c r="AE12" s="1238" t="n">
        <v>17</v>
      </c>
      <c r="AF12" s="1239" t="n">
        <v>21</v>
      </c>
      <c r="AG12" s="1237" t="n">
        <v>12</v>
      </c>
      <c r="AH12" s="1238" t="n">
        <v>5</v>
      </c>
      <c r="AI12" s="1239" t="n">
        <v>9</v>
      </c>
      <c r="AJ12" s="1237" t="n">
        <v>18</v>
      </c>
      <c r="AK12" s="1238" t="n">
        <v>25</v>
      </c>
      <c r="AL12" s="1239" t="n">
        <v>24</v>
      </c>
      <c r="AM12" s="1216" t="s">
        <v>4845</v>
      </c>
      <c r="AN12" s="1236" t="s">
        <v>4624</v>
      </c>
      <c r="AO12" s="351" t="s">
        <v>4820</v>
      </c>
    </row>
    <row r="13" customFormat="false" ht="20.25" hidden="false" customHeight="true" outlineLevel="0" collapsed="false">
      <c r="A13" s="1216"/>
      <c r="B13" s="1242" t="s">
        <v>566</v>
      </c>
      <c r="C13" s="1243" t="n">
        <v>29</v>
      </c>
      <c r="D13" s="1244" t="n">
        <v>20</v>
      </c>
      <c r="E13" s="1245" t="n">
        <v>26</v>
      </c>
      <c r="F13" s="1243" t="n">
        <v>23</v>
      </c>
      <c r="G13" s="1244" t="n">
        <v>25</v>
      </c>
      <c r="H13" s="1245" t="n">
        <v>18</v>
      </c>
      <c r="I13" s="1243" t="n">
        <v>10</v>
      </c>
      <c r="J13" s="1244" t="n">
        <v>18</v>
      </c>
      <c r="K13" s="1245" t="n">
        <v>24</v>
      </c>
      <c r="L13" s="1243" t="n">
        <v>34</v>
      </c>
      <c r="M13" s="1244" t="n">
        <v>28</v>
      </c>
      <c r="N13" s="1245" t="n">
        <v>29</v>
      </c>
      <c r="O13" s="1243" t="n">
        <v>18</v>
      </c>
      <c r="P13" s="1244" t="n">
        <v>14</v>
      </c>
      <c r="Q13" s="1245" t="n">
        <v>23</v>
      </c>
      <c r="R13" s="1243" t="n">
        <v>15</v>
      </c>
      <c r="S13" s="1244" t="n">
        <v>25</v>
      </c>
      <c r="T13" s="1245" t="n">
        <v>20</v>
      </c>
      <c r="U13" s="1243" t="n">
        <v>11</v>
      </c>
      <c r="V13" s="1244" t="n">
        <v>25</v>
      </c>
      <c r="W13" s="1245" t="n">
        <v>20</v>
      </c>
      <c r="X13" s="1243" t="n">
        <v>19</v>
      </c>
      <c r="Y13" s="1246" t="n">
        <v>17</v>
      </c>
      <c r="Z13" s="1245" t="n">
        <v>20</v>
      </c>
      <c r="AA13" s="1243" t="n">
        <v>17</v>
      </c>
      <c r="AB13" s="1247" t="n">
        <v>12</v>
      </c>
      <c r="AC13" s="1245" t="n">
        <v>20</v>
      </c>
      <c r="AD13" s="1243" t="n">
        <v>26</v>
      </c>
      <c r="AE13" s="1244" t="n">
        <v>27</v>
      </c>
      <c r="AF13" s="1245" t="n">
        <v>13</v>
      </c>
      <c r="AG13" s="1243" t="n">
        <v>4</v>
      </c>
      <c r="AH13" s="1244" t="n">
        <v>13</v>
      </c>
      <c r="AI13" s="1245" t="n">
        <v>17</v>
      </c>
      <c r="AJ13" s="1243" t="n">
        <v>26</v>
      </c>
      <c r="AK13" s="1244" t="n">
        <v>18</v>
      </c>
      <c r="AL13" s="1245" t="n">
        <v>26</v>
      </c>
      <c r="AM13" s="1216"/>
      <c r="AN13" s="1242" t="s">
        <v>566</v>
      </c>
      <c r="AO13" s="351" t="s">
        <v>4846</v>
      </c>
    </row>
    <row r="14" customFormat="false" ht="20.25" hidden="false" customHeight="true" outlineLevel="0" collapsed="false">
      <c r="A14" s="1216"/>
      <c r="B14" s="1248" t="s">
        <v>644</v>
      </c>
      <c r="C14" s="1249" t="n">
        <v>25</v>
      </c>
      <c r="D14" s="1250" t="n">
        <v>23</v>
      </c>
      <c r="E14" s="1251" t="n">
        <v>21</v>
      </c>
      <c r="F14" s="1249" t="n">
        <v>18</v>
      </c>
      <c r="G14" s="1250" t="n">
        <v>11</v>
      </c>
      <c r="H14" s="1251" t="n">
        <v>19</v>
      </c>
      <c r="I14" s="1249" t="n">
        <v>11</v>
      </c>
      <c r="J14" s="1250" t="n">
        <v>11</v>
      </c>
      <c r="K14" s="1251" t="n">
        <v>13</v>
      </c>
      <c r="L14" s="1249" t="n">
        <v>27</v>
      </c>
      <c r="M14" s="1250" t="n">
        <v>28</v>
      </c>
      <c r="N14" s="1261" t="n">
        <v>28</v>
      </c>
      <c r="O14" s="1249" t="n">
        <v>15</v>
      </c>
      <c r="P14" s="1250" t="n">
        <v>15</v>
      </c>
      <c r="Q14" s="1251" t="n">
        <v>17</v>
      </c>
      <c r="R14" s="1249" t="n">
        <v>19</v>
      </c>
      <c r="S14" s="1250" t="n">
        <v>19</v>
      </c>
      <c r="T14" s="1251" t="n">
        <v>24</v>
      </c>
      <c r="U14" s="1249" t="n">
        <v>24</v>
      </c>
      <c r="V14" s="1250" t="n">
        <v>11</v>
      </c>
      <c r="W14" s="1251" t="n">
        <v>16</v>
      </c>
      <c r="X14" s="1249" t="n">
        <v>14</v>
      </c>
      <c r="Y14" s="1254" t="n">
        <v>19</v>
      </c>
      <c r="Z14" s="1251" t="n">
        <v>25</v>
      </c>
      <c r="AA14" s="1253" t="n">
        <v>22</v>
      </c>
      <c r="AB14" s="1250" t="n">
        <v>15</v>
      </c>
      <c r="AC14" s="1251" t="n">
        <v>7</v>
      </c>
      <c r="AD14" s="1249" t="n">
        <v>13</v>
      </c>
      <c r="AE14" s="1250" t="n">
        <v>13</v>
      </c>
      <c r="AF14" s="1251" t="n">
        <v>26</v>
      </c>
      <c r="AG14" s="1249" t="n">
        <v>17</v>
      </c>
      <c r="AH14" s="1250" t="n">
        <v>18</v>
      </c>
      <c r="AI14" s="1251" t="n">
        <v>11</v>
      </c>
      <c r="AJ14" s="1249" t="n">
        <v>17</v>
      </c>
      <c r="AK14" s="1250" t="n">
        <v>20</v>
      </c>
      <c r="AL14" s="1251" t="n">
        <v>12</v>
      </c>
      <c r="AM14" s="1216"/>
      <c r="AN14" s="1248" t="s">
        <v>644</v>
      </c>
      <c r="AO14" s="351" t="s">
        <v>4847</v>
      </c>
    </row>
    <row r="15" customFormat="false" ht="20.25" hidden="false" customHeight="true" outlineLevel="0" collapsed="false">
      <c r="A15" s="1216" t="s">
        <v>4848</v>
      </c>
      <c r="B15" s="1217" t="s">
        <v>645</v>
      </c>
      <c r="C15" s="1218" t="n">
        <v>19</v>
      </c>
      <c r="D15" s="1219" t="n">
        <v>19</v>
      </c>
      <c r="E15" s="1220" t="n">
        <v>15</v>
      </c>
      <c r="F15" s="1218" t="n">
        <v>16</v>
      </c>
      <c r="G15" s="1219" t="n">
        <v>9</v>
      </c>
      <c r="H15" s="1220" t="n">
        <v>17</v>
      </c>
      <c r="I15" s="1218" t="n">
        <v>20</v>
      </c>
      <c r="J15" s="1219" t="n">
        <v>20</v>
      </c>
      <c r="K15" s="1220" t="n">
        <v>19</v>
      </c>
      <c r="L15" s="1218" t="n">
        <v>16</v>
      </c>
      <c r="M15" s="1219" t="n">
        <v>18</v>
      </c>
      <c r="N15" s="1220" t="n">
        <v>16</v>
      </c>
      <c r="O15" s="1218" t="n">
        <v>28</v>
      </c>
      <c r="P15" s="1219" t="n">
        <v>30</v>
      </c>
      <c r="Q15" s="1220" t="n">
        <v>26</v>
      </c>
      <c r="R15" s="1218" t="n">
        <v>14</v>
      </c>
      <c r="S15" s="1219" t="n">
        <v>14</v>
      </c>
      <c r="T15" s="1220" t="n">
        <v>19</v>
      </c>
      <c r="U15" s="1218" t="n">
        <v>23</v>
      </c>
      <c r="V15" s="1219" t="n">
        <v>10</v>
      </c>
      <c r="W15" s="1220" t="n">
        <v>15</v>
      </c>
      <c r="X15" s="1218" t="n">
        <v>24</v>
      </c>
      <c r="Y15" s="1219" t="n">
        <v>24</v>
      </c>
      <c r="Z15" s="1220" t="n">
        <v>32</v>
      </c>
      <c r="AA15" s="1221" t="n">
        <v>24</v>
      </c>
      <c r="AB15" s="1219" t="n">
        <v>19</v>
      </c>
      <c r="AC15" s="1220" t="n">
        <v>8</v>
      </c>
      <c r="AD15" s="1218" t="n">
        <v>3</v>
      </c>
      <c r="AE15" s="1219" t="n">
        <v>4</v>
      </c>
      <c r="AF15" s="1220" t="n">
        <v>17</v>
      </c>
      <c r="AG15" s="1218" t="n">
        <v>16</v>
      </c>
      <c r="AH15" s="1219" t="n">
        <v>9</v>
      </c>
      <c r="AI15" s="1220" t="n">
        <v>14</v>
      </c>
      <c r="AJ15" s="1218" t="n">
        <v>17</v>
      </c>
      <c r="AK15" s="1219" t="n">
        <v>18</v>
      </c>
      <c r="AL15" s="1222" t="n">
        <v>12</v>
      </c>
      <c r="AM15" s="1216" t="s">
        <v>4848</v>
      </c>
      <c r="AN15" s="1217" t="s">
        <v>645</v>
      </c>
      <c r="AO15" s="351" t="s">
        <v>4849</v>
      </c>
    </row>
    <row r="16" customFormat="false" ht="20.25" hidden="false" customHeight="true" outlineLevel="0" collapsed="false">
      <c r="A16" s="1216"/>
      <c r="B16" s="1223" t="s">
        <v>1588</v>
      </c>
      <c r="C16" s="1224" t="n">
        <v>25</v>
      </c>
      <c r="D16" s="1227" t="n">
        <v>17</v>
      </c>
      <c r="E16" s="1226" t="n">
        <v>19</v>
      </c>
      <c r="F16" s="1224" t="n">
        <v>20</v>
      </c>
      <c r="G16" s="1227" t="n">
        <v>23</v>
      </c>
      <c r="H16" s="1226" t="n">
        <v>15</v>
      </c>
      <c r="I16" s="1224" t="n">
        <v>18</v>
      </c>
      <c r="J16" s="1227" t="n">
        <v>26</v>
      </c>
      <c r="K16" s="1226" t="n">
        <v>25</v>
      </c>
      <c r="L16" s="1224" t="n">
        <v>22</v>
      </c>
      <c r="M16" s="1227" t="n">
        <v>16</v>
      </c>
      <c r="N16" s="1226" t="n">
        <v>19</v>
      </c>
      <c r="O16" s="1224" t="n">
        <v>30</v>
      </c>
      <c r="P16" s="1227" t="n">
        <v>28</v>
      </c>
      <c r="Q16" s="1226" t="n">
        <v>34</v>
      </c>
      <c r="R16" s="1224" t="n">
        <v>24</v>
      </c>
      <c r="S16" s="1227" t="n">
        <v>20</v>
      </c>
      <c r="T16" s="1226" t="n">
        <v>5</v>
      </c>
      <c r="U16" s="1224" t="n">
        <v>9</v>
      </c>
      <c r="V16" s="1227" t="n">
        <v>24</v>
      </c>
      <c r="W16" s="1226" t="n">
        <v>17</v>
      </c>
      <c r="X16" s="1224" t="n">
        <v>23</v>
      </c>
      <c r="Y16" s="1227" t="n">
        <v>22</v>
      </c>
      <c r="Z16" s="1226" t="n">
        <v>24</v>
      </c>
      <c r="AA16" s="1228" t="n">
        <v>20</v>
      </c>
      <c r="AB16" s="1227" t="n">
        <v>17</v>
      </c>
      <c r="AC16" s="1226" t="n">
        <v>24</v>
      </c>
      <c r="AD16" s="1224" t="n">
        <v>19</v>
      </c>
      <c r="AE16" s="1227" t="n">
        <v>18</v>
      </c>
      <c r="AF16" s="1226" t="n">
        <v>5</v>
      </c>
      <c r="AG16" s="1224" t="n">
        <v>19</v>
      </c>
      <c r="AH16" s="1227" t="n">
        <v>10</v>
      </c>
      <c r="AI16" s="1226" t="n">
        <v>13</v>
      </c>
      <c r="AJ16" s="1224" t="n">
        <v>23</v>
      </c>
      <c r="AK16" s="1229" t="n">
        <v>16</v>
      </c>
      <c r="AL16" s="1226" t="n">
        <v>24</v>
      </c>
      <c r="AM16" s="1216"/>
      <c r="AN16" s="1223" t="s">
        <v>1588</v>
      </c>
      <c r="AO16" s="351" t="s">
        <v>4850</v>
      </c>
    </row>
    <row r="17" customFormat="false" ht="20.25" hidden="false" customHeight="true" outlineLevel="0" collapsed="false">
      <c r="A17" s="1216"/>
      <c r="B17" s="1230" t="s">
        <v>4816</v>
      </c>
      <c r="C17" s="1231" t="n">
        <v>15</v>
      </c>
      <c r="D17" s="1232" t="n">
        <v>25</v>
      </c>
      <c r="E17" s="1233" t="n">
        <v>20</v>
      </c>
      <c r="F17" s="1231" t="n">
        <v>21</v>
      </c>
      <c r="G17" s="1232" t="n">
        <v>26</v>
      </c>
      <c r="H17" s="1233" t="n">
        <v>24</v>
      </c>
      <c r="I17" s="1231" t="n">
        <v>27</v>
      </c>
      <c r="J17" s="1232" t="n">
        <v>19</v>
      </c>
      <c r="K17" s="1233" t="n">
        <v>17</v>
      </c>
      <c r="L17" s="1231" t="n">
        <v>14</v>
      </c>
      <c r="M17" s="1232" t="n">
        <v>23</v>
      </c>
      <c r="N17" s="1233" t="n">
        <v>18</v>
      </c>
      <c r="O17" s="1231" t="n">
        <v>26</v>
      </c>
      <c r="P17" s="1232" t="n">
        <v>34</v>
      </c>
      <c r="Q17" s="1233" t="n">
        <v>28</v>
      </c>
      <c r="R17" s="1231" t="n">
        <v>16</v>
      </c>
      <c r="S17" s="1232" t="n">
        <v>15</v>
      </c>
      <c r="T17" s="1233" t="n">
        <v>12</v>
      </c>
      <c r="U17" s="1231" t="n">
        <v>16</v>
      </c>
      <c r="V17" s="1232" t="n">
        <v>25</v>
      </c>
      <c r="W17" s="1233" t="n">
        <v>16</v>
      </c>
      <c r="X17" s="1231" t="n">
        <v>22</v>
      </c>
      <c r="Y17" s="1232" t="n">
        <v>30</v>
      </c>
      <c r="Z17" s="1233" t="n">
        <v>16</v>
      </c>
      <c r="AA17" s="1234" t="n">
        <v>9</v>
      </c>
      <c r="AB17" s="1232" t="n">
        <v>25</v>
      </c>
      <c r="AC17" s="1233" t="n">
        <v>25</v>
      </c>
      <c r="AD17" s="1231" t="n">
        <v>20</v>
      </c>
      <c r="AE17" s="1232" t="n">
        <v>20</v>
      </c>
      <c r="AF17" s="1233" t="n">
        <v>11</v>
      </c>
      <c r="AG17" s="1231" t="n">
        <v>16</v>
      </c>
      <c r="AH17" s="1232" t="n">
        <v>24</v>
      </c>
      <c r="AI17" s="1259" t="n">
        <v>16</v>
      </c>
      <c r="AJ17" s="1235" t="n">
        <v>15</v>
      </c>
      <c r="AK17" s="1232" t="n">
        <v>26</v>
      </c>
      <c r="AL17" s="1233" t="n">
        <v>24</v>
      </c>
      <c r="AM17" s="1216"/>
      <c r="AN17" s="1230" t="s">
        <v>4816</v>
      </c>
      <c r="AO17" s="351" t="s">
        <v>4851</v>
      </c>
    </row>
    <row r="18" customFormat="false" ht="20.25" hidden="false" customHeight="true" outlineLevel="0" collapsed="false">
      <c r="A18" s="1216" t="s">
        <v>4852</v>
      </c>
      <c r="B18" s="1236" t="s">
        <v>4817</v>
      </c>
      <c r="C18" s="1237" t="n">
        <v>11</v>
      </c>
      <c r="D18" s="1238" t="n">
        <v>21</v>
      </c>
      <c r="E18" s="1239" t="n">
        <v>16</v>
      </c>
      <c r="F18" s="1237" t="n">
        <v>20</v>
      </c>
      <c r="G18" s="1238" t="n">
        <v>25</v>
      </c>
      <c r="H18" s="1239" t="n">
        <v>24</v>
      </c>
      <c r="I18" s="1237" t="n">
        <v>31</v>
      </c>
      <c r="J18" s="1238" t="n">
        <v>21</v>
      </c>
      <c r="K18" s="1239" t="n">
        <v>23</v>
      </c>
      <c r="L18" s="1237" t="n">
        <v>17</v>
      </c>
      <c r="M18" s="1238" t="n">
        <v>20</v>
      </c>
      <c r="N18" s="1239" t="n">
        <v>20</v>
      </c>
      <c r="O18" s="1237" t="n">
        <v>15</v>
      </c>
      <c r="P18" s="1238" t="n">
        <v>23</v>
      </c>
      <c r="Q18" s="1239" t="n">
        <v>17</v>
      </c>
      <c r="R18" s="1237" t="n">
        <v>28</v>
      </c>
      <c r="S18" s="1238" t="n">
        <v>27</v>
      </c>
      <c r="T18" s="1239" t="n">
        <v>24</v>
      </c>
      <c r="U18" s="1237" t="n">
        <v>16</v>
      </c>
      <c r="V18" s="1238" t="n">
        <v>25</v>
      </c>
      <c r="W18" s="1239" t="n">
        <v>16</v>
      </c>
      <c r="X18" s="1237" t="n">
        <v>18</v>
      </c>
      <c r="Y18" s="1238" t="n">
        <v>28</v>
      </c>
      <c r="Z18" s="1239" t="n">
        <v>12</v>
      </c>
      <c r="AA18" s="1237" t="n">
        <v>14</v>
      </c>
      <c r="AB18" s="1238" t="n">
        <v>29</v>
      </c>
      <c r="AC18" s="1239" t="n">
        <v>29</v>
      </c>
      <c r="AD18" s="1237" t="n">
        <v>24</v>
      </c>
      <c r="AE18" s="1240" t="n">
        <v>24</v>
      </c>
      <c r="AF18" s="1239" t="n">
        <v>15</v>
      </c>
      <c r="AG18" s="1237" t="n">
        <v>18</v>
      </c>
      <c r="AH18" s="1238" t="n">
        <v>26</v>
      </c>
      <c r="AI18" s="1241" t="n">
        <v>18</v>
      </c>
      <c r="AJ18" s="1260" t="n">
        <v>17</v>
      </c>
      <c r="AK18" s="1238" t="n">
        <v>28</v>
      </c>
      <c r="AL18" s="1239" t="n">
        <v>26</v>
      </c>
      <c r="AM18" s="1216" t="s">
        <v>4852</v>
      </c>
      <c r="AN18" s="1236" t="s">
        <v>4817</v>
      </c>
      <c r="AO18" s="351" t="s">
        <v>4853</v>
      </c>
    </row>
    <row r="19" customFormat="false" ht="20.25" hidden="false" customHeight="true" outlineLevel="0" collapsed="false">
      <c r="A19" s="1216"/>
      <c r="B19" s="1242" t="s">
        <v>648</v>
      </c>
      <c r="C19" s="1243" t="n">
        <v>11</v>
      </c>
      <c r="D19" s="1244" t="n">
        <v>18</v>
      </c>
      <c r="E19" s="1245" t="n">
        <v>16</v>
      </c>
      <c r="F19" s="1243" t="n">
        <v>20</v>
      </c>
      <c r="G19" s="1244" t="n">
        <v>23</v>
      </c>
      <c r="H19" s="1245" t="n">
        <v>24</v>
      </c>
      <c r="I19" s="1243" t="n">
        <v>32</v>
      </c>
      <c r="J19" s="1244" t="n">
        <v>18</v>
      </c>
      <c r="K19" s="1245" t="n">
        <v>23</v>
      </c>
      <c r="L19" s="1243" t="n">
        <v>18</v>
      </c>
      <c r="M19" s="1244" t="n">
        <v>26</v>
      </c>
      <c r="N19" s="1245" t="n">
        <v>21</v>
      </c>
      <c r="O19" s="1243" t="n">
        <v>16</v>
      </c>
      <c r="P19" s="1244" t="n">
        <v>20</v>
      </c>
      <c r="Q19" s="1245" t="n">
        <v>15</v>
      </c>
      <c r="R19" s="1243" t="n">
        <v>26</v>
      </c>
      <c r="S19" s="1244" t="n">
        <v>28</v>
      </c>
      <c r="T19" s="1245" t="n">
        <v>28</v>
      </c>
      <c r="U19" s="1243" t="n">
        <v>29</v>
      </c>
      <c r="V19" s="1244" t="n">
        <v>26</v>
      </c>
      <c r="W19" s="1245" t="n">
        <v>18</v>
      </c>
      <c r="X19" s="1243" t="n">
        <v>20</v>
      </c>
      <c r="Y19" s="1244" t="n">
        <v>26</v>
      </c>
      <c r="Z19" s="1245" t="n">
        <v>13</v>
      </c>
      <c r="AA19" s="1243" t="n">
        <v>15</v>
      </c>
      <c r="AB19" s="1244" t="n">
        <v>27</v>
      </c>
      <c r="AC19" s="1245" t="n">
        <v>23</v>
      </c>
      <c r="AD19" s="1243" t="n">
        <v>23</v>
      </c>
      <c r="AE19" s="1246" t="n">
        <v>24</v>
      </c>
      <c r="AF19" s="1245" t="n">
        <v>18</v>
      </c>
      <c r="AG19" s="1243" t="n">
        <v>21</v>
      </c>
      <c r="AH19" s="1247" t="n">
        <v>22</v>
      </c>
      <c r="AI19" s="1245" t="n">
        <v>25</v>
      </c>
      <c r="AJ19" s="1243" t="n">
        <v>15</v>
      </c>
      <c r="AK19" s="1244" t="n">
        <v>26</v>
      </c>
      <c r="AL19" s="1245" t="n">
        <v>24</v>
      </c>
      <c r="AM19" s="1216"/>
      <c r="AN19" s="1242" t="s">
        <v>648</v>
      </c>
      <c r="AO19" s="351" t="s">
        <v>4854</v>
      </c>
    </row>
    <row r="20" customFormat="false" ht="20.25" hidden="false" customHeight="true" outlineLevel="0" collapsed="false">
      <c r="A20" s="1216"/>
      <c r="B20" s="1248" t="s">
        <v>4818</v>
      </c>
      <c r="C20" s="1249" t="n">
        <v>12</v>
      </c>
      <c r="D20" s="1250" t="n">
        <v>4</v>
      </c>
      <c r="E20" s="1251" t="n">
        <v>18</v>
      </c>
      <c r="F20" s="1249" t="n">
        <v>23</v>
      </c>
      <c r="G20" s="1250" t="n">
        <v>18</v>
      </c>
      <c r="H20" s="1252" t="n">
        <v>10</v>
      </c>
      <c r="I20" s="1253" t="n">
        <v>18</v>
      </c>
      <c r="J20" s="1250" t="n">
        <v>22</v>
      </c>
      <c r="K20" s="1251" t="n">
        <v>24</v>
      </c>
      <c r="L20" s="1249" t="n">
        <v>21</v>
      </c>
      <c r="M20" s="1250" t="n">
        <v>11</v>
      </c>
      <c r="N20" s="1251" t="n">
        <v>25</v>
      </c>
      <c r="O20" s="1249" t="n">
        <v>20</v>
      </c>
      <c r="P20" s="1250" t="n">
        <v>6</v>
      </c>
      <c r="Q20" s="1251" t="n">
        <v>13</v>
      </c>
      <c r="R20" s="1249" t="n">
        <v>24</v>
      </c>
      <c r="S20" s="1250" t="n">
        <v>27</v>
      </c>
      <c r="T20" s="1252" t="n">
        <v>28</v>
      </c>
      <c r="U20" s="1253" t="n">
        <v>19</v>
      </c>
      <c r="V20" s="1250" t="n">
        <v>19</v>
      </c>
      <c r="W20" s="1251" t="n">
        <v>25</v>
      </c>
      <c r="X20" s="1249" t="n">
        <v>27</v>
      </c>
      <c r="Y20" s="1250" t="n">
        <v>11</v>
      </c>
      <c r="Z20" s="1251" t="n">
        <v>25</v>
      </c>
      <c r="AA20" s="1249" t="n">
        <v>27</v>
      </c>
      <c r="AB20" s="1250" t="n">
        <v>13</v>
      </c>
      <c r="AC20" s="1251" t="n">
        <v>21</v>
      </c>
      <c r="AD20" s="1249" t="n">
        <v>15</v>
      </c>
      <c r="AE20" s="1254" t="n">
        <v>17</v>
      </c>
      <c r="AF20" s="1252" t="n">
        <v>15</v>
      </c>
      <c r="AG20" s="1253" t="n">
        <v>24</v>
      </c>
      <c r="AH20" s="1250" t="n">
        <v>26</v>
      </c>
      <c r="AI20" s="1251" t="n">
        <v>20</v>
      </c>
      <c r="AJ20" s="1249" t="n">
        <v>19</v>
      </c>
      <c r="AK20" s="1250" t="n">
        <v>10</v>
      </c>
      <c r="AL20" s="1251" t="n">
        <v>19</v>
      </c>
      <c r="AM20" s="1216"/>
      <c r="AN20" s="1248" t="s">
        <v>4818</v>
      </c>
      <c r="AO20" s="351" t="s">
        <v>4855</v>
      </c>
    </row>
    <row r="21" customFormat="false" ht="20.25" hidden="false" customHeight="true" outlineLevel="0" collapsed="false">
      <c r="A21" s="1216" t="s">
        <v>4856</v>
      </c>
      <c r="B21" s="1217" t="s">
        <v>4819</v>
      </c>
      <c r="C21" s="1218" t="n">
        <v>22</v>
      </c>
      <c r="D21" s="1219" t="n">
        <v>14</v>
      </c>
      <c r="E21" s="1220" t="n">
        <v>28</v>
      </c>
      <c r="F21" s="1218" t="n">
        <v>23</v>
      </c>
      <c r="G21" s="1219" t="n">
        <v>18</v>
      </c>
      <c r="H21" s="1222" t="n">
        <v>10</v>
      </c>
      <c r="I21" s="1255" t="n">
        <v>12</v>
      </c>
      <c r="J21" s="1219" t="n">
        <v>20</v>
      </c>
      <c r="K21" s="1220" t="n">
        <v>18</v>
      </c>
      <c r="L21" s="1218" t="n">
        <v>19</v>
      </c>
      <c r="M21" s="1219" t="n">
        <v>11</v>
      </c>
      <c r="N21" s="1220" t="n">
        <v>25</v>
      </c>
      <c r="O21" s="1218" t="n">
        <v>24</v>
      </c>
      <c r="P21" s="1219" t="n">
        <v>10</v>
      </c>
      <c r="Q21" s="1220" t="n">
        <v>17</v>
      </c>
      <c r="R21" s="1218" t="n">
        <v>27</v>
      </c>
      <c r="S21" s="1219" t="n">
        <v>20</v>
      </c>
      <c r="T21" s="1222" t="n">
        <v>20</v>
      </c>
      <c r="U21" s="1255" t="n">
        <v>29</v>
      </c>
      <c r="V21" s="1219" t="n">
        <v>27</v>
      </c>
      <c r="W21" s="1220" t="n">
        <v>33</v>
      </c>
      <c r="X21" s="1218" t="n">
        <v>22</v>
      </c>
      <c r="Y21" s="1219" t="n">
        <v>6</v>
      </c>
      <c r="Z21" s="1220" t="n">
        <v>20</v>
      </c>
      <c r="AA21" s="1218" t="n">
        <v>27</v>
      </c>
      <c r="AB21" s="1219" t="n">
        <v>13</v>
      </c>
      <c r="AC21" s="1220" t="n">
        <v>21</v>
      </c>
      <c r="AD21" s="1218" t="n">
        <v>23</v>
      </c>
      <c r="AE21" s="1219" t="n">
        <v>25</v>
      </c>
      <c r="AF21" s="1222" t="n">
        <v>23</v>
      </c>
      <c r="AG21" s="1255" t="n">
        <v>18</v>
      </c>
      <c r="AH21" s="1262" t="n">
        <v>26</v>
      </c>
      <c r="AI21" s="1220" t="n">
        <v>18</v>
      </c>
      <c r="AJ21" s="1218" t="n">
        <v>12</v>
      </c>
      <c r="AK21" s="1219" t="n">
        <v>3</v>
      </c>
      <c r="AL21" s="1220" t="n">
        <v>12</v>
      </c>
      <c r="AM21" s="1216" t="s">
        <v>4856</v>
      </c>
      <c r="AN21" s="1217" t="s">
        <v>4819</v>
      </c>
      <c r="AO21" s="351" t="s">
        <v>4857</v>
      </c>
    </row>
    <row r="22" customFormat="false" ht="20.25" hidden="false" customHeight="true" outlineLevel="0" collapsed="false">
      <c r="A22" s="1216"/>
      <c r="B22" s="1223" t="s">
        <v>4820</v>
      </c>
      <c r="C22" s="1224" t="n">
        <v>20</v>
      </c>
      <c r="D22" s="1227" t="n">
        <v>28</v>
      </c>
      <c r="E22" s="1226" t="n">
        <v>16</v>
      </c>
      <c r="F22" s="1224" t="n">
        <v>11</v>
      </c>
      <c r="G22" s="1229" t="n">
        <v>14</v>
      </c>
      <c r="H22" s="1226" t="n">
        <v>24</v>
      </c>
      <c r="I22" s="1224" t="n">
        <v>26</v>
      </c>
      <c r="J22" s="1227" t="n">
        <v>26</v>
      </c>
      <c r="K22" s="1226" t="n">
        <v>27</v>
      </c>
      <c r="L22" s="1224" t="n">
        <v>27</v>
      </c>
      <c r="M22" s="1227" t="n">
        <v>20</v>
      </c>
      <c r="N22" s="1226" t="n">
        <v>13</v>
      </c>
      <c r="O22" s="1224" t="n">
        <v>12</v>
      </c>
      <c r="P22" s="1227" t="n">
        <v>24</v>
      </c>
      <c r="Q22" s="1226" t="n">
        <v>25</v>
      </c>
      <c r="R22" s="1224" t="n">
        <v>25</v>
      </c>
      <c r="S22" s="1227" t="n">
        <v>27</v>
      </c>
      <c r="T22" s="1226" t="n">
        <v>21</v>
      </c>
      <c r="U22" s="1224" t="n">
        <v>28</v>
      </c>
      <c r="V22" s="1225" t="n">
        <v>28</v>
      </c>
      <c r="W22" s="1226" t="n">
        <v>20</v>
      </c>
      <c r="X22" s="1224" t="n">
        <v>9</v>
      </c>
      <c r="Y22" s="1227" t="n">
        <v>21</v>
      </c>
      <c r="Z22" s="1226" t="n">
        <v>15</v>
      </c>
      <c r="AA22" s="1224" t="n">
        <v>23</v>
      </c>
      <c r="AB22" s="1227" t="n">
        <v>27</v>
      </c>
      <c r="AC22" s="1226" t="n">
        <v>19</v>
      </c>
      <c r="AD22" s="1224" t="n">
        <v>21</v>
      </c>
      <c r="AE22" s="1227" t="n">
        <v>22</v>
      </c>
      <c r="AF22" s="1226" t="n">
        <v>26</v>
      </c>
      <c r="AG22" s="1224" t="n">
        <v>21</v>
      </c>
      <c r="AH22" s="1263" t="n">
        <v>22</v>
      </c>
      <c r="AI22" s="1226" t="n">
        <v>25</v>
      </c>
      <c r="AJ22" s="1224" t="n">
        <v>18</v>
      </c>
      <c r="AK22" s="1227" t="n">
        <v>19</v>
      </c>
      <c r="AL22" s="1226" t="n">
        <v>11</v>
      </c>
      <c r="AM22" s="1216"/>
      <c r="AN22" s="1223" t="s">
        <v>4820</v>
      </c>
      <c r="AO22" s="351" t="s">
        <v>4858</v>
      </c>
    </row>
    <row r="23" customFormat="false" ht="20.25" hidden="false" customHeight="true" outlineLevel="0" collapsed="false">
      <c r="A23" s="1216"/>
      <c r="B23" s="1230" t="s">
        <v>4821</v>
      </c>
      <c r="C23" s="1231" t="n">
        <v>21</v>
      </c>
      <c r="D23" s="1232" t="n">
        <v>22</v>
      </c>
      <c r="E23" s="1233" t="n">
        <v>20</v>
      </c>
      <c r="F23" s="1235" t="n">
        <v>15</v>
      </c>
      <c r="G23" s="1232" t="n">
        <v>9</v>
      </c>
      <c r="H23" s="1233" t="n">
        <v>17</v>
      </c>
      <c r="I23" s="1231" t="n">
        <v>18</v>
      </c>
      <c r="J23" s="1232" t="n">
        <v>20</v>
      </c>
      <c r="K23" s="1233" t="n">
        <v>20</v>
      </c>
      <c r="L23" s="1231" t="n">
        <v>20</v>
      </c>
      <c r="M23" s="1232" t="n">
        <v>20</v>
      </c>
      <c r="N23" s="1233" t="n">
        <v>17</v>
      </c>
      <c r="O23" s="1231" t="n">
        <v>16</v>
      </c>
      <c r="P23" s="1232" t="n">
        <v>18</v>
      </c>
      <c r="Q23" s="1233" t="n">
        <v>17</v>
      </c>
      <c r="R23" s="1231" t="n">
        <v>17</v>
      </c>
      <c r="S23" s="1232" t="n">
        <v>18</v>
      </c>
      <c r="T23" s="1233" t="n">
        <v>26</v>
      </c>
      <c r="U23" s="1231" t="n">
        <v>33</v>
      </c>
      <c r="V23" s="1232" t="n">
        <v>19</v>
      </c>
      <c r="W23" s="1233" t="n">
        <v>28</v>
      </c>
      <c r="X23" s="1231" t="n">
        <v>16</v>
      </c>
      <c r="Y23" s="1232" t="n">
        <v>16</v>
      </c>
      <c r="Z23" s="1233" t="n">
        <v>21</v>
      </c>
      <c r="AA23" s="1231" t="n">
        <v>27</v>
      </c>
      <c r="AB23" s="1232" t="n">
        <v>13</v>
      </c>
      <c r="AC23" s="1233" t="n">
        <v>13</v>
      </c>
      <c r="AD23" s="1231" t="n">
        <v>15</v>
      </c>
      <c r="AE23" s="1232" t="n">
        <v>15</v>
      </c>
      <c r="AF23" s="1233" t="n">
        <v>29</v>
      </c>
      <c r="AG23" s="1231" t="n">
        <v>24</v>
      </c>
      <c r="AH23" s="1264" t="n">
        <v>26</v>
      </c>
      <c r="AI23" s="1233" t="n">
        <v>20</v>
      </c>
      <c r="AJ23" s="1231" t="n">
        <v>13</v>
      </c>
      <c r="AK23" s="1232" t="n">
        <v>12</v>
      </c>
      <c r="AL23" s="1233" t="n">
        <v>4</v>
      </c>
      <c r="AM23" s="1216"/>
      <c r="AN23" s="1230" t="s">
        <v>4821</v>
      </c>
      <c r="AO23" s="351" t="s">
        <v>4859</v>
      </c>
    </row>
    <row r="24" customFormat="false" ht="20.25" hidden="false" customHeight="true" outlineLevel="0" collapsed="false">
      <c r="A24" s="1216" t="s">
        <v>4860</v>
      </c>
      <c r="B24" s="1236" t="s">
        <v>4642</v>
      </c>
      <c r="C24" s="1237" t="n">
        <v>16</v>
      </c>
      <c r="D24" s="1238" t="n">
        <v>16</v>
      </c>
      <c r="E24" s="1241" t="n">
        <v>14</v>
      </c>
      <c r="F24" s="1237" t="n">
        <v>19</v>
      </c>
      <c r="G24" s="1238" t="n">
        <v>13</v>
      </c>
      <c r="H24" s="1239" t="n">
        <v>21</v>
      </c>
      <c r="I24" s="1237" t="n">
        <v>11</v>
      </c>
      <c r="J24" s="1238" t="n">
        <v>12</v>
      </c>
      <c r="K24" s="1239" t="n">
        <v>12</v>
      </c>
      <c r="L24" s="1237" t="n">
        <v>18</v>
      </c>
      <c r="M24" s="1238" t="n">
        <v>18</v>
      </c>
      <c r="N24" s="1239" t="n">
        <v>14</v>
      </c>
      <c r="O24" s="1237" t="n">
        <v>24</v>
      </c>
      <c r="P24" s="1238" t="n">
        <v>22</v>
      </c>
      <c r="Q24" s="1239" t="n">
        <v>21</v>
      </c>
      <c r="R24" s="1237" t="n">
        <v>17</v>
      </c>
      <c r="S24" s="1238" t="n">
        <v>18</v>
      </c>
      <c r="T24" s="1239" t="n">
        <v>26</v>
      </c>
      <c r="U24" s="1237" t="n">
        <v>21</v>
      </c>
      <c r="V24" s="1238" t="n">
        <v>7</v>
      </c>
      <c r="W24" s="1239" t="n">
        <v>15</v>
      </c>
      <c r="X24" s="1237" t="n">
        <v>28</v>
      </c>
      <c r="Y24" s="1238" t="n">
        <v>27</v>
      </c>
      <c r="Z24" s="1239" t="n">
        <v>31</v>
      </c>
      <c r="AA24" s="1237" t="n">
        <v>21</v>
      </c>
      <c r="AB24" s="1238" t="n">
        <v>15</v>
      </c>
      <c r="AC24" s="1239" t="n">
        <v>7</v>
      </c>
      <c r="AD24" s="1237" t="n">
        <v>11</v>
      </c>
      <c r="AE24" s="1238" t="n">
        <v>11</v>
      </c>
      <c r="AF24" s="1239" t="n">
        <v>25</v>
      </c>
      <c r="AG24" s="1237" t="n">
        <v>24</v>
      </c>
      <c r="AH24" s="1227" t="n">
        <v>25</v>
      </c>
      <c r="AI24" s="1239" t="n">
        <v>19</v>
      </c>
      <c r="AJ24" s="1237" t="n">
        <v>19</v>
      </c>
      <c r="AK24" s="1238" t="n">
        <v>18</v>
      </c>
      <c r="AL24" s="1265" t="n">
        <v>9</v>
      </c>
      <c r="AM24" s="1216" t="s">
        <v>4860</v>
      </c>
      <c r="AN24" s="1236" t="s">
        <v>4642</v>
      </c>
      <c r="AO24" s="351" t="s">
        <v>4861</v>
      </c>
    </row>
    <row r="25" customFormat="false" ht="20.25" hidden="false" customHeight="true" outlineLevel="0" collapsed="false">
      <c r="A25" s="1216"/>
      <c r="B25" s="1242" t="s">
        <v>581</v>
      </c>
      <c r="C25" s="1243" t="n">
        <v>23</v>
      </c>
      <c r="D25" s="1247" t="n">
        <v>14</v>
      </c>
      <c r="E25" s="1245" t="n">
        <v>18</v>
      </c>
      <c r="F25" s="1243" t="n">
        <v>23</v>
      </c>
      <c r="G25" s="1244" t="n">
        <v>27</v>
      </c>
      <c r="H25" s="1245" t="n">
        <v>20</v>
      </c>
      <c r="I25" s="1243" t="n">
        <v>10</v>
      </c>
      <c r="J25" s="1244" t="n">
        <v>15</v>
      </c>
      <c r="K25" s="1245" t="n">
        <v>19</v>
      </c>
      <c r="L25" s="1243" t="n">
        <v>25</v>
      </c>
      <c r="M25" s="1244" t="n">
        <v>17</v>
      </c>
      <c r="N25" s="1245" t="n">
        <v>20</v>
      </c>
      <c r="O25" s="1243" t="n">
        <v>24</v>
      </c>
      <c r="P25" s="1244" t="n">
        <v>20</v>
      </c>
      <c r="Q25" s="1245" t="n">
        <v>28</v>
      </c>
      <c r="R25" s="1243" t="n">
        <v>24</v>
      </c>
      <c r="S25" s="1244" t="n">
        <v>25</v>
      </c>
      <c r="T25" s="1245" t="n">
        <v>11</v>
      </c>
      <c r="U25" s="1243" t="n">
        <v>6</v>
      </c>
      <c r="V25" s="1244" t="n">
        <v>20</v>
      </c>
      <c r="W25" s="1245" t="n">
        <v>16</v>
      </c>
      <c r="X25" s="1243" t="n">
        <v>28</v>
      </c>
      <c r="Y25" s="1244" t="n">
        <v>28</v>
      </c>
      <c r="Z25" s="1245" t="n">
        <v>31</v>
      </c>
      <c r="AA25" s="1243" t="n">
        <v>15</v>
      </c>
      <c r="AB25" s="1244" t="n">
        <v>13</v>
      </c>
      <c r="AC25" s="1245" t="n">
        <v>21</v>
      </c>
      <c r="AD25" s="1243" t="n">
        <v>25</v>
      </c>
      <c r="AE25" s="1244" t="n">
        <v>26</v>
      </c>
      <c r="AF25" s="1245" t="n">
        <v>12</v>
      </c>
      <c r="AG25" s="1243" t="n">
        <v>11</v>
      </c>
      <c r="AH25" s="1244" t="n">
        <v>20</v>
      </c>
      <c r="AI25" s="1245" t="n">
        <v>24</v>
      </c>
      <c r="AJ25" s="1243" t="n">
        <v>24</v>
      </c>
      <c r="AK25" s="1244" t="n">
        <v>17</v>
      </c>
      <c r="AL25" s="1266" t="n">
        <v>26</v>
      </c>
      <c r="AM25" s="1216"/>
      <c r="AN25" s="1242" t="s">
        <v>581</v>
      </c>
      <c r="AO25" s="351" t="s">
        <v>4862</v>
      </c>
    </row>
    <row r="26" customFormat="false" ht="20.25" hidden="false" customHeight="true" outlineLevel="0" collapsed="false">
      <c r="A26" s="1216"/>
      <c r="B26" s="1248" t="s">
        <v>651</v>
      </c>
      <c r="C26" s="1253" t="n">
        <v>10</v>
      </c>
      <c r="D26" s="1250" t="n">
        <v>17</v>
      </c>
      <c r="E26" s="1251" t="n">
        <v>23</v>
      </c>
      <c r="F26" s="1249" t="n">
        <v>28</v>
      </c>
      <c r="G26" s="1250" t="n">
        <v>22</v>
      </c>
      <c r="H26" s="1251" t="n">
        <v>29</v>
      </c>
      <c r="I26" s="1249" t="n">
        <v>12</v>
      </c>
      <c r="J26" s="1250" t="n">
        <v>2</v>
      </c>
      <c r="K26" s="1251" t="n">
        <v>4</v>
      </c>
      <c r="L26" s="1249" t="n">
        <v>9</v>
      </c>
      <c r="M26" s="1250" t="n">
        <v>19</v>
      </c>
      <c r="N26" s="1251" t="n">
        <v>25</v>
      </c>
      <c r="O26" s="1249" t="n">
        <v>31</v>
      </c>
      <c r="P26" s="1250" t="n">
        <v>23</v>
      </c>
      <c r="Q26" s="1251" t="n">
        <v>15</v>
      </c>
      <c r="R26" s="1249" t="n">
        <v>11</v>
      </c>
      <c r="S26" s="1250" t="n">
        <v>11</v>
      </c>
      <c r="T26" s="1251" t="n">
        <v>24</v>
      </c>
      <c r="U26" s="1249" t="n">
        <v>19</v>
      </c>
      <c r="V26" s="1250" t="n">
        <v>14</v>
      </c>
      <c r="W26" s="1251" t="n">
        <v>10</v>
      </c>
      <c r="X26" s="1249" t="n">
        <v>31</v>
      </c>
      <c r="Y26" s="1250" t="n">
        <v>30</v>
      </c>
      <c r="Z26" s="1261" t="n">
        <v>28</v>
      </c>
      <c r="AA26" s="1249" t="n">
        <v>14</v>
      </c>
      <c r="AB26" s="1250" t="n">
        <v>16</v>
      </c>
      <c r="AC26" s="1251" t="n">
        <v>16</v>
      </c>
      <c r="AD26" s="1249" t="n">
        <v>20</v>
      </c>
      <c r="AE26" s="1250" t="n">
        <v>20</v>
      </c>
      <c r="AF26" s="1251" t="n">
        <v>25</v>
      </c>
      <c r="AG26" s="1249" t="n">
        <v>24</v>
      </c>
      <c r="AH26" s="1250" t="n">
        <v>17</v>
      </c>
      <c r="AI26" s="1251" t="n">
        <v>10</v>
      </c>
      <c r="AJ26" s="1249" t="n">
        <v>9</v>
      </c>
      <c r="AK26" s="1250" t="n">
        <v>20</v>
      </c>
      <c r="AL26" s="1267" t="n">
        <v>20</v>
      </c>
      <c r="AM26" s="1216"/>
      <c r="AN26" s="1248" t="s">
        <v>651</v>
      </c>
      <c r="AO26" s="351" t="s">
        <v>4863</v>
      </c>
    </row>
    <row r="27" customFormat="false" ht="20.25" hidden="false" customHeight="true" outlineLevel="0" collapsed="false">
      <c r="A27" s="1216" t="s">
        <v>4864</v>
      </c>
      <c r="B27" s="1217" t="s">
        <v>597</v>
      </c>
      <c r="C27" s="1218" t="n">
        <v>11</v>
      </c>
      <c r="D27" s="1256" t="n">
        <v>19</v>
      </c>
      <c r="E27" s="1220" t="n">
        <v>25</v>
      </c>
      <c r="F27" s="1218" t="n">
        <v>19</v>
      </c>
      <c r="G27" s="1219" t="n">
        <v>12</v>
      </c>
      <c r="H27" s="1220" t="n">
        <v>12</v>
      </c>
      <c r="I27" s="1218" t="n">
        <v>21</v>
      </c>
      <c r="J27" s="1219" t="n">
        <v>14</v>
      </c>
      <c r="K27" s="1220" t="n">
        <v>12</v>
      </c>
      <c r="L27" s="1218" t="n">
        <v>7</v>
      </c>
      <c r="M27" s="1219" t="n">
        <v>17</v>
      </c>
      <c r="N27" s="1222" t="n">
        <v>23</v>
      </c>
      <c r="O27" s="1218" t="n">
        <v>24</v>
      </c>
      <c r="P27" s="1219" t="n">
        <v>18</v>
      </c>
      <c r="Q27" s="1220" t="n">
        <v>9</v>
      </c>
      <c r="R27" s="1218" t="n">
        <v>13</v>
      </c>
      <c r="S27" s="1219" t="n">
        <v>13</v>
      </c>
      <c r="T27" s="1220" t="n">
        <v>26</v>
      </c>
      <c r="U27" s="1218" t="n">
        <v>26</v>
      </c>
      <c r="V27" s="1219" t="n">
        <v>21</v>
      </c>
      <c r="W27" s="1220" t="n">
        <v>26</v>
      </c>
      <c r="X27" s="1218" t="n">
        <v>22</v>
      </c>
      <c r="Y27" s="1219" t="n">
        <v>16</v>
      </c>
      <c r="Z27" s="1220" t="n">
        <v>16</v>
      </c>
      <c r="AA27" s="1268" t="n">
        <v>28</v>
      </c>
      <c r="AB27" s="1219" t="n">
        <v>28</v>
      </c>
      <c r="AC27" s="1220" t="n">
        <v>13</v>
      </c>
      <c r="AD27" s="1218" t="n">
        <v>13</v>
      </c>
      <c r="AE27" s="1219" t="n">
        <v>14</v>
      </c>
      <c r="AF27" s="1220" t="n">
        <v>19</v>
      </c>
      <c r="AG27" s="1218" t="n">
        <v>28</v>
      </c>
      <c r="AH27" s="1219" t="n">
        <v>21</v>
      </c>
      <c r="AI27" s="1220" t="n">
        <v>14</v>
      </c>
      <c r="AJ27" s="1218" t="n">
        <v>16</v>
      </c>
      <c r="AK27" s="1219" t="n">
        <v>24</v>
      </c>
      <c r="AL27" s="1220" t="n">
        <v>26</v>
      </c>
      <c r="AM27" s="1216" t="s">
        <v>4864</v>
      </c>
      <c r="AN27" s="1217" t="s">
        <v>597</v>
      </c>
      <c r="AO27" s="351" t="s">
        <v>4865</v>
      </c>
    </row>
    <row r="28" customFormat="false" ht="20.25" hidden="false" customHeight="true" outlineLevel="0" collapsed="false">
      <c r="A28" s="1216"/>
      <c r="B28" s="1223" t="s">
        <v>4822</v>
      </c>
      <c r="C28" s="1224" t="n">
        <v>25</v>
      </c>
      <c r="D28" s="1257" t="n">
        <v>17</v>
      </c>
      <c r="E28" s="1226" t="n">
        <v>19</v>
      </c>
      <c r="F28" s="1224" t="n">
        <v>14</v>
      </c>
      <c r="G28" s="1227" t="n">
        <v>18</v>
      </c>
      <c r="H28" s="1226" t="n">
        <v>10</v>
      </c>
      <c r="I28" s="1224" t="n">
        <v>19</v>
      </c>
      <c r="J28" s="1227" t="n">
        <v>26</v>
      </c>
      <c r="K28" s="1226" t="n">
        <v>27</v>
      </c>
      <c r="L28" s="1224" t="n">
        <v>22</v>
      </c>
      <c r="M28" s="1229" t="n">
        <v>14</v>
      </c>
      <c r="N28" s="1226" t="n">
        <v>16</v>
      </c>
      <c r="O28" s="1224" t="n">
        <v>19</v>
      </c>
      <c r="P28" s="1227" t="n">
        <v>17</v>
      </c>
      <c r="Q28" s="1226" t="n">
        <v>25</v>
      </c>
      <c r="R28" s="1224" t="n">
        <v>28</v>
      </c>
      <c r="S28" s="1227" t="n">
        <v>27</v>
      </c>
      <c r="T28" s="1226" t="n">
        <v>12</v>
      </c>
      <c r="U28" s="1224" t="n">
        <v>12</v>
      </c>
      <c r="V28" s="1227" t="n">
        <v>27</v>
      </c>
      <c r="W28" s="1226" t="n">
        <v>20</v>
      </c>
      <c r="X28" s="1224" t="n">
        <v>16</v>
      </c>
      <c r="Y28" s="1227" t="n">
        <v>15</v>
      </c>
      <c r="Z28" s="1226" t="n">
        <v>17</v>
      </c>
      <c r="AA28" s="1224" t="n">
        <v>27</v>
      </c>
      <c r="AB28" s="1227" t="n">
        <v>28</v>
      </c>
      <c r="AC28" s="1226" t="n">
        <v>34</v>
      </c>
      <c r="AD28" s="1224" t="n">
        <v>22</v>
      </c>
      <c r="AE28" s="1227" t="n">
        <v>22</v>
      </c>
      <c r="AF28" s="1226" t="n">
        <v>5</v>
      </c>
      <c r="AG28" s="1224" t="n">
        <v>14</v>
      </c>
      <c r="AH28" s="1227" t="n">
        <v>23</v>
      </c>
      <c r="AI28" s="1226" t="n">
        <v>28</v>
      </c>
      <c r="AJ28" s="1224" t="n">
        <v>20</v>
      </c>
      <c r="AK28" s="1227" t="n">
        <v>22</v>
      </c>
      <c r="AL28" s="1226" t="n">
        <v>30</v>
      </c>
      <c r="AM28" s="1216"/>
      <c r="AN28" s="1223" t="s">
        <v>4822</v>
      </c>
      <c r="AO28" s="351" t="s">
        <v>4866</v>
      </c>
    </row>
    <row r="29" customFormat="false" ht="20.25" hidden="false" customHeight="true" outlineLevel="0" collapsed="false">
      <c r="A29" s="1216"/>
      <c r="B29" s="1230" t="s">
        <v>4823</v>
      </c>
      <c r="C29" s="1231" t="n">
        <v>24</v>
      </c>
      <c r="D29" s="1258" t="n">
        <v>25</v>
      </c>
      <c r="E29" s="1233" t="n">
        <v>11</v>
      </c>
      <c r="F29" s="1231" t="n">
        <v>6</v>
      </c>
      <c r="G29" s="1232" t="n">
        <v>10</v>
      </c>
      <c r="H29" s="1233" t="n">
        <v>16</v>
      </c>
      <c r="I29" s="1231" t="n">
        <v>25</v>
      </c>
      <c r="J29" s="1232" t="n">
        <v>26</v>
      </c>
      <c r="K29" s="1233" t="n">
        <v>26</v>
      </c>
      <c r="L29" s="1235" t="n">
        <v>22</v>
      </c>
      <c r="M29" s="1232" t="n">
        <v>22</v>
      </c>
      <c r="N29" s="1233" t="n">
        <v>8</v>
      </c>
      <c r="O29" s="1231" t="n">
        <v>8</v>
      </c>
      <c r="P29" s="1232" t="n">
        <v>24</v>
      </c>
      <c r="Q29" s="1233" t="n">
        <v>25</v>
      </c>
      <c r="R29" s="1231" t="n">
        <v>28</v>
      </c>
      <c r="S29" s="1232" t="n">
        <v>28</v>
      </c>
      <c r="T29" s="1233" t="n">
        <v>20</v>
      </c>
      <c r="U29" s="1231" t="n">
        <v>20</v>
      </c>
      <c r="V29" s="1232" t="n">
        <v>19</v>
      </c>
      <c r="W29" s="1233" t="n">
        <v>12</v>
      </c>
      <c r="X29" s="1231" t="n">
        <v>18</v>
      </c>
      <c r="Y29" s="1232" t="n">
        <v>23</v>
      </c>
      <c r="Z29" s="1233" t="n">
        <v>17</v>
      </c>
      <c r="AA29" s="1231" t="n">
        <v>25</v>
      </c>
      <c r="AB29" s="1232" t="n">
        <v>35</v>
      </c>
      <c r="AC29" s="1233" t="n">
        <v>28</v>
      </c>
      <c r="AD29" s="1231" t="n">
        <v>16</v>
      </c>
      <c r="AE29" s="1232" t="n">
        <v>15</v>
      </c>
      <c r="AF29" s="1233" t="n">
        <v>13</v>
      </c>
      <c r="AG29" s="1231" t="n">
        <v>22</v>
      </c>
      <c r="AH29" s="1232" t="n">
        <v>23</v>
      </c>
      <c r="AI29" s="1233" t="n">
        <v>28</v>
      </c>
      <c r="AJ29" s="1231" t="n">
        <v>20</v>
      </c>
      <c r="AK29" s="1232" t="n">
        <v>30</v>
      </c>
      <c r="AL29" s="1233" t="n">
        <v>22</v>
      </c>
      <c r="AM29" s="1216"/>
      <c r="AN29" s="1230" t="s">
        <v>4823</v>
      </c>
      <c r="AO29" s="351" t="s">
        <v>4867</v>
      </c>
    </row>
    <row r="30" customFormat="false" ht="20.25" hidden="false" customHeight="true" outlineLevel="0" collapsed="false">
      <c r="A30" s="1216" t="s">
        <v>4868</v>
      </c>
      <c r="B30" s="1236" t="s">
        <v>4824</v>
      </c>
      <c r="C30" s="1237" t="n">
        <v>27</v>
      </c>
      <c r="D30" s="1238" t="n">
        <v>28</v>
      </c>
      <c r="E30" s="1239" t="n">
        <v>14</v>
      </c>
      <c r="F30" s="1237" t="n">
        <v>12</v>
      </c>
      <c r="G30" s="1240" t="n">
        <v>16</v>
      </c>
      <c r="H30" s="1239" t="n">
        <v>22</v>
      </c>
      <c r="I30" s="1237" t="n">
        <v>19</v>
      </c>
      <c r="J30" s="1238" t="n">
        <v>24</v>
      </c>
      <c r="K30" s="1241" t="n">
        <v>21</v>
      </c>
      <c r="L30" s="1237" t="n">
        <v>28</v>
      </c>
      <c r="M30" s="1238" t="n">
        <v>28</v>
      </c>
      <c r="N30" s="1239" t="n">
        <v>14</v>
      </c>
      <c r="O30" s="1237" t="n">
        <v>4</v>
      </c>
      <c r="P30" s="1238" t="n">
        <v>20</v>
      </c>
      <c r="Q30" s="1239" t="n">
        <v>21</v>
      </c>
      <c r="R30" s="1237" t="n">
        <v>24</v>
      </c>
      <c r="S30" s="1238" t="n">
        <v>24</v>
      </c>
      <c r="T30" s="1239" t="n">
        <v>15</v>
      </c>
      <c r="U30" s="1237" t="n">
        <v>22</v>
      </c>
      <c r="V30" s="1238" t="n">
        <v>31</v>
      </c>
      <c r="W30" s="1239" t="n">
        <v>14</v>
      </c>
      <c r="X30" s="1237" t="n">
        <v>12</v>
      </c>
      <c r="Y30" s="1238" t="n">
        <v>27</v>
      </c>
      <c r="Z30" s="1239" t="n">
        <v>21</v>
      </c>
      <c r="AA30" s="1237" t="n">
        <v>14</v>
      </c>
      <c r="AB30" s="1238" t="n">
        <v>24</v>
      </c>
      <c r="AC30" s="1239" t="n">
        <v>17</v>
      </c>
      <c r="AD30" s="1237" t="n">
        <v>28</v>
      </c>
      <c r="AE30" s="1238" t="n">
        <v>27</v>
      </c>
      <c r="AF30" s="1239" t="n">
        <v>25</v>
      </c>
      <c r="AG30" s="1237" t="n">
        <v>15</v>
      </c>
      <c r="AH30" s="1238" t="n">
        <v>16</v>
      </c>
      <c r="AI30" s="1239" t="n">
        <v>21</v>
      </c>
      <c r="AJ30" s="1237" t="n">
        <v>29</v>
      </c>
      <c r="AK30" s="1238" t="n">
        <v>30</v>
      </c>
      <c r="AL30" s="1239" t="n">
        <v>22</v>
      </c>
      <c r="AM30" s="1216" t="s">
        <v>4868</v>
      </c>
      <c r="AN30" s="1236" t="s">
        <v>4824</v>
      </c>
      <c r="AO30" s="351" t="s">
        <v>4869</v>
      </c>
    </row>
    <row r="31" customFormat="false" ht="20.25" hidden="false" customHeight="true" outlineLevel="0" collapsed="false">
      <c r="A31" s="1216"/>
      <c r="B31" s="1242" t="s">
        <v>4825</v>
      </c>
      <c r="C31" s="1243" t="n">
        <v>28</v>
      </c>
      <c r="D31" s="1244" t="n">
        <v>27</v>
      </c>
      <c r="E31" s="1245" t="n">
        <v>14</v>
      </c>
      <c r="F31" s="1243" t="n">
        <v>12</v>
      </c>
      <c r="G31" s="1246" t="n">
        <v>17</v>
      </c>
      <c r="H31" s="1245" t="n">
        <v>26</v>
      </c>
      <c r="I31" s="1243" t="n">
        <v>23</v>
      </c>
      <c r="J31" s="1247" t="n">
        <v>19</v>
      </c>
      <c r="K31" s="1245" t="n">
        <v>21</v>
      </c>
      <c r="L31" s="1243" t="n">
        <v>28</v>
      </c>
      <c r="M31" s="1244" t="n">
        <v>28</v>
      </c>
      <c r="N31" s="1245" t="n">
        <v>14</v>
      </c>
      <c r="O31" s="1243" t="n">
        <v>5</v>
      </c>
      <c r="P31" s="1244" t="n">
        <v>18</v>
      </c>
      <c r="Q31" s="1245" t="n">
        <v>20</v>
      </c>
      <c r="R31" s="1243" t="n">
        <v>23</v>
      </c>
      <c r="S31" s="1244" t="n">
        <v>24</v>
      </c>
      <c r="T31" s="1245" t="n">
        <v>17</v>
      </c>
      <c r="U31" s="1243" t="n">
        <v>24</v>
      </c>
      <c r="V31" s="1244" t="n">
        <v>21</v>
      </c>
      <c r="W31" s="1245" t="n">
        <v>14</v>
      </c>
      <c r="X31" s="1243" t="n">
        <v>12</v>
      </c>
      <c r="Y31" s="1244" t="n">
        <v>27</v>
      </c>
      <c r="Z31" s="1245" t="n">
        <v>21</v>
      </c>
      <c r="AA31" s="1243" t="n">
        <v>14</v>
      </c>
      <c r="AB31" s="1244" t="n">
        <v>22</v>
      </c>
      <c r="AC31" s="1245" t="n">
        <v>15</v>
      </c>
      <c r="AD31" s="1243" t="n">
        <v>26</v>
      </c>
      <c r="AE31" s="1244" t="n">
        <v>28</v>
      </c>
      <c r="AF31" s="1245" t="n">
        <v>27</v>
      </c>
      <c r="AG31" s="1243" t="n">
        <v>17</v>
      </c>
      <c r="AH31" s="1244" t="n">
        <v>17</v>
      </c>
      <c r="AI31" s="1245" t="n">
        <v>20</v>
      </c>
      <c r="AJ31" s="1243" t="n">
        <v>28</v>
      </c>
      <c r="AK31" s="1244" t="n">
        <v>29</v>
      </c>
      <c r="AL31" s="1245" t="n">
        <v>23</v>
      </c>
      <c r="AM31" s="1216"/>
      <c r="AN31" s="1242" t="s">
        <v>4825</v>
      </c>
      <c r="AO31" s="351" t="s">
        <v>4870</v>
      </c>
    </row>
    <row r="32" customFormat="false" ht="20.25" hidden="false" customHeight="true" outlineLevel="0" collapsed="false">
      <c r="A32" s="1216"/>
      <c r="B32" s="1248" t="s">
        <v>4826</v>
      </c>
      <c r="C32" s="1249" t="n">
        <v>20</v>
      </c>
      <c r="D32" s="1250" t="n">
        <v>11</v>
      </c>
      <c r="E32" s="1251" t="n">
        <v>26</v>
      </c>
      <c r="F32" s="1249" t="n">
        <v>23</v>
      </c>
      <c r="G32" s="1254" t="n">
        <v>19</v>
      </c>
      <c r="H32" s="1252" t="n">
        <v>11</v>
      </c>
      <c r="I32" s="1253" t="n">
        <v>18</v>
      </c>
      <c r="J32" s="1250" t="n">
        <v>16</v>
      </c>
      <c r="K32" s="1251" t="n">
        <v>14</v>
      </c>
      <c r="L32" s="1249" t="n">
        <v>23</v>
      </c>
      <c r="M32" s="1250" t="n">
        <v>13</v>
      </c>
      <c r="N32" s="1251" t="n">
        <v>27</v>
      </c>
      <c r="O32" s="1249" t="n">
        <v>18</v>
      </c>
      <c r="P32" s="1250" t="n">
        <v>4</v>
      </c>
      <c r="Q32" s="1251" t="n">
        <v>10</v>
      </c>
      <c r="R32" s="1249" t="n">
        <v>15</v>
      </c>
      <c r="S32" s="1250" t="n">
        <v>17</v>
      </c>
      <c r="T32" s="1252" t="n">
        <v>15</v>
      </c>
      <c r="U32" s="1253" t="n">
        <v>29</v>
      </c>
      <c r="V32" s="1250" t="n">
        <v>24</v>
      </c>
      <c r="W32" s="1251" t="n">
        <v>28</v>
      </c>
      <c r="X32" s="1249" t="n">
        <v>26</v>
      </c>
      <c r="Y32" s="1250" t="n">
        <v>12</v>
      </c>
      <c r="Z32" s="1251" t="n">
        <v>26</v>
      </c>
      <c r="AA32" s="1249" t="n">
        <v>20</v>
      </c>
      <c r="AB32" s="1250" t="n">
        <v>6</v>
      </c>
      <c r="AC32" s="1251" t="n">
        <v>14</v>
      </c>
      <c r="AD32" s="1249" t="n">
        <v>25</v>
      </c>
      <c r="AE32" s="1250" t="n">
        <v>27</v>
      </c>
      <c r="AF32" s="1269" t="n">
        <v>28</v>
      </c>
      <c r="AG32" s="1270" t="n">
        <v>17</v>
      </c>
      <c r="AH32" s="1250" t="n">
        <v>23</v>
      </c>
      <c r="AI32" s="1251" t="n">
        <v>17</v>
      </c>
      <c r="AJ32" s="1249" t="n">
        <v>24</v>
      </c>
      <c r="AK32" s="1250" t="n">
        <v>15</v>
      </c>
      <c r="AL32" s="1251" t="n">
        <v>22</v>
      </c>
      <c r="AM32" s="1216"/>
      <c r="AN32" s="1248" t="s">
        <v>4826</v>
      </c>
      <c r="AO32" s="351" t="s">
        <v>4871</v>
      </c>
    </row>
    <row r="33" customFormat="false" ht="20.25" hidden="false" customHeight="true" outlineLevel="0" collapsed="false">
      <c r="A33" s="1216" t="s">
        <v>4872</v>
      </c>
      <c r="B33" s="1217" t="s">
        <v>4827</v>
      </c>
      <c r="C33" s="1218" t="n">
        <v>19</v>
      </c>
      <c r="D33" s="1219" t="n">
        <v>10</v>
      </c>
      <c r="E33" s="1220" t="n">
        <v>25</v>
      </c>
      <c r="F33" s="1218" t="n">
        <v>30</v>
      </c>
      <c r="G33" s="1219" t="n">
        <v>25</v>
      </c>
      <c r="H33" s="1222" t="n">
        <v>17</v>
      </c>
      <c r="I33" s="1255" t="n">
        <v>11</v>
      </c>
      <c r="J33" s="1256" t="n">
        <v>18</v>
      </c>
      <c r="K33" s="1220" t="n">
        <v>17</v>
      </c>
      <c r="L33" s="1218" t="n">
        <v>12</v>
      </c>
      <c r="M33" s="1219" t="n">
        <v>4</v>
      </c>
      <c r="N33" s="1220" t="n">
        <v>18</v>
      </c>
      <c r="O33" s="1218" t="n">
        <v>24</v>
      </c>
      <c r="P33" s="1219" t="n">
        <v>10</v>
      </c>
      <c r="Q33" s="1220" t="n">
        <v>18</v>
      </c>
      <c r="R33" s="1218" t="n">
        <v>17</v>
      </c>
      <c r="S33" s="1219" t="n">
        <v>19</v>
      </c>
      <c r="T33" s="1222" t="n">
        <v>15</v>
      </c>
      <c r="U33" s="1255" t="n">
        <v>18</v>
      </c>
      <c r="V33" s="1219" t="n">
        <v>20</v>
      </c>
      <c r="W33" s="1220" t="n">
        <v>24</v>
      </c>
      <c r="X33" s="1218" t="n">
        <v>25</v>
      </c>
      <c r="Y33" s="1219" t="n">
        <v>11</v>
      </c>
      <c r="Z33" s="1220" t="n">
        <v>25</v>
      </c>
      <c r="AA33" s="1218" t="n">
        <v>20</v>
      </c>
      <c r="AB33" s="1219" t="n">
        <v>15</v>
      </c>
      <c r="AC33" s="1220" t="n">
        <v>23</v>
      </c>
      <c r="AD33" s="1218" t="n">
        <v>16</v>
      </c>
      <c r="AE33" s="1219" t="n">
        <v>18</v>
      </c>
      <c r="AF33" s="1271" t="n">
        <v>18</v>
      </c>
      <c r="AG33" s="1272" t="n">
        <v>28</v>
      </c>
      <c r="AH33" s="1219" t="n">
        <v>33</v>
      </c>
      <c r="AI33" s="1220" t="n">
        <v>27</v>
      </c>
      <c r="AJ33" s="1218" t="n">
        <v>16</v>
      </c>
      <c r="AK33" s="1219" t="n">
        <v>6</v>
      </c>
      <c r="AL33" s="1220" t="n">
        <v>13</v>
      </c>
      <c r="AM33" s="1216" t="s">
        <v>4872</v>
      </c>
      <c r="AN33" s="1217" t="s">
        <v>4827</v>
      </c>
      <c r="AO33" s="351" t="s">
        <v>4873</v>
      </c>
    </row>
    <row r="34" customFormat="false" ht="20.25" hidden="false" customHeight="true" outlineLevel="0" collapsed="false">
      <c r="A34" s="1216"/>
      <c r="B34" s="1223" t="s">
        <v>658</v>
      </c>
      <c r="C34" s="1224" t="n">
        <v>14</v>
      </c>
      <c r="D34" s="1227" t="n">
        <v>20</v>
      </c>
      <c r="E34" s="1226" t="n">
        <v>26</v>
      </c>
      <c r="F34" s="1224" t="n">
        <v>31</v>
      </c>
      <c r="G34" s="1227" t="n">
        <v>25</v>
      </c>
      <c r="H34" s="1226" t="n">
        <v>26</v>
      </c>
      <c r="I34" s="1224" t="n">
        <v>20</v>
      </c>
      <c r="J34" s="1257" t="n">
        <v>12</v>
      </c>
      <c r="K34" s="1226" t="n">
        <v>12</v>
      </c>
      <c r="L34" s="1224" t="n">
        <v>6</v>
      </c>
      <c r="M34" s="1227" t="n">
        <v>13</v>
      </c>
      <c r="N34" s="1226" t="n">
        <v>19</v>
      </c>
      <c r="O34" s="1224" t="n">
        <v>25</v>
      </c>
      <c r="P34" s="1227" t="n">
        <v>19</v>
      </c>
      <c r="Q34" s="1226" t="n">
        <v>11</v>
      </c>
      <c r="R34" s="1224" t="n">
        <v>10</v>
      </c>
      <c r="S34" s="1229" t="n">
        <v>10</v>
      </c>
      <c r="T34" s="1226" t="n">
        <v>25</v>
      </c>
      <c r="U34" s="1224" t="n">
        <v>20</v>
      </c>
      <c r="V34" s="1227" t="n">
        <v>21</v>
      </c>
      <c r="W34" s="1226" t="n">
        <v>26</v>
      </c>
      <c r="X34" s="1224" t="n">
        <v>26</v>
      </c>
      <c r="Y34" s="1227" t="n">
        <v>20</v>
      </c>
      <c r="Z34" s="1226" t="n">
        <v>18</v>
      </c>
      <c r="AA34" s="1224" t="n">
        <v>22</v>
      </c>
      <c r="AB34" s="1227" t="n">
        <v>24</v>
      </c>
      <c r="AC34" s="1226" t="n">
        <v>24</v>
      </c>
      <c r="AD34" s="1224" t="n">
        <v>17</v>
      </c>
      <c r="AE34" s="1227" t="n">
        <v>17</v>
      </c>
      <c r="AF34" s="1226" t="n">
        <v>24</v>
      </c>
      <c r="AG34" s="1224" t="n">
        <v>33</v>
      </c>
      <c r="AH34" s="1225" t="n">
        <v>28</v>
      </c>
      <c r="AI34" s="1226" t="n">
        <v>29</v>
      </c>
      <c r="AJ34" s="1224" t="n">
        <v>8</v>
      </c>
      <c r="AK34" s="1227" t="n">
        <v>24</v>
      </c>
      <c r="AL34" s="1226" t="n">
        <v>15</v>
      </c>
      <c r="AM34" s="1216"/>
      <c r="AN34" s="1223" t="s">
        <v>658</v>
      </c>
      <c r="AO34" s="351" t="s">
        <v>4874</v>
      </c>
    </row>
    <row r="35" customFormat="false" ht="20.25" hidden="false" customHeight="true" outlineLevel="0" collapsed="false">
      <c r="A35" s="1216"/>
      <c r="B35" s="1230" t="s">
        <v>4875</v>
      </c>
      <c r="C35" s="1231" t="n">
        <v>17</v>
      </c>
      <c r="D35" s="1232" t="n">
        <v>24</v>
      </c>
      <c r="E35" s="1233" t="n">
        <v>19</v>
      </c>
      <c r="F35" s="1231" t="n">
        <v>24</v>
      </c>
      <c r="G35" s="1232" t="n">
        <v>30</v>
      </c>
      <c r="H35" s="1233" t="n">
        <v>30</v>
      </c>
      <c r="I35" s="1231" t="n">
        <v>23</v>
      </c>
      <c r="J35" s="1258" t="n">
        <v>17</v>
      </c>
      <c r="K35" s="1233" t="n">
        <v>17</v>
      </c>
      <c r="L35" s="1231" t="n">
        <v>11</v>
      </c>
      <c r="M35" s="1232" t="n">
        <v>19</v>
      </c>
      <c r="N35" s="1233" t="n">
        <v>12</v>
      </c>
      <c r="O35" s="1231" t="n">
        <v>18</v>
      </c>
      <c r="P35" s="1232" t="n">
        <v>26</v>
      </c>
      <c r="Q35" s="1233" t="n">
        <v>16</v>
      </c>
      <c r="R35" s="1235" t="n">
        <v>15</v>
      </c>
      <c r="S35" s="1232" t="n">
        <v>15</v>
      </c>
      <c r="T35" s="1233" t="n">
        <v>17</v>
      </c>
      <c r="U35" s="1231" t="n">
        <v>18</v>
      </c>
      <c r="V35" s="1232" t="n">
        <v>26</v>
      </c>
      <c r="W35" s="1233" t="n">
        <v>20</v>
      </c>
      <c r="X35" s="1231" t="n">
        <v>20</v>
      </c>
      <c r="Y35" s="1232" t="n">
        <v>26</v>
      </c>
      <c r="Z35" s="1233" t="n">
        <v>11</v>
      </c>
      <c r="AA35" s="1231" t="n">
        <v>15</v>
      </c>
      <c r="AB35" s="1232" t="n">
        <v>29</v>
      </c>
      <c r="AC35" s="1233" t="n">
        <v>29</v>
      </c>
      <c r="AD35" s="1231" t="n">
        <v>22</v>
      </c>
      <c r="AE35" s="1232" t="n">
        <v>22</v>
      </c>
      <c r="AF35" s="1233" t="n">
        <v>27</v>
      </c>
      <c r="AG35" s="1231" t="n">
        <v>27</v>
      </c>
      <c r="AH35" s="1232" t="n">
        <v>19</v>
      </c>
      <c r="AI35" s="1273" t="n">
        <v>28</v>
      </c>
      <c r="AJ35" s="1274" t="n">
        <v>16</v>
      </c>
      <c r="AK35" s="1232" t="n">
        <v>22</v>
      </c>
      <c r="AL35" s="1233" t="n">
        <v>19</v>
      </c>
      <c r="AM35" s="1216"/>
      <c r="AN35" s="1230" t="s">
        <v>4875</v>
      </c>
      <c r="AO35" s="351" t="s">
        <v>4876</v>
      </c>
    </row>
    <row r="36" customFormat="false" ht="20.25" hidden="false" customHeight="true" outlineLevel="0" collapsed="false">
      <c r="A36" s="1275" t="s">
        <v>4877</v>
      </c>
      <c r="B36" s="1223" t="s">
        <v>4829</v>
      </c>
      <c r="C36" s="1224" t="n">
        <v>11</v>
      </c>
      <c r="D36" s="1227" t="n">
        <v>21</v>
      </c>
      <c r="E36" s="1226" t="n">
        <v>16</v>
      </c>
      <c r="F36" s="1224" t="n">
        <v>19</v>
      </c>
      <c r="G36" s="1227" t="n">
        <v>25</v>
      </c>
      <c r="H36" s="1226" t="n">
        <v>25</v>
      </c>
      <c r="I36" s="1224" t="n">
        <v>24</v>
      </c>
      <c r="J36" s="1227" t="n">
        <v>17</v>
      </c>
      <c r="K36" s="1226" t="n">
        <v>17</v>
      </c>
      <c r="L36" s="1224" t="n">
        <v>17</v>
      </c>
      <c r="M36" s="1227" t="n">
        <v>25</v>
      </c>
      <c r="N36" s="1276" t="n">
        <v>17</v>
      </c>
      <c r="O36" s="1224" t="n">
        <v>16</v>
      </c>
      <c r="P36" s="1227" t="n">
        <v>22</v>
      </c>
      <c r="Q36" s="1277" t="n">
        <v>14</v>
      </c>
      <c r="R36" s="1224" t="n">
        <v>16</v>
      </c>
      <c r="S36" s="1227" t="n">
        <v>16</v>
      </c>
      <c r="T36" s="1226" t="n">
        <v>18</v>
      </c>
      <c r="U36" s="1224" t="n">
        <v>11</v>
      </c>
      <c r="V36" s="1227" t="n">
        <v>18</v>
      </c>
      <c r="W36" s="1226" t="n">
        <v>12</v>
      </c>
      <c r="X36" s="1224" t="n">
        <v>19</v>
      </c>
      <c r="Y36" s="1227" t="n">
        <v>25</v>
      </c>
      <c r="Z36" s="1226" t="n">
        <v>9</v>
      </c>
      <c r="AA36" s="1224" t="n">
        <v>14</v>
      </c>
      <c r="AB36" s="1227" t="n">
        <v>28</v>
      </c>
      <c r="AC36" s="1226" t="n">
        <v>28</v>
      </c>
      <c r="AD36" s="1224" t="n">
        <v>28</v>
      </c>
      <c r="AE36" s="1227" t="n">
        <v>28</v>
      </c>
      <c r="AF36" s="1226" t="n">
        <v>24</v>
      </c>
      <c r="AG36" s="1224" t="n">
        <v>15</v>
      </c>
      <c r="AH36" s="1227" t="n">
        <v>7</v>
      </c>
      <c r="AI36" s="1278" t="n">
        <v>15</v>
      </c>
      <c r="AJ36" s="1279" t="n">
        <v>28</v>
      </c>
      <c r="AK36" s="1227" t="n">
        <v>33</v>
      </c>
      <c r="AL36" s="1226" t="n">
        <v>30</v>
      </c>
      <c r="AM36" s="1275" t="s">
        <v>4877</v>
      </c>
      <c r="AN36" s="1223" t="s">
        <v>4829</v>
      </c>
      <c r="AO36" s="351" t="s">
        <v>4878</v>
      </c>
    </row>
    <row r="37" customFormat="false" ht="20.25" hidden="false" customHeight="true" outlineLevel="0" collapsed="false">
      <c r="A37" s="1275"/>
      <c r="B37" s="1242" t="s">
        <v>4830</v>
      </c>
      <c r="C37" s="1243" t="n">
        <v>23</v>
      </c>
      <c r="D37" s="1244" t="n">
        <v>25</v>
      </c>
      <c r="E37" s="1245" t="n">
        <v>18</v>
      </c>
      <c r="F37" s="1243" t="n">
        <v>21</v>
      </c>
      <c r="G37" s="1244" t="n">
        <v>26</v>
      </c>
      <c r="H37" s="1245" t="n">
        <v>18</v>
      </c>
      <c r="I37" s="1243" t="n">
        <v>17</v>
      </c>
      <c r="J37" s="1244" t="n">
        <v>25</v>
      </c>
      <c r="K37" s="1245" t="n">
        <v>26</v>
      </c>
      <c r="L37" s="1243" t="n">
        <v>26</v>
      </c>
      <c r="M37" s="1244" t="n">
        <v>19</v>
      </c>
      <c r="N37" s="1266" t="n">
        <v>20</v>
      </c>
      <c r="O37" s="1243" t="n">
        <v>17</v>
      </c>
      <c r="P37" s="1247" t="n">
        <v>25</v>
      </c>
      <c r="Q37" s="1245" t="n">
        <v>25</v>
      </c>
      <c r="R37" s="1243" t="n">
        <v>27</v>
      </c>
      <c r="S37" s="1244" t="n">
        <v>26</v>
      </c>
      <c r="T37" s="1245" t="n">
        <v>9</v>
      </c>
      <c r="U37" s="1243" t="n">
        <v>2</v>
      </c>
      <c r="V37" s="1244" t="n">
        <v>19</v>
      </c>
      <c r="W37" s="1245" t="n">
        <v>11</v>
      </c>
      <c r="X37" s="1243" t="n">
        <v>18</v>
      </c>
      <c r="Y37" s="1244" t="n">
        <v>18</v>
      </c>
      <c r="Z37" s="1245" t="n">
        <v>23</v>
      </c>
      <c r="AA37" s="1243" t="n">
        <v>23</v>
      </c>
      <c r="AB37" s="1244" t="n">
        <v>21</v>
      </c>
      <c r="AC37" s="1245" t="n">
        <v>29</v>
      </c>
      <c r="AD37" s="1243" t="n">
        <v>29</v>
      </c>
      <c r="AE37" s="1244" t="n">
        <v>29</v>
      </c>
      <c r="AF37" s="1245" t="n">
        <v>14</v>
      </c>
      <c r="AG37" s="1243" t="n">
        <v>5</v>
      </c>
      <c r="AH37" s="1244" t="n">
        <v>24</v>
      </c>
      <c r="AI37" s="1245" t="n">
        <v>21</v>
      </c>
      <c r="AJ37" s="1243" t="n">
        <v>33</v>
      </c>
      <c r="AK37" s="1244" t="n">
        <v>28</v>
      </c>
      <c r="AL37" s="1245" t="n">
        <v>33</v>
      </c>
      <c r="AM37" s="1275"/>
      <c r="AN37" s="1242" t="s">
        <v>4830</v>
      </c>
      <c r="AO37" s="351" t="s">
        <v>4879</v>
      </c>
    </row>
    <row r="38" customFormat="false" ht="20.25" hidden="false" customHeight="true" outlineLevel="0" collapsed="false">
      <c r="A38" s="1275"/>
      <c r="B38" s="1248" t="s">
        <v>574</v>
      </c>
      <c r="C38" s="1249" t="n">
        <v>25</v>
      </c>
      <c r="D38" s="1250" t="n">
        <v>23</v>
      </c>
      <c r="E38" s="1251" t="n">
        <v>10</v>
      </c>
      <c r="F38" s="1249" t="n">
        <v>13</v>
      </c>
      <c r="G38" s="1250" t="n">
        <v>17</v>
      </c>
      <c r="H38" s="1251" t="n">
        <v>26</v>
      </c>
      <c r="I38" s="1249" t="n">
        <v>25</v>
      </c>
      <c r="J38" s="1250" t="n">
        <v>24</v>
      </c>
      <c r="K38" s="1251" t="n">
        <v>25</v>
      </c>
      <c r="L38" s="1249" t="n">
        <v>24</v>
      </c>
      <c r="M38" s="1250" t="n">
        <v>26</v>
      </c>
      <c r="N38" s="1267" t="n">
        <v>13</v>
      </c>
      <c r="O38" s="1253" t="n">
        <v>12</v>
      </c>
      <c r="P38" s="1250" t="n">
        <v>22</v>
      </c>
      <c r="Q38" s="1251" t="n">
        <v>22</v>
      </c>
      <c r="R38" s="1249" t="n">
        <v>24</v>
      </c>
      <c r="S38" s="1250" t="n">
        <v>25</v>
      </c>
      <c r="T38" s="1251" t="n">
        <v>19</v>
      </c>
      <c r="U38" s="1249" t="n">
        <v>12</v>
      </c>
      <c r="V38" s="1250" t="n">
        <v>10</v>
      </c>
      <c r="W38" s="1251" t="n">
        <v>4</v>
      </c>
      <c r="X38" s="1249" t="n">
        <v>10</v>
      </c>
      <c r="Y38" s="1250" t="n">
        <v>20</v>
      </c>
      <c r="Z38" s="1251" t="n">
        <v>21</v>
      </c>
      <c r="AA38" s="1249" t="n">
        <v>26</v>
      </c>
      <c r="AB38" s="1250" t="n">
        <v>28</v>
      </c>
      <c r="AC38" s="1251" t="n">
        <v>20</v>
      </c>
      <c r="AD38" s="1249" t="n">
        <v>23</v>
      </c>
      <c r="AE38" s="1250" t="n">
        <v>21</v>
      </c>
      <c r="AF38" s="1251" t="n">
        <v>22</v>
      </c>
      <c r="AG38" s="1249" t="n">
        <v>13</v>
      </c>
      <c r="AH38" s="1250" t="n">
        <v>15</v>
      </c>
      <c r="AI38" s="1251" t="n">
        <v>17</v>
      </c>
      <c r="AJ38" s="1249" t="n">
        <v>29</v>
      </c>
      <c r="AK38" s="1250" t="n">
        <v>33</v>
      </c>
      <c r="AL38" s="1251" t="n">
        <v>28</v>
      </c>
      <c r="AM38" s="1275"/>
      <c r="AN38" s="1248" t="s">
        <v>574</v>
      </c>
      <c r="AO38" s="351" t="s">
        <v>4880</v>
      </c>
    </row>
    <row r="39" customFormat="false" ht="86.25" hidden="false" customHeight="true" outlineLevel="0" collapsed="false">
      <c r="A39" s="1211" t="s">
        <v>4881</v>
      </c>
      <c r="B39" s="1212" t="s">
        <v>4811</v>
      </c>
      <c r="C39" s="1280" t="s">
        <v>2470</v>
      </c>
      <c r="D39" s="1281" t="s">
        <v>639</v>
      </c>
      <c r="E39" s="1282" t="s">
        <v>4593</v>
      </c>
      <c r="F39" s="1280" t="s">
        <v>4812</v>
      </c>
      <c r="G39" s="1281" t="s">
        <v>641</v>
      </c>
      <c r="H39" s="1282" t="s">
        <v>4813</v>
      </c>
      <c r="I39" s="1280" t="s">
        <v>4814</v>
      </c>
      <c r="J39" s="1281" t="s">
        <v>557</v>
      </c>
      <c r="K39" s="1282" t="s">
        <v>4815</v>
      </c>
      <c r="L39" s="1280" t="s">
        <v>4624</v>
      </c>
      <c r="M39" s="1281" t="s">
        <v>566</v>
      </c>
      <c r="N39" s="1282" t="s">
        <v>644</v>
      </c>
      <c r="O39" s="1280" t="s">
        <v>645</v>
      </c>
      <c r="P39" s="1281" t="s">
        <v>1588</v>
      </c>
      <c r="Q39" s="1282" t="s">
        <v>4816</v>
      </c>
      <c r="R39" s="1280" t="s">
        <v>4817</v>
      </c>
      <c r="S39" s="1281" t="s">
        <v>648</v>
      </c>
      <c r="T39" s="1282" t="s">
        <v>4818</v>
      </c>
      <c r="U39" s="1280" t="s">
        <v>4819</v>
      </c>
      <c r="V39" s="1281" t="s">
        <v>4820</v>
      </c>
      <c r="W39" s="1282" t="s">
        <v>4821</v>
      </c>
      <c r="X39" s="1280" t="s">
        <v>4642</v>
      </c>
      <c r="Y39" s="1281" t="s">
        <v>581</v>
      </c>
      <c r="Z39" s="1282" t="s">
        <v>651</v>
      </c>
      <c r="AA39" s="1280" t="s">
        <v>597</v>
      </c>
      <c r="AB39" s="1281" t="s">
        <v>4822</v>
      </c>
      <c r="AC39" s="1282" t="s">
        <v>4823</v>
      </c>
      <c r="AD39" s="1280" t="s">
        <v>4824</v>
      </c>
      <c r="AE39" s="1281" t="s">
        <v>4825</v>
      </c>
      <c r="AF39" s="1282" t="s">
        <v>4826</v>
      </c>
      <c r="AG39" s="1280" t="s">
        <v>4827</v>
      </c>
      <c r="AH39" s="1281" t="s">
        <v>658</v>
      </c>
      <c r="AI39" s="1282" t="s">
        <v>4828</v>
      </c>
      <c r="AJ39" s="1280" t="s">
        <v>4829</v>
      </c>
      <c r="AK39" s="1281" t="s">
        <v>4830</v>
      </c>
      <c r="AL39" s="1282" t="s">
        <v>574</v>
      </c>
      <c r="AM39" s="1211" t="s">
        <v>4882</v>
      </c>
      <c r="AN39" s="1212" t="s">
        <v>4811</v>
      </c>
      <c r="AO39" s="1283" t="s">
        <v>4831</v>
      </c>
    </row>
    <row r="40" s="351" customFormat="true" ht="15.75" hidden="false" customHeight="false" outlineLevel="0" collapsed="false">
      <c r="A40" s="1284" t="s">
        <v>4804</v>
      </c>
      <c r="B40" s="1285" t="s">
        <v>4805</v>
      </c>
      <c r="C40" s="1286" t="s">
        <v>1341</v>
      </c>
      <c r="D40" s="1286"/>
      <c r="E40" s="1286"/>
      <c r="F40" s="1286" t="s">
        <v>4806</v>
      </c>
      <c r="G40" s="1286"/>
      <c r="H40" s="1286"/>
      <c r="I40" s="1286" t="s">
        <v>4125</v>
      </c>
      <c r="J40" s="1286"/>
      <c r="K40" s="1286"/>
      <c r="L40" s="1286" t="s">
        <v>4126</v>
      </c>
      <c r="M40" s="1286"/>
      <c r="N40" s="1286"/>
      <c r="O40" s="1286" t="s">
        <v>4807</v>
      </c>
      <c r="P40" s="1286"/>
      <c r="Q40" s="1286"/>
      <c r="R40" s="1286" t="s">
        <v>4128</v>
      </c>
      <c r="S40" s="1286"/>
      <c r="T40" s="1286"/>
      <c r="U40" s="1286" t="s">
        <v>4129</v>
      </c>
      <c r="V40" s="1286"/>
      <c r="W40" s="1286"/>
      <c r="X40" s="1286" t="s">
        <v>4808</v>
      </c>
      <c r="Y40" s="1286"/>
      <c r="Z40" s="1286"/>
      <c r="AA40" s="1286" t="s">
        <v>4809</v>
      </c>
      <c r="AB40" s="1286"/>
      <c r="AC40" s="1286"/>
      <c r="AD40" s="1286" t="s">
        <v>4132</v>
      </c>
      <c r="AE40" s="1286"/>
      <c r="AF40" s="1286"/>
      <c r="AG40" s="1286" t="s">
        <v>4133</v>
      </c>
      <c r="AH40" s="1286"/>
      <c r="AI40" s="1286"/>
      <c r="AJ40" s="1286" t="s">
        <v>4134</v>
      </c>
      <c r="AK40" s="1286"/>
      <c r="AL40" s="1286"/>
      <c r="AM40" s="1284" t="s">
        <v>4804</v>
      </c>
      <c r="AN40" s="1285" t="s">
        <v>4805</v>
      </c>
      <c r="AO40" s="1287"/>
    </row>
    <row r="42" customFormat="false" ht="15.75" hidden="false" customHeight="false" outlineLevel="0" collapsed="false">
      <c r="A42" s="1288" t="s">
        <v>4883</v>
      </c>
      <c r="AM42" s="1288"/>
    </row>
    <row r="43" customFormat="false" ht="15.75" hidden="false" customHeight="false" outlineLevel="0" collapsed="false">
      <c r="A43" s="1288" t="s">
        <v>4884</v>
      </c>
      <c r="AM43" s="1288"/>
    </row>
    <row r="45" customFormat="false" ht="22.05" hidden="false" customHeight="false" outlineLevel="0" collapsed="false">
      <c r="A45" s="1289" t="s">
        <v>4885</v>
      </c>
      <c r="G45" s="1289" t="s">
        <v>4886</v>
      </c>
      <c r="S45" s="1289" t="s">
        <v>4887</v>
      </c>
      <c r="AA45" s="1289"/>
      <c r="AH45" s="1289" t="s">
        <v>4888</v>
      </c>
      <c r="AM45" s="1289"/>
    </row>
    <row r="46" customFormat="false" ht="15.75" hidden="false" customHeight="false" outlineLevel="0" collapsed="false">
      <c r="A46" s="1290" t="s">
        <v>4889</v>
      </c>
      <c r="G46" s="1291" t="s">
        <v>4890</v>
      </c>
      <c r="S46" s="1292" t="s">
        <v>4891</v>
      </c>
      <c r="AA46" s="1292"/>
      <c r="AH46" s="720" t="s">
        <v>4892</v>
      </c>
      <c r="AM46" s="1290"/>
    </row>
    <row r="47" customFormat="false" ht="15.75" hidden="false" customHeight="false" outlineLevel="0" collapsed="false">
      <c r="A47" s="1293" t="s">
        <v>4893</v>
      </c>
      <c r="G47" s="1291" t="s">
        <v>4894</v>
      </c>
      <c r="S47" s="1292" t="s">
        <v>4895</v>
      </c>
      <c r="AA47" s="1292"/>
      <c r="AH47" s="351" t="s">
        <v>4896</v>
      </c>
      <c r="AM47" s="1293"/>
    </row>
    <row r="48" customFormat="false" ht="15.75" hidden="false" customHeight="false" outlineLevel="0" collapsed="false">
      <c r="A48" s="1294" t="s">
        <v>4897</v>
      </c>
      <c r="G48" s="1292" t="s">
        <v>4898</v>
      </c>
      <c r="S48" s="1292" t="s">
        <v>4899</v>
      </c>
      <c r="AA48" s="1292"/>
      <c r="AH48" s="720" t="s">
        <v>4900</v>
      </c>
      <c r="AM48" s="1294"/>
    </row>
    <row r="49" customFormat="false" ht="15.75" hidden="false" customHeight="false" outlineLevel="0" collapsed="false">
      <c r="A49" s="1288" t="s">
        <v>4901</v>
      </c>
      <c r="G49" s="1292" t="s">
        <v>4902</v>
      </c>
      <c r="S49" s="1291" t="s">
        <v>4903</v>
      </c>
      <c r="AA49" s="1292"/>
      <c r="AH49" s="351" t="s">
        <v>4904</v>
      </c>
      <c r="AM49" s="1288"/>
    </row>
    <row r="50" customFormat="false" ht="15.75" hidden="false" customHeight="false" outlineLevel="0" collapsed="false">
      <c r="A50" s="1288" t="s">
        <v>4905</v>
      </c>
      <c r="G50" s="1292" t="s">
        <v>4906</v>
      </c>
      <c r="S50" s="1292" t="s">
        <v>4907</v>
      </c>
      <c r="AH50" s="1291" t="s">
        <v>4908</v>
      </c>
    </row>
  </sheetData>
  <mergeCells count="48">
    <mergeCell ref="C1:E1"/>
    <mergeCell ref="F1:H1"/>
    <mergeCell ref="I1:K1"/>
    <mergeCell ref="L1:N1"/>
    <mergeCell ref="O1:Q1"/>
    <mergeCell ref="R1:T1"/>
    <mergeCell ref="U1:W1"/>
    <mergeCell ref="X1:Z1"/>
    <mergeCell ref="AA1:AC1"/>
    <mergeCell ref="AD1:AF1"/>
    <mergeCell ref="AG1:AI1"/>
    <mergeCell ref="AJ1:AL1"/>
    <mergeCell ref="A3:A5"/>
    <mergeCell ref="AM3:AM5"/>
    <mergeCell ref="A6:A8"/>
    <mergeCell ref="AM6:AM8"/>
    <mergeCell ref="A9:A11"/>
    <mergeCell ref="AM9:AM11"/>
    <mergeCell ref="A12:A14"/>
    <mergeCell ref="AM12:AM14"/>
    <mergeCell ref="A15:A17"/>
    <mergeCell ref="AM15:AM17"/>
    <mergeCell ref="A18:A20"/>
    <mergeCell ref="AM18:AM20"/>
    <mergeCell ref="A21:A23"/>
    <mergeCell ref="AM21:AM23"/>
    <mergeCell ref="A24:A26"/>
    <mergeCell ref="AM24:AM26"/>
    <mergeCell ref="A27:A29"/>
    <mergeCell ref="AM27:AM29"/>
    <mergeCell ref="A30:A32"/>
    <mergeCell ref="AM30:AM32"/>
    <mergeCell ref="A33:A35"/>
    <mergeCell ref="AM33:AM35"/>
    <mergeCell ref="A36:A38"/>
    <mergeCell ref="AM36:AM38"/>
    <mergeCell ref="C40:E40"/>
    <mergeCell ref="F40:H40"/>
    <mergeCell ref="I40:K40"/>
    <mergeCell ref="L40:N40"/>
    <mergeCell ref="O40:Q40"/>
    <mergeCell ref="R40:T40"/>
    <mergeCell ref="U40:W40"/>
    <mergeCell ref="X40:Z40"/>
    <mergeCell ref="AA40:AC40"/>
    <mergeCell ref="AD40:AF40"/>
    <mergeCell ref="AG40:AI40"/>
    <mergeCell ref="AJ40:AL40"/>
  </mergeCells>
  <printOptions headings="false" gridLines="true" gridLinesSet="true" horizontalCentered="false" verticalCentered="false"/>
  <pageMargins left="0.157638888888889" right="0.157638888888889" top="0.747916666666667" bottom="0.747916666666667"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5"/>
  <sheetViews>
    <sheetView showFormulas="false" showGridLines="true" showRowColHeaders="true" showZeros="true" rightToLeft="false" tabSelected="false" showOutlineSymbols="true" defaultGridColor="true" view="normal" topLeftCell="A16" colorId="64" zoomScale="181" zoomScaleNormal="181" zoomScalePageLayoutView="100" workbookViewId="0">
      <selection pane="topLeft" activeCell="B35" activeCellId="0" sqref="B35"/>
    </sheetView>
  </sheetViews>
  <sheetFormatPr defaultColWidth="7.1484375" defaultRowHeight="15" customHeight="true" zeroHeight="false" outlineLevelRow="0" outlineLevelCol="0"/>
  <cols>
    <col collapsed="false" customWidth="true" hidden="false" outlineLevel="0" max="2" min="2" style="6" width="22.71"/>
    <col collapsed="false" customWidth="true" hidden="false" outlineLevel="0" max="3" min="3" style="6" width="14"/>
    <col collapsed="false" customWidth="true" hidden="false" outlineLevel="0" max="4" min="4" style="6" width="15.57"/>
    <col collapsed="false" customWidth="true" hidden="false" outlineLevel="0" max="5" min="5" style="6" width="19.14"/>
    <col collapsed="false" customWidth="true" hidden="false" outlineLevel="0" max="6" min="6" style="206" width="22.71"/>
    <col collapsed="false" customWidth="true" hidden="false" outlineLevel="0" max="8" min="8" style="6" width="16"/>
    <col collapsed="false" customWidth="true" hidden="false" outlineLevel="0" max="9" min="9" style="6" width="9.86"/>
    <col collapsed="false" customWidth="true" hidden="false" outlineLevel="0" max="14" min="14" style="6" width="19.14"/>
  </cols>
  <sheetData>
    <row r="1" customFormat="false" ht="15" hidden="false" customHeight="false" outlineLevel="0" collapsed="false">
      <c r="A1" s="1295"/>
      <c r="B1" s="1295" t="s">
        <v>4909</v>
      </c>
      <c r="C1" s="1295" t="s">
        <v>4910</v>
      </c>
      <c r="D1" s="1296" t="s">
        <v>4911</v>
      </c>
      <c r="E1" s="1295" t="s">
        <v>4912</v>
      </c>
      <c r="F1" s="1295" t="s">
        <v>4913</v>
      </c>
      <c r="G1" s="1297"/>
      <c r="H1" s="1297"/>
      <c r="I1" s="1297"/>
      <c r="J1" s="1297"/>
      <c r="M1" s="1298" t="s">
        <v>4914</v>
      </c>
      <c r="N1" s="1298"/>
      <c r="O1" s="1298"/>
      <c r="P1" s="1298"/>
      <c r="Q1" s="1298"/>
      <c r="R1" s="5"/>
    </row>
    <row r="2" customFormat="false" ht="15" hidden="false" customHeight="false" outlineLevel="0" collapsed="false">
      <c r="A2" s="1299" t="n">
        <v>1</v>
      </c>
      <c r="B2" s="1300" t="s">
        <v>2068</v>
      </c>
      <c r="C2" s="1300" t="s">
        <v>557</v>
      </c>
      <c r="D2" s="1301" t="n">
        <v>0.25</v>
      </c>
      <c r="E2" s="1302" t="n">
        <f aca="false">I11</f>
        <v>0.25</v>
      </c>
      <c r="F2" s="1303" t="n">
        <v>1</v>
      </c>
      <c r="G2" s="1297"/>
      <c r="H2" s="1297"/>
      <c r="I2" s="1297"/>
      <c r="J2" s="1297"/>
      <c r="M2" s="1304"/>
      <c r="N2" s="1297" t="s">
        <v>158</v>
      </c>
      <c r="O2" s="1305" t="str">
        <f aca="false">Basics!C8</f>
        <v>Cn</v>
      </c>
      <c r="P2" s="1297" t="n">
        <f aca="false">MATCH(O2,RsTbl,0)</f>
        <v>4</v>
      </c>
      <c r="Q2" s="1306"/>
      <c r="R2" s="5"/>
    </row>
    <row r="3" customFormat="false" ht="15" hidden="false" customHeight="false" outlineLevel="0" collapsed="false">
      <c r="A3" s="1299" t="n">
        <v>2</v>
      </c>
      <c r="B3" s="1300" t="s">
        <v>4915</v>
      </c>
      <c r="C3" s="1300" t="s">
        <v>4916</v>
      </c>
      <c r="D3" s="1301" t="n">
        <f aca="false">MOD(D2+0.0333333333333333,24)</f>
        <v>0.283333333333333</v>
      </c>
      <c r="E3" s="1302" t="n">
        <f aca="false">E2+$I$14/15</f>
        <v>0.283333333333333</v>
      </c>
      <c r="F3" s="1303" t="n">
        <v>2</v>
      </c>
      <c r="G3" s="1297"/>
      <c r="H3" s="1297"/>
      <c r="I3" s="1297"/>
      <c r="J3" s="1297"/>
      <c r="M3" s="1304"/>
      <c r="N3" s="1305" t="s">
        <v>159</v>
      </c>
      <c r="O3" s="21" t="str">
        <f aca="false">Basics!C9</f>
        <v>Ta</v>
      </c>
      <c r="P3" s="1297" t="n">
        <f aca="false">MATCH(O3,RsTbl,0)</f>
        <v>2</v>
      </c>
      <c r="Q3" s="1306"/>
      <c r="R3" s="5"/>
    </row>
    <row r="4" customFormat="false" ht="15" hidden="false" customHeight="false" outlineLevel="0" collapsed="false">
      <c r="A4" s="1299" t="n">
        <v>3</v>
      </c>
      <c r="B4" s="1300" t="s">
        <v>282</v>
      </c>
      <c r="C4" s="1300" t="s">
        <v>581</v>
      </c>
      <c r="D4" s="1301" t="n">
        <f aca="false">MOD(D3+0.0333333333333333,24)</f>
        <v>0.316666666666667</v>
      </c>
      <c r="E4" s="1302" t="n">
        <f aca="false">E3+$I$14/15</f>
        <v>0.316666666666667</v>
      </c>
      <c r="F4" s="1303"/>
      <c r="G4" s="1297"/>
      <c r="H4" s="1297"/>
      <c r="I4" s="1297"/>
      <c r="J4" s="1297"/>
      <c r="M4" s="1304"/>
      <c r="N4" s="6" t="s">
        <v>319</v>
      </c>
      <c r="O4" s="21" t="str">
        <f aca="false">Basics!C7</f>
        <v>Le</v>
      </c>
      <c r="P4" s="1297" t="n">
        <f aca="false">MATCH(O4,RsTbl,0)</f>
        <v>5</v>
      </c>
      <c r="Q4" s="1306"/>
      <c r="R4" s="5"/>
    </row>
    <row r="5" customFormat="false" ht="15" hidden="false" customHeight="false" outlineLevel="0" collapsed="false">
      <c r="A5" s="1299" t="n">
        <v>4</v>
      </c>
      <c r="B5" s="1300" t="s">
        <v>4339</v>
      </c>
      <c r="C5" s="1300" t="s">
        <v>645</v>
      </c>
      <c r="D5" s="1301" t="n">
        <f aca="false">MOD(D4+0.0333333333333333,24)</f>
        <v>0.35</v>
      </c>
      <c r="E5" s="1302" t="n">
        <f aca="false">E4+$I$14/15</f>
        <v>0.35</v>
      </c>
      <c r="F5" s="1303" t="n">
        <v>4</v>
      </c>
      <c r="G5" s="1297"/>
      <c r="H5" s="1297"/>
      <c r="I5" s="1297"/>
      <c r="J5" s="1297"/>
      <c r="M5" s="1304"/>
      <c r="N5" s="1297" t="s">
        <v>4917</v>
      </c>
      <c r="O5" s="1307" t="s">
        <v>693</v>
      </c>
      <c r="Q5" s="1306"/>
    </row>
    <row r="6" customFormat="false" ht="15" hidden="false" customHeight="false" outlineLevel="0" collapsed="false">
      <c r="A6" s="1299" t="n">
        <v>5</v>
      </c>
      <c r="B6" s="1300" t="s">
        <v>4918</v>
      </c>
      <c r="C6" s="1300" t="s">
        <v>4919</v>
      </c>
      <c r="D6" s="1301" t="n">
        <f aca="false">MOD(D5+0.0333333333333333,24)</f>
        <v>0.383333333333333</v>
      </c>
      <c r="E6" s="1302" t="n">
        <f aca="false">E5+$I$14/15</f>
        <v>0.383333333333333</v>
      </c>
      <c r="F6" s="1303"/>
      <c r="G6" s="1297"/>
      <c r="H6" s="1297"/>
      <c r="I6" s="1297"/>
      <c r="J6" s="1297"/>
      <c r="M6" s="1304"/>
      <c r="N6" s="1297" t="s">
        <v>4920</v>
      </c>
      <c r="O6" s="1308" t="s">
        <v>701</v>
      </c>
      <c r="Q6" s="1306"/>
    </row>
    <row r="7" customFormat="false" ht="15" hidden="false" customHeight="false" outlineLevel="0" collapsed="false">
      <c r="A7" s="1299" t="n">
        <v>6</v>
      </c>
      <c r="B7" s="1300" t="s">
        <v>4921</v>
      </c>
      <c r="C7" s="1300" t="s">
        <v>4922</v>
      </c>
      <c r="D7" s="1301" t="n">
        <f aca="false">MOD(D6+0.0333333333333333,24)</f>
        <v>0.416666666666667</v>
      </c>
      <c r="E7" s="1302" t="n">
        <f aca="false">E6+$I$14/15</f>
        <v>0.416666666666667</v>
      </c>
      <c r="F7" s="1303"/>
      <c r="G7" s="1297"/>
      <c r="H7" s="1297"/>
      <c r="I7" s="1297"/>
      <c r="J7" s="1297"/>
      <c r="M7" s="1297"/>
      <c r="N7" s="1297" t="s">
        <v>4923</v>
      </c>
      <c r="O7" s="21" t="s">
        <v>703</v>
      </c>
      <c r="Q7" s="1297"/>
    </row>
    <row r="8" customFormat="false" ht="15" hidden="false" customHeight="false" outlineLevel="0" collapsed="false">
      <c r="A8" s="1299" t="n">
        <v>7</v>
      </c>
      <c r="B8" s="1300" t="s">
        <v>4924</v>
      </c>
      <c r="C8" s="1300" t="s">
        <v>4925</v>
      </c>
      <c r="D8" s="1301" t="n">
        <f aca="false">MOD(D7+0.0333333333333333,24)</f>
        <v>0.45</v>
      </c>
      <c r="E8" s="1302" t="n">
        <f aca="false">E7+$I$14/15</f>
        <v>0.45</v>
      </c>
      <c r="F8" s="1303"/>
      <c r="G8" s="1297"/>
      <c r="H8" s="1309" t="n">
        <f aca="true">NOW()</f>
        <v>45951.4616970973</v>
      </c>
      <c r="I8" s="1297"/>
      <c r="J8" s="1297"/>
      <c r="M8" s="1297"/>
      <c r="N8" s="1297"/>
      <c r="O8" s="1297"/>
      <c r="P8" s="1297"/>
    </row>
    <row r="9" customFormat="false" ht="15" hidden="false" customHeight="false" outlineLevel="0" collapsed="false">
      <c r="A9" s="1299" t="n">
        <v>8</v>
      </c>
      <c r="B9" s="1300" t="s">
        <v>4926</v>
      </c>
      <c r="C9" s="1300" t="s">
        <v>655</v>
      </c>
      <c r="D9" s="1301" t="n">
        <f aca="false">MOD(D8+0.0333333333333333,24)</f>
        <v>0.483333333333333</v>
      </c>
      <c r="E9" s="1302" t="n">
        <f aca="false">E8+$I$14/15</f>
        <v>0.483333333333333</v>
      </c>
      <c r="F9" s="1303"/>
      <c r="G9" s="1297"/>
      <c r="H9" s="1297"/>
      <c r="I9" s="1297"/>
      <c r="J9" s="1297"/>
      <c r="O9" s="1305" t="s">
        <v>158</v>
      </c>
      <c r="P9" s="1305" t="s">
        <v>4144</v>
      </c>
      <c r="Q9" s="1297"/>
      <c r="R9" s="1297"/>
    </row>
    <row r="10" customFormat="false" ht="15" hidden="false" customHeight="false" outlineLevel="0" collapsed="false">
      <c r="A10" s="1299" t="n">
        <v>9</v>
      </c>
      <c r="B10" s="1300" t="s">
        <v>4927</v>
      </c>
      <c r="C10" s="1300" t="s">
        <v>641</v>
      </c>
      <c r="D10" s="1301" t="n">
        <f aca="false">MOD(D9+0.0333333333333333,24)</f>
        <v>0.516666666666667</v>
      </c>
      <c r="E10" s="1302" t="n">
        <f aca="false">E9+$I$14/15</f>
        <v>0.516666666666667</v>
      </c>
      <c r="F10" s="1303"/>
      <c r="G10" s="1297"/>
      <c r="H10" s="1305"/>
      <c r="I10" s="1297" t="s">
        <v>4928</v>
      </c>
      <c r="J10" s="1297" t="s">
        <v>4929</v>
      </c>
      <c r="M10" s="1297" t="n">
        <f aca="false">P2</f>
        <v>4</v>
      </c>
      <c r="N10" s="1310" t="n">
        <f aca="false">I11</f>
        <v>0.25</v>
      </c>
      <c r="O10" s="1297" t="str">
        <f aca="false">INDEX(RsTbl,M10)</f>
        <v>Cn</v>
      </c>
      <c r="P10" s="1297" t="str">
        <f aca="false">INDEX(RsTbl,MOD(M10+7,12)+1)</f>
        <v>Pi</v>
      </c>
      <c r="Q10" s="1297"/>
      <c r="R10" s="1297"/>
    </row>
    <row r="11" customFormat="false" ht="15" hidden="false" customHeight="false" outlineLevel="0" collapsed="false">
      <c r="A11" s="1299" t="n">
        <v>10</v>
      </c>
      <c r="B11" s="1300" t="s">
        <v>4930</v>
      </c>
      <c r="C11" s="1300" t="s">
        <v>1716</v>
      </c>
      <c r="D11" s="1301" t="n">
        <f aca="false">MOD(D10+0.0333333333333333,24)</f>
        <v>0.55</v>
      </c>
      <c r="E11" s="1302" t="n">
        <f aca="false">E10+$I$14/15</f>
        <v>0.55</v>
      </c>
      <c r="F11" s="1303" t="n">
        <v>10</v>
      </c>
      <c r="G11" s="1297"/>
      <c r="H11" s="1305" t="s">
        <v>4118</v>
      </c>
      <c r="I11" s="1311" t="n">
        <v>0.25</v>
      </c>
      <c r="J11" s="1297"/>
      <c r="M11" s="1297" t="n">
        <f aca="false">MOD(M10+12-2,12)+1</f>
        <v>3</v>
      </c>
      <c r="N11" s="1310" t="n">
        <f aca="false">N10+Hora</f>
        <v>0.291666666666667</v>
      </c>
      <c r="O11" s="1297" t="str">
        <f aca="false">INDEX(RsTbl,M11)</f>
        <v>Ge</v>
      </c>
      <c r="P11" s="1297" t="str">
        <f aca="false">INDEX(RsTbl,MOD(M11+7,12)+1)</f>
        <v>Aq</v>
      </c>
    </row>
    <row r="12" customFormat="false" ht="15" hidden="false" customHeight="false" outlineLevel="0" collapsed="false">
      <c r="A12" s="1299" t="n">
        <v>11</v>
      </c>
      <c r="B12" s="1312" t="s">
        <v>4931</v>
      </c>
      <c r="C12" s="1300" t="s">
        <v>4293</v>
      </c>
      <c r="D12" s="1301" t="n">
        <f aca="false">MOD(D11+0.0333333333333333,24)</f>
        <v>0.583333333333333</v>
      </c>
      <c r="E12" s="1302" t="n">
        <f aca="false">E11+$I$14/15</f>
        <v>0.583333333333333</v>
      </c>
      <c r="F12" s="1313" t="n">
        <v>11</v>
      </c>
      <c r="G12" s="1297"/>
      <c r="H12" s="1305" t="s">
        <v>4932</v>
      </c>
      <c r="I12" s="1311" t="n">
        <v>0.75</v>
      </c>
      <c r="J12" s="1297"/>
      <c r="M12" s="1297" t="n">
        <f aca="false">MOD(M11+12-2,12)+1</f>
        <v>2</v>
      </c>
      <c r="N12" s="1310" t="n">
        <f aca="false">N11+Hora</f>
        <v>0.333333333333333</v>
      </c>
      <c r="O12" s="1297" t="str">
        <f aca="false">INDEX(RsTbl,M12)</f>
        <v>Ta</v>
      </c>
      <c r="P12" s="1297" t="str">
        <f aca="false">INDEX(RsTbl,MOD(M12+7,12)+1)</f>
        <v>Cp</v>
      </c>
    </row>
    <row r="13" customFormat="false" ht="15" hidden="false" customHeight="false" outlineLevel="0" collapsed="false">
      <c r="A13" s="1299" t="n">
        <v>12</v>
      </c>
      <c r="B13" s="1300" t="s">
        <v>4933</v>
      </c>
      <c r="C13" s="1300" t="s">
        <v>597</v>
      </c>
      <c r="D13" s="1301" t="n">
        <f aca="false">MOD(D12+0.0333333333333333,24)</f>
        <v>0.616666666666667</v>
      </c>
      <c r="E13" s="1302" t="n">
        <f aca="false">E12+$I$14/15</f>
        <v>0.616666666666667</v>
      </c>
      <c r="F13" s="1303" t="n">
        <v>12</v>
      </c>
      <c r="G13" s="1297"/>
      <c r="H13" s="1297"/>
      <c r="I13" s="1297"/>
      <c r="J13" s="1297"/>
      <c r="M13" s="1297" t="n">
        <f aca="false">MOD(M12+12-2,12)+1</f>
        <v>1</v>
      </c>
      <c r="N13" s="1310" t="n">
        <f aca="false">N12+Hora</f>
        <v>0.375</v>
      </c>
      <c r="O13" s="1297" t="str">
        <f aca="false">INDEX(RsTbl,M13)</f>
        <v>Ar</v>
      </c>
      <c r="P13" s="1297" t="str">
        <f aca="false">INDEX(RsTbl,MOD(M13+7,12)+1)</f>
        <v>Sg</v>
      </c>
    </row>
    <row r="14" customFormat="false" ht="15" hidden="false" customHeight="false" outlineLevel="0" collapsed="false">
      <c r="A14" s="1299" t="n">
        <v>13</v>
      </c>
      <c r="B14" s="1300" t="s">
        <v>4934</v>
      </c>
      <c r="C14" s="1300" t="s">
        <v>4935</v>
      </c>
      <c r="D14" s="1301" t="n">
        <f aca="false">MOD(D13+0.0333333333333333,24)</f>
        <v>0.65</v>
      </c>
      <c r="E14" s="1302" t="n">
        <f aca="false">E13+$I$14/15</f>
        <v>0.65</v>
      </c>
      <c r="F14" s="1303"/>
      <c r="G14" s="1297"/>
      <c r="H14" s="1305" t="s">
        <v>4936</v>
      </c>
      <c r="I14" s="1310" t="n">
        <f aca="false">I12-I11</f>
        <v>0.5</v>
      </c>
      <c r="J14" s="1297" t="s">
        <v>126</v>
      </c>
      <c r="M14" s="1297" t="n">
        <f aca="false">MOD(M13+12-2,12)+1</f>
        <v>12</v>
      </c>
      <c r="N14" s="1310" t="n">
        <f aca="false">N13+Hora</f>
        <v>0.416666666666667</v>
      </c>
      <c r="O14" s="1297" t="str">
        <f aca="false">INDEX(RsTbl,M14)</f>
        <v>Pi</v>
      </c>
      <c r="P14" s="1297" t="str">
        <f aca="false">INDEX(RsTbl,MOD(M14+7,12)+1)</f>
        <v>Sc</v>
      </c>
    </row>
    <row r="15" customFormat="false" ht="15" hidden="false" customHeight="false" outlineLevel="0" collapsed="false">
      <c r="A15" s="1299" t="n">
        <v>14</v>
      </c>
      <c r="B15" s="1300" t="s">
        <v>4937</v>
      </c>
      <c r="C15" s="1300" t="s">
        <v>4938</v>
      </c>
      <c r="D15" s="1301" t="n">
        <f aca="false">MOD(D14+0.0333333333333333,24)</f>
        <v>0.683333333333333</v>
      </c>
      <c r="E15" s="1302" t="n">
        <f aca="false">E14+$I$14/15</f>
        <v>0.683333333333333</v>
      </c>
      <c r="F15" s="1303"/>
      <c r="G15" s="1297"/>
      <c r="H15" s="1305" t="s">
        <v>4939</v>
      </c>
      <c r="I15" s="1310" t="n">
        <f aca="false">1-I14</f>
        <v>0.5</v>
      </c>
      <c r="J15" s="1297" t="s">
        <v>126</v>
      </c>
      <c r="M15" s="1297" t="n">
        <f aca="false">MOD(M14+12-2,12)+1</f>
        <v>11</v>
      </c>
      <c r="N15" s="1310" t="n">
        <f aca="false">N14+Hora</f>
        <v>0.458333333333333</v>
      </c>
      <c r="O15" s="1297" t="str">
        <f aca="false">INDEX(RsTbl,M15)</f>
        <v>Aq</v>
      </c>
      <c r="P15" s="1297" t="str">
        <f aca="false">INDEX(RsTbl,MOD(M15+7,12)+1)</f>
        <v>Li</v>
      </c>
    </row>
    <row r="16" customFormat="false" ht="15" hidden="false" customHeight="false" outlineLevel="0" collapsed="false">
      <c r="A16" s="1299" t="n">
        <v>15</v>
      </c>
      <c r="B16" s="1300" t="s">
        <v>4940</v>
      </c>
      <c r="C16" s="1300" t="s">
        <v>4941</v>
      </c>
      <c r="D16" s="1301" t="n">
        <f aca="false">MOD(D15+0.0333333333333333,24)</f>
        <v>0.716666666666667</v>
      </c>
      <c r="E16" s="1302" t="n">
        <f aca="false">E15+$I$14/15</f>
        <v>0.716666666666667</v>
      </c>
      <c r="F16" s="1303" t="n">
        <v>15</v>
      </c>
      <c r="G16" s="1297"/>
      <c r="H16" s="1297" t="s">
        <v>4942</v>
      </c>
      <c r="I16" s="1310" t="n">
        <v>0.0416666666666667</v>
      </c>
      <c r="J16" s="1297"/>
      <c r="M16" s="1297" t="n">
        <f aca="false">MOD(M15+12-2,12)+1</f>
        <v>10</v>
      </c>
      <c r="N16" s="1310" t="n">
        <f aca="false">N15+Hora</f>
        <v>0.5</v>
      </c>
      <c r="O16" s="1297" t="str">
        <f aca="false">INDEX(RsTbl,M16)</f>
        <v>Cp</v>
      </c>
      <c r="P16" s="1297" t="str">
        <f aca="false">INDEX(RsTbl,MOD(M16+7,12)+1)</f>
        <v>Vi</v>
      </c>
    </row>
    <row r="17" customFormat="false" ht="15" hidden="false" customHeight="false" outlineLevel="0" collapsed="false">
      <c r="A17" s="1314" t="n">
        <v>1</v>
      </c>
      <c r="B17" s="1315" t="s">
        <v>4943</v>
      </c>
      <c r="C17" s="1315" t="s">
        <v>557</v>
      </c>
      <c r="D17" s="1316" t="n">
        <f aca="false">MOD(D16+0.0333333333333333,24)</f>
        <v>0.75</v>
      </c>
      <c r="E17" s="1317" t="n">
        <f aca="false">I12</f>
        <v>0.75</v>
      </c>
      <c r="F17" s="1318" t="n">
        <v>1</v>
      </c>
      <c r="G17" s="1297"/>
      <c r="H17" s="1297"/>
      <c r="I17" s="1297"/>
      <c r="J17" s="1297"/>
      <c r="M17" s="1297" t="n">
        <f aca="false">MOD(M16+12-2,12)+1</f>
        <v>9</v>
      </c>
      <c r="N17" s="1310" t="n">
        <f aca="false">N16+Hora</f>
        <v>0.541666666666667</v>
      </c>
      <c r="O17" s="1297" t="str">
        <f aca="false">INDEX(RsTbl,M17)</f>
        <v>Sg</v>
      </c>
      <c r="P17" s="1308" t="str">
        <f aca="false">INDEX(RsTbl,MOD(M17+7,12)+1)</f>
        <v>Le</v>
      </c>
    </row>
    <row r="18" customFormat="false" ht="15" hidden="false" customHeight="false" outlineLevel="0" collapsed="false">
      <c r="A18" s="1314" t="n">
        <v>2</v>
      </c>
      <c r="B18" s="1315" t="s">
        <v>4944</v>
      </c>
      <c r="C18" s="1315" t="s">
        <v>4945</v>
      </c>
      <c r="D18" s="1316" t="n">
        <f aca="false">MOD(D17+0.0333333333333333,24)</f>
        <v>0.783333333333333</v>
      </c>
      <c r="E18" s="1317" t="n">
        <f aca="false">E17+$I$15/15</f>
        <v>0.783333333333333</v>
      </c>
      <c r="F18" s="1318" t="n">
        <v>2</v>
      </c>
      <c r="G18" s="1297"/>
      <c r="H18" s="1297"/>
      <c r="I18" s="1297"/>
      <c r="J18" s="1297"/>
      <c r="M18" s="1297" t="n">
        <f aca="false">MOD(M17+12-2,12)+1</f>
        <v>8</v>
      </c>
      <c r="N18" s="1310" t="n">
        <f aca="false">N17+Hora</f>
        <v>0.583333333333333</v>
      </c>
      <c r="O18" s="1297" t="str">
        <f aca="false">INDEX(RsTbl,M18)</f>
        <v>Sc</v>
      </c>
      <c r="P18" s="1297" t="str">
        <f aca="false">INDEX(RsTbl,MOD(M18+7,12)+1)</f>
        <v>Cn</v>
      </c>
    </row>
    <row r="19" customFormat="false" ht="15" hidden="false" customHeight="false" outlineLevel="0" collapsed="false">
      <c r="A19" s="1314" t="n">
        <v>3</v>
      </c>
      <c r="B19" s="1315" t="s">
        <v>4946</v>
      </c>
      <c r="C19" s="1315" t="s">
        <v>4947</v>
      </c>
      <c r="D19" s="1316" t="n">
        <f aca="false">MOD(D18+0.0333333333333333,24)</f>
        <v>0.816666666666667</v>
      </c>
      <c r="E19" s="1317" t="n">
        <f aca="false">E18+$I$15/15</f>
        <v>0.816666666666667</v>
      </c>
      <c r="F19" s="1318"/>
      <c r="G19" s="1297"/>
      <c r="H19" s="1297"/>
      <c r="I19" s="1297"/>
      <c r="J19" s="1297"/>
      <c r="M19" s="1297" t="n">
        <f aca="false">MOD(M18+12-2,12)+1</f>
        <v>7</v>
      </c>
      <c r="N19" s="1310" t="n">
        <f aca="false">N18+Hora</f>
        <v>0.625</v>
      </c>
      <c r="O19" s="1297" t="str">
        <f aca="false">INDEX(RsTbl,M19)</f>
        <v>Li</v>
      </c>
      <c r="P19" s="1297" t="str">
        <f aca="false">INDEX(RsTbl,MOD(M19+7,12)+1)</f>
        <v>Ge</v>
      </c>
    </row>
    <row r="20" customFormat="false" ht="15" hidden="false" customHeight="false" outlineLevel="0" collapsed="false">
      <c r="A20" s="1314" t="n">
        <v>4</v>
      </c>
      <c r="B20" s="1315" t="s">
        <v>4948</v>
      </c>
      <c r="C20" s="1315" t="s">
        <v>574</v>
      </c>
      <c r="D20" s="1316" t="n">
        <f aca="false">MOD(D19+0.0333333333333333,24)</f>
        <v>0.85</v>
      </c>
      <c r="E20" s="1317" t="n">
        <f aca="false">E19+$I$15/15</f>
        <v>0.85</v>
      </c>
      <c r="F20" s="1318"/>
      <c r="G20" s="1297"/>
      <c r="H20" s="1297"/>
      <c r="I20" s="1297"/>
      <c r="J20" s="1297"/>
      <c r="M20" s="1297" t="n">
        <f aca="false">MOD(M19+12-2,12)+1</f>
        <v>6</v>
      </c>
      <c r="N20" s="1319" t="n">
        <f aca="false">N19+Hora</f>
        <v>0.666666666666667</v>
      </c>
      <c r="O20" s="1297" t="str">
        <f aca="false">INDEX(RsTbl,M20)</f>
        <v>Vi</v>
      </c>
      <c r="P20" s="1307" t="str">
        <f aca="false">INDEX(RsTbl,MOD(M20+7,12)+1)</f>
        <v>Ta</v>
      </c>
    </row>
    <row r="21" customFormat="false" ht="15" hidden="false" customHeight="false" outlineLevel="0" collapsed="false">
      <c r="A21" s="1314" t="n">
        <v>5</v>
      </c>
      <c r="B21" s="1315" t="s">
        <v>4949</v>
      </c>
      <c r="C21" s="1315" t="s">
        <v>4950</v>
      </c>
      <c r="D21" s="1316" t="n">
        <f aca="false">MOD(D20+0.0333333333333333,24)</f>
        <v>0.883333333333333</v>
      </c>
      <c r="E21" s="1317" t="n">
        <f aca="false">E20+$I$15/15</f>
        <v>0.883333333333333</v>
      </c>
      <c r="F21" s="1318"/>
      <c r="G21" s="1297"/>
      <c r="H21" s="1297"/>
      <c r="I21" s="1297"/>
      <c r="J21" s="1297"/>
      <c r="M21" s="1297" t="n">
        <f aca="false">MOD(M20+12-2,12)+1</f>
        <v>5</v>
      </c>
      <c r="N21" s="1310" t="n">
        <f aca="false">N20+Hora</f>
        <v>0.708333333333333</v>
      </c>
      <c r="O21" s="1297" t="str">
        <f aca="false">INDEX(RsTbl,M21)</f>
        <v>Le</v>
      </c>
      <c r="P21" s="1297" t="str">
        <f aca="false">INDEX(RsTbl,MOD(M21+7,12)+1)</f>
        <v>Ar</v>
      </c>
    </row>
    <row r="22" customFormat="false" ht="15" hidden="false" customHeight="false" outlineLevel="0" collapsed="false">
      <c r="A22" s="1314" t="n">
        <v>6</v>
      </c>
      <c r="B22" s="1315" t="s">
        <v>4951</v>
      </c>
      <c r="C22" s="1315" t="s">
        <v>639</v>
      </c>
      <c r="D22" s="1316" t="n">
        <f aca="false">MOD(D21+0.0333333333333333,24)</f>
        <v>0.916666666666667</v>
      </c>
      <c r="E22" s="1317" t="n">
        <f aca="false">E21+$I$15/15</f>
        <v>0.916666666666667</v>
      </c>
      <c r="F22" s="1318" t="n">
        <v>6</v>
      </c>
      <c r="G22" s="1297"/>
      <c r="H22" s="1297"/>
      <c r="I22" s="1297"/>
      <c r="J22" s="1297"/>
      <c r="M22" s="1297"/>
      <c r="N22" s="1310" t="s">
        <v>4952</v>
      </c>
      <c r="O22" s="1305" t="s">
        <v>159</v>
      </c>
      <c r="P22" s="21" t="s">
        <v>4144</v>
      </c>
      <c r="Q22" s="6" t="s">
        <v>4139</v>
      </c>
    </row>
    <row r="23" customFormat="false" ht="15" hidden="false" customHeight="false" outlineLevel="0" collapsed="false">
      <c r="A23" s="1314" t="n">
        <v>7</v>
      </c>
      <c r="B23" s="1315" t="s">
        <v>4953</v>
      </c>
      <c r="C23" s="1315" t="s">
        <v>640</v>
      </c>
      <c r="D23" s="1316" t="n">
        <f aca="false">MOD(D22+0.0333333333333333,24)</f>
        <v>0.95</v>
      </c>
      <c r="E23" s="1317" t="n">
        <f aca="false">MOD(E22+$I$15/15,24)</f>
        <v>0.95</v>
      </c>
      <c r="F23" s="1318" t="n">
        <v>7</v>
      </c>
      <c r="G23" s="1297"/>
      <c r="H23" s="1297"/>
      <c r="I23" s="1297"/>
      <c r="J23" s="1297"/>
      <c r="M23" s="1297" t="n">
        <f aca="false">P3</f>
        <v>2</v>
      </c>
      <c r="N23" s="1310" t="n">
        <f aca="false">I12</f>
        <v>0.75</v>
      </c>
      <c r="O23" s="1297" t="str">
        <f aca="false">INDEX(RsTbl,M23)</f>
        <v>Ta</v>
      </c>
      <c r="P23" s="1297" t="str">
        <f aca="false">INDEX(RsTbl,MOD(M23+7,12)+1)</f>
        <v>Cp</v>
      </c>
      <c r="Q23" s="1297" t="str">
        <f aca="false">INDEX(RsTbl,MOD(M23+12+2,12)+1)</f>
        <v>Le</v>
      </c>
    </row>
    <row r="24" customFormat="false" ht="15" hidden="false" customHeight="false" outlineLevel="0" collapsed="false">
      <c r="A24" s="1314" t="n">
        <v>8</v>
      </c>
      <c r="B24" s="1315" t="s">
        <v>4954</v>
      </c>
      <c r="C24" s="1315" t="s">
        <v>641</v>
      </c>
      <c r="D24" s="1316" t="n">
        <f aca="false">MOD(D23+0.0333333333333333,24)</f>
        <v>0.983333333333333</v>
      </c>
      <c r="E24" s="1317" t="n">
        <f aca="false">E23+$I$15/15</f>
        <v>0.983333333333333</v>
      </c>
      <c r="F24" s="1318"/>
      <c r="G24" s="1297"/>
      <c r="H24" s="1297"/>
      <c r="I24" s="1297"/>
      <c r="J24" s="1297"/>
      <c r="M24" s="1297" t="n">
        <f aca="false">MOD(M23+12,12)+1</f>
        <v>3</v>
      </c>
      <c r="N24" s="1310" t="n">
        <f aca="false">N23+Hora</f>
        <v>0.791666666666667</v>
      </c>
      <c r="O24" s="1297" t="str">
        <f aca="false">INDEX(RsTbl,M24)</f>
        <v>Ge</v>
      </c>
      <c r="P24" s="1297" t="str">
        <f aca="false">INDEX(RsTbl,MOD(M24+7,12)+1)</f>
        <v>Aq</v>
      </c>
      <c r="Q24" s="1297" t="str">
        <f aca="false">INDEX(RsTbl,MOD(M24+12+2,12)+1)</f>
        <v>Vi</v>
      </c>
    </row>
    <row r="25" customFormat="false" ht="15" hidden="false" customHeight="false" outlineLevel="0" collapsed="false">
      <c r="A25" s="1314" t="n">
        <v>9</v>
      </c>
      <c r="B25" s="1315" t="s">
        <v>4955</v>
      </c>
      <c r="C25" s="1315" t="s">
        <v>4956</v>
      </c>
      <c r="D25" s="1316" t="n">
        <f aca="false">MOD(D24+0.0333333333333333,24)</f>
        <v>1.01666666666667</v>
      </c>
      <c r="E25" s="1317" t="n">
        <f aca="false">E24+$I$15/15</f>
        <v>1.01666666666667</v>
      </c>
      <c r="F25" s="1318"/>
      <c r="G25" s="1297"/>
      <c r="H25" s="1297"/>
      <c r="I25" s="1297"/>
      <c r="J25" s="1297"/>
      <c r="M25" s="1297" t="n">
        <f aca="false">MOD(M24+12,12)+1</f>
        <v>4</v>
      </c>
      <c r="N25" s="1310" t="n">
        <f aca="false">N24+Hora</f>
        <v>0.833333333333333</v>
      </c>
      <c r="O25" s="1297" t="str">
        <f aca="false">INDEX(RsTbl,M25)</f>
        <v>Cn</v>
      </c>
      <c r="P25" s="1297" t="str">
        <f aca="false">INDEX(RsTbl,MOD(M25+7,12)+1)</f>
        <v>Pi</v>
      </c>
      <c r="Q25" s="1297" t="str">
        <f aca="false">INDEX(RsTbl,MOD(M25+12+2,12)+1)</f>
        <v>Li</v>
      </c>
    </row>
    <row r="26" customFormat="false" ht="15" hidden="false" customHeight="false" outlineLevel="0" collapsed="false">
      <c r="A26" s="1314" t="n">
        <v>10</v>
      </c>
      <c r="B26" s="1315" t="s">
        <v>4957</v>
      </c>
      <c r="C26" s="1315" t="s">
        <v>643</v>
      </c>
      <c r="D26" s="1316" t="n">
        <f aca="false">MOD(D25+0.0333333333333333,24)</f>
        <v>1.05</v>
      </c>
      <c r="E26" s="1317" t="n">
        <f aca="false">E25+$I$15/15</f>
        <v>1.05</v>
      </c>
      <c r="F26" s="1318"/>
      <c r="G26" s="1297"/>
      <c r="H26" s="1297"/>
      <c r="I26" s="1297"/>
      <c r="J26" s="1297"/>
      <c r="M26" s="1297" t="n">
        <f aca="false">MOD(M25+12,12)+1</f>
        <v>5</v>
      </c>
      <c r="N26" s="1310" t="n">
        <f aca="false">N25+Hora</f>
        <v>0.875</v>
      </c>
      <c r="O26" s="1297" t="str">
        <f aca="false">INDEX(RsTbl,M26)</f>
        <v>Le</v>
      </c>
      <c r="P26" s="1297" t="str">
        <f aca="false">INDEX(RsTbl,MOD(M26+7,12)+1)</f>
        <v>Ar</v>
      </c>
      <c r="Q26" s="1297" t="str">
        <f aca="false">INDEX(RsTbl,MOD(M26+12+2,12)+1)</f>
        <v>Sc</v>
      </c>
    </row>
    <row r="27" customFormat="false" ht="15" hidden="false" customHeight="false" outlineLevel="0" collapsed="false">
      <c r="A27" s="1314" t="n">
        <v>11</v>
      </c>
      <c r="B27" s="1315" t="s">
        <v>4958</v>
      </c>
      <c r="C27" s="1315" t="s">
        <v>566</v>
      </c>
      <c r="D27" s="1316" t="n">
        <f aca="false">MOD(D26+0.0333333333333333,24)</f>
        <v>1.08333333333333</v>
      </c>
      <c r="E27" s="1317" t="n">
        <f aca="false">E26+$I$15/15</f>
        <v>1.08333333333333</v>
      </c>
      <c r="F27" s="1318"/>
      <c r="G27" s="1297"/>
      <c r="H27" s="1297"/>
      <c r="I27" s="1297"/>
      <c r="J27" s="1297"/>
      <c r="M27" s="1297" t="n">
        <f aca="false">MOD(M26+12,12)+1</f>
        <v>6</v>
      </c>
      <c r="N27" s="1310" t="n">
        <f aca="false">N26+Hora</f>
        <v>0.916666666666667</v>
      </c>
      <c r="O27" s="1297" t="str">
        <f aca="false">INDEX(RsTbl,M27)</f>
        <v>Vi</v>
      </c>
      <c r="P27" s="1307" t="str">
        <f aca="false">INDEX(RsTbl,MOD(M27+7,12)+1)</f>
        <v>Ta</v>
      </c>
      <c r="Q27" s="1297" t="str">
        <f aca="false">INDEX(RsTbl,MOD(M27+12+2,12)+1)</f>
        <v>Sg</v>
      </c>
    </row>
    <row r="28" customFormat="false" ht="15" hidden="false" customHeight="false" outlineLevel="0" collapsed="false">
      <c r="A28" s="1314" t="n">
        <v>12</v>
      </c>
      <c r="B28" s="1315" t="s">
        <v>2024</v>
      </c>
      <c r="C28" s="1315" t="s">
        <v>2778</v>
      </c>
      <c r="D28" s="1316" t="n">
        <f aca="false">MOD(D27+0.0333333333333333,24)</f>
        <v>1.11666666666667</v>
      </c>
      <c r="E28" s="1317" t="n">
        <f aca="false">E27+$I$15/15</f>
        <v>1.11666666666667</v>
      </c>
      <c r="F28" s="1318"/>
      <c r="G28" s="1297"/>
      <c r="H28" s="1297"/>
      <c r="I28" s="1297"/>
      <c r="J28" s="1297"/>
      <c r="M28" s="1297" t="n">
        <f aca="false">MOD(M27+12,12)+1</f>
        <v>7</v>
      </c>
      <c r="N28" s="1310" t="n">
        <f aca="false">N27+Hora</f>
        <v>0.958333333333333</v>
      </c>
      <c r="O28" s="1297" t="str">
        <f aca="false">INDEX(RsTbl,M28)</f>
        <v>Li</v>
      </c>
      <c r="P28" s="1297" t="str">
        <f aca="false">INDEX(RsTbl,MOD(M28+7,12)+1)</f>
        <v>Ge</v>
      </c>
      <c r="Q28" s="1297" t="str">
        <f aca="false">INDEX(RsTbl,MOD(M28+12+2,12)+1)</f>
        <v>Cp</v>
      </c>
    </row>
    <row r="29" customFormat="false" ht="15" hidden="false" customHeight="false" outlineLevel="0" collapsed="false">
      <c r="A29" s="1314" t="n">
        <v>13</v>
      </c>
      <c r="B29" s="1315" t="s">
        <v>4959</v>
      </c>
      <c r="C29" s="1315" t="s">
        <v>648</v>
      </c>
      <c r="D29" s="1316" t="n">
        <f aca="false">MOD(D28+0.0333333333333333,24)</f>
        <v>1.15</v>
      </c>
      <c r="E29" s="1317" t="n">
        <f aca="false">E28+$I$15/15</f>
        <v>1.15</v>
      </c>
      <c r="F29" s="1318"/>
      <c r="G29" s="1297"/>
      <c r="H29" s="1297"/>
      <c r="I29" s="1297"/>
      <c r="J29" s="1297"/>
      <c r="M29" s="1297" t="n">
        <f aca="false">MOD(M28+12,12)+1</f>
        <v>8</v>
      </c>
      <c r="N29" s="1310" t="n">
        <f aca="false">N28+Hora</f>
        <v>1</v>
      </c>
      <c r="O29" s="1297" t="str">
        <f aca="false">INDEX(RsTbl,M29)</f>
        <v>Sc</v>
      </c>
      <c r="P29" s="1297" t="str">
        <f aca="false">INDEX(RsTbl,MOD(M29+7,12)+1)</f>
        <v>Cn</v>
      </c>
      <c r="Q29" s="1297" t="str">
        <f aca="false">INDEX(RsTbl,MOD(M29+12+2,12)+1)</f>
        <v>Aq</v>
      </c>
    </row>
    <row r="30" customFormat="false" ht="15" hidden="false" customHeight="false" outlineLevel="0" collapsed="false">
      <c r="A30" s="1314" t="n">
        <v>14</v>
      </c>
      <c r="B30" s="1315" t="s">
        <v>4960</v>
      </c>
      <c r="C30" s="1315" t="s">
        <v>649</v>
      </c>
      <c r="D30" s="1316" t="n">
        <f aca="false">MOD(D29+0.0333333333333333,24)</f>
        <v>1.18333333333333</v>
      </c>
      <c r="E30" s="1317" t="n">
        <f aca="false">E29+$I$15/15</f>
        <v>1.18333333333333</v>
      </c>
      <c r="F30" s="1318"/>
      <c r="G30" s="1297"/>
      <c r="H30" s="1297"/>
      <c r="I30" s="1297"/>
      <c r="J30" s="1297"/>
      <c r="M30" s="1297" t="n">
        <f aca="false">MOD(M29+12,12)+1</f>
        <v>9</v>
      </c>
      <c r="N30" s="1310" t="n">
        <f aca="false">N29+Hora</f>
        <v>1.04166666666667</v>
      </c>
      <c r="O30" s="1297" t="str">
        <f aca="false">INDEX(RsTbl,M30)</f>
        <v>Sg</v>
      </c>
      <c r="P30" s="1308" t="str">
        <f aca="false">INDEX(RsTbl,MOD(M30+7,12)+1)</f>
        <v>Le</v>
      </c>
      <c r="Q30" s="1297" t="str">
        <f aca="false">INDEX(RsTbl,MOD(M30+12+2,12)+1)</f>
        <v>Pi</v>
      </c>
    </row>
    <row r="31" customFormat="false" ht="15" hidden="false" customHeight="false" outlineLevel="0" collapsed="false">
      <c r="A31" s="1314" t="n">
        <v>15</v>
      </c>
      <c r="B31" s="1315" t="s">
        <v>4961</v>
      </c>
      <c r="C31" s="1315" t="s">
        <v>4962</v>
      </c>
      <c r="D31" s="1316" t="n">
        <f aca="false">MOD(D30+0.0333333333333333,24)</f>
        <v>1.21666666666667</v>
      </c>
      <c r="E31" s="1317" t="n">
        <f aca="false">E30+$I$15/15</f>
        <v>1.21666666666667</v>
      </c>
      <c r="F31" s="1318"/>
      <c r="G31" s="1297"/>
      <c r="H31" s="1297"/>
      <c r="I31" s="1297"/>
      <c r="J31" s="1297"/>
      <c r="M31" s="1297" t="n">
        <f aca="false">MOD(M30+12,12)+1</f>
        <v>10</v>
      </c>
      <c r="N31" s="1310" t="n">
        <f aca="false">N30+Hora</f>
        <v>1.08333333333333</v>
      </c>
      <c r="O31" s="1297" t="str">
        <f aca="false">INDEX(RsTbl,M31)</f>
        <v>Cp</v>
      </c>
      <c r="P31" s="1297" t="str">
        <f aca="false">INDEX(RsTbl,MOD(M31+7,12)+1)</f>
        <v>Vi</v>
      </c>
      <c r="Q31" s="1297" t="str">
        <f aca="false">INDEX(RsTbl,MOD(M31+12+2,12)+1)</f>
        <v>Ar</v>
      </c>
    </row>
    <row r="32" customFormat="false" ht="15" hidden="false" customHeight="false" outlineLevel="0" collapsed="false">
      <c r="A32" s="1300" t="n">
        <v>1</v>
      </c>
      <c r="B32" s="1300" t="s">
        <v>2068</v>
      </c>
      <c r="C32" s="1300" t="s">
        <v>557</v>
      </c>
      <c r="D32" s="1301" t="n">
        <f aca="false">MOD(D31+0.0333333333333333,24)</f>
        <v>1.25</v>
      </c>
      <c r="E32" s="1302" t="n">
        <f aca="false">E31+$I$15/15</f>
        <v>1.25</v>
      </c>
      <c r="F32" s="1303"/>
      <c r="G32" s="1297"/>
      <c r="H32" s="1297"/>
      <c r="I32" s="1297"/>
      <c r="J32" s="1297"/>
      <c r="M32" s="1297" t="n">
        <f aca="false">MOD(M31+12,12)+1</f>
        <v>11</v>
      </c>
      <c r="N32" s="1310" t="n">
        <f aca="false">N31+Hora</f>
        <v>1.125</v>
      </c>
      <c r="O32" s="1297" t="str">
        <f aca="false">INDEX(RsTbl,M32)</f>
        <v>Aq</v>
      </c>
      <c r="P32" s="1297" t="str">
        <f aca="false">INDEX(RsTbl,MOD(M32+7,12)+1)</f>
        <v>Li</v>
      </c>
      <c r="Q32" s="1297" t="str">
        <f aca="false">INDEX(RsTbl,MOD(M32+12+2,12)+1)</f>
        <v>Ta</v>
      </c>
    </row>
    <row r="33" customFormat="false" ht="15" hidden="false" customHeight="false" outlineLevel="0" collapsed="false">
      <c r="A33" s="1304"/>
      <c r="B33" s="1304"/>
      <c r="C33" s="1304"/>
      <c r="D33" s="1320"/>
      <c r="E33" s="1306"/>
      <c r="F33" s="1321"/>
      <c r="G33" s="1297"/>
      <c r="H33" s="1297"/>
      <c r="I33" s="1297"/>
      <c r="J33" s="1297"/>
      <c r="M33" s="1297" t="n">
        <f aca="false">MOD(M32+12,12)+1</f>
        <v>12</v>
      </c>
      <c r="N33" s="1310" t="n">
        <f aca="false">N32+Hora</f>
        <v>1.16666666666667</v>
      </c>
      <c r="O33" s="1297" t="str">
        <f aca="false">INDEX(RsTbl,M33)</f>
        <v>Pi</v>
      </c>
      <c r="P33" s="1297" t="str">
        <f aca="false">INDEX(RsTbl,MOD(M33+7,12)+1)</f>
        <v>Sc</v>
      </c>
      <c r="Q33" s="1297" t="str">
        <f aca="false">INDEX(RsTbl,MOD(M33+12+2,12)+1)</f>
        <v>Ge</v>
      </c>
    </row>
    <row r="34" customFormat="false" ht="15" hidden="false" customHeight="false" outlineLevel="0" collapsed="false">
      <c r="B34" s="6" t="s">
        <v>4963</v>
      </c>
      <c r="G34" s="1297"/>
      <c r="H34" s="1297"/>
      <c r="I34" s="1297"/>
      <c r="J34" s="1297"/>
      <c r="M34" s="1297" t="n">
        <f aca="false">MOD(M33+12,12)+1</f>
        <v>1</v>
      </c>
      <c r="N34" s="1310" t="n">
        <f aca="false">N33+Hora</f>
        <v>1.20833333333333</v>
      </c>
      <c r="O34" s="1297" t="str">
        <f aca="false">INDEX(RsTbl,M34)</f>
        <v>Ar</v>
      </c>
      <c r="P34" s="1297" t="str">
        <f aca="false">INDEX(RsTbl,MOD(M34+7,12)+1)</f>
        <v>Sg</v>
      </c>
      <c r="Q34" s="1297" t="str">
        <f aca="false">INDEX(RsTbl,MOD(M34+12+2,12)+1)</f>
        <v>Cn</v>
      </c>
    </row>
    <row r="35" customFormat="false" ht="15" hidden="false" customHeight="false" outlineLevel="0" collapsed="false">
      <c r="G35" s="1297"/>
      <c r="H35" s="1297"/>
      <c r="I35" s="1297"/>
      <c r="J35" s="1297"/>
    </row>
    <row r="36" customFormat="false" ht="15" hidden="false" customHeight="false" outlineLevel="0" collapsed="false">
      <c r="G36" s="1297"/>
      <c r="H36" s="1297"/>
      <c r="I36" s="1297"/>
      <c r="J36" s="1297"/>
    </row>
    <row r="37" customFormat="false" ht="15" hidden="false" customHeight="false" outlineLevel="0" collapsed="false">
      <c r="G37" s="1297"/>
      <c r="H37" s="1297"/>
      <c r="I37" s="1297"/>
      <c r="J37" s="1297"/>
    </row>
    <row r="38" customFormat="false" ht="15" hidden="false" customHeight="false" outlineLevel="0" collapsed="false">
      <c r="G38" s="1297"/>
      <c r="H38" s="1297"/>
      <c r="I38" s="1297"/>
      <c r="J38" s="1297"/>
    </row>
    <row r="39" customFormat="false" ht="15" hidden="false" customHeight="false" outlineLevel="0" collapsed="false">
      <c r="G39" s="1297"/>
      <c r="H39" s="1297"/>
      <c r="I39" s="1297"/>
      <c r="J39" s="1297"/>
    </row>
    <row r="40" customFormat="false" ht="15" hidden="false" customHeight="false" outlineLevel="0" collapsed="false">
      <c r="G40" s="1297"/>
      <c r="H40" s="1297"/>
      <c r="I40" s="1297"/>
      <c r="J40" s="1297"/>
    </row>
    <row r="41" customFormat="false" ht="15" hidden="false" customHeight="false" outlineLevel="0" collapsed="false">
      <c r="G41" s="1297"/>
      <c r="I41" s="1297"/>
      <c r="J41" s="1297"/>
    </row>
    <row r="42" customFormat="false" ht="15" hidden="false" customHeight="false" outlineLevel="0" collapsed="false">
      <c r="G42" s="1297"/>
      <c r="H42" s="1297"/>
      <c r="I42" s="1297"/>
      <c r="J42" s="1297"/>
    </row>
    <row r="43" customFormat="false" ht="15" hidden="false" customHeight="false" outlineLevel="0" collapsed="false">
      <c r="G43" s="1297"/>
      <c r="H43" s="1297"/>
      <c r="I43" s="1297"/>
      <c r="J43" s="1297"/>
    </row>
    <row r="44" customFormat="false" ht="15" hidden="false" customHeight="false" outlineLevel="0" collapsed="false">
      <c r="H44" s="1297"/>
      <c r="I44" s="1297"/>
      <c r="J44" s="1297"/>
    </row>
    <row r="45" customFormat="false" ht="15" hidden="false" customHeight="false" outlineLevel="0" collapsed="false">
      <c r="H45" s="1297"/>
      <c r="I45" s="1297"/>
      <c r="J45" s="1297"/>
    </row>
  </sheetData>
  <mergeCells count="1">
    <mergeCell ref="M1:Q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false" showOutlineSymbols="true" defaultGridColor="true" view="normal" topLeftCell="A4" colorId="64" zoomScale="181" zoomScaleNormal="181" zoomScalePageLayoutView="100" workbookViewId="0">
      <selection pane="topLeft" activeCell="K17" activeCellId="0" sqref="K17"/>
    </sheetView>
  </sheetViews>
  <sheetFormatPr defaultColWidth="9.1484375" defaultRowHeight="15" customHeight="true" zeroHeight="false" outlineLevelRow="0" outlineLevelCol="0"/>
  <cols>
    <col collapsed="false" customWidth="true" hidden="false" outlineLevel="0" max="1" min="1" style="1322" width="16.71"/>
    <col collapsed="false" customWidth="true" hidden="false" outlineLevel="0" max="2" min="2" style="1322" width="13.86"/>
    <col collapsed="false" customWidth="true" hidden="false" outlineLevel="0" max="3" min="3" style="1322" width="24.42"/>
    <col collapsed="false" customWidth="true" hidden="false" outlineLevel="0" max="4" min="4" style="1322" width="24"/>
    <col collapsed="false" customWidth="true" hidden="false" outlineLevel="0" max="5" min="5" style="1322" width="24.14"/>
    <col collapsed="false" customWidth="true" hidden="false" outlineLevel="0" max="6" min="6" style="1322" width="13.86"/>
    <col collapsed="false" customWidth="true" hidden="false" outlineLevel="0" max="10" min="7" style="1322" width="12.57"/>
    <col collapsed="false" customWidth="false" hidden="false" outlineLevel="0" max="1024" min="11" style="1322" width="9.14"/>
  </cols>
  <sheetData>
    <row r="1" customFormat="false" ht="15" hidden="false" customHeight="false" outlineLevel="0" collapsed="false">
      <c r="B1" s="1323" t="n">
        <v>365.256363004</v>
      </c>
      <c r="C1" s="1324" t="n">
        <v>365.256363004</v>
      </c>
      <c r="D1" s="1322" t="n">
        <v>365.24219</v>
      </c>
      <c r="E1" s="1322" t="s">
        <v>4964</v>
      </c>
      <c r="F1" s="1323" t="n">
        <f aca="false">365+G1</f>
        <v>365.258680555556</v>
      </c>
      <c r="G1" s="1325" t="n">
        <v>0.258680555555555</v>
      </c>
    </row>
    <row r="2" customFormat="false" ht="15" hidden="false" customHeight="false" outlineLevel="0" collapsed="false">
      <c r="A2" s="1326" t="s">
        <v>4965</v>
      </c>
      <c r="B2" s="1326" t="s">
        <v>4084</v>
      </c>
      <c r="C2" s="1326" t="s">
        <v>4966</v>
      </c>
      <c r="D2" s="1326" t="s">
        <v>4967</v>
      </c>
      <c r="E2" s="1326" t="s">
        <v>4968</v>
      </c>
    </row>
    <row r="3" customFormat="false" ht="15" hidden="false" customHeight="false" outlineLevel="0" collapsed="false">
      <c r="A3" s="1327" t="s">
        <v>4969</v>
      </c>
      <c r="B3" s="1327" t="s">
        <v>896</v>
      </c>
      <c r="C3" s="1328" t="n">
        <v>36629.7178935185</v>
      </c>
      <c r="D3" s="1328" t="n">
        <f aca="false">(D$2-$C$2)*$C$1+$C3</f>
        <v>41743.3069755745</v>
      </c>
      <c r="E3" s="1328" t="n">
        <f aca="false">(E$2-$C$2)*$C$1+$C3</f>
        <v>41378.0506125705</v>
      </c>
    </row>
    <row r="4" customFormat="false" ht="15" hidden="false" customHeight="false" outlineLevel="0" collapsed="false">
      <c r="A4" s="1327" t="s">
        <v>4970</v>
      </c>
      <c r="B4" s="1327" t="s">
        <v>908</v>
      </c>
      <c r="C4" s="1328" t="n">
        <v>36660.5875462963</v>
      </c>
      <c r="D4" s="1328" t="n">
        <f aca="false">(D$2-$C$2)*$C$1+$C4</f>
        <v>41774.1766283523</v>
      </c>
      <c r="E4" s="1328" t="n">
        <f aca="false">(E$2-$C$2)*$C$1+$C4</f>
        <v>41408.9202653483</v>
      </c>
    </row>
    <row r="5" customFormat="false" ht="15" hidden="false" customHeight="false" outlineLevel="0" collapsed="false">
      <c r="A5" s="1327" t="s">
        <v>4971</v>
      </c>
      <c r="B5" s="1327" t="s">
        <v>920</v>
      </c>
      <c r="C5" s="1328" t="n">
        <v>36691.8632638889</v>
      </c>
      <c r="D5" s="1328" t="n">
        <f aca="false">(D$2-$C$2)*$C$1+$C5</f>
        <v>41805.4523459449</v>
      </c>
      <c r="E5" s="1328" t="n">
        <f aca="false">(E$2-$C$2)*$C$1+$C5</f>
        <v>41440.1959829409</v>
      </c>
    </row>
    <row r="6" customFormat="false" ht="15" hidden="false" customHeight="false" outlineLevel="0" collapsed="false">
      <c r="A6" s="1327" t="s">
        <v>4972</v>
      </c>
      <c r="B6" s="1327" t="s">
        <v>557</v>
      </c>
      <c r="C6" s="1328" t="n">
        <v>36698.8495138889</v>
      </c>
      <c r="D6" s="1328" t="n">
        <f aca="false">(D$2-$C$2)*$C$1+$C6</f>
        <v>41812.4385959449</v>
      </c>
      <c r="E6" s="1328" t="n">
        <f aca="false">(E$2-$C$2)*$C$1+$C6</f>
        <v>41447.1822329409</v>
      </c>
    </row>
    <row r="7" customFormat="false" ht="15" hidden="false" customHeight="false" outlineLevel="0" collapsed="false">
      <c r="A7" s="1327" t="s">
        <v>4973</v>
      </c>
      <c r="B7" s="1327" t="s">
        <v>931</v>
      </c>
      <c r="C7" s="1328" t="n">
        <v>36723.3176967593</v>
      </c>
      <c r="D7" s="1328" t="n">
        <f aca="false">(D$2-$C$2)*$C$1+$C7</f>
        <v>41836.9067788153</v>
      </c>
      <c r="E7" s="1328" t="n">
        <f aca="false">(E$2-$C$2)*$C$1+$C7</f>
        <v>41471.6504158113</v>
      </c>
    </row>
    <row r="8" customFormat="false" ht="15" hidden="false" customHeight="false" outlineLevel="0" collapsed="false">
      <c r="A8" s="1327" t="s">
        <v>4974</v>
      </c>
      <c r="B8" s="1327" t="s">
        <v>943</v>
      </c>
      <c r="C8" s="1328" t="n">
        <v>36754.6695023148</v>
      </c>
      <c r="D8" s="1328" t="n">
        <f aca="false">(D$2-$C$2)*$C$1+$C8</f>
        <v>41868.2585843708</v>
      </c>
      <c r="E8" s="1328" t="n">
        <f aca="false">(E$2-$C$2)*$C$1+$C8</f>
        <v>41503.0022213668</v>
      </c>
    </row>
    <row r="9" customFormat="false" ht="15" hidden="false" customHeight="false" outlineLevel="0" collapsed="false">
      <c r="A9" s="1327" t="s">
        <v>4975</v>
      </c>
      <c r="B9" s="1327" t="s">
        <v>961</v>
      </c>
      <c r="C9" s="1328" t="n">
        <v>36816.166099537</v>
      </c>
      <c r="D9" s="1328" t="n">
        <f aca="false">(D$2-$C$2)*$C$1+$C9</f>
        <v>41929.755181593</v>
      </c>
      <c r="E9" s="1328" t="n">
        <f aca="false">(E$2-$C$2)*$C$1+$C9</f>
        <v>41564.498818589</v>
      </c>
    </row>
    <row r="10" customFormat="false" ht="15" hidden="false" customHeight="false" outlineLevel="0" collapsed="false">
      <c r="A10" s="1327" t="s">
        <v>4976</v>
      </c>
      <c r="B10" s="1327" t="s">
        <v>4063</v>
      </c>
      <c r="C10" s="1328" t="n">
        <v>36875.7654166667</v>
      </c>
      <c r="D10" s="1328" t="n">
        <f aca="false">(D$2-$C$2)*$C$1+$C10</f>
        <v>41989.3544987227</v>
      </c>
      <c r="E10" s="1328" t="n">
        <f aca="false">(E$2-$C$2)*$C$1+$C10</f>
        <v>41624.0981357187</v>
      </c>
    </row>
    <row r="11" customFormat="false" ht="15" hidden="false" customHeight="false" outlineLevel="0" collapsed="false">
      <c r="A11" s="1327" t="s">
        <v>4977</v>
      </c>
      <c r="B11" s="1327" t="s">
        <v>987</v>
      </c>
      <c r="C11" s="1328" t="n">
        <v>36905.212025463</v>
      </c>
      <c r="D11" s="1328" t="n">
        <f aca="false">(D$2-$C$2)*$C$1+$C11</f>
        <v>42018.801107519</v>
      </c>
      <c r="E11" s="1328" t="n">
        <f aca="false">(E$2-$C$2)*$C$1+$C11</f>
        <v>41653.544744515</v>
      </c>
      <c r="F11" s="1329"/>
      <c r="G11" s="489" t="s">
        <v>4978</v>
      </c>
      <c r="H11" s="489"/>
      <c r="I11" s="489" t="s">
        <v>4979</v>
      </c>
      <c r="J11" s="489"/>
    </row>
    <row r="12" customFormat="false" ht="42" hidden="false" customHeight="true" outlineLevel="0" collapsed="false">
      <c r="F12" s="1329"/>
      <c r="G12" s="1330" t="s">
        <v>4980</v>
      </c>
      <c r="H12" s="1331" t="s">
        <v>4981</v>
      </c>
      <c r="I12" s="1331" t="s">
        <v>4982</v>
      </c>
      <c r="J12" s="1332" t="s">
        <v>4983</v>
      </c>
    </row>
    <row r="13" customFormat="false" ht="42" hidden="false" customHeight="true" outlineLevel="0" collapsed="false">
      <c r="C13" s="1322" t="n">
        <v>1900</v>
      </c>
      <c r="F13" s="489" t="s">
        <v>4984</v>
      </c>
      <c r="G13" s="1333" t="s">
        <v>4985</v>
      </c>
      <c r="H13" s="1334" t="s">
        <v>4986</v>
      </c>
      <c r="I13" s="1334"/>
      <c r="J13" s="1335" t="s">
        <v>4987</v>
      </c>
      <c r="K13" s="489" t="s">
        <v>4988</v>
      </c>
    </row>
    <row r="14" customFormat="false" ht="42" hidden="false" customHeight="true" outlineLevel="0" collapsed="false">
      <c r="C14" s="1336" t="n">
        <v>104.076990740741</v>
      </c>
      <c r="D14" s="1322" t="n">
        <f aca="false">(C3-C14)/100</f>
        <v>365.256409027778</v>
      </c>
      <c r="F14" s="489"/>
      <c r="G14" s="1333" t="s">
        <v>4989</v>
      </c>
      <c r="H14" s="1334"/>
      <c r="I14" s="1334"/>
      <c r="J14" s="1335" t="s">
        <v>4990</v>
      </c>
      <c r="K14" s="489"/>
    </row>
    <row r="15" customFormat="false" ht="42" hidden="false" customHeight="true" outlineLevel="0" collapsed="false">
      <c r="C15" s="1336" t="n">
        <v>134.953912037037</v>
      </c>
      <c r="D15" s="1322" t="n">
        <f aca="false">(C4-C15)/100</f>
        <v>365.256336342593</v>
      </c>
      <c r="F15" s="1329"/>
      <c r="G15" s="1337" t="s">
        <v>4991</v>
      </c>
      <c r="H15" s="1338" t="s">
        <v>974</v>
      </c>
      <c r="I15" s="1338" t="s">
        <v>4992</v>
      </c>
      <c r="J15" s="1339" t="s">
        <v>955</v>
      </c>
    </row>
    <row r="16" customFormat="false" ht="15" hidden="false" customHeight="false" outlineLevel="0" collapsed="false">
      <c r="C16" s="1336" t="n">
        <v>166.236145833333</v>
      </c>
      <c r="D16" s="1322" t="n">
        <f aca="false">(C5-C16)/100</f>
        <v>365.256271180556</v>
      </c>
      <c r="F16" s="1329"/>
      <c r="G16" s="489" t="s">
        <v>4993</v>
      </c>
      <c r="H16" s="489"/>
      <c r="I16" s="489" t="s">
        <v>4994</v>
      </c>
      <c r="J16" s="489"/>
    </row>
    <row r="17" customFormat="false" ht="15" hidden="false" customHeight="false" outlineLevel="0" collapsed="false">
      <c r="C17" s="1336" t="n">
        <v>173.222592592593</v>
      </c>
      <c r="D17" s="1322" t="n">
        <f aca="false">(C6-C17)/100</f>
        <v>365.256269212963</v>
      </c>
      <c r="K17" s="1329"/>
    </row>
    <row r="18" customFormat="false" ht="15" hidden="false" customHeight="false" outlineLevel="0" collapsed="false">
      <c r="C18" s="1336" t="n">
        <v>197.694652777778</v>
      </c>
      <c r="D18" s="1322" t="n">
        <f aca="false">(C7-C18)/100</f>
        <v>365.256230439815</v>
      </c>
      <c r="K18" s="1329"/>
    </row>
    <row r="19" customFormat="false" ht="15" hidden="false" customHeight="false" outlineLevel="0" collapsed="false">
      <c r="C19" s="1336" t="n">
        <v>229.046516203704</v>
      </c>
      <c r="D19" s="1322" t="n">
        <f aca="false">(C8-C19)/100</f>
        <v>365.256229861111</v>
      </c>
    </row>
    <row r="20" customFormat="false" ht="15" hidden="false" customHeight="false" outlineLevel="0" collapsed="false">
      <c r="C20" s="1336" t="n">
        <v>290.532199074074</v>
      </c>
      <c r="D20" s="1322" t="n">
        <f aca="false">(C9-C20)/100</f>
        <v>365.256339004629</v>
      </c>
    </row>
    <row r="21" customFormat="false" ht="15" hidden="false" customHeight="false" outlineLevel="0" collapsed="false">
      <c r="C21" s="1336" t="n">
        <v>350.117372685185</v>
      </c>
      <c r="D21" s="1322" t="n">
        <f aca="false">(C10-C21)/100</f>
        <v>365.256480439815</v>
      </c>
      <c r="K21" s="1329"/>
    </row>
    <row r="22" customFormat="false" ht="15" hidden="false" customHeight="false" outlineLevel="0" collapsed="false">
      <c r="C22" s="1336" t="n">
        <v>379.559398148148</v>
      </c>
      <c r="D22" s="1322" t="n">
        <f aca="false">(C11-C22)/100</f>
        <v>365.256526273149</v>
      </c>
      <c r="K22" s="1329"/>
    </row>
  </sheetData>
  <mergeCells count="7">
    <mergeCell ref="G11:H11"/>
    <mergeCell ref="I11:J11"/>
    <mergeCell ref="F13:F14"/>
    <mergeCell ref="H13:I14"/>
    <mergeCell ref="K13:K14"/>
    <mergeCell ref="G16:H16"/>
    <mergeCell ref="I16:J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8"/>
  <sheetViews>
    <sheetView showFormulas="false" showGridLines="true" showRowColHeaders="true" showZeros="true" rightToLeft="false" tabSelected="false" showOutlineSymbols="true" defaultGridColor="true" view="normal" topLeftCell="A13" colorId="64" zoomScale="181" zoomScaleNormal="181" zoomScalePageLayoutView="100" workbookViewId="0">
      <selection pane="topLeft" activeCell="K47" activeCellId="0" sqref="K47"/>
    </sheetView>
  </sheetViews>
  <sheetFormatPr defaultColWidth="7.1484375" defaultRowHeight="15" customHeight="true" zeroHeight="false" outlineLevelRow="0" outlineLevelCol="0"/>
  <cols>
    <col collapsed="false" customWidth="true" hidden="false" outlineLevel="0" max="1" min="1" style="6" width="15.14"/>
    <col collapsed="false" customWidth="true" hidden="false" outlineLevel="0" max="2" min="2" style="6" width="25"/>
    <col collapsed="false" customWidth="true" hidden="false" outlineLevel="0" max="3" min="3" style="6" width="3.15"/>
    <col collapsed="false" customWidth="true" hidden="false" outlineLevel="0" max="4" min="4" style="6" width="13"/>
    <col collapsed="false" customWidth="true" hidden="false" outlineLevel="0" max="5" min="5" style="6" width="10.57"/>
  </cols>
  <sheetData>
    <row r="1" customFormat="false" ht="15" hidden="false" customHeight="false" outlineLevel="0" collapsed="false">
      <c r="A1" s="6" t="s">
        <v>4995</v>
      </c>
      <c r="B1" s="1340" t="n">
        <f aca="false">DoB</f>
        <v>26133.3841435185</v>
      </c>
    </row>
    <row r="2" customFormat="false" ht="15" hidden="false" customHeight="false" outlineLevel="0" collapsed="false">
      <c r="B2" s="1340"/>
      <c r="D2" s="6" t="s">
        <v>4996</v>
      </c>
      <c r="E2" s="6" t="s">
        <v>4997</v>
      </c>
      <c r="F2" s="6" t="s">
        <v>4998</v>
      </c>
    </row>
    <row r="3" customFormat="false" ht="15" hidden="false" customHeight="false" outlineLevel="0" collapsed="false">
      <c r="A3" s="6" t="s">
        <v>4999</v>
      </c>
      <c r="B3" s="1341" t="n">
        <f aca="true">NOW()+(D3*365.2425)+E3*30+F3</f>
        <v>45951.4616943046</v>
      </c>
      <c r="C3" s="1342"/>
      <c r="D3" s="1343"/>
      <c r="E3" s="1343"/>
      <c r="F3" s="1343"/>
    </row>
    <row r="4" customFormat="false" ht="15" hidden="false" customHeight="false" outlineLevel="0" collapsed="false">
      <c r="A4" s="6" t="s">
        <v>5000</v>
      </c>
      <c r="B4" s="17" t="n">
        <f aca="false">(B3-B1)/365.2425</f>
        <v>54.2600533913389</v>
      </c>
    </row>
    <row r="5" customFormat="false" ht="15" hidden="false" customHeight="false" outlineLevel="0" collapsed="false">
      <c r="B5" s="17"/>
    </row>
    <row r="6" customFormat="false" ht="15" hidden="false" customHeight="false" outlineLevel="0" collapsed="false">
      <c r="A6" s="39" t="s">
        <v>5001</v>
      </c>
      <c r="B6" s="1344" t="s">
        <v>876</v>
      </c>
      <c r="C6" s="39" t="s">
        <v>5002</v>
      </c>
      <c r="D6" s="39" t="s">
        <v>876</v>
      </c>
      <c r="E6" s="39" t="s">
        <v>5003</v>
      </c>
    </row>
    <row r="7" customFormat="false" ht="15" hidden="false" customHeight="false" outlineLevel="0" collapsed="false">
      <c r="A7" s="6" t="s">
        <v>5004</v>
      </c>
      <c r="B7" s="17" t="n">
        <f aca="false">SunDeg</f>
        <v>92.3992027777778</v>
      </c>
      <c r="C7" s="6" t="str">
        <f aca="false">INDEX(RsInfo,INT(B7/30)+2,1)</f>
        <v>Cn</v>
      </c>
      <c r="D7" s="1345" t="n">
        <f aca="false">MOD(B7,30)</f>
        <v>2.39920277777777</v>
      </c>
      <c r="E7" s="53" t="n">
        <f aca="false">MOD(D7*60,60)</f>
        <v>23.9521666666664</v>
      </c>
    </row>
    <row r="8" customFormat="false" ht="15" hidden="false" customHeight="false" outlineLevel="0" collapsed="false">
      <c r="A8" s="6" t="s">
        <v>5005</v>
      </c>
      <c r="B8" s="17" t="n">
        <f aca="false">MOD(Age*360+SunDeg,360)</f>
        <v>186.018423659789</v>
      </c>
      <c r="C8" s="6" t="str">
        <f aca="false">INDEX(RsInfo,INT(B8/30)+2,1)</f>
        <v>Li</v>
      </c>
      <c r="D8" s="1345" t="n">
        <f aca="false">MOD(B8,30)</f>
        <v>6.01842365978882</v>
      </c>
      <c r="E8" s="53" t="n">
        <f aca="false">MOD(D8*60,60)</f>
        <v>1.10541958732938</v>
      </c>
    </row>
    <row r="9" customFormat="false" ht="15" hidden="false" customHeight="false" outlineLevel="0" collapsed="false">
      <c r="A9" s="6" t="s">
        <v>168</v>
      </c>
      <c r="B9" s="17" t="n">
        <f aca="false">MOD(Age*3.333+SunDeg,360)</f>
        <v>273.24796073111</v>
      </c>
      <c r="C9" s="6" t="str">
        <f aca="false">INDEX(RsInfo,INT(B9/30)+2,1)</f>
        <v>Cp</v>
      </c>
      <c r="D9" s="1345" t="n">
        <f aca="false">MOD(B9,30)</f>
        <v>3.24796073111042</v>
      </c>
      <c r="E9" s="53" t="n">
        <f aca="false">MOD(D9*60,60)</f>
        <v>14.8776438666255</v>
      </c>
    </row>
    <row r="10" customFormat="false" ht="15" hidden="false" customHeight="false" outlineLevel="0" collapsed="false">
      <c r="A10" s="6" t="s">
        <v>5006</v>
      </c>
      <c r="B10" s="17" t="n">
        <f aca="false">MOD(Age*3+SunDeg,360)</f>
        <v>255.179362951795</v>
      </c>
      <c r="C10" s="6" t="str">
        <f aca="false">INDEX(RsInfo,INT(B10/30)+2,1)</f>
        <v>Sg</v>
      </c>
      <c r="D10" s="1345" t="n">
        <f aca="false">MOD(B10,30)</f>
        <v>15.1793629517945</v>
      </c>
      <c r="E10" s="53" t="n">
        <f aca="false">MOD(D10*60,60)</f>
        <v>10.7617771076718</v>
      </c>
    </row>
    <row r="11" customFormat="false" ht="15" hidden="false" customHeight="false" outlineLevel="0" collapsed="false">
      <c r="A11" s="351" t="n">
        <v>7</v>
      </c>
      <c r="B11" s="17" t="n">
        <f aca="false">MOD(Age*(30/A11)+SunDeg,360)</f>
        <v>324.942288740659</v>
      </c>
      <c r="C11" s="6" t="str">
        <f aca="false">INDEX(RsInfo,INT(B11/30)+2,1)</f>
        <v>Aq</v>
      </c>
      <c r="D11" s="1345" t="n">
        <f aca="false">MOD(B11,30)</f>
        <v>24.9422887406589</v>
      </c>
      <c r="E11" s="53" t="n">
        <f aca="false">MOD(D11*60,60)</f>
        <v>56.5373244395312</v>
      </c>
    </row>
    <row r="12" customFormat="false" ht="15" hidden="false" customHeight="false" outlineLevel="0" collapsed="false">
      <c r="A12" s="351" t="n">
        <v>20</v>
      </c>
      <c r="B12" s="17" t="n">
        <f aca="false">MOD(Age*(30/A12)+SunDeg,360)</f>
        <v>173.789282864786</v>
      </c>
      <c r="C12" s="6" t="str">
        <f aca="false">INDEX(RsInfo,INT(B12/30)+2,1)</f>
        <v>Vi</v>
      </c>
      <c r="D12" s="1345" t="n">
        <f aca="false">MOD(B12,30)</f>
        <v>23.7892828647862</v>
      </c>
      <c r="E12" s="53" t="n">
        <f aca="false">MOD(D12*60,60)</f>
        <v>47.3569718871704</v>
      </c>
    </row>
    <row r="13" customFormat="false" ht="15" hidden="false" customHeight="false" outlineLevel="0" collapsed="false">
      <c r="A13" s="351" t="n">
        <v>24</v>
      </c>
      <c r="B13" s="17" t="n">
        <f aca="false">MOD(Age*(30/A13)+SunDeg,360)</f>
        <v>160.224269516951</v>
      </c>
      <c r="C13" s="6" t="str">
        <f aca="false">INDEX(RsInfo,INT(B13/30)+2,1)</f>
        <v>Vi</v>
      </c>
      <c r="D13" s="1345" t="n">
        <f aca="false">MOD(B13,30)</f>
        <v>10.2242695169514</v>
      </c>
      <c r="E13" s="53" t="n">
        <f aca="false">MOD(D13*60,60)</f>
        <v>13.4561710170863</v>
      </c>
    </row>
    <row r="14" customFormat="false" ht="15" hidden="false" customHeight="false" outlineLevel="0" collapsed="false">
      <c r="A14" s="351" t="n">
        <v>1</v>
      </c>
      <c r="B14" s="17" t="n">
        <f aca="false">MOD(Age*(30/A14)+SunDeg,360)</f>
        <v>280.200804517945</v>
      </c>
      <c r="C14" s="6" t="str">
        <f aca="false">INDEX(RsInfo,INT(B14/30)+2,1)</f>
        <v>Cp</v>
      </c>
      <c r="D14" s="1345" t="n">
        <f aca="false">MOD(B14,30)</f>
        <v>10.2008045179455</v>
      </c>
      <c r="E14" s="53" t="n">
        <f aca="false">MOD(D14*60,60)</f>
        <v>12.0482710767283</v>
      </c>
    </row>
    <row r="15" customFormat="false" ht="15" hidden="false" customHeight="false" outlineLevel="0" collapsed="false">
      <c r="A15" s="351" t="n">
        <v>30</v>
      </c>
      <c r="B15" s="17" t="n">
        <f aca="false">MOD(Age*(30/A15)+SunDeg,360)</f>
        <v>146.659256169117</v>
      </c>
      <c r="C15" s="6" t="str">
        <f aca="false">INDEX(RsInfo,INT(B15/30)+2,1)</f>
        <v>Le</v>
      </c>
      <c r="D15" s="1345" t="n">
        <f aca="false">MOD(B15,30)</f>
        <v>26.6592561691167</v>
      </c>
      <c r="E15" s="53" t="n">
        <f aca="false">MOD(D15*60,60)</f>
        <v>39.5553701470021</v>
      </c>
    </row>
    <row r="16" customFormat="false" ht="15" hidden="false" customHeight="false" outlineLevel="0" collapsed="false">
      <c r="A16" s="351" t="n">
        <v>12</v>
      </c>
      <c r="B16" s="17" t="n">
        <f aca="false">MOD(Age*(30/A16)+SunDeg,360)</f>
        <v>228.049336256125</v>
      </c>
      <c r="C16" s="6" t="str">
        <f aca="false">INDEX(RsInfo,INT(B16/30)+2,1)</f>
        <v>Sc</v>
      </c>
      <c r="D16" s="1345" t="n">
        <f aca="false">MOD(B16,30)</f>
        <v>18.0493362561251</v>
      </c>
      <c r="E16" s="53" t="n">
        <f aca="false">MOD(D16*60,60)</f>
        <v>2.96017536750355</v>
      </c>
    </row>
    <row r="17" customFormat="false" ht="15" hidden="false" customHeight="false" outlineLevel="0" collapsed="false">
      <c r="B17" s="17"/>
      <c r="D17" s="1345"/>
      <c r="E17" s="53"/>
    </row>
    <row r="18" customFormat="false" ht="15" hidden="false" customHeight="false" outlineLevel="0" collapsed="false">
      <c r="A18" s="6" t="s">
        <v>386</v>
      </c>
      <c r="B18" s="6" t="s">
        <v>5007</v>
      </c>
    </row>
    <row r="19" customFormat="false" ht="15" hidden="false" customHeight="false" outlineLevel="0" collapsed="false">
      <c r="A19" s="35" t="str">
        <f aca="false">Basics!A7</f>
        <v>Lagna</v>
      </c>
      <c r="B19" s="1346" t="str">
        <f aca="false">Basics!B7</f>
        <v>16</v>
      </c>
      <c r="C19" s="35" t="str">
        <f aca="false">Basics!C7</f>
        <v>Le</v>
      </c>
      <c r="D19" s="26" t="n">
        <f aca="false">Basics!D7</f>
        <v>42.691</v>
      </c>
    </row>
    <row r="20" customFormat="false" ht="15" hidden="false" customHeight="false" outlineLevel="0" collapsed="false">
      <c r="A20" s="35" t="str">
        <f aca="false">Basics!A8</f>
        <v>Sun</v>
      </c>
      <c r="B20" s="1346" t="str">
        <f aca="false">Basics!B8</f>
        <v> 2</v>
      </c>
      <c r="C20" s="35" t="str">
        <f aca="false">Basics!C8</f>
        <v>Cn</v>
      </c>
      <c r="D20" s="26" t="n">
        <f aca="false">Basics!D8</f>
        <v>23.9521666666667</v>
      </c>
    </row>
    <row r="21" customFormat="false" ht="15" hidden="false" customHeight="false" outlineLevel="0" collapsed="false">
      <c r="A21" s="35" t="str">
        <f aca="false">Basics!A9</f>
        <v>Moon</v>
      </c>
      <c r="B21" s="35" t="str">
        <f aca="false">Basics!B9</f>
        <v>23</v>
      </c>
      <c r="C21" s="35" t="str">
        <f aca="false">Basics!C9</f>
        <v>Ta</v>
      </c>
      <c r="D21" s="26" t="n">
        <f aca="false">Basics!D9</f>
        <v>0.956666666666667</v>
      </c>
    </row>
    <row r="22" customFormat="false" ht="15" hidden="false" customHeight="false" outlineLevel="0" collapsed="false">
      <c r="A22" s="35" t="str">
        <f aca="false">Basics!A10</f>
        <v>Mars</v>
      </c>
      <c r="B22" s="35" t="str">
        <f aca="false">Basics!B10</f>
        <v>28</v>
      </c>
      <c r="C22" s="35" t="str">
        <f aca="false">Basics!C10</f>
        <v>Cp</v>
      </c>
      <c r="D22" s="26" t="n">
        <f aca="false">Basics!D10</f>
        <v>6.51983333333333</v>
      </c>
    </row>
    <row r="23" customFormat="false" ht="15" hidden="false" customHeight="false" outlineLevel="0" collapsed="false">
      <c r="A23" s="35" t="str">
        <f aca="false">Basics!A11</f>
        <v>Mercury</v>
      </c>
      <c r="B23" s="35" t="str">
        <f aca="false">Basics!B11</f>
        <v>27</v>
      </c>
      <c r="C23" s="35" t="str">
        <f aca="false">Basics!C11</f>
        <v>Cn</v>
      </c>
      <c r="D23" s="26" t="n">
        <f aca="false">Basics!D11</f>
        <v>7.78716666666667</v>
      </c>
    </row>
    <row r="24" customFormat="false" ht="15" hidden="false" customHeight="false" outlineLevel="0" collapsed="false">
      <c r="A24" s="35" t="str">
        <f aca="false">Basics!A12</f>
        <v>Jupiter</v>
      </c>
      <c r="B24" s="35" t="str">
        <f aca="false">Basics!B12</f>
        <v> 3</v>
      </c>
      <c r="C24" s="35" t="str">
        <f aca="false">Basics!C12</f>
        <v>Sc</v>
      </c>
      <c r="D24" s="26" t="n">
        <f aca="false">Basics!D12</f>
        <v>11.8305</v>
      </c>
    </row>
    <row r="25" customFormat="false" ht="15" hidden="false" customHeight="false" outlineLevel="0" collapsed="false">
      <c r="A25" s="35" t="str">
        <f aca="false">Basics!A13</f>
        <v>Venus</v>
      </c>
      <c r="B25" s="35" t="str">
        <f aca="false">Basics!B13</f>
        <v>21</v>
      </c>
      <c r="C25" s="35" t="str">
        <f aca="false">Basics!C13</f>
        <v>Ge</v>
      </c>
      <c r="D25" s="26" t="n">
        <f aca="false">Basics!D13</f>
        <v>32.4361666666667</v>
      </c>
    </row>
    <row r="26" customFormat="false" ht="15" hidden="false" customHeight="false" outlineLevel="0" collapsed="false">
      <c r="A26" s="35" t="str">
        <f aca="false">Basics!A14</f>
        <v>Saturn</v>
      </c>
      <c r="B26" s="35" t="str">
        <f aca="false">Basics!B14</f>
        <v> 9</v>
      </c>
      <c r="C26" s="35" t="str">
        <f aca="false">Basics!C14</f>
        <v>Ta</v>
      </c>
      <c r="D26" s="26" t="n">
        <f aca="false">Basics!D14</f>
        <v>53.1126666666667</v>
      </c>
    </row>
    <row r="27" customFormat="false" ht="15" hidden="false" customHeight="false" outlineLevel="0" collapsed="false">
      <c r="A27" s="35" t="str">
        <f aca="false">Basics!A15</f>
        <v>Rahu</v>
      </c>
      <c r="B27" s="35" t="str">
        <f aca="false">Basics!B15</f>
        <v>21</v>
      </c>
      <c r="C27" s="35" t="str">
        <f aca="false">Basics!C15</f>
        <v>Cp</v>
      </c>
      <c r="D27" s="26" t="n">
        <f aca="false">Basics!D15</f>
        <v>58.0343333333333</v>
      </c>
    </row>
    <row r="28" customFormat="false" ht="15" hidden="false" customHeight="false" outlineLevel="0" collapsed="false">
      <c r="A28" s="35" t="str">
        <f aca="false">Basics!A16</f>
        <v>Ketu</v>
      </c>
      <c r="B28" s="35" t="str">
        <f aca="false">Basics!B16</f>
        <v>21</v>
      </c>
      <c r="C28" s="35" t="str">
        <f aca="false">Basics!C16</f>
        <v>Cn</v>
      </c>
      <c r="D28" s="26" t="n">
        <f aca="false">Basics!D16</f>
        <v>58.0343333333333</v>
      </c>
    </row>
    <row r="29" customFormat="false" ht="15" hidden="false" customHeight="false" outlineLevel="0" collapsed="false">
      <c r="A29" s="35" t="str">
        <f aca="false">Basics!A17</f>
        <v>Maandi</v>
      </c>
      <c r="B29" s="35" t="str">
        <f aca="false">Basics!B17</f>
        <v> 8</v>
      </c>
      <c r="C29" s="35" t="str">
        <f aca="false">Basics!C17</f>
        <v>Sc</v>
      </c>
      <c r="D29" s="26" t="n">
        <f aca="false">Basics!D17</f>
        <v>13.9301666666667</v>
      </c>
    </row>
    <row r="30" customFormat="false" ht="15" hidden="false" customHeight="false" outlineLevel="0" collapsed="false">
      <c r="A30" s="35" t="str">
        <f aca="false">Basics!A18</f>
        <v>Gulika</v>
      </c>
      <c r="B30" s="35" t="str">
        <f aca="false">Basics!B18</f>
        <v>19</v>
      </c>
      <c r="C30" s="35" t="str">
        <f aca="false">Basics!C18</f>
        <v>Sc</v>
      </c>
      <c r="D30" s="26" t="n">
        <f aca="false">Basics!D18</f>
        <v>6.24616666666667</v>
      </c>
    </row>
    <row r="31" customFormat="false" ht="15" hidden="false" customHeight="false" outlineLevel="0" collapsed="false">
      <c r="A31" s="35" t="str">
        <f aca="false">Basics!A19</f>
        <v>Bhava</v>
      </c>
      <c r="B31" s="35" t="str">
        <f aca="false">Basics!B19</f>
        <v>19</v>
      </c>
      <c r="C31" s="35" t="str">
        <f aca="false">Basics!C19</f>
        <v>Le</v>
      </c>
      <c r="D31" s="26" t="n">
        <f aca="false">Basics!D19</f>
        <v>52.1816666666667</v>
      </c>
    </row>
    <row r="32" customFormat="false" ht="15" hidden="false" customHeight="false" outlineLevel="0" collapsed="false">
      <c r="A32" s="35" t="str">
        <f aca="false">Basics!A20</f>
        <v>Hora</v>
      </c>
      <c r="B32" s="35" t="str">
        <f aca="false">Basics!B20</f>
        <v> 7</v>
      </c>
      <c r="C32" s="35" t="str">
        <f aca="false">Basics!C20</f>
        <v>Li</v>
      </c>
      <c r="D32" s="26" t="n">
        <f aca="false">Basics!D20</f>
        <v>20.4113333333333</v>
      </c>
    </row>
    <row r="33" customFormat="false" ht="15" hidden="false" customHeight="false" outlineLevel="0" collapsed="false">
      <c r="A33" s="35" t="str">
        <f aca="false">Basics!A21</f>
        <v>Ghati</v>
      </c>
      <c r="B33" s="35" t="str">
        <f aca="false">Basics!B21</f>
        <v>29</v>
      </c>
      <c r="C33" s="35" t="str">
        <f aca="false">Basics!C21</f>
        <v>Aq</v>
      </c>
      <c r="D33" s="26" t="n">
        <f aca="false">Basics!D21</f>
        <v>45.0998333333333</v>
      </c>
    </row>
    <row r="34" customFormat="false" ht="15" hidden="false" customHeight="false" outlineLevel="0" collapsed="false">
      <c r="A34" s="35" t="str">
        <f aca="false">Basics!A22</f>
        <v>Vighati</v>
      </c>
      <c r="B34" s="35" t="str">
        <f aca="false">Basics!B22</f>
        <v>21</v>
      </c>
      <c r="C34" s="35" t="str">
        <f aca="false">Basics!C22</f>
        <v>Aq</v>
      </c>
      <c r="D34" s="26" t="n">
        <f aca="false">Basics!D22</f>
        <v>48.543</v>
      </c>
    </row>
    <row r="35" customFormat="false" ht="15" hidden="false" customHeight="false" outlineLevel="0" collapsed="false">
      <c r="A35" s="35" t="str">
        <f aca="false">Basics!A23</f>
        <v>Varnada</v>
      </c>
      <c r="B35" s="35" t="str">
        <f aca="false">Basics!B23</f>
        <v>16</v>
      </c>
      <c r="C35" s="35" t="str">
        <f aca="false">Basics!C23</f>
        <v>Pi</v>
      </c>
      <c r="D35" s="26" t="n">
        <f aca="false">Basics!D23</f>
        <v>42.691</v>
      </c>
    </row>
    <row r="36" customFormat="false" ht="15" hidden="false" customHeight="false" outlineLevel="0" collapsed="false">
      <c r="A36" s="35" t="str">
        <f aca="false">Basics!A24</f>
        <v>Sree</v>
      </c>
      <c r="B36" s="35" t="str">
        <f aca="false">Basics!B24</f>
        <v> 8</v>
      </c>
      <c r="C36" s="35" t="str">
        <f aca="false">Basics!C24</f>
        <v>Le</v>
      </c>
      <c r="D36" s="26" t="n">
        <f aca="false">Basics!D24</f>
        <v>8.519</v>
      </c>
    </row>
    <row r="37" customFormat="false" ht="15" hidden="false" customHeight="false" outlineLevel="0" collapsed="false">
      <c r="A37" s="35" t="str">
        <f aca="false">Basics!A25</f>
        <v>Pranapada</v>
      </c>
      <c r="B37" s="35" t="str">
        <f aca="false">Basics!B25</f>
        <v>21</v>
      </c>
      <c r="C37" s="35" t="str">
        <f aca="false">Basics!C25</f>
        <v>Aq</v>
      </c>
      <c r="D37" s="26" t="n">
        <f aca="false">Basics!D25</f>
        <v>48.543</v>
      </c>
    </row>
    <row r="38" customFormat="false" ht="15" hidden="false" customHeight="false" outlineLevel="0" collapsed="false">
      <c r="A38" s="35" t="str">
        <f aca="false">Basics!A26</f>
        <v>Indu</v>
      </c>
      <c r="B38" s="35" t="str">
        <f aca="false">Basics!B26</f>
        <v>23</v>
      </c>
      <c r="C38" s="35" t="str">
        <f aca="false">Basics!C26</f>
        <v>Sc</v>
      </c>
      <c r="D38" s="26" t="n">
        <f aca="false">Basics!D26</f>
        <v>0.956666666666667</v>
      </c>
    </row>
    <row r="39" customFormat="false" ht="15" hidden="false" customHeight="false" outlineLevel="0" collapsed="false">
      <c r="A39" s="35" t="str">
        <f aca="false">Basics!A27</f>
        <v>Bhrigu</v>
      </c>
      <c r="B39" s="35" t="str">
        <f aca="false">Basics!B27</f>
        <v>22</v>
      </c>
      <c r="C39" s="35" t="str">
        <f aca="false">Basics!C27</f>
        <v>Pi</v>
      </c>
      <c r="D39" s="26" t="n">
        <f aca="false">Basics!D27</f>
        <v>29.4955</v>
      </c>
    </row>
    <row r="40" customFormat="false" ht="15" hidden="false" customHeight="false" outlineLevel="0" collapsed="false">
      <c r="A40" s="35" t="str">
        <f aca="false">Basics!A28</f>
        <v>Dhooma</v>
      </c>
      <c r="B40" s="35" t="str">
        <f aca="false">Basics!B28</f>
        <v>15</v>
      </c>
      <c r="C40" s="35" t="str">
        <f aca="false">Basics!C28</f>
        <v>Sc</v>
      </c>
      <c r="D40" s="26" t="n">
        <f aca="false">Basics!D28</f>
        <v>43.9521666666667</v>
      </c>
    </row>
    <row r="41" customFormat="false" ht="15" hidden="false" customHeight="false" outlineLevel="0" collapsed="false">
      <c r="A41" s="35" t="str">
        <f aca="false">Basics!A29</f>
        <v>Vyatipata</v>
      </c>
      <c r="B41" s="35" t="str">
        <f aca="false">Basics!B29</f>
        <v>14</v>
      </c>
      <c r="C41" s="35" t="str">
        <f aca="false">Basics!C29</f>
        <v>Le</v>
      </c>
      <c r="D41" s="26" t="n">
        <f aca="false">Basics!D29</f>
        <v>16.0478333333333</v>
      </c>
    </row>
    <row r="42" customFormat="false" ht="15" hidden="false" customHeight="false" outlineLevel="0" collapsed="false">
      <c r="A42" s="35" t="str">
        <f aca="false">Basics!A30</f>
        <v>Parivesha</v>
      </c>
      <c r="B42" s="35" t="str">
        <f aca="false">Basics!B30</f>
        <v>14</v>
      </c>
      <c r="C42" s="35" t="str">
        <f aca="false">Basics!C30</f>
        <v>Aq</v>
      </c>
      <c r="D42" s="26" t="n">
        <f aca="false">Basics!D30</f>
        <v>16.0478333333333</v>
      </c>
    </row>
    <row r="43" customFormat="false" ht="15" hidden="false" customHeight="false" outlineLevel="0" collapsed="false">
      <c r="A43" s="1343" t="s">
        <v>1042</v>
      </c>
      <c r="B43" s="1343" t="n">
        <v>5</v>
      </c>
      <c r="C43" s="1343" t="s">
        <v>699</v>
      </c>
      <c r="D43" s="1343" t="n">
        <v>33</v>
      </c>
    </row>
    <row r="44" customFormat="false" ht="15" hidden="false" customHeight="false" outlineLevel="0" collapsed="false">
      <c r="A44" s="1343" t="s">
        <v>5008</v>
      </c>
      <c r="B44" s="1343" t="n">
        <v>11</v>
      </c>
      <c r="C44" s="1343" t="s">
        <v>701</v>
      </c>
      <c r="D44" s="1343" t="n">
        <v>57</v>
      </c>
    </row>
    <row r="45" customFormat="false" ht="15" hidden="false" customHeight="false" outlineLevel="0" collapsed="false">
      <c r="A45" s="1343" t="s">
        <v>5009</v>
      </c>
      <c r="B45" s="1343" t="n">
        <v>25</v>
      </c>
      <c r="C45" s="1343" t="s">
        <v>694</v>
      </c>
      <c r="D45" s="1343" t="n">
        <v>18</v>
      </c>
    </row>
    <row r="46" customFormat="false" ht="15" hidden="false" customHeight="false" outlineLevel="0" collapsed="false">
      <c r="A46" s="1343" t="s">
        <v>282</v>
      </c>
      <c r="B46" s="1343" t="n">
        <v>4</v>
      </c>
      <c r="C46" s="1343" t="s">
        <v>706</v>
      </c>
      <c r="D46" s="1343" t="n">
        <v>51</v>
      </c>
    </row>
    <row r="47" customFormat="false" ht="15" hidden="false" customHeight="false" outlineLevel="0" collapsed="false">
      <c r="A47" s="1343" t="s">
        <v>4322</v>
      </c>
      <c r="B47" s="1343" t="n">
        <v>13</v>
      </c>
      <c r="C47" s="1343" t="s">
        <v>703</v>
      </c>
      <c r="D47" s="1343" t="n">
        <v>0</v>
      </c>
    </row>
    <row r="48" customFormat="false" ht="15" hidden="false" customHeight="false" outlineLevel="0" collapsed="false">
      <c r="A48" s="1343" t="s">
        <v>4325</v>
      </c>
      <c r="B48" s="1343" t="n">
        <v>27</v>
      </c>
      <c r="C48" s="1343" t="s">
        <v>711</v>
      </c>
      <c r="D48" s="1343" t="n">
        <v>45</v>
      </c>
    </row>
    <row r="49" customFormat="false" ht="15" hidden="false" customHeight="false" outlineLevel="0" collapsed="false">
      <c r="A49" s="1343" t="s">
        <v>4328</v>
      </c>
      <c r="B49" s="1343" t="n">
        <v>14</v>
      </c>
      <c r="C49" s="1343" t="s">
        <v>695</v>
      </c>
      <c r="D49" s="1343" t="n">
        <v>34</v>
      </c>
    </row>
    <row r="50" customFormat="false" ht="15" hidden="false" customHeight="false" outlineLevel="0" collapsed="false">
      <c r="A50" s="1343" t="s">
        <v>5010</v>
      </c>
      <c r="B50" s="1343" t="n">
        <v>10</v>
      </c>
      <c r="C50" s="1343" t="s">
        <v>706</v>
      </c>
      <c r="D50" s="1343" t="n">
        <v>33</v>
      </c>
    </row>
    <row r="51" customFormat="false" ht="15" hidden="false" customHeight="false" outlineLevel="0" collapsed="false">
      <c r="A51" s="1343" t="s">
        <v>4336</v>
      </c>
      <c r="B51" s="1343" t="n">
        <v>25</v>
      </c>
      <c r="C51" s="1343" t="s">
        <v>689</v>
      </c>
      <c r="D51" s="1343" t="n">
        <v>18</v>
      </c>
    </row>
    <row r="52" customFormat="false" ht="15" hidden="false" customHeight="false" outlineLevel="0" collapsed="false">
      <c r="A52" s="1343" t="s">
        <v>5011</v>
      </c>
      <c r="B52" s="1343" t="n">
        <v>0</v>
      </c>
      <c r="C52" s="1343" t="s">
        <v>701</v>
      </c>
      <c r="D52" s="1343" t="n">
        <v>3</v>
      </c>
    </row>
    <row r="53" customFormat="false" ht="15" hidden="false" customHeight="false" outlineLevel="0" collapsed="false">
      <c r="A53" s="1343" t="s">
        <v>4342</v>
      </c>
      <c r="B53" s="1343" t="n">
        <v>0</v>
      </c>
      <c r="C53" s="1343" t="s">
        <v>701</v>
      </c>
      <c r="D53" s="1343" t="n">
        <v>3</v>
      </c>
    </row>
    <row r="54" customFormat="false" ht="15" hidden="false" customHeight="false" outlineLevel="0" collapsed="false">
      <c r="A54" s="1343" t="s">
        <v>5012</v>
      </c>
      <c r="B54" s="1343" t="n">
        <v>16</v>
      </c>
      <c r="C54" s="1343" t="s">
        <v>699</v>
      </c>
      <c r="D54" s="1343" t="n">
        <v>13</v>
      </c>
    </row>
    <row r="55" customFormat="false" ht="15" hidden="false" customHeight="false" outlineLevel="0" collapsed="false">
      <c r="A55" s="1343" t="s">
        <v>4347</v>
      </c>
      <c r="B55" s="1343" t="n">
        <v>5</v>
      </c>
      <c r="C55" s="1343" t="s">
        <v>703</v>
      </c>
      <c r="D55" s="1343" t="n">
        <v>4</v>
      </c>
    </row>
    <row r="56" customFormat="false" ht="15" hidden="false" customHeight="false" outlineLevel="0" collapsed="false">
      <c r="A56" s="1343" t="s">
        <v>4160</v>
      </c>
      <c r="B56" s="1343" t="n">
        <v>6</v>
      </c>
      <c r="C56" s="1343" t="s">
        <v>711</v>
      </c>
      <c r="D56" s="1343" t="n">
        <v>56</v>
      </c>
    </row>
    <row r="57" customFormat="false" ht="15" hidden="false" customHeight="false" outlineLevel="0" collapsed="false">
      <c r="A57" s="1343" t="s">
        <v>256</v>
      </c>
      <c r="B57" s="1343" t="n">
        <v>7</v>
      </c>
      <c r="C57" s="1343" t="s">
        <v>699</v>
      </c>
      <c r="D57" s="1343" t="n">
        <v>59</v>
      </c>
    </row>
    <row r="58" customFormat="false" ht="15" hidden="false" customHeight="false" outlineLevel="0" collapsed="false">
      <c r="A58" s="1343" t="s">
        <v>4354</v>
      </c>
      <c r="B58" s="1343" t="n">
        <v>21</v>
      </c>
      <c r="C58" s="1343" t="s">
        <v>711</v>
      </c>
      <c r="D58" s="1343" t="n">
        <v>43</v>
      </c>
    </row>
    <row r="59" customFormat="false" ht="15" hidden="false" customHeight="false" outlineLevel="0" collapsed="false">
      <c r="A59" s="1343" t="s">
        <v>910</v>
      </c>
      <c r="B59" s="1343" t="n">
        <v>14</v>
      </c>
      <c r="C59" s="1343" t="s">
        <v>695</v>
      </c>
      <c r="D59" s="1343" t="n">
        <v>34</v>
      </c>
    </row>
    <row r="60" customFormat="false" ht="15" hidden="false" customHeight="false" outlineLevel="0" collapsed="false">
      <c r="A60" s="1343" t="s">
        <v>4359</v>
      </c>
      <c r="B60" s="1343" t="n">
        <v>18</v>
      </c>
      <c r="C60" s="1343" t="s">
        <v>709</v>
      </c>
      <c r="D60" s="1343" t="n">
        <v>51</v>
      </c>
    </row>
    <row r="61" customFormat="false" ht="15" hidden="false" customHeight="false" outlineLevel="0" collapsed="false">
      <c r="A61" s="1343" t="s">
        <v>4362</v>
      </c>
      <c r="B61" s="1343" t="n">
        <v>0</v>
      </c>
      <c r="C61" s="1343" t="s">
        <v>711</v>
      </c>
      <c r="D61" s="1343" t="n">
        <v>0</v>
      </c>
    </row>
    <row r="62" customFormat="false" ht="15" hidden="false" customHeight="false" outlineLevel="0" collapsed="false">
      <c r="A62" s="1343" t="s">
        <v>1327</v>
      </c>
      <c r="B62" s="1343" t="n">
        <v>21</v>
      </c>
      <c r="C62" s="1343" t="s">
        <v>689</v>
      </c>
      <c r="D62" s="1343" t="n">
        <v>43</v>
      </c>
    </row>
    <row r="63" customFormat="false" ht="15" hidden="false" customHeight="false" outlineLevel="0" collapsed="false">
      <c r="A63" s="1343" t="s">
        <v>4367</v>
      </c>
      <c r="B63" s="1343" t="n">
        <v>10</v>
      </c>
      <c r="C63" s="1343" t="s">
        <v>689</v>
      </c>
      <c r="D63" s="1343" t="n">
        <v>23</v>
      </c>
    </row>
    <row r="64" customFormat="false" ht="15" hidden="false" customHeight="false" outlineLevel="0" collapsed="false">
      <c r="A64" s="1343" t="s">
        <v>1383</v>
      </c>
      <c r="B64" s="1343" t="n">
        <v>14</v>
      </c>
      <c r="C64" s="1343" t="s">
        <v>701</v>
      </c>
      <c r="D64" s="1343" t="n">
        <v>11</v>
      </c>
    </row>
    <row r="65" customFormat="false" ht="15" hidden="false" customHeight="false" outlineLevel="0" collapsed="false">
      <c r="A65" s="1343" t="s">
        <v>4372</v>
      </c>
      <c r="B65" s="1343" t="n">
        <v>13</v>
      </c>
      <c r="C65" s="1343" t="s">
        <v>689</v>
      </c>
      <c r="D65" s="1343" t="n">
        <v>4</v>
      </c>
    </row>
    <row r="66" customFormat="false" ht="15" hidden="false" customHeight="false" outlineLevel="0" collapsed="false">
      <c r="A66" s="1343" t="s">
        <v>4375</v>
      </c>
      <c r="B66" s="1343" t="n">
        <v>17</v>
      </c>
      <c r="C66" s="1343" t="s">
        <v>706</v>
      </c>
      <c r="D66" s="1343" t="n">
        <v>29</v>
      </c>
    </row>
    <row r="67" customFormat="false" ht="15" hidden="false" customHeight="false" outlineLevel="0" collapsed="false">
      <c r="A67" s="1343" t="s">
        <v>4378</v>
      </c>
      <c r="B67" s="1343" t="n">
        <v>26</v>
      </c>
      <c r="C67" s="1343" t="s">
        <v>701</v>
      </c>
      <c r="D67" s="1343" t="n">
        <v>36</v>
      </c>
    </row>
    <row r="68" customFormat="false" ht="15" hidden="false" customHeight="false" outlineLevel="0" collapsed="false">
      <c r="A68" s="1343" t="s">
        <v>4382</v>
      </c>
      <c r="B68" s="1343" t="n">
        <v>6</v>
      </c>
      <c r="C68" s="1343" t="s">
        <v>699</v>
      </c>
      <c r="D68" s="1343" t="n">
        <v>45</v>
      </c>
    </row>
    <row r="69" customFormat="false" ht="15" hidden="false" customHeight="false" outlineLevel="0" collapsed="false">
      <c r="A69" s="1343" t="s">
        <v>4385</v>
      </c>
      <c r="B69" s="1343" t="n">
        <v>18</v>
      </c>
      <c r="C69" s="1343" t="s">
        <v>694</v>
      </c>
      <c r="D69" s="1343" t="n">
        <v>15</v>
      </c>
    </row>
    <row r="70" customFormat="false" ht="15" hidden="false" customHeight="false" outlineLevel="0" collapsed="false">
      <c r="A70" s="1343" t="s">
        <v>4388</v>
      </c>
      <c r="B70" s="1343" t="n">
        <v>10</v>
      </c>
      <c r="C70" s="1343" t="s">
        <v>703</v>
      </c>
      <c r="D70" s="1343" t="n">
        <v>46</v>
      </c>
    </row>
    <row r="71" customFormat="false" ht="15" hidden="false" customHeight="false" outlineLevel="0" collapsed="false">
      <c r="A71" s="1343" t="s">
        <v>4391</v>
      </c>
      <c r="B71" s="1343" t="n">
        <v>7</v>
      </c>
      <c r="C71" s="1343" t="s">
        <v>699</v>
      </c>
      <c r="D71" s="1343" t="n">
        <v>3</v>
      </c>
    </row>
    <row r="72" customFormat="false" ht="15" hidden="false" customHeight="false" outlineLevel="0" collapsed="false">
      <c r="A72" s="1343" t="s">
        <v>4394</v>
      </c>
      <c r="B72" s="1343" t="n">
        <v>28</v>
      </c>
      <c r="C72" s="1343" t="s">
        <v>710</v>
      </c>
      <c r="D72" s="1343" t="n">
        <v>2</v>
      </c>
    </row>
    <row r="73" customFormat="false" ht="15" hidden="false" customHeight="false" outlineLevel="0" collapsed="false">
      <c r="A73" s="1343" t="s">
        <v>4397</v>
      </c>
      <c r="B73" s="1343" t="n">
        <v>19</v>
      </c>
      <c r="C73" s="1343" t="s">
        <v>708</v>
      </c>
      <c r="D73" s="1343" t="n">
        <v>44</v>
      </c>
    </row>
    <row r="74" customFormat="false" ht="15" hidden="false" customHeight="false" outlineLevel="0" collapsed="false">
      <c r="A74" s="1343" t="s">
        <v>4399</v>
      </c>
      <c r="B74" s="1343" t="n">
        <v>19</v>
      </c>
      <c r="C74" s="1343" t="s">
        <v>708</v>
      </c>
      <c r="D74" s="1343" t="n">
        <v>44</v>
      </c>
    </row>
    <row r="75" customFormat="false" ht="15" hidden="false" customHeight="false" outlineLevel="0" collapsed="false">
      <c r="A75" s="1343" t="s">
        <v>4401</v>
      </c>
      <c r="B75" s="1343" t="n">
        <v>18</v>
      </c>
      <c r="C75" s="1343" t="s">
        <v>703</v>
      </c>
      <c r="D75" s="1343" t="n">
        <v>27</v>
      </c>
    </row>
    <row r="76" customFormat="false" ht="15" hidden="false" customHeight="false" outlineLevel="0" collapsed="false">
      <c r="A76" s="1343" t="s">
        <v>4404</v>
      </c>
      <c r="B76" s="1343" t="n">
        <v>9</v>
      </c>
      <c r="C76" s="1343" t="s">
        <v>699</v>
      </c>
      <c r="D76" s="1343" t="n">
        <v>0</v>
      </c>
    </row>
    <row r="77" customFormat="false" ht="15" hidden="false" customHeight="false" outlineLevel="0" collapsed="false">
      <c r="A77" s="1343" t="s">
        <v>4407</v>
      </c>
      <c r="B77" s="1343" t="n">
        <v>1</v>
      </c>
      <c r="C77" s="1343" t="s">
        <v>689</v>
      </c>
      <c r="D77" s="1343" t="n">
        <v>12</v>
      </c>
    </row>
    <row r="78" customFormat="false" ht="15" hidden="false" customHeight="false" outlineLevel="0" collapsed="false">
      <c r="A78" s="1343" t="s">
        <v>4410</v>
      </c>
      <c r="B78" s="1343" t="n">
        <v>27</v>
      </c>
      <c r="C78" s="1343" t="s">
        <v>699</v>
      </c>
      <c r="D78" s="1343" t="n">
        <v>12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6"/>
  <sheetViews>
    <sheetView showFormulas="false" showGridLines="true" showRowColHeaders="true" showZeros="true" rightToLeft="false" tabSelected="false" showOutlineSymbols="true" defaultGridColor="true" view="normal" topLeftCell="A66" colorId="64" zoomScale="181" zoomScaleNormal="181" zoomScalePageLayoutView="100" workbookViewId="0">
      <selection pane="topLeft" activeCell="A62" activeCellId="0" sqref="A62"/>
    </sheetView>
  </sheetViews>
  <sheetFormatPr defaultColWidth="9.1484375" defaultRowHeight="15" customHeight="true" zeroHeight="false" outlineLevelRow="0" outlineLevelCol="0"/>
  <cols>
    <col collapsed="false" customWidth="true" hidden="false" outlineLevel="0" max="1" min="1" style="1347" width="2.29"/>
    <col collapsed="false" customWidth="true" hidden="false" outlineLevel="0" max="2" min="2" style="1347" width="19.42"/>
    <col collapsed="false" customWidth="true" hidden="false" outlineLevel="0" max="3" min="3" style="1347" width="12.42"/>
    <col collapsed="false" customWidth="true" hidden="false" outlineLevel="0" max="4" min="4" style="1347" width="13"/>
    <col collapsed="false" customWidth="true" hidden="false" outlineLevel="0" max="5" min="5" style="1347" width="11.43"/>
    <col collapsed="false" customWidth="true" hidden="false" outlineLevel="0" max="6" min="6" style="1348" width="9.86"/>
    <col collapsed="false" customWidth="true" hidden="false" outlineLevel="0" max="7" min="7" style="1347" width="13.42"/>
    <col collapsed="false" customWidth="true" hidden="false" outlineLevel="0" max="8" min="8" style="1347" width="13"/>
    <col collapsed="false" customWidth="true" hidden="false" outlineLevel="0" max="9" min="9" style="1347" width="17"/>
    <col collapsed="false" customWidth="true" hidden="false" outlineLevel="0" max="10" min="10" style="1347" width="15.29"/>
    <col collapsed="false" customWidth="true" hidden="false" outlineLevel="0" max="11" min="11" style="1347" width="83.29"/>
    <col collapsed="false" customWidth="false" hidden="false" outlineLevel="0" max="1024" min="12" style="1347" width="9.14"/>
  </cols>
  <sheetData>
    <row r="1" customFormat="false" ht="15" hidden="false" customHeight="false" outlineLevel="0" collapsed="false">
      <c r="B1" s="1349" t="s">
        <v>5013</v>
      </c>
      <c r="C1" s="1349"/>
      <c r="D1" s="1349"/>
      <c r="E1" s="1349"/>
    </row>
    <row r="3" customFormat="false" ht="28.35" hidden="false" customHeight="false" outlineLevel="0" collapsed="false">
      <c r="B3" s="1347" t="s">
        <v>5014</v>
      </c>
      <c r="I3" s="1347" t="n">
        <v>1</v>
      </c>
      <c r="J3" s="1347" t="s">
        <v>5015</v>
      </c>
      <c r="K3" s="623" t="s">
        <v>5016</v>
      </c>
    </row>
    <row r="4" customFormat="false" ht="15" hidden="false" customHeight="false" outlineLevel="0" collapsed="false">
      <c r="G4" s="1347" t="s">
        <v>548</v>
      </c>
      <c r="H4" s="1347" t="s">
        <v>400</v>
      </c>
      <c r="I4" s="1347" t="n">
        <v>2</v>
      </c>
      <c r="J4" s="1347" t="s">
        <v>5017</v>
      </c>
      <c r="K4" s="623" t="s">
        <v>5018</v>
      </c>
    </row>
    <row r="5" customFormat="false" ht="28.35" hidden="false" customHeight="false" outlineLevel="0" collapsed="false">
      <c r="B5" s="1347" t="s">
        <v>5019</v>
      </c>
      <c r="C5" s="1350" t="n">
        <v>26133</v>
      </c>
      <c r="D5" s="1350" t="s">
        <v>5020</v>
      </c>
      <c r="E5" s="1350" t="n">
        <v>31612</v>
      </c>
      <c r="G5" s="1351" t="n">
        <f aca="false">H5/Year</f>
        <v>15.0004843459609</v>
      </c>
      <c r="H5" s="1347" t="n">
        <f aca="false">E5-C5</f>
        <v>5479</v>
      </c>
      <c r="I5" s="1347" t="n">
        <v>3</v>
      </c>
      <c r="J5" s="1347" t="s">
        <v>5021</v>
      </c>
      <c r="K5" s="623" t="s">
        <v>5022</v>
      </c>
    </row>
    <row r="6" customFormat="false" ht="15" hidden="false" customHeight="false" outlineLevel="0" collapsed="false">
      <c r="B6" s="1347" t="s">
        <v>5023</v>
      </c>
      <c r="C6" s="1350" t="n">
        <v>31612</v>
      </c>
      <c r="D6" s="1350" t="s">
        <v>5024</v>
      </c>
      <c r="E6" s="1350" t="n">
        <v>32708</v>
      </c>
      <c r="G6" s="1351" t="n">
        <f aca="false">H6/Year</f>
        <v>3.00064443204474</v>
      </c>
      <c r="H6" s="1347" t="n">
        <f aca="false">E6-C6</f>
        <v>1096</v>
      </c>
      <c r="I6" s="1347" t="n">
        <v>4</v>
      </c>
      <c r="J6" s="1347" t="s">
        <v>5025</v>
      </c>
      <c r="K6" s="623" t="s">
        <v>5026</v>
      </c>
    </row>
    <row r="7" customFormat="false" ht="15" hidden="false" customHeight="false" outlineLevel="0" collapsed="false">
      <c r="B7" s="1347" t="s">
        <v>5027</v>
      </c>
      <c r="C7" s="1350" t="n">
        <v>32708</v>
      </c>
      <c r="D7" s="1350" t="s">
        <v>5024</v>
      </c>
      <c r="E7" s="1350" t="n">
        <v>34534</v>
      </c>
      <c r="G7" s="1351" t="n">
        <f aca="false">H7/Year</f>
        <v>4.99924884389935</v>
      </c>
      <c r="H7" s="1347" t="n">
        <f aca="false">E7-C7</f>
        <v>1826</v>
      </c>
      <c r="I7" s="1347" t="n">
        <v>5</v>
      </c>
      <c r="J7" s="1347" t="s">
        <v>5028</v>
      </c>
      <c r="K7" s="623" t="s">
        <v>5029</v>
      </c>
    </row>
    <row r="8" customFormat="false" ht="28.35" hidden="false" customHeight="false" outlineLevel="0" collapsed="false">
      <c r="B8" s="1347" t="s">
        <v>5030</v>
      </c>
      <c r="C8" s="1350" t="n">
        <v>34534</v>
      </c>
      <c r="D8" s="1350" t="s">
        <v>5020</v>
      </c>
      <c r="E8" s="1350" t="n">
        <v>35630</v>
      </c>
      <c r="G8" s="1351" t="n">
        <f aca="false">H8/Year</f>
        <v>3.00064443204474</v>
      </c>
      <c r="H8" s="1347" t="n">
        <f aca="false">E8-C8</f>
        <v>1096</v>
      </c>
      <c r="I8" s="1347" t="n">
        <v>6</v>
      </c>
      <c r="J8" s="1347" t="s">
        <v>5031</v>
      </c>
      <c r="K8" s="623" t="s">
        <v>5032</v>
      </c>
    </row>
    <row r="9" customFormat="false" ht="15" hidden="false" customHeight="false" outlineLevel="0" collapsed="false">
      <c r="A9" s="1347" t="s">
        <v>394</v>
      </c>
      <c r="B9" s="1347" t="s">
        <v>5033</v>
      </c>
      <c r="C9" s="1350" t="n">
        <v>35630</v>
      </c>
      <c r="D9" s="1350" t="s">
        <v>5024</v>
      </c>
      <c r="E9" s="1350" t="n">
        <v>41839</v>
      </c>
      <c r="G9" s="1351" t="n">
        <f aca="false">H9/Year</f>
        <v>16.9990887578155</v>
      </c>
      <c r="H9" s="1347" t="n">
        <f aca="false">E9-C9</f>
        <v>6209</v>
      </c>
      <c r="I9" s="1347" t="n">
        <v>7</v>
      </c>
      <c r="J9" s="1347" t="s">
        <v>5034</v>
      </c>
      <c r="K9" s="623" t="s">
        <v>5035</v>
      </c>
    </row>
    <row r="10" customFormat="false" ht="28.35" hidden="false" customHeight="false" outlineLevel="0" collapsed="false">
      <c r="B10" s="1347" t="s">
        <v>5036</v>
      </c>
      <c r="C10" s="1350" t="n">
        <v>41839</v>
      </c>
      <c r="D10" s="1350" t="s">
        <v>5024</v>
      </c>
      <c r="E10" s="1350" t="n">
        <v>47683</v>
      </c>
      <c r="G10" s="1351" t="n">
        <f aca="false">H10/Year</f>
        <v>15.9997865518882</v>
      </c>
      <c r="H10" s="1347" t="n">
        <f aca="false">E10-C10</f>
        <v>5844</v>
      </c>
      <c r="I10" s="1347" t="n">
        <v>8</v>
      </c>
      <c r="J10" s="1347" t="s">
        <v>5037</v>
      </c>
      <c r="K10" s="623" t="s">
        <v>5038</v>
      </c>
    </row>
    <row r="11" customFormat="false" ht="15" hidden="false" customHeight="false" outlineLevel="0" collapsed="false">
      <c r="B11" s="1347" t="s">
        <v>5039</v>
      </c>
      <c r="C11" s="1350" t="n">
        <v>47683</v>
      </c>
      <c r="D11" s="1350" t="s">
        <v>5020</v>
      </c>
      <c r="E11" s="1350" t="n">
        <v>48414</v>
      </c>
      <c r="G11" s="1351" t="n">
        <f aca="false">H11/Year</f>
        <v>2.00134222611743</v>
      </c>
      <c r="H11" s="1347" t="n">
        <f aca="false">E11-C11</f>
        <v>731</v>
      </c>
    </row>
    <row r="12" customFormat="false" ht="15" hidden="false" customHeight="false" outlineLevel="0" collapsed="false">
      <c r="B12" s="1347" t="s">
        <v>5040</v>
      </c>
      <c r="C12" s="1350" t="n">
        <v>48414</v>
      </c>
      <c r="D12" s="1350" t="s">
        <v>5024</v>
      </c>
      <c r="E12" s="1350" t="n">
        <v>52066</v>
      </c>
      <c r="G12" s="1351" t="n">
        <f aca="false">H12/Year</f>
        <v>9.9984976877987</v>
      </c>
      <c r="H12" s="1347" t="n">
        <f aca="false">E12-C12</f>
        <v>3652</v>
      </c>
      <c r="J12" s="1347" t="s">
        <v>5041</v>
      </c>
      <c r="K12" s="1347" t="s">
        <v>5042</v>
      </c>
    </row>
    <row r="13" customFormat="false" ht="15" hidden="false" customHeight="false" outlineLevel="0" collapsed="false">
      <c r="B13" s="1347" t="s">
        <v>5043</v>
      </c>
      <c r="C13" s="1350" t="n">
        <v>52066</v>
      </c>
      <c r="D13" s="1350" t="s">
        <v>5024</v>
      </c>
      <c r="E13" s="1350" t="n">
        <v>57545</v>
      </c>
      <c r="G13" s="1351" t="n">
        <f aca="false">H13/Year</f>
        <v>15.0004843459609</v>
      </c>
      <c r="H13" s="1347" t="n">
        <f aca="false">E13-C13</f>
        <v>5479</v>
      </c>
    </row>
    <row r="14" customFormat="false" ht="15" hidden="false" customHeight="false" outlineLevel="0" collapsed="false">
      <c r="B14" s="1347" t="s">
        <v>5019</v>
      </c>
      <c r="C14" s="1350" t="n">
        <v>57545</v>
      </c>
      <c r="D14" s="1350" t="s">
        <v>5020</v>
      </c>
      <c r="E14" s="1350" t="n">
        <v>58275</v>
      </c>
      <c r="G14" s="1351" t="n">
        <f aca="false">H14/Year</f>
        <v>1.99860441185461</v>
      </c>
      <c r="H14" s="1347" t="n">
        <f aca="false">E14-C14</f>
        <v>730</v>
      </c>
      <c r="J14" s="1352" t="s">
        <v>5015</v>
      </c>
    </row>
    <row r="15" customFormat="false" ht="15" hidden="false" customHeight="false" outlineLevel="0" collapsed="false">
      <c r="B15" s="1347" t="s">
        <v>5023</v>
      </c>
      <c r="C15" s="1350" t="n">
        <v>58275</v>
      </c>
      <c r="D15" s="1350" t="s">
        <v>5024</v>
      </c>
      <c r="E15" s="1350" t="n">
        <v>59736</v>
      </c>
      <c r="G15" s="1351" t="n">
        <f aca="false">H15/Year</f>
        <v>3.99994663797204</v>
      </c>
      <c r="H15" s="1347" t="n">
        <f aca="false">E15-C15</f>
        <v>1461</v>
      </c>
      <c r="K15" s="1347" t="s">
        <v>5044</v>
      </c>
    </row>
    <row r="16" customFormat="false" ht="15" hidden="false" customHeight="false" outlineLevel="0" collapsed="false">
      <c r="B16" s="1347" t="s">
        <v>5027</v>
      </c>
      <c r="C16" s="1350" t="n">
        <v>59736</v>
      </c>
      <c r="D16" s="1350" t="s">
        <v>5024</v>
      </c>
      <c r="E16" s="1350" t="n">
        <v>60102</v>
      </c>
      <c r="G16" s="1351" t="n">
        <f aca="false">H16/Year</f>
        <v>1.00204002019012</v>
      </c>
      <c r="H16" s="1347" t="n">
        <f aca="false">E16-C16</f>
        <v>366</v>
      </c>
      <c r="J16" s="1347" t="s">
        <v>158</v>
      </c>
      <c r="K16" s="1347" t="s">
        <v>5045</v>
      </c>
      <c r="L16" s="1347" t="s">
        <v>5046</v>
      </c>
    </row>
    <row r="17" customFormat="false" ht="15" hidden="false" customHeight="false" outlineLevel="0" collapsed="false">
      <c r="B17" s="1347" t="s">
        <v>5030</v>
      </c>
      <c r="C17" s="1350" t="n">
        <v>60102</v>
      </c>
      <c r="D17" s="1350" t="s">
        <v>5020</v>
      </c>
      <c r="E17" s="1350" t="n">
        <v>61563</v>
      </c>
      <c r="G17" s="1351" t="n">
        <f aca="false">H17/Year</f>
        <v>3.99994663797204</v>
      </c>
      <c r="H17" s="1347" t="n">
        <f aca="false">E17-C17</f>
        <v>1461</v>
      </c>
      <c r="J17" s="1347" t="s">
        <v>159</v>
      </c>
      <c r="K17" s="1347" t="s">
        <v>5047</v>
      </c>
    </row>
    <row r="18" customFormat="false" ht="15" hidden="false" customHeight="false" outlineLevel="0" collapsed="false">
      <c r="B18" s="1347" t="s">
        <v>5033</v>
      </c>
      <c r="C18" s="1350" t="n">
        <v>61563</v>
      </c>
      <c r="D18" s="1350" t="s">
        <v>5024</v>
      </c>
      <c r="E18" s="1350" t="n">
        <v>61928</v>
      </c>
      <c r="G18" s="1351" t="n">
        <f aca="false">H18/Year</f>
        <v>0.999302205927307</v>
      </c>
      <c r="H18" s="1347" t="n">
        <f aca="false">E18-C18</f>
        <v>365</v>
      </c>
      <c r="J18" s="1347" t="s">
        <v>163</v>
      </c>
    </row>
    <row r="19" customFormat="false" ht="15" hidden="false" customHeight="false" outlineLevel="0" collapsed="false">
      <c r="B19" s="1347" t="s">
        <v>5036</v>
      </c>
      <c r="C19" s="1350" t="n">
        <v>61928</v>
      </c>
      <c r="D19" s="1350" t="s">
        <v>5024</v>
      </c>
      <c r="E19" s="1350" t="n">
        <v>63389</v>
      </c>
      <c r="G19" s="1351" t="n">
        <f aca="false">H19/Year</f>
        <v>3.99994663797204</v>
      </c>
      <c r="H19" s="1347" t="n">
        <f aca="false">E19-C19</f>
        <v>1461</v>
      </c>
    </row>
    <row r="20" customFormat="false" ht="15" hidden="false" customHeight="false" outlineLevel="0" collapsed="false">
      <c r="B20" s="1347" t="s">
        <v>5039</v>
      </c>
      <c r="C20" s="1350" t="n">
        <v>63389</v>
      </c>
      <c r="D20" s="1350" t="s">
        <v>5020</v>
      </c>
      <c r="E20" s="1350" t="n">
        <v>66311</v>
      </c>
      <c r="G20" s="1351" t="n">
        <f aca="false">H20/Year</f>
        <v>7.99989327594408</v>
      </c>
      <c r="H20" s="1347" t="n">
        <f aca="false">E20-C20</f>
        <v>2922</v>
      </c>
    </row>
    <row r="21" customFormat="false" ht="15" hidden="false" customHeight="false" outlineLevel="0" collapsed="false">
      <c r="B21" s="1347" t="s">
        <v>5040</v>
      </c>
      <c r="C21" s="1350" t="n">
        <v>66311</v>
      </c>
      <c r="D21" s="1350" t="s">
        <v>5024</v>
      </c>
      <c r="E21" s="1350" t="n">
        <v>69598</v>
      </c>
      <c r="G21" s="1351" t="n">
        <f aca="false">H21/Year</f>
        <v>8.99919548187139</v>
      </c>
      <c r="H21" s="1347" t="n">
        <f aca="false">E21-C21</f>
        <v>3287</v>
      </c>
    </row>
    <row r="22" customFormat="false" ht="15" hidden="false" customHeight="false" outlineLevel="0" collapsed="false">
      <c r="B22" s="1347" t="s">
        <v>5043</v>
      </c>
      <c r="C22" s="1350" t="n">
        <v>69598</v>
      </c>
      <c r="D22" s="1350" t="s">
        <v>5024</v>
      </c>
      <c r="E22" s="1350" t="n">
        <v>69964</v>
      </c>
      <c r="G22" s="1351" t="n">
        <f aca="false">H22/Year</f>
        <v>1.00204002019012</v>
      </c>
      <c r="H22" s="1347" t="n">
        <f aca="false">E22-C22</f>
        <v>366</v>
      </c>
      <c r="I22" s="1347" t="s">
        <v>5048</v>
      </c>
    </row>
    <row r="23" customFormat="false" ht="15" hidden="false" customHeight="false" outlineLevel="0" collapsed="false">
      <c r="I23" s="1347" t="s">
        <v>5049</v>
      </c>
    </row>
    <row r="24" customFormat="false" ht="15" hidden="false" customHeight="false" outlineLevel="0" collapsed="false">
      <c r="H24" s="1347" t="n">
        <f aca="false">SUM(H5:H13)</f>
        <v>31412</v>
      </c>
    </row>
    <row r="25" customFormat="false" ht="15" hidden="false" customHeight="false" outlineLevel="0" collapsed="false">
      <c r="C25" s="1351"/>
      <c r="H25" s="1347" t="n">
        <f aca="false">SUM(H14:H22)</f>
        <v>12419</v>
      </c>
      <c r="I25" s="1353"/>
      <c r="J25" s="1347" t="str">
        <f aca="false">LEFT(C11,6)</f>
        <v>47683</v>
      </c>
    </row>
    <row r="26" customFormat="false" ht="15" hidden="false" customHeight="false" outlineLevel="0" collapsed="false">
      <c r="I26" s="1354"/>
    </row>
    <row r="27" customFormat="false" ht="15" hidden="false" customHeight="false" outlineLevel="0" collapsed="false">
      <c r="A27" s="1355"/>
      <c r="B27" s="1356" t="s">
        <v>664</v>
      </c>
      <c r="C27" s="1357" t="s">
        <v>730</v>
      </c>
      <c r="D27" s="1356" t="s">
        <v>805</v>
      </c>
      <c r="E27" s="1356"/>
      <c r="F27" s="1358" t="s">
        <v>400</v>
      </c>
      <c r="G27" s="1357"/>
      <c r="H27" s="1357"/>
      <c r="I27" s="1354"/>
    </row>
    <row r="28" customFormat="false" ht="15" hidden="false" customHeight="false" outlineLevel="0" collapsed="false">
      <c r="A28" s="1359"/>
      <c r="B28" s="1347" t="str">
        <f aca="false">VLOOKUP("&gt;",A5:E22,2,0)</f>
        <v> Rah:</v>
      </c>
      <c r="C28" s="1350" t="n">
        <f aca="false">VLOOKUP("&gt;",A5:I22,3,0)</f>
        <v>35630</v>
      </c>
      <c r="D28" s="1360"/>
      <c r="E28" s="1350"/>
      <c r="F28" s="1348" t="n">
        <f aca="false">VLOOKUP("&gt;",A5:I22,8,0)</f>
        <v>6209</v>
      </c>
      <c r="I28" s="1354"/>
    </row>
    <row r="29" customFormat="false" ht="15" hidden="false" customHeight="false" outlineLevel="0" collapsed="false">
      <c r="A29" s="1359"/>
      <c r="F29" s="1348" t="n">
        <f aca="false">F28/H24</f>
        <v>0.19766331338342</v>
      </c>
      <c r="I29" s="1354"/>
    </row>
    <row r="30" customFormat="false" ht="15" hidden="false" customHeight="false" outlineLevel="0" collapsed="false">
      <c r="A30" s="1359"/>
      <c r="B30" s="1347" t="str">
        <f aca="false">B5</f>
        <v> Merc:</v>
      </c>
      <c r="C30" s="1350" t="n">
        <f aca="false">C28</f>
        <v>35630</v>
      </c>
      <c r="D30" s="1350" t="n">
        <f aca="false">C30+F30</f>
        <v>36712.9972940278</v>
      </c>
      <c r="E30" s="1361" t="n">
        <f aca="false">VLOOKUP(B30,B5:I22,7,0)</f>
        <v>5479</v>
      </c>
      <c r="F30" s="1362" t="n">
        <f aca="false">E30*$F$29</f>
        <v>1082.99729402776</v>
      </c>
      <c r="I30" s="1354"/>
    </row>
    <row r="31" customFormat="false" ht="15" hidden="false" customHeight="false" outlineLevel="0" collapsed="false">
      <c r="A31" s="1359"/>
      <c r="B31" s="1347" t="str">
        <f aca="false">B6</f>
        <v> Ket:</v>
      </c>
      <c r="C31" s="1350" t="n">
        <f aca="false">D30</f>
        <v>36712.9972940278</v>
      </c>
      <c r="D31" s="1350" t="n">
        <f aca="false">C31+F31</f>
        <v>36929.636285496</v>
      </c>
      <c r="E31" s="1361" t="n">
        <f aca="false">VLOOKUP(B31,B6:H23,7,0)</f>
        <v>1096</v>
      </c>
      <c r="F31" s="1362" t="n">
        <f aca="false">E31*$F$29</f>
        <v>216.638991468229</v>
      </c>
      <c r="I31" s="1354"/>
    </row>
    <row r="32" customFormat="false" ht="15" hidden="false" customHeight="false" outlineLevel="0" collapsed="false">
      <c r="A32" s="1359"/>
      <c r="B32" s="1347" t="str">
        <f aca="false">B7</f>
        <v> Sun:</v>
      </c>
      <c r="C32" s="1350" t="n">
        <f aca="false">D31</f>
        <v>36929.636285496</v>
      </c>
      <c r="D32" s="1350" t="n">
        <f aca="false">C32+F32</f>
        <v>37290.5694957341</v>
      </c>
      <c r="E32" s="1361" t="n">
        <f aca="false">VLOOKUP(B32,B7:H24,7,0)</f>
        <v>1826</v>
      </c>
      <c r="F32" s="1362" t="n">
        <f aca="false">E32*$F$29</f>
        <v>360.933210238126</v>
      </c>
      <c r="I32" s="1354"/>
    </row>
    <row r="33" customFormat="false" ht="15" hidden="false" customHeight="false" outlineLevel="0" collapsed="false">
      <c r="A33" s="1359"/>
      <c r="B33" s="1347" t="str">
        <f aca="false">B8</f>
        <v> Mars:</v>
      </c>
      <c r="C33" s="1350" t="n">
        <f aca="false">D32</f>
        <v>37290.5694957341</v>
      </c>
      <c r="D33" s="1350" t="n">
        <f aca="false">C33+F33</f>
        <v>37507.2084872023</v>
      </c>
      <c r="E33" s="1361" t="n">
        <f aca="false">VLOOKUP(B33,B8:H25,7,0)</f>
        <v>1096</v>
      </c>
      <c r="F33" s="1362" t="n">
        <f aca="false">E33*$F$29</f>
        <v>216.638991468229</v>
      </c>
      <c r="I33" s="1354"/>
    </row>
    <row r="34" customFormat="false" ht="15" hidden="false" customHeight="false" outlineLevel="0" collapsed="false">
      <c r="A34" s="1359"/>
      <c r="B34" s="1347" t="str">
        <f aca="false">B9</f>
        <v> Rah:</v>
      </c>
      <c r="C34" s="1350" t="n">
        <f aca="false">D33</f>
        <v>37507.2084872023</v>
      </c>
      <c r="D34" s="1350" t="n">
        <f aca="false">C34+F34</f>
        <v>38734.5</v>
      </c>
      <c r="E34" s="1361" t="n">
        <f aca="false">VLOOKUP(B34,B9:H26,7,0)</f>
        <v>6209</v>
      </c>
      <c r="F34" s="1362" t="n">
        <f aca="false">E34*$F$29</f>
        <v>1227.29151279766</v>
      </c>
      <c r="I34" s="1354"/>
    </row>
    <row r="35" customFormat="false" ht="15" hidden="false" customHeight="false" outlineLevel="0" collapsed="false">
      <c r="A35" s="1359" t="s">
        <v>394</v>
      </c>
      <c r="B35" s="1347" t="str">
        <f aca="false">B10</f>
        <v> Ven:</v>
      </c>
      <c r="C35" s="1350" t="n">
        <f aca="false">D34</f>
        <v>38734.5</v>
      </c>
      <c r="D35" s="1350" t="n">
        <f aca="false">C35+F35</f>
        <v>39889.6444034127</v>
      </c>
      <c r="E35" s="1361" t="n">
        <f aca="false">VLOOKUP(B35,B10:H27,7,0)</f>
        <v>5844</v>
      </c>
      <c r="F35" s="1362" t="n">
        <f aca="false">E35*$F$29</f>
        <v>1155.14440341271</v>
      </c>
      <c r="I35" s="1354"/>
    </row>
    <row r="36" customFormat="false" ht="15" hidden="false" customHeight="false" outlineLevel="0" collapsed="false">
      <c r="A36" s="1359"/>
      <c r="B36" s="1347" t="str">
        <f aca="false">B11</f>
        <v> Moon:</v>
      </c>
      <c r="C36" s="1350" t="n">
        <f aca="false">D35</f>
        <v>39889.6444034127</v>
      </c>
      <c r="D36" s="1350" t="n">
        <f aca="false">C36+F36</f>
        <v>40034.136285496</v>
      </c>
      <c r="E36" s="1361" t="n">
        <f aca="false">VLOOKUP(B36,B11:H28,7,0)</f>
        <v>731</v>
      </c>
      <c r="F36" s="1362" t="n">
        <f aca="false">E36*$F$29</f>
        <v>144.49188208328</v>
      </c>
      <c r="I36" s="1354"/>
    </row>
    <row r="37" customFormat="false" ht="15" hidden="false" customHeight="false" outlineLevel="0" collapsed="false">
      <c r="A37" s="1359"/>
      <c r="B37" s="1347" t="str">
        <f aca="false">B12</f>
        <v> Sat:</v>
      </c>
      <c r="C37" s="1350" t="n">
        <f aca="false">D36</f>
        <v>40034.136285496</v>
      </c>
      <c r="D37" s="1350" t="n">
        <f aca="false">C37+F37</f>
        <v>40756.0027059722</v>
      </c>
      <c r="E37" s="1361" t="n">
        <f aca="false">VLOOKUP(B37,B12:H29,7,0)</f>
        <v>3652</v>
      </c>
      <c r="F37" s="1362" t="n">
        <f aca="false">E37*$F$29</f>
        <v>721.866420476251</v>
      </c>
      <c r="I37" s="1363" t="s">
        <v>5050</v>
      </c>
    </row>
    <row r="38" customFormat="false" ht="15" hidden="false" customHeight="false" outlineLevel="0" collapsed="false">
      <c r="A38" s="1359" t="s">
        <v>394</v>
      </c>
      <c r="B38" s="1347" t="str">
        <f aca="false">B13</f>
        <v> Jup:</v>
      </c>
      <c r="C38" s="1350" t="n">
        <f aca="false">D37</f>
        <v>40756.0027059722</v>
      </c>
      <c r="D38" s="1350" t="n">
        <f aca="false">C38+F38</f>
        <v>41839</v>
      </c>
      <c r="E38" s="1361" t="n">
        <f aca="false">VLOOKUP(B38,B13:H30,7,0)</f>
        <v>5479</v>
      </c>
      <c r="F38" s="1362" t="n">
        <f aca="false">E38*$F$29</f>
        <v>1082.99729402776</v>
      </c>
      <c r="I38" s="1353"/>
    </row>
    <row r="39" customFormat="false" ht="15" hidden="false" customHeight="false" outlineLevel="0" collapsed="false">
      <c r="A39" s="1364"/>
      <c r="B39" s="1365"/>
      <c r="C39" s="1366"/>
      <c r="D39" s="1366"/>
      <c r="E39" s="1367"/>
      <c r="F39" s="1368"/>
      <c r="G39" s="1365"/>
      <c r="H39" s="1365" t="n">
        <f aca="false">SUM(F30:F38)</f>
        <v>6209</v>
      </c>
      <c r="I39" s="1354"/>
    </row>
    <row r="40" customFormat="false" ht="15" hidden="false" customHeight="false" outlineLevel="0" collapsed="false">
      <c r="A40" s="1355"/>
      <c r="B40" s="1357" t="s">
        <v>5051</v>
      </c>
      <c r="C40" s="1369" t="s">
        <v>730</v>
      </c>
      <c r="D40" s="1369" t="s">
        <v>805</v>
      </c>
      <c r="E40" s="1370"/>
      <c r="F40" s="1371" t="s">
        <v>400</v>
      </c>
      <c r="G40" s="1357"/>
      <c r="H40" s="1357"/>
      <c r="I40" s="1354"/>
    </row>
    <row r="41" customFormat="false" ht="15" hidden="false" customHeight="false" outlineLevel="0" collapsed="false">
      <c r="A41" s="1359"/>
      <c r="B41" s="1347" t="str">
        <f aca="false">VLOOKUP("&gt;",A30:D38,2,0)</f>
        <v> Ven:</v>
      </c>
      <c r="C41" s="1350" t="n">
        <f aca="false">VLOOKUP("&gt;",A30:D38,3,0)</f>
        <v>38734.5</v>
      </c>
      <c r="D41" s="1350"/>
      <c r="E41" s="1350"/>
      <c r="F41" s="1372" t="n">
        <f aca="false">VLOOKUP("&gt;",A30:F38,6,0)</f>
        <v>1155.14440341271</v>
      </c>
      <c r="I41" s="1354"/>
    </row>
    <row r="42" customFormat="false" ht="15" hidden="false" customHeight="false" outlineLevel="0" collapsed="false">
      <c r="A42" s="1359"/>
      <c r="C42" s="1361"/>
      <c r="D42" s="1350"/>
      <c r="E42" s="1350"/>
      <c r="F42" s="1362"/>
      <c r="I42" s="1354"/>
    </row>
    <row r="43" customFormat="false" ht="15" hidden="false" customHeight="false" outlineLevel="0" collapsed="false">
      <c r="A43" s="1359"/>
      <c r="B43" s="1347" t="str">
        <f aca="false">B10</f>
        <v> Ven:</v>
      </c>
      <c r="C43" s="1350" t="n">
        <f aca="false">C41</f>
        <v>38734.5</v>
      </c>
      <c r="D43" s="1350" t="n">
        <f aca="false">C43+F43</f>
        <v>38949.4071658457</v>
      </c>
      <c r="E43" s="1361" t="n">
        <f aca="false">VLOOKUP(B43,$B$5:$I$22,7,0)</f>
        <v>5844</v>
      </c>
      <c r="F43" s="1362" t="n">
        <f aca="false">E43/$H$24*$F$41</f>
        <v>214.90716584566</v>
      </c>
      <c r="I43" s="1354"/>
    </row>
    <row r="44" customFormat="false" ht="15" hidden="false" customHeight="false" outlineLevel="0" collapsed="false">
      <c r="A44" s="1359"/>
      <c r="B44" s="1347" t="str">
        <f aca="false">B5</f>
        <v> Merc:</v>
      </c>
      <c r="C44" s="1350" t="n">
        <f aca="false">D43</f>
        <v>38949.4071658457</v>
      </c>
      <c r="D44" s="1350" t="n">
        <f aca="false">C44+F44</f>
        <v>39150.8918273221</v>
      </c>
      <c r="E44" s="1361" t="n">
        <f aca="false">VLOOKUP(B44,$B$5:$I$22,7,0)</f>
        <v>5479</v>
      </c>
      <c r="F44" s="1362" t="n">
        <f aca="false">E44/$H$24*$F$41</f>
        <v>201.484661476449</v>
      </c>
      <c r="I44" s="1354"/>
    </row>
    <row r="45" customFormat="false" ht="15" hidden="false" customHeight="false" outlineLevel="0" collapsed="false">
      <c r="A45" s="1359"/>
      <c r="B45" s="1347" t="str">
        <f aca="false">B6</f>
        <v> Ket:</v>
      </c>
      <c r="C45" s="1350" t="n">
        <f aca="false">D44</f>
        <v>39150.8918273221</v>
      </c>
      <c r="D45" s="1350" t="n">
        <f aca="false">C45+F45</f>
        <v>39191.1961144143</v>
      </c>
      <c r="E45" s="1361" t="n">
        <f aca="false">VLOOKUP(B45,$B$5:$I$22,7,0)</f>
        <v>1096</v>
      </c>
      <c r="F45" s="1362" t="n">
        <f aca="false">E45/$H$24*$F$41</f>
        <v>40.3042870922045</v>
      </c>
      <c r="I45" s="1354"/>
    </row>
    <row r="46" customFormat="false" ht="15" hidden="false" customHeight="false" outlineLevel="0" collapsed="false">
      <c r="A46" s="1359"/>
      <c r="B46" s="1347" t="str">
        <f aca="false">B7</f>
        <v> Sun:</v>
      </c>
      <c r="C46" s="1350" t="n">
        <f aca="false">D45</f>
        <v>39191.1961144143</v>
      </c>
      <c r="D46" s="1350" t="n">
        <f aca="false">C46+F46</f>
        <v>39258.3454102449</v>
      </c>
      <c r="E46" s="1361" t="n">
        <f aca="false">VLOOKUP(B46,$B$5:$I$22,7,0)</f>
        <v>1826</v>
      </c>
      <c r="F46" s="1362" t="n">
        <f aca="false">E46/$H$24*$F$41</f>
        <v>67.1492958306254</v>
      </c>
      <c r="I46" s="1354"/>
    </row>
    <row r="47" customFormat="false" ht="15" hidden="false" customHeight="false" outlineLevel="0" collapsed="false">
      <c r="A47" s="1359"/>
      <c r="B47" s="1347" t="str">
        <f aca="false">B8</f>
        <v> Mars:</v>
      </c>
      <c r="C47" s="1350" t="n">
        <f aca="false">D46</f>
        <v>39258.3454102449</v>
      </c>
      <c r="D47" s="1350" t="n">
        <f aca="false">C47+F47</f>
        <v>39298.6496973372</v>
      </c>
      <c r="E47" s="1361" t="n">
        <f aca="false">VLOOKUP(B47,$B$5:$I$22,7,0)</f>
        <v>1096</v>
      </c>
      <c r="F47" s="1362" t="n">
        <f aca="false">E47/$H$24*$F$41</f>
        <v>40.3042870922045</v>
      </c>
      <c r="I47" s="1354"/>
    </row>
    <row r="48" customFormat="false" ht="15" hidden="false" customHeight="false" outlineLevel="0" collapsed="false">
      <c r="A48" s="1359"/>
      <c r="B48" s="1347" t="str">
        <f aca="false">B10</f>
        <v> Ven:</v>
      </c>
      <c r="C48" s="1350" t="n">
        <f aca="false">D47</f>
        <v>39298.6496973372</v>
      </c>
      <c r="D48" s="1350" t="n">
        <f aca="false">C48+F48</f>
        <v>39513.5568631828</v>
      </c>
      <c r="E48" s="1361" t="n">
        <f aca="false">VLOOKUP(B48,$B$5:$I$22,7,0)</f>
        <v>5844</v>
      </c>
      <c r="F48" s="1362" t="n">
        <f aca="false">E48/$H$24*$F$41</f>
        <v>214.90716584566</v>
      </c>
      <c r="I48" s="1354"/>
    </row>
    <row r="49" customFormat="false" ht="15" hidden="false" customHeight="false" outlineLevel="0" collapsed="false">
      <c r="A49" s="1359"/>
      <c r="B49" s="1347" t="str">
        <f aca="false">B11</f>
        <v> Moon:</v>
      </c>
      <c r="C49" s="1350" t="n">
        <f aca="false">D48</f>
        <v>39513.5568631828</v>
      </c>
      <c r="D49" s="1350" t="n">
        <f aca="false">C49+F49</f>
        <v>39540.4386459058</v>
      </c>
      <c r="E49" s="1361" t="n">
        <f aca="false">VLOOKUP(B49,$B$5:$I$22,7,0)</f>
        <v>731</v>
      </c>
      <c r="F49" s="1362" t="n">
        <f aca="false">E49/$H$24*$F$41</f>
        <v>26.8817827229941</v>
      </c>
      <c r="I49" s="1354"/>
    </row>
    <row r="50" customFormat="false" ht="15" hidden="false" customHeight="false" outlineLevel="0" collapsed="false">
      <c r="A50" s="1359"/>
      <c r="B50" s="1347" t="str">
        <f aca="false">B12</f>
        <v> Sat:</v>
      </c>
      <c r="C50" s="1350" t="n">
        <f aca="false">D49</f>
        <v>39540.4386459058</v>
      </c>
      <c r="D50" s="1350" t="n">
        <f aca="false">C50+F50</f>
        <v>39674.7372375671</v>
      </c>
      <c r="E50" s="1361" t="n">
        <f aca="false">VLOOKUP(B50,$B$5:$I$22,7,0)</f>
        <v>3652</v>
      </c>
      <c r="F50" s="1362" t="n">
        <f aca="false">E50/$H$24*$F$41</f>
        <v>134.298591661251</v>
      </c>
      <c r="I50" s="1363" t="s">
        <v>5050</v>
      </c>
    </row>
    <row r="51" customFormat="false" ht="15" hidden="false" customHeight="false" outlineLevel="0" collapsed="false">
      <c r="A51" s="1359" t="s">
        <v>394</v>
      </c>
      <c r="B51" s="1347" t="str">
        <f aca="false">B13</f>
        <v> Jup:</v>
      </c>
      <c r="C51" s="1350" t="n">
        <f aca="false">D50</f>
        <v>39674.7372375671</v>
      </c>
      <c r="D51" s="1350" t="n">
        <f aca="false">C51+F51</f>
        <v>39876.2218990435</v>
      </c>
      <c r="E51" s="1361" t="n">
        <f aca="false">VLOOKUP(B51,$B$5:$I$22,7,0)</f>
        <v>5479</v>
      </c>
      <c r="F51" s="1362" t="n">
        <f aca="false">E51/$H$24*$F$41</f>
        <v>201.484661476449</v>
      </c>
      <c r="I51" s="1353"/>
    </row>
    <row r="52" customFormat="false" ht="15" hidden="false" customHeight="false" outlineLevel="0" collapsed="false">
      <c r="A52" s="1364"/>
      <c r="B52" s="1365"/>
      <c r="C52" s="1365"/>
      <c r="D52" s="1365"/>
      <c r="E52" s="1365"/>
      <c r="F52" s="1368"/>
      <c r="G52" s="1365"/>
      <c r="H52" s="1365" t="n">
        <f aca="false">SUM(F43:F51)</f>
        <v>1141.7218990435</v>
      </c>
      <c r="I52" s="1354"/>
    </row>
    <row r="53" customFormat="false" ht="15" hidden="false" customHeight="false" outlineLevel="0" collapsed="false">
      <c r="A53" s="1355"/>
      <c r="B53" s="1357" t="s">
        <v>5052</v>
      </c>
      <c r="C53" s="1369"/>
      <c r="D53" s="1369"/>
      <c r="E53" s="1370"/>
      <c r="F53" s="1371"/>
      <c r="G53" s="1357"/>
      <c r="H53" s="1357"/>
      <c r="I53" s="1354"/>
    </row>
    <row r="54" customFormat="false" ht="15" hidden="false" customHeight="false" outlineLevel="0" collapsed="false">
      <c r="A54" s="1359"/>
      <c r="B54" s="1347" t="str">
        <f aca="false">VLOOKUP("&gt;",A43:D51,2,0)</f>
        <v> Jup:</v>
      </c>
      <c r="C54" s="1373" t="n">
        <f aca="false">VLOOKUP("&gt;",A43:D51,4,0)</f>
        <v>39876.2218990435</v>
      </c>
      <c r="D54" s="1350" t="e">
        <f aca="false">VLOOKUP("&gt;",A43:D51,5,0)</f>
        <v>#VALUE!</v>
      </c>
      <c r="E54" s="1350"/>
      <c r="I54" s="1354"/>
    </row>
    <row r="55" customFormat="false" ht="15" hidden="false" customHeight="false" outlineLevel="0" collapsed="false">
      <c r="A55" s="1359"/>
      <c r="C55" s="1361"/>
      <c r="D55" s="1361"/>
      <c r="E55" s="1350"/>
      <c r="I55" s="1354"/>
    </row>
    <row r="56" customFormat="false" ht="15" hidden="false" customHeight="false" outlineLevel="0" collapsed="false">
      <c r="A56" s="1359"/>
      <c r="B56" s="1347" t="str">
        <f aca="false">B5</f>
        <v> Merc:</v>
      </c>
      <c r="C56" s="1361" t="n">
        <f aca="false">VLOOKUP(B56,$B$5:$I$22,7,0)</f>
        <v>5479</v>
      </c>
      <c r="D56" s="1361" t="n">
        <f aca="false">C56/$H$24*$C$54</f>
        <v>6955.36163838213</v>
      </c>
      <c r="E56" s="1350" t="e">
        <f aca="false">D54</f>
        <v>#VALUE!</v>
      </c>
      <c r="F56" s="1348" t="e">
        <f aca="false">E56+D56</f>
        <v>#VALUE!</v>
      </c>
      <c r="I56" s="1354"/>
    </row>
    <row r="57" customFormat="false" ht="15" hidden="false" customHeight="false" outlineLevel="0" collapsed="false">
      <c r="A57" s="1359"/>
      <c r="B57" s="1347" t="str">
        <f aca="false">B6</f>
        <v> Ket:</v>
      </c>
      <c r="C57" s="1361" t="n">
        <f aca="false">VLOOKUP(B57,$B$5:$I$22,7,0)</f>
        <v>1096</v>
      </c>
      <c r="D57" s="1361" t="n">
        <f aca="false">C57/$H$24*$C$54</f>
        <v>1391.32621932229</v>
      </c>
      <c r="E57" s="1350" t="e">
        <f aca="false">F56</f>
        <v>#VALUE!</v>
      </c>
      <c r="F57" s="1348" t="e">
        <f aca="false">E57+D57</f>
        <v>#VALUE!</v>
      </c>
      <c r="I57" s="1354"/>
    </row>
    <row r="58" customFormat="false" ht="15" hidden="false" customHeight="false" outlineLevel="0" collapsed="false">
      <c r="A58" s="1359"/>
      <c r="B58" s="1347" t="str">
        <f aca="false">B7</f>
        <v> Sun:</v>
      </c>
      <c r="C58" s="1361" t="n">
        <f aca="false">VLOOKUP(B58,$B$5:$I$22,7,0)</f>
        <v>1826</v>
      </c>
      <c r="D58" s="1361" t="n">
        <f aca="false">C58/$H$24*$C$54</f>
        <v>2318.03072671761</v>
      </c>
      <c r="E58" s="1350" t="e">
        <f aca="false">F57</f>
        <v>#VALUE!</v>
      </c>
      <c r="F58" s="1348" t="e">
        <f aca="false">E58+D58</f>
        <v>#VALUE!</v>
      </c>
      <c r="I58" s="1354"/>
    </row>
    <row r="59" customFormat="false" ht="15" hidden="false" customHeight="false" outlineLevel="0" collapsed="false">
      <c r="A59" s="1359"/>
      <c r="B59" s="1347" t="str">
        <f aca="false">B8</f>
        <v> Mars:</v>
      </c>
      <c r="C59" s="1361" t="n">
        <f aca="false">VLOOKUP(B59,$B$5:$I$22,7,0)</f>
        <v>1096</v>
      </c>
      <c r="D59" s="1361" t="n">
        <f aca="false">C59/$H$24*$C$54</f>
        <v>1391.32621932229</v>
      </c>
      <c r="E59" s="1350" t="e">
        <f aca="false">F58</f>
        <v>#VALUE!</v>
      </c>
      <c r="F59" s="1348" t="e">
        <f aca="false">E59+D59</f>
        <v>#VALUE!</v>
      </c>
      <c r="I59" s="1354"/>
    </row>
    <row r="60" customFormat="false" ht="15" hidden="false" customHeight="false" outlineLevel="0" collapsed="false">
      <c r="A60" s="1359"/>
      <c r="B60" s="1347" t="str">
        <f aca="false">B9</f>
        <v> Rah:</v>
      </c>
      <c r="C60" s="1361" t="n">
        <f aca="false">VLOOKUP(B60,$B$5:$I$22,7,0)</f>
        <v>6209</v>
      </c>
      <c r="D60" s="1361" t="n">
        <f aca="false">C60/$H$24*$C$54</f>
        <v>7882.06614577745</v>
      </c>
      <c r="E60" s="1350" t="e">
        <f aca="false">F59</f>
        <v>#VALUE!</v>
      </c>
      <c r="F60" s="1348" t="e">
        <f aca="false">E60+D60</f>
        <v>#VALUE!</v>
      </c>
      <c r="I60" s="1354"/>
    </row>
    <row r="61" customFormat="false" ht="15" hidden="false" customHeight="false" outlineLevel="0" collapsed="false">
      <c r="A61" s="1359"/>
      <c r="B61" s="1347" t="str">
        <f aca="false">B10</f>
        <v> Ven:</v>
      </c>
      <c r="C61" s="1361" t="n">
        <f aca="false">VLOOKUP(B61,$B$5:$I$22,7,0)</f>
        <v>5844</v>
      </c>
      <c r="D61" s="1361" t="n">
        <f aca="false">C61/$H$24*$C$54</f>
        <v>7418.71389207979</v>
      </c>
      <c r="E61" s="1350" t="e">
        <f aca="false">F60</f>
        <v>#VALUE!</v>
      </c>
      <c r="F61" s="1348" t="e">
        <f aca="false">E61+D61</f>
        <v>#VALUE!</v>
      </c>
      <c r="I61" s="1354"/>
    </row>
    <row r="62" customFormat="false" ht="15" hidden="false" customHeight="false" outlineLevel="0" collapsed="false">
      <c r="A62" s="1359"/>
      <c r="B62" s="1347" t="str">
        <f aca="false">B11</f>
        <v> Moon:</v>
      </c>
      <c r="C62" s="1361" t="n">
        <f aca="false">VLOOKUP(B62,$B$5:$I$22,7,0)</f>
        <v>731</v>
      </c>
      <c r="D62" s="1361" t="n">
        <f aca="false">C62/$H$24*$C$54</f>
        <v>927.973965624628</v>
      </c>
      <c r="E62" s="1350" t="e">
        <f aca="false">F61</f>
        <v>#VALUE!</v>
      </c>
      <c r="F62" s="1348" t="e">
        <f aca="false">E62+D62</f>
        <v>#VALUE!</v>
      </c>
      <c r="I62" s="1354"/>
    </row>
    <row r="63" customFormat="false" ht="15" hidden="false" customHeight="false" outlineLevel="0" collapsed="false">
      <c r="A63" s="1359"/>
      <c r="B63" s="1347" t="str">
        <f aca="false">B12</f>
        <v> Sat:</v>
      </c>
      <c r="C63" s="1361" t="n">
        <f aca="false">VLOOKUP(B63,$B$5:$I$22,7,0)</f>
        <v>3652</v>
      </c>
      <c r="D63" s="1361" t="n">
        <f aca="false">C63/$H$24*$C$54</f>
        <v>4636.06145343521</v>
      </c>
      <c r="E63" s="1350" t="e">
        <f aca="false">F62</f>
        <v>#VALUE!</v>
      </c>
      <c r="F63" s="1348" t="e">
        <f aca="false">E63+D63</f>
        <v>#VALUE!</v>
      </c>
      <c r="I63" s="1363" t="s">
        <v>5050</v>
      </c>
    </row>
    <row r="64" customFormat="false" ht="15" hidden="false" customHeight="false" outlineLevel="0" collapsed="false">
      <c r="A64" s="1359" t="s">
        <v>394</v>
      </c>
      <c r="B64" s="1347" t="str">
        <f aca="false">B13</f>
        <v> Jup:</v>
      </c>
      <c r="C64" s="1361" t="n">
        <f aca="false">VLOOKUP(B64,$B$5:$I$22,7,0)</f>
        <v>5479</v>
      </c>
      <c r="D64" s="1361" t="n">
        <f aca="false">C64/$H$24*$C$54</f>
        <v>6955.36163838213</v>
      </c>
      <c r="E64" s="1350" t="e">
        <f aca="false">F63</f>
        <v>#VALUE!</v>
      </c>
      <c r="F64" s="1348" t="e">
        <f aca="false">E64+D64</f>
        <v>#VALUE!</v>
      </c>
    </row>
    <row r="65" customFormat="false" ht="15" hidden="false" customHeight="false" outlineLevel="0" collapsed="false">
      <c r="A65" s="1364"/>
      <c r="B65" s="1365"/>
      <c r="C65" s="1365"/>
      <c r="D65" s="1365"/>
      <c r="E65" s="1365"/>
      <c r="F65" s="1368"/>
      <c r="G65" s="1365"/>
      <c r="H65" s="1365" t="n">
        <f aca="false">SUM(D56:D64)</f>
        <v>39876.2218990435</v>
      </c>
    </row>
    <row r="68" customFormat="false" ht="41.75" hidden="false" customHeight="false" outlineLevel="0" collapsed="false">
      <c r="A68" s="123" t="s">
        <v>243</v>
      </c>
      <c r="B68" s="124" t="s">
        <v>5053</v>
      </c>
      <c r="C68" s="124" t="s">
        <v>5054</v>
      </c>
      <c r="D68" s="124" t="s">
        <v>5055</v>
      </c>
      <c r="E68" s="124" t="s">
        <v>5056</v>
      </c>
      <c r="F68" s="124" t="s">
        <v>5057</v>
      </c>
      <c r="G68" s="124" t="s">
        <v>5058</v>
      </c>
      <c r="H68" s="125" t="s">
        <v>5059</v>
      </c>
      <c r="I68" s="1374" t="s">
        <v>5060</v>
      </c>
      <c r="J68" s="1374" t="s">
        <v>5061</v>
      </c>
    </row>
    <row r="69" customFormat="false" ht="15" hidden="false" customHeight="false" outlineLevel="0" collapsed="false">
      <c r="A69" s="130" t="n">
        <v>1</v>
      </c>
      <c r="B69" s="1347" t="s">
        <v>158</v>
      </c>
      <c r="C69" s="1347" t="str">
        <f aca="false">B71</f>
        <v>Mars</v>
      </c>
      <c r="D69" s="1347" t="str">
        <f aca="false">B72</f>
        <v>Merc</v>
      </c>
      <c r="E69" s="1347" t="str">
        <f aca="false">B73</f>
        <v>Jup</v>
      </c>
      <c r="F69" s="1348" t="str">
        <f aca="false">B74</f>
        <v>Ven</v>
      </c>
      <c r="G69" s="1347" t="str">
        <f aca="false">B76</f>
        <v>Rah</v>
      </c>
      <c r="H69" s="129" t="str">
        <f aca="false">B77</f>
        <v>Ketu</v>
      </c>
      <c r="I69" s="1347" t="str">
        <f aca="false">D69&amp;"+"&amp;H69</f>
        <v>Merc+Ketu</v>
      </c>
      <c r="J69" s="1347" t="str">
        <f aca="false">E69&amp;"+"&amp;G69</f>
        <v>Jup+Rah</v>
      </c>
      <c r="M69" s="141" t="n">
        <v>1</v>
      </c>
      <c r="N69" s="125" t="s">
        <v>158</v>
      </c>
    </row>
    <row r="70" customFormat="false" ht="15" hidden="false" customHeight="false" outlineLevel="0" collapsed="false">
      <c r="A70" s="130" t="n">
        <v>2</v>
      </c>
      <c r="B70" s="1347" t="s">
        <v>159</v>
      </c>
      <c r="C70" s="1347" t="str">
        <f aca="false">B72</f>
        <v>Merc</v>
      </c>
      <c r="D70" s="1347" t="str">
        <f aca="false">B73</f>
        <v>Jup</v>
      </c>
      <c r="E70" s="1347" t="str">
        <f aca="false">B74</f>
        <v>Ven</v>
      </c>
      <c r="F70" s="1348" t="str">
        <f aca="false">B75</f>
        <v>Sat</v>
      </c>
      <c r="G70" s="1347" t="str">
        <f aca="false">B77</f>
        <v>Ketu</v>
      </c>
      <c r="H70" s="129" t="str">
        <f aca="false">B78</f>
        <v>Sun</v>
      </c>
      <c r="I70" s="1347" t="str">
        <f aca="false">D70&amp;"+"&amp;H70</f>
        <v>Jup+Sun</v>
      </c>
      <c r="J70" s="1347" t="str">
        <f aca="false">E70&amp;"+"&amp;G70</f>
        <v>Ven+Ketu</v>
      </c>
      <c r="M70" s="130" t="n">
        <v>2</v>
      </c>
      <c r="N70" s="129" t="s">
        <v>159</v>
      </c>
    </row>
    <row r="71" customFormat="false" ht="15" hidden="false" customHeight="false" outlineLevel="0" collapsed="false">
      <c r="A71" s="130" t="n">
        <v>3</v>
      </c>
      <c r="B71" s="1347" t="s">
        <v>160</v>
      </c>
      <c r="C71" s="1347" t="str">
        <f aca="false">B73</f>
        <v>Jup</v>
      </c>
      <c r="D71" s="1347" t="str">
        <f aca="false">B74</f>
        <v>Ven</v>
      </c>
      <c r="E71" s="1347" t="str">
        <f aca="false">B75</f>
        <v>Sat</v>
      </c>
      <c r="F71" s="1348" t="str">
        <f aca="false">B76</f>
        <v>Rah</v>
      </c>
      <c r="G71" s="1347" t="str">
        <f aca="false">B78</f>
        <v>Sun</v>
      </c>
      <c r="H71" s="129" t="str">
        <f aca="false">B79</f>
        <v>Moon</v>
      </c>
      <c r="I71" s="1347" t="str">
        <f aca="false">D71&amp;"+"&amp;H71</f>
        <v>Ven+Moon</v>
      </c>
      <c r="J71" s="1347" t="str">
        <f aca="false">E71&amp;"+"&amp;G71</f>
        <v>Sat+Sun</v>
      </c>
      <c r="M71" s="138" t="n">
        <v>3</v>
      </c>
      <c r="N71" s="140" t="s">
        <v>5062</v>
      </c>
      <c r="O71" s="1347" t="s">
        <v>5063</v>
      </c>
    </row>
    <row r="72" customFormat="false" ht="15" hidden="false" customHeight="false" outlineLevel="0" collapsed="false">
      <c r="A72" s="130" t="n">
        <v>4</v>
      </c>
      <c r="B72" s="1347" t="s">
        <v>800</v>
      </c>
      <c r="C72" s="1347" t="str">
        <f aca="false">B74</f>
        <v>Ven</v>
      </c>
      <c r="D72" s="1347" t="str">
        <f aca="false">B75</f>
        <v>Sat</v>
      </c>
      <c r="E72" s="1347" t="str">
        <f aca="false">B76</f>
        <v>Rah</v>
      </c>
      <c r="F72" s="1348" t="str">
        <f aca="false">B77</f>
        <v>Ketu</v>
      </c>
      <c r="G72" s="1347" t="str">
        <f aca="false">B79</f>
        <v>Moon</v>
      </c>
      <c r="H72" s="129" t="str">
        <f aca="false">B80</f>
        <v>Mars</v>
      </c>
      <c r="I72" s="1347" t="str">
        <f aca="false">D72&amp;"+"&amp;H72</f>
        <v>Sat+Mars</v>
      </c>
      <c r="J72" s="1347" t="str">
        <f aca="false">E72&amp;"+"&amp;G72</f>
        <v>Rah+Moon</v>
      </c>
      <c r="L72" s="1347" t="s">
        <v>5064</v>
      </c>
      <c r="M72" s="141" t="n">
        <v>4</v>
      </c>
      <c r="N72" s="125" t="s">
        <v>5065</v>
      </c>
    </row>
    <row r="73" customFormat="false" ht="15" hidden="false" customHeight="false" outlineLevel="0" collapsed="false">
      <c r="A73" s="130" t="n">
        <v>5</v>
      </c>
      <c r="B73" s="1347" t="s">
        <v>801</v>
      </c>
      <c r="C73" s="1347" t="str">
        <f aca="false">B75</f>
        <v>Sat</v>
      </c>
      <c r="D73" s="1347" t="str">
        <f aca="false">B76</f>
        <v>Rah</v>
      </c>
      <c r="E73" s="1347" t="str">
        <f aca="false">B77</f>
        <v>Ketu</v>
      </c>
      <c r="F73" s="1348" t="str">
        <f aca="false">B78</f>
        <v>Sun</v>
      </c>
      <c r="G73" s="1347" t="str">
        <f aca="false">B80</f>
        <v>Mars</v>
      </c>
      <c r="H73" s="129" t="str">
        <f aca="false">B81</f>
        <v>Merc</v>
      </c>
      <c r="I73" s="1347" t="str">
        <f aca="false">D73&amp;"+"&amp;H73</f>
        <v>Rah+Merc</v>
      </c>
      <c r="J73" s="1347" t="str">
        <f aca="false">E73&amp;"+"&amp;G73</f>
        <v>Ketu+Mars</v>
      </c>
      <c r="M73" s="130" t="n">
        <v>5</v>
      </c>
      <c r="N73" s="129" t="s">
        <v>800</v>
      </c>
    </row>
    <row r="74" customFormat="false" ht="15" hidden="false" customHeight="false" outlineLevel="0" collapsed="false">
      <c r="A74" s="130" t="n">
        <v>6</v>
      </c>
      <c r="B74" s="1347" t="s">
        <v>802</v>
      </c>
      <c r="C74" s="1347" t="str">
        <f aca="false">B76</f>
        <v>Rah</v>
      </c>
      <c r="D74" s="1347" t="str">
        <f aca="false">B77</f>
        <v>Ketu</v>
      </c>
      <c r="E74" s="1347" t="str">
        <f aca="false">B78</f>
        <v>Sun</v>
      </c>
      <c r="F74" s="1348" t="str">
        <f aca="false">B79</f>
        <v>Moon</v>
      </c>
      <c r="G74" s="1347" t="str">
        <f aca="false">B81</f>
        <v>Merc</v>
      </c>
      <c r="H74" s="129" t="str">
        <f aca="false">B82</f>
        <v>Jup</v>
      </c>
      <c r="I74" s="1347" t="str">
        <f aca="false">D74&amp;"+"&amp;H74</f>
        <v>Ketu+Jup</v>
      </c>
      <c r="J74" s="1347" t="str">
        <f aca="false">E74&amp;"+"&amp;G74</f>
        <v>Sun+Merc</v>
      </c>
      <c r="M74" s="138" t="n">
        <v>6</v>
      </c>
      <c r="N74" s="140" t="s">
        <v>5066</v>
      </c>
      <c r="O74" s="1347" t="s">
        <v>5067</v>
      </c>
    </row>
    <row r="75" customFormat="false" ht="15" hidden="false" customHeight="false" outlineLevel="0" collapsed="false">
      <c r="A75" s="130" t="n">
        <v>7</v>
      </c>
      <c r="B75" s="1347" t="s">
        <v>462</v>
      </c>
      <c r="C75" s="1347" t="str">
        <f aca="false">B77</f>
        <v>Ketu</v>
      </c>
      <c r="D75" s="1347" t="str">
        <f aca="false">B78</f>
        <v>Sun</v>
      </c>
      <c r="E75" s="1347" t="str">
        <f aca="false">B79</f>
        <v>Moon</v>
      </c>
      <c r="F75" s="1348" t="str">
        <f aca="false">B80</f>
        <v>Mars</v>
      </c>
      <c r="G75" s="1347" t="str">
        <f aca="false">B82</f>
        <v>Jup</v>
      </c>
      <c r="H75" s="129" t="str">
        <f aca="false">B83</f>
        <v>Ven</v>
      </c>
      <c r="I75" s="1347" t="str">
        <f aca="false">D75&amp;"+"&amp;H75</f>
        <v>Sun+Ven</v>
      </c>
      <c r="J75" s="1347" t="str">
        <f aca="false">E75&amp;"+"&amp;G75</f>
        <v>Moon+Jup</v>
      </c>
      <c r="L75" s="1347" t="s">
        <v>5068</v>
      </c>
      <c r="M75" s="141" t="n">
        <v>7</v>
      </c>
      <c r="N75" s="125" t="s">
        <v>166</v>
      </c>
    </row>
    <row r="76" customFormat="false" ht="15" hidden="false" customHeight="false" outlineLevel="0" collapsed="false">
      <c r="A76" s="130" t="n">
        <v>8</v>
      </c>
      <c r="B76" s="1347" t="s">
        <v>5065</v>
      </c>
      <c r="C76" s="1347" t="str">
        <f aca="false">B78</f>
        <v>Sun</v>
      </c>
      <c r="D76" s="1347" t="str">
        <f aca="false">B79</f>
        <v>Moon</v>
      </c>
      <c r="E76" s="1347" t="str">
        <f aca="false">B80</f>
        <v>Mars</v>
      </c>
      <c r="F76" s="1348" t="str">
        <f aca="false">B81</f>
        <v>Merc</v>
      </c>
      <c r="G76" s="1347" t="str">
        <f aca="false">B83</f>
        <v>Ven</v>
      </c>
      <c r="H76" s="129" t="str">
        <f aca="false">B84</f>
        <v>Sat</v>
      </c>
      <c r="I76" s="1347" t="str">
        <f aca="false">D76&amp;"+"&amp;H76</f>
        <v>Moon+Sat</v>
      </c>
      <c r="J76" s="1347" t="str">
        <f aca="false">E76&amp;"+"&amp;G76</f>
        <v>Mars+Ven</v>
      </c>
      <c r="M76" s="130" t="n">
        <v>8</v>
      </c>
      <c r="N76" s="129" t="s">
        <v>164</v>
      </c>
      <c r="O76" s="1347" t="s">
        <v>5069</v>
      </c>
    </row>
    <row r="77" customFormat="false" ht="15" hidden="false" customHeight="false" outlineLevel="0" collapsed="false">
      <c r="A77" s="138" t="n">
        <v>9</v>
      </c>
      <c r="B77" s="139" t="s">
        <v>166</v>
      </c>
      <c r="C77" s="139" t="str">
        <f aca="false">B79</f>
        <v>Moon</v>
      </c>
      <c r="D77" s="139" t="str">
        <f aca="false">B80</f>
        <v>Mars</v>
      </c>
      <c r="E77" s="139" t="str">
        <f aca="false">B81</f>
        <v>Merc</v>
      </c>
      <c r="F77" s="139" t="str">
        <f aca="false">B82</f>
        <v>Jup</v>
      </c>
      <c r="G77" s="139" t="str">
        <f aca="false">B84</f>
        <v>Sat</v>
      </c>
      <c r="H77" s="140" t="str">
        <f aca="false">B85</f>
        <v>Rah</v>
      </c>
      <c r="I77" s="1347" t="str">
        <f aca="false">D77&amp;"+"&amp;H77</f>
        <v>Mars+Rah</v>
      </c>
      <c r="J77" s="1347" t="str">
        <f aca="false">E77&amp;"+"&amp;G77</f>
        <v>Merc+Sat</v>
      </c>
      <c r="M77" s="138" t="n">
        <v>9</v>
      </c>
      <c r="N77" s="140" t="s">
        <v>160</v>
      </c>
    </row>
    <row r="78" customFormat="false" ht="15" hidden="false" customHeight="false" outlineLevel="0" collapsed="false">
      <c r="A78" s="1347" t="n">
        <v>10</v>
      </c>
      <c r="B78" s="1347" t="s">
        <v>158</v>
      </c>
      <c r="C78" s="1347" t="str">
        <f aca="false">B80</f>
        <v>Mars</v>
      </c>
      <c r="D78" s="1347" t="str">
        <f aca="false">B81</f>
        <v>Merc</v>
      </c>
      <c r="E78" s="1347" t="str">
        <f aca="false">B82</f>
        <v>Jup</v>
      </c>
      <c r="F78" s="1348" t="str">
        <f aca="false">B83</f>
        <v>Ven</v>
      </c>
      <c r="G78" s="1347" t="str">
        <f aca="false">B85</f>
        <v>Rah</v>
      </c>
      <c r="H78" s="1347" t="str">
        <f aca="false">B86</f>
        <v>Ketu</v>
      </c>
      <c r="I78" s="1347" t="str">
        <f aca="false">D78&amp;"+"&amp;H78</f>
        <v>Merc+Ketu</v>
      </c>
      <c r="J78" s="1347" t="str">
        <f aca="false">E78&amp;"+"&amp;G78</f>
        <v>Jup+Rah</v>
      </c>
    </row>
    <row r="79" customFormat="false" ht="15" hidden="false" customHeight="false" outlineLevel="0" collapsed="false">
      <c r="A79" s="1347" t="n">
        <v>11</v>
      </c>
      <c r="B79" s="1347" t="s">
        <v>159</v>
      </c>
      <c r="C79" s="1347" t="str">
        <f aca="false">B81</f>
        <v>Merc</v>
      </c>
      <c r="D79" s="1347" t="str">
        <f aca="false">B82</f>
        <v>Jup</v>
      </c>
      <c r="E79" s="1347" t="str">
        <f aca="false">B83</f>
        <v>Ven</v>
      </c>
      <c r="F79" s="1348" t="str">
        <f aca="false">B84</f>
        <v>Sat</v>
      </c>
      <c r="G79" s="1347" t="str">
        <f aca="false">B86</f>
        <v>Ketu</v>
      </c>
      <c r="H79" s="1347" t="n">
        <f aca="false">B87</f>
        <v>0</v>
      </c>
      <c r="I79" s="1347" t="str">
        <f aca="false">D79&amp;"+"&amp;H79</f>
        <v>Jup+0</v>
      </c>
      <c r="J79" s="1347" t="str">
        <f aca="false">E79&amp;"+"&amp;G79</f>
        <v>Ven+Ketu</v>
      </c>
    </row>
    <row r="80" customFormat="false" ht="15" hidden="false" customHeight="false" outlineLevel="0" collapsed="false">
      <c r="A80" s="1347" t="n">
        <v>12</v>
      </c>
      <c r="B80" s="1347" t="s">
        <v>160</v>
      </c>
      <c r="C80" s="1347" t="str">
        <f aca="false">B82</f>
        <v>Jup</v>
      </c>
      <c r="D80" s="1347" t="str">
        <f aca="false">B83</f>
        <v>Ven</v>
      </c>
      <c r="E80" s="1347" t="str">
        <f aca="false">B84</f>
        <v>Sat</v>
      </c>
      <c r="F80" s="1348" t="str">
        <f aca="false">B85</f>
        <v>Rah</v>
      </c>
      <c r="G80" s="1347" t="n">
        <f aca="false">B87</f>
        <v>0</v>
      </c>
      <c r="H80" s="1347" t="n">
        <f aca="false">B88</f>
        <v>0</v>
      </c>
      <c r="I80" s="1347" t="str">
        <f aca="false">D80&amp;"+"&amp;H80</f>
        <v>Ven+0</v>
      </c>
      <c r="J80" s="1347" t="str">
        <f aca="false">E80&amp;"+"&amp;G80</f>
        <v>Sat+0</v>
      </c>
    </row>
    <row r="81" customFormat="false" ht="15" hidden="false" customHeight="false" outlineLevel="0" collapsed="false">
      <c r="A81" s="1347" t="n">
        <v>13</v>
      </c>
      <c r="B81" s="1347" t="s">
        <v>800</v>
      </c>
      <c r="C81" s="1347" t="str">
        <f aca="false">B83</f>
        <v>Ven</v>
      </c>
      <c r="D81" s="1347" t="str">
        <f aca="false">B84</f>
        <v>Sat</v>
      </c>
      <c r="E81" s="1347" t="str">
        <f aca="false">B85</f>
        <v>Rah</v>
      </c>
      <c r="F81" s="1348" t="str">
        <f aca="false">B86</f>
        <v>Ketu</v>
      </c>
      <c r="G81" s="1347" t="n">
        <f aca="false">B88</f>
        <v>0</v>
      </c>
      <c r="H81" s="1347" t="n">
        <f aca="false">B89</f>
        <v>0</v>
      </c>
      <c r="I81" s="1347" t="str">
        <f aca="false">D81&amp;"+"&amp;H81</f>
        <v>Sat+0</v>
      </c>
      <c r="J81" s="1347" t="str">
        <f aca="false">E81&amp;"+"&amp;G81</f>
        <v>Rah+0</v>
      </c>
    </row>
    <row r="82" customFormat="false" ht="15" hidden="false" customHeight="false" outlineLevel="0" collapsed="false">
      <c r="A82" s="1347" t="n">
        <v>14</v>
      </c>
      <c r="B82" s="1347" t="s">
        <v>801</v>
      </c>
      <c r="C82" s="1347" t="str">
        <f aca="false">B84</f>
        <v>Sat</v>
      </c>
      <c r="D82" s="1347" t="str">
        <f aca="false">B85</f>
        <v>Rah</v>
      </c>
      <c r="E82" s="1347" t="str">
        <f aca="false">B86</f>
        <v>Ketu</v>
      </c>
      <c r="F82" s="1348" t="n">
        <f aca="false">B87</f>
        <v>0</v>
      </c>
      <c r="G82" s="1347" t="n">
        <f aca="false">B89</f>
        <v>0</v>
      </c>
      <c r="H82" s="1347" t="n">
        <f aca="false">B90</f>
        <v>0</v>
      </c>
      <c r="I82" s="1347" t="str">
        <f aca="false">D82&amp;"+"&amp;H82</f>
        <v>Rah+0</v>
      </c>
      <c r="J82" s="1347" t="str">
        <f aca="false">E82&amp;"+"&amp;G82</f>
        <v>Ketu+0</v>
      </c>
    </row>
    <row r="83" customFormat="false" ht="15" hidden="false" customHeight="false" outlineLevel="0" collapsed="false">
      <c r="A83" s="1347" t="n">
        <v>15</v>
      </c>
      <c r="B83" s="1347" t="s">
        <v>802</v>
      </c>
      <c r="C83" s="1347" t="str">
        <f aca="false">B85</f>
        <v>Rah</v>
      </c>
      <c r="D83" s="1347" t="str">
        <f aca="false">B86</f>
        <v>Ketu</v>
      </c>
      <c r="E83" s="1347" t="n">
        <f aca="false">B87</f>
        <v>0</v>
      </c>
      <c r="F83" s="1348" t="n">
        <f aca="false">B88</f>
        <v>0</v>
      </c>
      <c r="G83" s="1347" t="n">
        <f aca="false">B90</f>
        <v>0</v>
      </c>
      <c r="H83" s="1347" t="n">
        <f aca="false">B91</f>
        <v>0</v>
      </c>
      <c r="I83" s="1347" t="str">
        <f aca="false">D83&amp;"+"&amp;H83</f>
        <v>Ketu+0</v>
      </c>
      <c r="J83" s="1347" t="str">
        <f aca="false">E83&amp;"+"&amp;G83</f>
        <v>0+0</v>
      </c>
    </row>
    <row r="84" customFormat="false" ht="15" hidden="false" customHeight="false" outlineLevel="0" collapsed="false">
      <c r="A84" s="1347" t="n">
        <v>16</v>
      </c>
      <c r="B84" s="1347" t="s">
        <v>462</v>
      </c>
      <c r="C84" s="1347" t="str">
        <f aca="false">B86</f>
        <v>Ketu</v>
      </c>
      <c r="D84" s="1347" t="n">
        <f aca="false">B87</f>
        <v>0</v>
      </c>
      <c r="E84" s="1347" t="n">
        <f aca="false">B88</f>
        <v>0</v>
      </c>
      <c r="F84" s="1348" t="n">
        <f aca="false">B89</f>
        <v>0</v>
      </c>
      <c r="G84" s="1347" t="n">
        <f aca="false">B91</f>
        <v>0</v>
      </c>
      <c r="H84" s="1347" t="n">
        <f aca="false">B92</f>
        <v>0</v>
      </c>
      <c r="I84" s="1347" t="str">
        <f aca="false">D84&amp;"+"&amp;H84</f>
        <v>0+0</v>
      </c>
      <c r="J84" s="1347" t="str">
        <f aca="false">E84&amp;"+"&amp;G84</f>
        <v>0+0</v>
      </c>
    </row>
    <row r="85" customFormat="false" ht="15" hidden="false" customHeight="false" outlineLevel="0" collapsed="false">
      <c r="A85" s="1347" t="n">
        <v>17</v>
      </c>
      <c r="B85" s="1347" t="s">
        <v>5065</v>
      </c>
      <c r="C85" s="1347" t="n">
        <f aca="false">B87</f>
        <v>0</v>
      </c>
      <c r="D85" s="1347" t="n">
        <f aca="false">B88</f>
        <v>0</v>
      </c>
      <c r="E85" s="1347" t="n">
        <f aca="false">B89</f>
        <v>0</v>
      </c>
      <c r="F85" s="1348" t="n">
        <f aca="false">B90</f>
        <v>0</v>
      </c>
      <c r="G85" s="1347" t="n">
        <f aca="false">B92</f>
        <v>0</v>
      </c>
      <c r="H85" s="1347" t="n">
        <f aca="false">B93</f>
        <v>0</v>
      </c>
      <c r="I85" s="1347" t="str">
        <f aca="false">D85&amp;"+"&amp;H85</f>
        <v>0+0</v>
      </c>
      <c r="J85" s="1347" t="str">
        <f aca="false">E85&amp;"+"&amp;G85</f>
        <v>0+0</v>
      </c>
    </row>
    <row r="86" customFormat="false" ht="15" hidden="false" customHeight="false" outlineLevel="0" collapsed="false">
      <c r="A86" s="1347" t="n">
        <v>18</v>
      </c>
      <c r="B86" s="1347" t="s">
        <v>166</v>
      </c>
      <c r="C86" s="1347" t="n">
        <f aca="false">B88</f>
        <v>0</v>
      </c>
      <c r="D86" s="1347" t="n">
        <f aca="false">B89</f>
        <v>0</v>
      </c>
      <c r="E86" s="1347" t="n">
        <f aca="false">B90</f>
        <v>0</v>
      </c>
      <c r="F86" s="1348" t="n">
        <f aca="false">B91</f>
        <v>0</v>
      </c>
      <c r="G86" s="1347" t="n">
        <f aca="false">B93</f>
        <v>0</v>
      </c>
      <c r="H86" s="1347" t="n">
        <f aca="false">B94</f>
        <v>0</v>
      </c>
      <c r="I86" s="1347" t="str">
        <f aca="false">D86&amp;"+"&amp;H86</f>
        <v>0+0</v>
      </c>
      <c r="J86" s="1347" t="str">
        <f aca="false">E86&amp;"+"&amp;G86</f>
        <v>0+0</v>
      </c>
    </row>
  </sheetData>
  <mergeCells count="1">
    <mergeCell ref="B1:E1"/>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&amp;C&amp;"Arial,Regular"&amp;10&amp;A</oddHeader>
    <oddFooter>&amp;C&amp;"Arial,Regular"&amp;10Page &amp;P</oddFooter>
  </headerFooter>
  <tableParts>
    <tablePart r:id="rId1"/>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7" colorId="64" zoomScale="181" zoomScaleNormal="181" zoomScalePageLayoutView="100" workbookViewId="0">
      <selection pane="topLeft" activeCell="A8" activeCellId="0" sqref="A8"/>
    </sheetView>
  </sheetViews>
  <sheetFormatPr defaultColWidth="9.1484375" defaultRowHeight="18" customHeight="true" zeroHeight="false" outlineLevelRow="0" outlineLevelCol="0"/>
  <cols>
    <col collapsed="false" customWidth="true" hidden="false" outlineLevel="0" max="1" min="1" style="1347" width="2"/>
    <col collapsed="false" customWidth="false" hidden="false" outlineLevel="0" max="3" min="2" style="1347" width="9.14"/>
    <col collapsed="false" customWidth="true" hidden="false" outlineLevel="0" max="4" min="4" style="1375" width="74.57"/>
    <col collapsed="false" customWidth="true" hidden="false" outlineLevel="0" max="5" min="5" style="1347" width="53.29"/>
    <col collapsed="false" customWidth="true" hidden="false" outlineLevel="0" max="6" min="6" style="1347" width="33"/>
    <col collapsed="false" customWidth="false" hidden="false" outlineLevel="0" max="1024" min="7" style="1347" width="9.14"/>
  </cols>
  <sheetData>
    <row r="1" customFormat="false" ht="18" hidden="false" customHeight="false" outlineLevel="0" collapsed="false">
      <c r="A1" s="1347" t="s">
        <v>243</v>
      </c>
      <c r="B1" s="1376" t="s">
        <v>5070</v>
      </c>
      <c r="C1" s="1347" t="s">
        <v>2150</v>
      </c>
      <c r="D1" s="1375" t="s">
        <v>5071</v>
      </c>
      <c r="E1" s="1347" t="s">
        <v>880</v>
      </c>
    </row>
    <row r="2" customFormat="false" ht="81.3" hidden="false" customHeight="false" outlineLevel="0" collapsed="false">
      <c r="A2" s="1347" t="n">
        <v>1</v>
      </c>
      <c r="B2" s="1376" t="s">
        <v>5072</v>
      </c>
      <c r="C2" s="1347" t="s">
        <v>5073</v>
      </c>
      <c r="D2" s="1377" t="s">
        <v>5074</v>
      </c>
      <c r="E2" s="1378" t="s">
        <v>5075</v>
      </c>
    </row>
    <row r="3" customFormat="false" ht="73.85" hidden="false" customHeight="false" outlineLevel="0" collapsed="false">
      <c r="A3" s="1347" t="n">
        <v>2</v>
      </c>
      <c r="B3" s="1376" t="s">
        <v>5076</v>
      </c>
      <c r="C3" s="1347" t="s">
        <v>5077</v>
      </c>
      <c r="D3" s="1377" t="s">
        <v>5078</v>
      </c>
      <c r="E3" s="689" t="s">
        <v>5079</v>
      </c>
    </row>
    <row r="4" customFormat="false" ht="59.7" hidden="false" customHeight="false" outlineLevel="0" collapsed="false">
      <c r="A4" s="1347" t="n">
        <v>3</v>
      </c>
      <c r="B4" s="1376" t="s">
        <v>5080</v>
      </c>
      <c r="C4" s="1347" t="s">
        <v>1676</v>
      </c>
      <c r="D4" s="1377" t="s">
        <v>5081</v>
      </c>
      <c r="E4" s="1376" t="s">
        <v>5082</v>
      </c>
    </row>
    <row r="5" customFormat="false" ht="82.8" hidden="false" customHeight="false" outlineLevel="0" collapsed="false">
      <c r="A5" s="1347" t="n">
        <v>4</v>
      </c>
      <c r="B5" s="1376" t="s">
        <v>5083</v>
      </c>
      <c r="C5" s="1347" t="s">
        <v>5084</v>
      </c>
      <c r="D5" s="1377" t="s">
        <v>5085</v>
      </c>
      <c r="E5" s="1376" t="s">
        <v>5086</v>
      </c>
    </row>
    <row r="6" customFormat="false" ht="122.35" hidden="false" customHeight="false" outlineLevel="0" collapsed="false">
      <c r="A6" s="1347" t="n">
        <v>5</v>
      </c>
      <c r="B6" s="1376" t="s">
        <v>5087</v>
      </c>
      <c r="C6" s="1347" t="s">
        <v>5088</v>
      </c>
      <c r="D6" s="1377" t="s">
        <v>5089</v>
      </c>
      <c r="E6" s="1376" t="s">
        <v>5090</v>
      </c>
    </row>
    <row r="7" customFormat="false" ht="61.9" hidden="false" customHeight="false" outlineLevel="0" collapsed="false">
      <c r="A7" s="1347" t="n">
        <v>6</v>
      </c>
      <c r="D7" s="1377" t="s">
        <v>5091</v>
      </c>
    </row>
    <row r="8" customFormat="false" ht="18" hidden="false" customHeight="false" outlineLevel="0" collapsed="false">
      <c r="D8" s="1375" t="s">
        <v>5092</v>
      </c>
    </row>
    <row r="9" customFormat="false" ht="18" hidden="false" customHeight="false" outlineLevel="0" collapsed="false">
      <c r="D9" s="1375" t="s">
        <v>5093</v>
      </c>
    </row>
    <row r="10" customFormat="false" ht="18" hidden="false" customHeight="false" outlineLevel="0" collapsed="false">
      <c r="D10" s="1375" t="s">
        <v>5094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46"/>
  <sheetViews>
    <sheetView showFormulas="false" showGridLines="true" showRowColHeaders="true" showZeros="true" rightToLeft="false" tabSelected="false" showOutlineSymbols="true" defaultGridColor="true" view="normal" topLeftCell="C1" colorId="64" zoomScale="181" zoomScaleNormal="181" zoomScalePageLayoutView="100" workbookViewId="0">
      <pane xSplit="0" ySplit="3" topLeftCell="A23" activePane="bottomLeft" state="frozen"/>
      <selection pane="topLeft" activeCell="C1" activeCellId="0" sqref="C1"/>
      <selection pane="bottomLeft" activeCell="P24" activeCellId="0" sqref="P24"/>
    </sheetView>
  </sheetViews>
  <sheetFormatPr defaultColWidth="9.1484375" defaultRowHeight="15" customHeight="true" zeroHeight="false" outlineLevelRow="0" outlineLevelCol="0"/>
  <cols>
    <col collapsed="false" customWidth="true" hidden="false" outlineLevel="0" max="1" min="1" style="1379" width="12.29"/>
    <col collapsed="false" customWidth="true" hidden="false" outlineLevel="0" max="2" min="2" style="1379" width="8.71"/>
    <col collapsed="false" customWidth="true" hidden="false" outlineLevel="0" max="3" min="3" style="1379" width="11.85"/>
    <col collapsed="false" customWidth="true" hidden="false" outlineLevel="0" max="4" min="4" style="1379" width="11.14"/>
    <col collapsed="false" customWidth="true" hidden="false" outlineLevel="0" max="5" min="5" style="1379" width="10.71"/>
    <col collapsed="false" customWidth="true" hidden="false" outlineLevel="0" max="6" min="6" style="1379" width="11.29"/>
    <col collapsed="false" customWidth="true" hidden="false" outlineLevel="0" max="7" min="7" style="1379" width="7.71"/>
    <col collapsed="false" customWidth="true" hidden="false" outlineLevel="0" max="8" min="8" style="1379" width="3"/>
    <col collapsed="false" customWidth="true" hidden="false" outlineLevel="0" max="9" min="9" style="1379" width="8.71"/>
    <col collapsed="false" customWidth="true" hidden="false" outlineLevel="0" max="14" min="10" style="1379" width="6.29"/>
    <col collapsed="false" customWidth="true" hidden="false" outlineLevel="0" max="15" min="15" style="1379" width="11.29"/>
    <col collapsed="false" customWidth="true" hidden="false" outlineLevel="0" max="17" min="16" style="1379" width="8.71"/>
    <col collapsed="false" customWidth="true" hidden="false" outlineLevel="0" max="21" min="18" style="1379" width="6.29"/>
    <col collapsed="false" customWidth="true" hidden="false" outlineLevel="0" max="22" min="22" style="1379" width="4.42"/>
    <col collapsed="false" customWidth="true" hidden="false" outlineLevel="0" max="23" min="23" style="1379" width="6.29"/>
    <col collapsed="false" customWidth="true" hidden="false" outlineLevel="0" max="24" min="24" style="1379" width="8.71"/>
    <col collapsed="false" customWidth="true" hidden="false" outlineLevel="0" max="29" min="25" style="1379" width="6.29"/>
    <col collapsed="false" customWidth="false" hidden="false" outlineLevel="0" max="1024" min="30" style="1379" width="9.14"/>
  </cols>
  <sheetData>
    <row r="1" customFormat="false" ht="15" hidden="false" customHeight="false" outlineLevel="0" collapsed="false">
      <c r="A1" s="1379" t="s">
        <v>4118</v>
      </c>
      <c r="B1" s="1380" t="n">
        <v>0.247094907407407</v>
      </c>
      <c r="C1" s="1379" t="s">
        <v>4932</v>
      </c>
      <c r="D1" s="1380" t="n">
        <v>0.774409722222222</v>
      </c>
      <c r="E1" s="1379" t="s">
        <v>5095</v>
      </c>
      <c r="F1" s="1380" t="n">
        <f aca="false">(D1-B1)/5</f>
        <v>0.105462962962963</v>
      </c>
      <c r="G1" s="1381" t="s">
        <v>5096</v>
      </c>
      <c r="I1" s="1380" t="n">
        <f aca="false">(1-(D1-B1))/5</f>
        <v>0.094537037037037</v>
      </c>
    </row>
    <row r="2" customFormat="false" ht="15" hidden="false" customHeight="false" outlineLevel="0" collapsed="false">
      <c r="A2" s="1382"/>
      <c r="B2" s="1383"/>
      <c r="C2" s="1384" t="s">
        <v>5097</v>
      </c>
      <c r="D2" s="1384"/>
      <c r="E2" s="1384"/>
      <c r="F2" s="1384"/>
      <c r="G2" s="1384"/>
      <c r="I2" s="1384" t="s">
        <v>5098</v>
      </c>
      <c r="J2" s="1384"/>
      <c r="K2" s="1384"/>
      <c r="L2" s="1384"/>
      <c r="M2" s="1384"/>
      <c r="N2" s="1383"/>
      <c r="P2" s="1385"/>
      <c r="Q2" s="1384" t="s">
        <v>5099</v>
      </c>
      <c r="R2" s="1384"/>
      <c r="S2" s="1384"/>
      <c r="T2" s="1384"/>
      <c r="U2" s="1384"/>
      <c r="V2" s="1383"/>
      <c r="W2" s="1384" t="s">
        <v>5100</v>
      </c>
      <c r="X2" s="1384"/>
      <c r="Y2" s="1384"/>
      <c r="Z2" s="1384"/>
      <c r="AA2" s="1384"/>
      <c r="AB2" s="1383"/>
      <c r="AC2" s="1383"/>
    </row>
    <row r="3" customFormat="false" ht="15" hidden="false" customHeight="false" outlineLevel="0" collapsed="false">
      <c r="A3" s="1386" t="s">
        <v>5101</v>
      </c>
      <c r="B3" s="1379" t="s">
        <v>5102</v>
      </c>
      <c r="C3" s="1387" t="n">
        <f aca="false">$B$1</f>
        <v>0.247094907407407</v>
      </c>
      <c r="D3" s="1387" t="n">
        <f aca="false">C3+$F$1</f>
        <v>0.35255787037037</v>
      </c>
      <c r="E3" s="1387" t="n">
        <f aca="false">D3+$F$1</f>
        <v>0.458020833333333</v>
      </c>
      <c r="F3" s="1387" t="n">
        <f aca="false">E3+$F$1</f>
        <v>0.563483796296296</v>
      </c>
      <c r="G3" s="1387" t="n">
        <f aca="false">F3+$F$1</f>
        <v>0.668946759259259</v>
      </c>
      <c r="I3" s="1387" t="n">
        <f aca="false">G3+$F$1</f>
        <v>0.774409722222222</v>
      </c>
      <c r="J3" s="1387" t="n">
        <f aca="false">I3+$I$1</f>
        <v>0.868946759259259</v>
      </c>
      <c r="K3" s="1387" t="n">
        <f aca="false">J3+$I$1</f>
        <v>0.963483796296296</v>
      </c>
      <c r="L3" s="1387" t="n">
        <f aca="false">K3+$I$1</f>
        <v>1.05802083333333</v>
      </c>
      <c r="M3" s="1387" t="n">
        <f aca="false">L3+$I$1</f>
        <v>1.15255787037037</v>
      </c>
      <c r="N3" s="1387"/>
      <c r="O3" s="1388" t="s">
        <v>5103</v>
      </c>
      <c r="P3" s="1387" t="s">
        <v>5102</v>
      </c>
      <c r="Q3" s="1387" t="n">
        <f aca="false">$B$1</f>
        <v>0.247094907407407</v>
      </c>
      <c r="R3" s="1387" t="n">
        <f aca="false">Q3+$F$1</f>
        <v>0.35255787037037</v>
      </c>
      <c r="S3" s="1387" t="n">
        <f aca="false">R3+$F$1</f>
        <v>0.458020833333333</v>
      </c>
      <c r="T3" s="1387" t="n">
        <f aca="false">S3+$F$1</f>
        <v>0.563483796296296</v>
      </c>
      <c r="U3" s="1387" t="n">
        <f aca="false">T3+$F$1</f>
        <v>0.668946759259259</v>
      </c>
      <c r="W3" s="1387" t="n">
        <f aca="false">U3+$F$1</f>
        <v>0.774409722222222</v>
      </c>
      <c r="X3" s="1387" t="n">
        <f aca="false">W3+$I$1</f>
        <v>0.868946759259259</v>
      </c>
      <c r="Y3" s="1387" t="n">
        <f aca="false">X3+$I$1</f>
        <v>0.963483796296296</v>
      </c>
      <c r="Z3" s="1387" t="n">
        <f aca="false">Y3+$I$1</f>
        <v>1.05802083333333</v>
      </c>
      <c r="AA3" s="1387" t="n">
        <f aca="false">Z3+$I$1</f>
        <v>1.15255787037037</v>
      </c>
    </row>
    <row r="4" customFormat="false" ht="15" hidden="false" customHeight="true" outlineLevel="0" collapsed="false">
      <c r="A4" s="1389" t="s">
        <v>5104</v>
      </c>
      <c r="B4" s="1390" t="s">
        <v>5105</v>
      </c>
      <c r="C4" s="1391" t="s">
        <v>5106</v>
      </c>
      <c r="D4" s="1391" t="s">
        <v>5107</v>
      </c>
      <c r="E4" s="1391" t="s">
        <v>5108</v>
      </c>
      <c r="F4" s="1391" t="s">
        <v>5109</v>
      </c>
      <c r="G4" s="1392" t="s">
        <v>4365</v>
      </c>
      <c r="I4" s="1393" t="s">
        <v>4365</v>
      </c>
      <c r="J4" s="1391" t="s">
        <v>5108</v>
      </c>
      <c r="K4" s="1391" t="s">
        <v>5106</v>
      </c>
      <c r="L4" s="1391" t="s">
        <v>5109</v>
      </c>
      <c r="M4" s="1392" t="s">
        <v>5107</v>
      </c>
      <c r="O4" s="1389" t="s">
        <v>5104</v>
      </c>
      <c r="P4" s="1394" t="s">
        <v>1504</v>
      </c>
      <c r="Q4" s="1391" t="s">
        <v>5106</v>
      </c>
      <c r="R4" s="1391" t="s">
        <v>5107</v>
      </c>
      <c r="S4" s="1391" t="s">
        <v>4365</v>
      </c>
      <c r="T4" s="1391" t="s">
        <v>5109</v>
      </c>
      <c r="U4" s="1392" t="s">
        <v>5108</v>
      </c>
      <c r="V4" s="1395"/>
      <c r="W4" s="1393" t="s">
        <v>5107</v>
      </c>
      <c r="X4" s="1391" t="s">
        <v>5106</v>
      </c>
      <c r="Y4" s="1391" t="s">
        <v>5108</v>
      </c>
      <c r="Z4" s="1391" t="s">
        <v>5109</v>
      </c>
      <c r="AA4" s="1392" t="s">
        <v>4365</v>
      </c>
    </row>
    <row r="5" customFormat="false" ht="15" hidden="false" customHeight="false" outlineLevel="0" collapsed="false">
      <c r="A5" s="1389"/>
      <c r="B5" s="1388" t="s">
        <v>1708</v>
      </c>
      <c r="C5" s="1379" t="s">
        <v>5107</v>
      </c>
      <c r="D5" s="1379" t="s">
        <v>5108</v>
      </c>
      <c r="E5" s="1379" t="s">
        <v>5109</v>
      </c>
      <c r="F5" s="1379" t="s">
        <v>4365</v>
      </c>
      <c r="G5" s="1396" t="s">
        <v>5106</v>
      </c>
      <c r="I5" s="1397" t="s">
        <v>5107</v>
      </c>
      <c r="J5" s="1379" t="s">
        <v>4365</v>
      </c>
      <c r="K5" s="1379" t="s">
        <v>5108</v>
      </c>
      <c r="L5" s="1379" t="s">
        <v>5106</v>
      </c>
      <c r="M5" s="1396" t="s">
        <v>5109</v>
      </c>
      <c r="O5" s="1389"/>
      <c r="P5" s="1398" t="s">
        <v>5105</v>
      </c>
      <c r="Q5" s="1379" t="s">
        <v>4365</v>
      </c>
      <c r="R5" s="1379" t="s">
        <v>5106</v>
      </c>
      <c r="S5" s="1379" t="s">
        <v>5109</v>
      </c>
      <c r="T5" s="1379" t="s">
        <v>5108</v>
      </c>
      <c r="U5" s="1396" t="s">
        <v>5107</v>
      </c>
      <c r="V5" s="1395"/>
      <c r="W5" s="1397" t="s">
        <v>4365</v>
      </c>
      <c r="X5" s="1379" t="s">
        <v>5109</v>
      </c>
      <c r="Y5" s="1379" t="s">
        <v>5106</v>
      </c>
      <c r="Z5" s="1379" t="s">
        <v>5107</v>
      </c>
      <c r="AA5" s="1396" t="s">
        <v>5108</v>
      </c>
    </row>
    <row r="6" customFormat="false" ht="15" hidden="false" customHeight="false" outlineLevel="0" collapsed="false">
      <c r="A6" s="1389"/>
      <c r="B6" s="1388" t="s">
        <v>1619</v>
      </c>
      <c r="C6" s="1379" t="s">
        <v>5108</v>
      </c>
      <c r="D6" s="1379" t="s">
        <v>5109</v>
      </c>
      <c r="E6" s="1379" t="s">
        <v>4365</v>
      </c>
      <c r="F6" s="1379" t="s">
        <v>5106</v>
      </c>
      <c r="G6" s="1396" t="s">
        <v>5107</v>
      </c>
      <c r="I6" s="1397" t="s">
        <v>5109</v>
      </c>
      <c r="J6" s="1379" t="s">
        <v>5107</v>
      </c>
      <c r="K6" s="1379" t="s">
        <v>4365</v>
      </c>
      <c r="L6" s="1379" t="s">
        <v>5108</v>
      </c>
      <c r="M6" s="1396" t="s">
        <v>5106</v>
      </c>
      <c r="O6" s="1389"/>
      <c r="P6" s="1398" t="s">
        <v>1708</v>
      </c>
      <c r="Q6" s="1379" t="s">
        <v>5109</v>
      </c>
      <c r="R6" s="1379" t="s">
        <v>4365</v>
      </c>
      <c r="S6" s="1379" t="s">
        <v>5108</v>
      </c>
      <c r="T6" s="1379" t="s">
        <v>5107</v>
      </c>
      <c r="U6" s="1396" t="s">
        <v>5106</v>
      </c>
      <c r="V6" s="1395"/>
      <c r="W6" s="1397" t="s">
        <v>5108</v>
      </c>
      <c r="X6" s="1379" t="s">
        <v>5107</v>
      </c>
      <c r="Y6" s="1379" t="s">
        <v>5109</v>
      </c>
      <c r="Z6" s="1379" t="s">
        <v>4365</v>
      </c>
      <c r="AA6" s="1396" t="s">
        <v>5106</v>
      </c>
    </row>
    <row r="7" customFormat="false" ht="15" hidden="false" customHeight="false" outlineLevel="0" collapsed="false">
      <c r="A7" s="1389"/>
      <c r="B7" s="1388" t="s">
        <v>1504</v>
      </c>
      <c r="C7" s="1379" t="s">
        <v>5109</v>
      </c>
      <c r="D7" s="1379" t="s">
        <v>4365</v>
      </c>
      <c r="E7" s="1379" t="s">
        <v>5106</v>
      </c>
      <c r="F7" s="1379" t="s">
        <v>5107</v>
      </c>
      <c r="G7" s="1396" t="s">
        <v>5108</v>
      </c>
      <c r="I7" s="1397" t="s">
        <v>5106</v>
      </c>
      <c r="J7" s="1379" t="s">
        <v>5109</v>
      </c>
      <c r="K7" s="1379" t="s">
        <v>5107</v>
      </c>
      <c r="L7" s="1379" t="s">
        <v>4365</v>
      </c>
      <c r="M7" s="1396" t="s">
        <v>5108</v>
      </c>
      <c r="O7" s="1389"/>
      <c r="P7" s="1398" t="s">
        <v>1364</v>
      </c>
      <c r="Q7" s="1379" t="s">
        <v>5108</v>
      </c>
      <c r="R7" s="1379" t="s">
        <v>5109</v>
      </c>
      <c r="S7" s="1379" t="s">
        <v>5107</v>
      </c>
      <c r="T7" s="1379" t="s">
        <v>5106</v>
      </c>
      <c r="U7" s="1396" t="s">
        <v>4365</v>
      </c>
      <c r="V7" s="1395"/>
      <c r="W7" s="1397" t="s">
        <v>5106</v>
      </c>
      <c r="X7" s="1379" t="s">
        <v>4365</v>
      </c>
      <c r="Y7" s="1379" t="s">
        <v>5107</v>
      </c>
      <c r="Z7" s="1379" t="s">
        <v>5108</v>
      </c>
      <c r="AA7" s="1396" t="s">
        <v>5109</v>
      </c>
    </row>
    <row r="8" customFormat="false" ht="15" hidden="false" customHeight="false" outlineLevel="0" collapsed="false">
      <c r="A8" s="1389"/>
      <c r="B8" s="1399" t="s">
        <v>1364</v>
      </c>
      <c r="C8" s="1400" t="s">
        <v>4365</v>
      </c>
      <c r="D8" s="1400" t="s">
        <v>5106</v>
      </c>
      <c r="E8" s="1400" t="s">
        <v>5107</v>
      </c>
      <c r="F8" s="1400" t="s">
        <v>5108</v>
      </c>
      <c r="G8" s="1401" t="s">
        <v>5109</v>
      </c>
      <c r="I8" s="1402" t="s">
        <v>5108</v>
      </c>
      <c r="J8" s="1400" t="s">
        <v>5106</v>
      </c>
      <c r="K8" s="1400" t="s">
        <v>5109</v>
      </c>
      <c r="L8" s="1400" t="s">
        <v>5107</v>
      </c>
      <c r="M8" s="1401" t="s">
        <v>4365</v>
      </c>
      <c r="O8" s="1389"/>
      <c r="P8" s="1403" t="s">
        <v>1619</v>
      </c>
      <c r="Q8" s="1400" t="s">
        <v>5107</v>
      </c>
      <c r="R8" s="1400" t="s">
        <v>5108</v>
      </c>
      <c r="S8" s="1400" t="s">
        <v>5106</v>
      </c>
      <c r="T8" s="1400" t="s">
        <v>4365</v>
      </c>
      <c r="U8" s="1401" t="s">
        <v>5109</v>
      </c>
      <c r="V8" s="1395"/>
      <c r="W8" s="1402" t="s">
        <v>5109</v>
      </c>
      <c r="X8" s="1400" t="s">
        <v>5108</v>
      </c>
      <c r="Y8" s="1400" t="s">
        <v>4365</v>
      </c>
      <c r="Z8" s="1400" t="s">
        <v>5106</v>
      </c>
      <c r="AA8" s="1401" t="s">
        <v>5107</v>
      </c>
    </row>
    <row r="9" customFormat="false" ht="15" hidden="false" customHeight="true" outlineLevel="0" collapsed="false">
      <c r="A9" s="1389" t="s">
        <v>5110</v>
      </c>
      <c r="B9" s="1390" t="s">
        <v>5105</v>
      </c>
      <c r="C9" s="1391" t="s">
        <v>4365</v>
      </c>
      <c r="D9" s="1391" t="s">
        <v>5106</v>
      </c>
      <c r="E9" s="1391" t="s">
        <v>5107</v>
      </c>
      <c r="F9" s="1391" t="s">
        <v>5108</v>
      </c>
      <c r="G9" s="1392" t="s">
        <v>5109</v>
      </c>
      <c r="I9" s="1393" t="s">
        <v>5107</v>
      </c>
      <c r="J9" s="1391" t="s">
        <v>4365</v>
      </c>
      <c r="K9" s="1391" t="s">
        <v>5108</v>
      </c>
      <c r="L9" s="1391" t="s">
        <v>5106</v>
      </c>
      <c r="M9" s="1392" t="s">
        <v>5109</v>
      </c>
      <c r="O9" s="1389" t="s">
        <v>5111</v>
      </c>
      <c r="P9" s="1394" t="s">
        <v>1504</v>
      </c>
      <c r="Q9" s="1391" t="s">
        <v>5108</v>
      </c>
      <c r="R9" s="1391" t="s">
        <v>5109</v>
      </c>
      <c r="S9" s="1391" t="s">
        <v>5107</v>
      </c>
      <c r="T9" s="1391" t="s">
        <v>5106</v>
      </c>
      <c r="U9" s="1392" t="s">
        <v>4365</v>
      </c>
      <c r="V9" s="1404"/>
      <c r="W9" s="1393" t="s">
        <v>5106</v>
      </c>
      <c r="X9" s="1391" t="s">
        <v>4365</v>
      </c>
      <c r="Y9" s="1391" t="s">
        <v>5107</v>
      </c>
      <c r="Z9" s="1391" t="s">
        <v>5108</v>
      </c>
      <c r="AA9" s="1392" t="s">
        <v>5109</v>
      </c>
    </row>
    <row r="10" customFormat="false" ht="15" hidden="false" customHeight="false" outlineLevel="0" collapsed="false">
      <c r="A10" s="1389"/>
      <c r="B10" s="1388" t="s">
        <v>1708</v>
      </c>
      <c r="C10" s="1379" t="s">
        <v>5106</v>
      </c>
      <c r="D10" s="1379" t="s">
        <v>5107</v>
      </c>
      <c r="E10" s="1379" t="s">
        <v>5108</v>
      </c>
      <c r="F10" s="1379" t="s">
        <v>5109</v>
      </c>
      <c r="G10" s="1396" t="s">
        <v>4365</v>
      </c>
      <c r="I10" s="1397" t="s">
        <v>5109</v>
      </c>
      <c r="J10" s="1379" t="s">
        <v>5107</v>
      </c>
      <c r="K10" s="1379" t="s">
        <v>4365</v>
      </c>
      <c r="L10" s="1379" t="s">
        <v>5108</v>
      </c>
      <c r="M10" s="1396" t="s">
        <v>5106</v>
      </c>
      <c r="O10" s="1389"/>
      <c r="P10" s="1398" t="s">
        <v>5105</v>
      </c>
      <c r="Q10" s="1379" t="s">
        <v>5107</v>
      </c>
      <c r="R10" s="1379" t="s">
        <v>5108</v>
      </c>
      <c r="S10" s="1379" t="s">
        <v>5106</v>
      </c>
      <c r="T10" s="1379" t="s">
        <v>4365</v>
      </c>
      <c r="U10" s="1396" t="s">
        <v>5109</v>
      </c>
      <c r="V10" s="1404"/>
      <c r="W10" s="1397" t="s">
        <v>5109</v>
      </c>
      <c r="X10" s="1379" t="s">
        <v>5108</v>
      </c>
      <c r="Y10" s="1379" t="s">
        <v>4365</v>
      </c>
      <c r="Z10" s="1379" t="s">
        <v>5106</v>
      </c>
      <c r="AA10" s="1396" t="s">
        <v>5107</v>
      </c>
    </row>
    <row r="11" customFormat="false" ht="15" hidden="false" customHeight="false" outlineLevel="0" collapsed="false">
      <c r="A11" s="1389"/>
      <c r="B11" s="1388" t="s">
        <v>1619</v>
      </c>
      <c r="C11" s="1379" t="s">
        <v>5107</v>
      </c>
      <c r="D11" s="1379" t="s">
        <v>5108</v>
      </c>
      <c r="E11" s="1379" t="s">
        <v>5109</v>
      </c>
      <c r="F11" s="1379" t="s">
        <v>4365</v>
      </c>
      <c r="G11" s="1396" t="s">
        <v>5106</v>
      </c>
      <c r="I11" s="1397" t="s">
        <v>5106</v>
      </c>
      <c r="J11" s="1379" t="s">
        <v>5109</v>
      </c>
      <c r="K11" s="1379" t="s">
        <v>5107</v>
      </c>
      <c r="L11" s="1379" t="s">
        <v>4365</v>
      </c>
      <c r="M11" s="1396" t="s">
        <v>5108</v>
      </c>
      <c r="O11" s="1389"/>
      <c r="P11" s="1398" t="s">
        <v>1708</v>
      </c>
      <c r="Q11" s="1379" t="s">
        <v>5106</v>
      </c>
      <c r="R11" s="1379" t="s">
        <v>5107</v>
      </c>
      <c r="S11" s="1379" t="s">
        <v>4365</v>
      </c>
      <c r="T11" s="1379" t="s">
        <v>5109</v>
      </c>
      <c r="U11" s="1396" t="s">
        <v>5108</v>
      </c>
      <c r="V11" s="1404"/>
      <c r="W11" s="1397" t="s">
        <v>5107</v>
      </c>
      <c r="X11" s="1379" t="s">
        <v>5106</v>
      </c>
      <c r="Y11" s="1379" t="s">
        <v>5108</v>
      </c>
      <c r="Z11" s="1379" t="s">
        <v>5109</v>
      </c>
      <c r="AA11" s="1396" t="s">
        <v>4365</v>
      </c>
    </row>
    <row r="12" customFormat="false" ht="15" hidden="false" customHeight="false" outlineLevel="0" collapsed="false">
      <c r="A12" s="1389"/>
      <c r="B12" s="1388" t="s">
        <v>1504</v>
      </c>
      <c r="C12" s="1379" t="s">
        <v>5108</v>
      </c>
      <c r="D12" s="1379" t="s">
        <v>5109</v>
      </c>
      <c r="E12" s="1379" t="s">
        <v>4365</v>
      </c>
      <c r="F12" s="1379" t="s">
        <v>5106</v>
      </c>
      <c r="G12" s="1396" t="s">
        <v>5107</v>
      </c>
      <c r="I12" s="1397" t="s">
        <v>5108</v>
      </c>
      <c r="J12" s="1379" t="s">
        <v>5106</v>
      </c>
      <c r="K12" s="1379" t="s">
        <v>5109</v>
      </c>
      <c r="L12" s="1379" t="s">
        <v>5107</v>
      </c>
      <c r="M12" s="1396" t="s">
        <v>4365</v>
      </c>
      <c r="O12" s="1389"/>
      <c r="P12" s="1398" t="s">
        <v>1364</v>
      </c>
      <c r="Q12" s="1379" t="s">
        <v>4365</v>
      </c>
      <c r="R12" s="1379" t="s">
        <v>5106</v>
      </c>
      <c r="S12" s="1379" t="s">
        <v>5109</v>
      </c>
      <c r="T12" s="1379" t="s">
        <v>5108</v>
      </c>
      <c r="U12" s="1396" t="s">
        <v>5107</v>
      </c>
      <c r="V12" s="1404"/>
      <c r="W12" s="1397" t="s">
        <v>4365</v>
      </c>
      <c r="X12" s="1379" t="s">
        <v>5109</v>
      </c>
      <c r="Y12" s="1379" t="s">
        <v>5106</v>
      </c>
      <c r="Z12" s="1379" t="s">
        <v>5107</v>
      </c>
      <c r="AA12" s="1396" t="s">
        <v>5108</v>
      </c>
    </row>
    <row r="13" customFormat="false" ht="15" hidden="false" customHeight="false" outlineLevel="0" collapsed="false">
      <c r="A13" s="1389"/>
      <c r="B13" s="1399" t="s">
        <v>1364</v>
      </c>
      <c r="C13" s="1400" t="s">
        <v>5109</v>
      </c>
      <c r="D13" s="1400" t="s">
        <v>4365</v>
      </c>
      <c r="E13" s="1400" t="s">
        <v>5106</v>
      </c>
      <c r="F13" s="1400" t="s">
        <v>5107</v>
      </c>
      <c r="G13" s="1401" t="s">
        <v>5108</v>
      </c>
      <c r="I13" s="1402" t="s">
        <v>4365</v>
      </c>
      <c r="J13" s="1400" t="s">
        <v>5108</v>
      </c>
      <c r="K13" s="1400" t="s">
        <v>5106</v>
      </c>
      <c r="L13" s="1400" t="s">
        <v>5109</v>
      </c>
      <c r="M13" s="1401" t="s">
        <v>5107</v>
      </c>
      <c r="O13" s="1389"/>
      <c r="P13" s="1403" t="s">
        <v>1619</v>
      </c>
      <c r="Q13" s="1400" t="s">
        <v>5109</v>
      </c>
      <c r="R13" s="1400" t="s">
        <v>4365</v>
      </c>
      <c r="S13" s="1400" t="s">
        <v>5108</v>
      </c>
      <c r="T13" s="1400" t="s">
        <v>5107</v>
      </c>
      <c r="U13" s="1401" t="s">
        <v>5106</v>
      </c>
      <c r="V13" s="1404"/>
      <c r="W13" s="1402" t="s">
        <v>5108</v>
      </c>
      <c r="X13" s="1400" t="s">
        <v>5107</v>
      </c>
      <c r="Y13" s="1400" t="s">
        <v>5109</v>
      </c>
      <c r="Z13" s="1400" t="s">
        <v>4365</v>
      </c>
      <c r="AA13" s="1401" t="s">
        <v>5106</v>
      </c>
    </row>
    <row r="14" customFormat="false" ht="15" hidden="false" customHeight="true" outlineLevel="0" collapsed="false">
      <c r="A14" s="1389" t="s">
        <v>5112</v>
      </c>
      <c r="B14" s="1390" t="s">
        <v>5105</v>
      </c>
      <c r="C14" s="1391" t="s">
        <v>5109</v>
      </c>
      <c r="D14" s="1391" t="s">
        <v>4365</v>
      </c>
      <c r="E14" s="1391" t="s">
        <v>5106</v>
      </c>
      <c r="F14" s="1391" t="s">
        <v>5107</v>
      </c>
      <c r="G14" s="1392" t="s">
        <v>5108</v>
      </c>
      <c r="I14" s="1393" t="s">
        <v>5109</v>
      </c>
      <c r="J14" s="1391" t="s">
        <v>5107</v>
      </c>
      <c r="K14" s="1391" t="s">
        <v>4365</v>
      </c>
      <c r="L14" s="1391" t="s">
        <v>5108</v>
      </c>
      <c r="M14" s="1392" t="s">
        <v>5106</v>
      </c>
      <c r="O14" s="1389" t="s">
        <v>1453</v>
      </c>
      <c r="P14" s="1394" t="s">
        <v>1504</v>
      </c>
      <c r="Q14" s="1391" t="s">
        <v>5109</v>
      </c>
      <c r="R14" s="1391" t="s">
        <v>4365</v>
      </c>
      <c r="S14" s="1391" t="s">
        <v>5108</v>
      </c>
      <c r="T14" s="1391" t="s">
        <v>5107</v>
      </c>
      <c r="U14" s="1392" t="s">
        <v>5106</v>
      </c>
      <c r="V14" s="1405"/>
      <c r="W14" s="1393" t="s">
        <v>4365</v>
      </c>
      <c r="X14" s="1391" t="s">
        <v>5109</v>
      </c>
      <c r="Y14" s="1391" t="s">
        <v>5106</v>
      </c>
      <c r="Z14" s="1391" t="s">
        <v>5107</v>
      </c>
      <c r="AA14" s="1392" t="s">
        <v>5108</v>
      </c>
    </row>
    <row r="15" customFormat="false" ht="15" hidden="false" customHeight="false" outlineLevel="0" collapsed="false">
      <c r="A15" s="1389"/>
      <c r="B15" s="1388" t="s">
        <v>1708</v>
      </c>
      <c r="C15" s="1379" t="s">
        <v>4365</v>
      </c>
      <c r="D15" s="1379" t="s">
        <v>5106</v>
      </c>
      <c r="E15" s="1379" t="s">
        <v>5107</v>
      </c>
      <c r="F15" s="1379" t="s">
        <v>5108</v>
      </c>
      <c r="G15" s="1396" t="s">
        <v>5109</v>
      </c>
      <c r="I15" s="1397" t="s">
        <v>5106</v>
      </c>
      <c r="J15" s="1379" t="s">
        <v>5109</v>
      </c>
      <c r="K15" s="1379" t="s">
        <v>5107</v>
      </c>
      <c r="L15" s="1379" t="s">
        <v>4365</v>
      </c>
      <c r="M15" s="1396" t="s">
        <v>5108</v>
      </c>
      <c r="O15" s="1389"/>
      <c r="P15" s="1398" t="s">
        <v>5105</v>
      </c>
      <c r="Q15" s="1379" t="s">
        <v>5108</v>
      </c>
      <c r="R15" s="1379" t="s">
        <v>5109</v>
      </c>
      <c r="S15" s="1379" t="s">
        <v>5107</v>
      </c>
      <c r="T15" s="1379" t="s">
        <v>5106</v>
      </c>
      <c r="U15" s="1396" t="s">
        <v>4365</v>
      </c>
      <c r="V15" s="1405"/>
      <c r="W15" s="1397" t="s">
        <v>5108</v>
      </c>
      <c r="X15" s="1379" t="s">
        <v>5107</v>
      </c>
      <c r="Y15" s="1379" t="s">
        <v>5109</v>
      </c>
      <c r="Z15" s="1379" t="s">
        <v>4365</v>
      </c>
      <c r="AA15" s="1396" t="s">
        <v>5106</v>
      </c>
    </row>
    <row r="16" customFormat="false" ht="15" hidden="false" customHeight="false" outlineLevel="0" collapsed="false">
      <c r="A16" s="1389"/>
      <c r="B16" s="1388" t="s">
        <v>1619</v>
      </c>
      <c r="C16" s="1379" t="s">
        <v>5106</v>
      </c>
      <c r="D16" s="1379" t="s">
        <v>5107</v>
      </c>
      <c r="E16" s="1379" t="s">
        <v>5108</v>
      </c>
      <c r="F16" s="1379" t="s">
        <v>5109</v>
      </c>
      <c r="G16" s="1396" t="s">
        <v>4365</v>
      </c>
      <c r="I16" s="1397" t="s">
        <v>5108</v>
      </c>
      <c r="J16" s="1379" t="s">
        <v>5106</v>
      </c>
      <c r="K16" s="1379" t="s">
        <v>5109</v>
      </c>
      <c r="L16" s="1379" t="s">
        <v>5107</v>
      </c>
      <c r="M16" s="1396" t="s">
        <v>4365</v>
      </c>
      <c r="O16" s="1389"/>
      <c r="P16" s="1398" t="s">
        <v>1708</v>
      </c>
      <c r="Q16" s="1379" t="s">
        <v>5107</v>
      </c>
      <c r="R16" s="1379" t="s">
        <v>5108</v>
      </c>
      <c r="S16" s="1379" t="s">
        <v>5106</v>
      </c>
      <c r="T16" s="1379" t="s">
        <v>4365</v>
      </c>
      <c r="U16" s="1396" t="s">
        <v>5109</v>
      </c>
      <c r="V16" s="1405"/>
      <c r="W16" s="1397" t="s">
        <v>5106</v>
      </c>
      <c r="X16" s="1379" t="s">
        <v>4365</v>
      </c>
      <c r="Y16" s="1379" t="s">
        <v>5107</v>
      </c>
      <c r="Z16" s="1379" t="s">
        <v>5108</v>
      </c>
      <c r="AA16" s="1396" t="s">
        <v>5109</v>
      </c>
    </row>
    <row r="17" customFormat="false" ht="15" hidden="false" customHeight="false" outlineLevel="0" collapsed="false">
      <c r="A17" s="1389"/>
      <c r="B17" s="1388" t="s">
        <v>1504</v>
      </c>
      <c r="C17" s="1379" t="s">
        <v>5107</v>
      </c>
      <c r="D17" s="1379" t="s">
        <v>5108</v>
      </c>
      <c r="E17" s="1379" t="s">
        <v>5109</v>
      </c>
      <c r="F17" s="1379" t="s">
        <v>4365</v>
      </c>
      <c r="G17" s="1396" t="s">
        <v>5106</v>
      </c>
      <c r="I17" s="1397" t="s">
        <v>4365</v>
      </c>
      <c r="J17" s="1379" t="s">
        <v>5108</v>
      </c>
      <c r="K17" s="1379" t="s">
        <v>5106</v>
      </c>
      <c r="L17" s="1379" t="s">
        <v>5109</v>
      </c>
      <c r="M17" s="1396" t="s">
        <v>5107</v>
      </c>
      <c r="O17" s="1389"/>
      <c r="P17" s="1398" t="s">
        <v>1364</v>
      </c>
      <c r="Q17" s="1379" t="s">
        <v>5106</v>
      </c>
      <c r="R17" s="1379" t="s">
        <v>5107</v>
      </c>
      <c r="S17" s="1379" t="s">
        <v>4365</v>
      </c>
      <c r="T17" s="1379" t="s">
        <v>5109</v>
      </c>
      <c r="U17" s="1396" t="s">
        <v>5108</v>
      </c>
      <c r="V17" s="1405"/>
      <c r="W17" s="1397" t="s">
        <v>5109</v>
      </c>
      <c r="X17" s="1379" t="s">
        <v>5108</v>
      </c>
      <c r="Y17" s="1379" t="s">
        <v>4365</v>
      </c>
      <c r="Z17" s="1379" t="s">
        <v>5106</v>
      </c>
      <c r="AA17" s="1396" t="s">
        <v>5107</v>
      </c>
    </row>
    <row r="18" customFormat="false" ht="15" hidden="false" customHeight="false" outlineLevel="0" collapsed="false">
      <c r="A18" s="1389"/>
      <c r="B18" s="1399" t="s">
        <v>1364</v>
      </c>
      <c r="C18" s="1400" t="s">
        <v>5108</v>
      </c>
      <c r="D18" s="1400" t="s">
        <v>5109</v>
      </c>
      <c r="E18" s="1400" t="s">
        <v>4365</v>
      </c>
      <c r="F18" s="1400" t="s">
        <v>5106</v>
      </c>
      <c r="G18" s="1401" t="s">
        <v>5107</v>
      </c>
      <c r="I18" s="1402" t="s">
        <v>5107</v>
      </c>
      <c r="J18" s="1400" t="s">
        <v>4365</v>
      </c>
      <c r="K18" s="1400" t="s">
        <v>5108</v>
      </c>
      <c r="L18" s="1400" t="s">
        <v>5106</v>
      </c>
      <c r="M18" s="1401" t="s">
        <v>5109</v>
      </c>
      <c r="O18" s="1389"/>
      <c r="P18" s="1403" t="s">
        <v>1619</v>
      </c>
      <c r="Q18" s="1400" t="s">
        <v>4365</v>
      </c>
      <c r="R18" s="1400" t="s">
        <v>5106</v>
      </c>
      <c r="S18" s="1400" t="s">
        <v>5109</v>
      </c>
      <c r="T18" s="1400" t="s">
        <v>5108</v>
      </c>
      <c r="U18" s="1401" t="s">
        <v>5107</v>
      </c>
      <c r="V18" s="1405"/>
      <c r="W18" s="1402" t="s">
        <v>5107</v>
      </c>
      <c r="X18" s="1400" t="s">
        <v>5106</v>
      </c>
      <c r="Y18" s="1400" t="s">
        <v>5108</v>
      </c>
      <c r="Z18" s="1400" t="s">
        <v>5109</v>
      </c>
      <c r="AA18" s="1401" t="s">
        <v>4365</v>
      </c>
    </row>
    <row r="19" customFormat="false" ht="15" hidden="false" customHeight="true" outlineLevel="0" collapsed="false">
      <c r="A19" s="1389" t="s">
        <v>5113</v>
      </c>
      <c r="B19" s="1390" t="s">
        <v>5105</v>
      </c>
      <c r="C19" s="1391" t="s">
        <v>5108</v>
      </c>
      <c r="D19" s="1391" t="s">
        <v>5109</v>
      </c>
      <c r="E19" s="1391" t="s">
        <v>4365</v>
      </c>
      <c r="F19" s="1391" t="s">
        <v>5106</v>
      </c>
      <c r="G19" s="1392" t="s">
        <v>5107</v>
      </c>
      <c r="I19" s="1393" t="s">
        <v>5106</v>
      </c>
      <c r="J19" s="1391" t="s">
        <v>5109</v>
      </c>
      <c r="K19" s="1391" t="s">
        <v>5107</v>
      </c>
      <c r="L19" s="1391" t="s">
        <v>4365</v>
      </c>
      <c r="M19" s="1392" t="s">
        <v>5108</v>
      </c>
      <c r="O19" s="1406" t="s">
        <v>1545</v>
      </c>
      <c r="P19" s="1394" t="s">
        <v>1504</v>
      </c>
      <c r="Q19" s="1391" t="s">
        <v>5107</v>
      </c>
      <c r="R19" s="1391" t="s">
        <v>5108</v>
      </c>
      <c r="S19" s="1391" t="s">
        <v>5106</v>
      </c>
      <c r="T19" s="1391" t="s">
        <v>4365</v>
      </c>
      <c r="U19" s="1392" t="s">
        <v>5109</v>
      </c>
      <c r="V19" s="1407"/>
      <c r="W19" s="1393" t="s">
        <v>5108</v>
      </c>
      <c r="X19" s="1391" t="s">
        <v>5107</v>
      </c>
      <c r="Y19" s="1391" t="s">
        <v>5109</v>
      </c>
      <c r="Z19" s="1391" t="s">
        <v>4365</v>
      </c>
      <c r="AA19" s="1392" t="s">
        <v>5106</v>
      </c>
    </row>
    <row r="20" customFormat="false" ht="15" hidden="false" customHeight="false" outlineLevel="0" collapsed="false">
      <c r="A20" s="1389"/>
      <c r="B20" s="1388" t="s">
        <v>1708</v>
      </c>
      <c r="C20" s="1379" t="s">
        <v>5109</v>
      </c>
      <c r="D20" s="1379" t="s">
        <v>4365</v>
      </c>
      <c r="E20" s="1379" t="s">
        <v>5106</v>
      </c>
      <c r="F20" s="1379" t="s">
        <v>5107</v>
      </c>
      <c r="G20" s="1396" t="s">
        <v>5108</v>
      </c>
      <c r="I20" s="1397" t="s">
        <v>5108</v>
      </c>
      <c r="J20" s="1379" t="s">
        <v>5106</v>
      </c>
      <c r="K20" s="1379" t="s">
        <v>5109</v>
      </c>
      <c r="L20" s="1379" t="s">
        <v>5107</v>
      </c>
      <c r="M20" s="1396" t="s">
        <v>4365</v>
      </c>
      <c r="O20" s="1408"/>
      <c r="P20" s="1398" t="s">
        <v>5105</v>
      </c>
      <c r="Q20" s="1379" t="s">
        <v>5106</v>
      </c>
      <c r="R20" s="1379" t="s">
        <v>5107</v>
      </c>
      <c r="S20" s="1379" t="s">
        <v>4365</v>
      </c>
      <c r="T20" s="1379" t="s">
        <v>5109</v>
      </c>
      <c r="U20" s="1396" t="s">
        <v>5108</v>
      </c>
      <c r="W20" s="1397" t="s">
        <v>5106</v>
      </c>
      <c r="X20" s="1379" t="s">
        <v>4365</v>
      </c>
      <c r="Y20" s="1379" t="s">
        <v>5107</v>
      </c>
      <c r="Z20" s="1379" t="s">
        <v>5108</v>
      </c>
      <c r="AA20" s="1396" t="s">
        <v>5109</v>
      </c>
    </row>
    <row r="21" customFormat="false" ht="15" hidden="false" customHeight="false" outlineLevel="0" collapsed="false">
      <c r="A21" s="1389"/>
      <c r="B21" s="1388" t="s">
        <v>1619</v>
      </c>
      <c r="C21" s="1379" t="s">
        <v>4365</v>
      </c>
      <c r="D21" s="1379" t="s">
        <v>5106</v>
      </c>
      <c r="E21" s="1379" t="s">
        <v>5107</v>
      </c>
      <c r="F21" s="1379" t="s">
        <v>5108</v>
      </c>
      <c r="G21" s="1396" t="s">
        <v>5109</v>
      </c>
      <c r="I21" s="1397" t="s">
        <v>4365</v>
      </c>
      <c r="J21" s="1379" t="s">
        <v>5108</v>
      </c>
      <c r="K21" s="1379" t="s">
        <v>5106</v>
      </c>
      <c r="L21" s="1379" t="s">
        <v>5109</v>
      </c>
      <c r="M21" s="1396" t="s">
        <v>5107</v>
      </c>
      <c r="O21" s="1408"/>
      <c r="P21" s="1398" t="s">
        <v>1708</v>
      </c>
      <c r="Q21" s="1379" t="s">
        <v>4365</v>
      </c>
      <c r="R21" s="1379" t="s">
        <v>5106</v>
      </c>
      <c r="S21" s="1379" t="s">
        <v>5109</v>
      </c>
      <c r="T21" s="1379" t="s">
        <v>5108</v>
      </c>
      <c r="U21" s="1396" t="s">
        <v>5107</v>
      </c>
      <c r="W21" s="1397" t="s">
        <v>5109</v>
      </c>
      <c r="X21" s="1379" t="s">
        <v>5108</v>
      </c>
      <c r="Y21" s="1379" t="s">
        <v>4365</v>
      </c>
      <c r="Z21" s="1379" t="s">
        <v>5106</v>
      </c>
      <c r="AA21" s="1396" t="s">
        <v>5107</v>
      </c>
    </row>
    <row r="22" customFormat="false" ht="15" hidden="false" customHeight="false" outlineLevel="0" collapsed="false">
      <c r="A22" s="1389"/>
      <c r="B22" s="1388" t="s">
        <v>1504</v>
      </c>
      <c r="C22" s="1379" t="s">
        <v>5106</v>
      </c>
      <c r="D22" s="1379" t="s">
        <v>5107</v>
      </c>
      <c r="E22" s="1379" t="s">
        <v>5108</v>
      </c>
      <c r="F22" s="1379" t="s">
        <v>5109</v>
      </c>
      <c r="G22" s="1396" t="s">
        <v>4365</v>
      </c>
      <c r="I22" s="1397" t="s">
        <v>5107</v>
      </c>
      <c r="J22" s="1379" t="s">
        <v>4365</v>
      </c>
      <c r="K22" s="1379" t="s">
        <v>5108</v>
      </c>
      <c r="L22" s="1379" t="s">
        <v>5106</v>
      </c>
      <c r="M22" s="1396" t="s">
        <v>5109</v>
      </c>
      <c r="O22" s="1408"/>
      <c r="P22" s="1398" t="s">
        <v>1364</v>
      </c>
      <c r="Q22" s="1379" t="s">
        <v>5109</v>
      </c>
      <c r="R22" s="1379" t="s">
        <v>4365</v>
      </c>
      <c r="S22" s="1379" t="s">
        <v>5108</v>
      </c>
      <c r="T22" s="1379" t="s">
        <v>5107</v>
      </c>
      <c r="U22" s="1396" t="s">
        <v>5106</v>
      </c>
      <c r="W22" s="1397" t="s">
        <v>5107</v>
      </c>
      <c r="X22" s="1379" t="s">
        <v>5106</v>
      </c>
      <c r="Y22" s="1379" t="s">
        <v>5108</v>
      </c>
      <c r="Z22" s="1379" t="s">
        <v>5109</v>
      </c>
      <c r="AA22" s="1396" t="s">
        <v>4365</v>
      </c>
    </row>
    <row r="23" customFormat="false" ht="15" hidden="false" customHeight="false" outlineLevel="0" collapsed="false">
      <c r="A23" s="1389"/>
      <c r="B23" s="1399" t="s">
        <v>1364</v>
      </c>
      <c r="C23" s="1400" t="s">
        <v>5107</v>
      </c>
      <c r="D23" s="1400" t="s">
        <v>5108</v>
      </c>
      <c r="E23" s="1400" t="s">
        <v>5109</v>
      </c>
      <c r="F23" s="1400" t="s">
        <v>4365</v>
      </c>
      <c r="G23" s="1401" t="s">
        <v>5106</v>
      </c>
      <c r="I23" s="1402" t="s">
        <v>5109</v>
      </c>
      <c r="J23" s="1400" t="s">
        <v>5107</v>
      </c>
      <c r="K23" s="1400" t="s">
        <v>4365</v>
      </c>
      <c r="L23" s="1400" t="s">
        <v>5108</v>
      </c>
      <c r="M23" s="1401" t="s">
        <v>5106</v>
      </c>
      <c r="O23" s="1408"/>
      <c r="P23" s="1403" t="s">
        <v>1619</v>
      </c>
      <c r="Q23" s="1400" t="s">
        <v>5108</v>
      </c>
      <c r="R23" s="1400" t="s">
        <v>5109</v>
      </c>
      <c r="S23" s="1400" t="s">
        <v>5107</v>
      </c>
      <c r="T23" s="1400" t="s">
        <v>5106</v>
      </c>
      <c r="U23" s="1401" t="s">
        <v>4365</v>
      </c>
      <c r="W23" s="1402" t="s">
        <v>4365</v>
      </c>
      <c r="X23" s="1400" t="s">
        <v>5109</v>
      </c>
      <c r="Y23" s="1400" t="s">
        <v>5106</v>
      </c>
      <c r="Z23" s="1400" t="s">
        <v>5107</v>
      </c>
      <c r="AA23" s="1401" t="s">
        <v>5108</v>
      </c>
    </row>
    <row r="24" customFormat="false" ht="15" hidden="false" customHeight="true" outlineLevel="0" collapsed="false">
      <c r="A24" s="1389" t="s">
        <v>1689</v>
      </c>
      <c r="B24" s="1390" t="s">
        <v>5105</v>
      </c>
      <c r="C24" s="1391" t="s">
        <v>5107</v>
      </c>
      <c r="D24" s="1391" t="s">
        <v>5108</v>
      </c>
      <c r="E24" s="1391" t="s">
        <v>5109</v>
      </c>
      <c r="F24" s="1391" t="s">
        <v>4365</v>
      </c>
      <c r="G24" s="1392" t="s">
        <v>5106</v>
      </c>
      <c r="I24" s="1393" t="s">
        <v>5108</v>
      </c>
      <c r="J24" s="1391" t="s">
        <v>5106</v>
      </c>
      <c r="K24" s="1391" t="s">
        <v>5109</v>
      </c>
      <c r="L24" s="1391" t="s">
        <v>5107</v>
      </c>
      <c r="M24" s="1392" t="s">
        <v>4365</v>
      </c>
      <c r="O24" s="1406" t="s">
        <v>1620</v>
      </c>
      <c r="P24" s="1394" t="s">
        <v>1504</v>
      </c>
      <c r="Q24" s="1391" t="s">
        <v>4365</v>
      </c>
      <c r="R24" s="1391" t="s">
        <v>5106</v>
      </c>
      <c r="S24" s="1391" t="s">
        <v>5109</v>
      </c>
      <c r="T24" s="1391" t="s">
        <v>5108</v>
      </c>
      <c r="U24" s="1392" t="s">
        <v>5107</v>
      </c>
      <c r="V24" s="1407"/>
      <c r="W24" s="1393" t="s">
        <v>5109</v>
      </c>
      <c r="X24" s="1391" t="s">
        <v>5108</v>
      </c>
      <c r="Y24" s="1391" t="s">
        <v>4365</v>
      </c>
      <c r="Z24" s="1391" t="s">
        <v>5106</v>
      </c>
      <c r="AA24" s="1392" t="s">
        <v>5107</v>
      </c>
    </row>
    <row r="25" customFormat="false" ht="15" hidden="false" customHeight="false" outlineLevel="0" collapsed="false">
      <c r="A25" s="1389"/>
      <c r="B25" s="1388" t="s">
        <v>1708</v>
      </c>
      <c r="C25" s="1379" t="s">
        <v>5108</v>
      </c>
      <c r="D25" s="1379" t="s">
        <v>5109</v>
      </c>
      <c r="E25" s="1379" t="s">
        <v>4365</v>
      </c>
      <c r="F25" s="1379" t="s">
        <v>5106</v>
      </c>
      <c r="G25" s="1396" t="s">
        <v>5107</v>
      </c>
      <c r="I25" s="1397" t="s">
        <v>4365</v>
      </c>
      <c r="J25" s="1379" t="s">
        <v>5108</v>
      </c>
      <c r="K25" s="1379" t="s">
        <v>5106</v>
      </c>
      <c r="L25" s="1379" t="s">
        <v>5109</v>
      </c>
      <c r="M25" s="1396" t="s">
        <v>5107</v>
      </c>
      <c r="O25" s="1408"/>
      <c r="P25" s="1398" t="s">
        <v>5105</v>
      </c>
      <c r="Q25" s="1379" t="s">
        <v>5109</v>
      </c>
      <c r="R25" s="1379" t="s">
        <v>4365</v>
      </c>
      <c r="S25" s="1379" t="s">
        <v>5108</v>
      </c>
      <c r="T25" s="1379" t="s">
        <v>5107</v>
      </c>
      <c r="U25" s="1396" t="s">
        <v>5106</v>
      </c>
      <c r="W25" s="1397" t="s">
        <v>5107</v>
      </c>
      <c r="X25" s="1379" t="s">
        <v>5106</v>
      </c>
      <c r="Y25" s="1379" t="s">
        <v>5108</v>
      </c>
      <c r="Z25" s="1379" t="s">
        <v>5109</v>
      </c>
      <c r="AA25" s="1396" t="s">
        <v>4365</v>
      </c>
    </row>
    <row r="26" customFormat="false" ht="15" hidden="false" customHeight="false" outlineLevel="0" collapsed="false">
      <c r="A26" s="1389"/>
      <c r="B26" s="1388" t="s">
        <v>1619</v>
      </c>
      <c r="C26" s="1379" t="s">
        <v>5109</v>
      </c>
      <c r="D26" s="1379" t="s">
        <v>4365</v>
      </c>
      <c r="E26" s="1379" t="s">
        <v>5106</v>
      </c>
      <c r="F26" s="1379" t="s">
        <v>5107</v>
      </c>
      <c r="G26" s="1396" t="s">
        <v>5108</v>
      </c>
      <c r="I26" s="1397" t="s">
        <v>5107</v>
      </c>
      <c r="J26" s="1379" t="s">
        <v>4365</v>
      </c>
      <c r="K26" s="1379" t="s">
        <v>5108</v>
      </c>
      <c r="L26" s="1379" t="s">
        <v>5106</v>
      </c>
      <c r="M26" s="1396" t="s">
        <v>5109</v>
      </c>
      <c r="O26" s="1408"/>
      <c r="P26" s="1398" t="s">
        <v>1708</v>
      </c>
      <c r="Q26" s="1379" t="s">
        <v>5108</v>
      </c>
      <c r="R26" s="1379" t="s">
        <v>5109</v>
      </c>
      <c r="S26" s="1379" t="s">
        <v>5107</v>
      </c>
      <c r="T26" s="1379" t="s">
        <v>5106</v>
      </c>
      <c r="U26" s="1396" t="s">
        <v>4365</v>
      </c>
      <c r="W26" s="1397" t="s">
        <v>4365</v>
      </c>
      <c r="X26" s="1379" t="s">
        <v>5109</v>
      </c>
      <c r="Y26" s="1379" t="s">
        <v>5106</v>
      </c>
      <c r="Z26" s="1379" t="s">
        <v>5107</v>
      </c>
      <c r="AA26" s="1396" t="s">
        <v>5108</v>
      </c>
    </row>
    <row r="27" customFormat="false" ht="15" hidden="false" customHeight="false" outlineLevel="0" collapsed="false">
      <c r="A27" s="1389"/>
      <c r="B27" s="1388" t="s">
        <v>1504</v>
      </c>
      <c r="C27" s="1379" t="s">
        <v>4365</v>
      </c>
      <c r="D27" s="1379" t="s">
        <v>5106</v>
      </c>
      <c r="E27" s="1379" t="s">
        <v>5107</v>
      </c>
      <c r="F27" s="1379" t="s">
        <v>5108</v>
      </c>
      <c r="G27" s="1396" t="s">
        <v>5109</v>
      </c>
      <c r="I27" s="1397" t="s">
        <v>5109</v>
      </c>
      <c r="J27" s="1379" t="s">
        <v>5107</v>
      </c>
      <c r="K27" s="1379" t="s">
        <v>4365</v>
      </c>
      <c r="L27" s="1379" t="s">
        <v>5108</v>
      </c>
      <c r="M27" s="1396" t="s">
        <v>5106</v>
      </c>
      <c r="O27" s="1408"/>
      <c r="P27" s="1398" t="s">
        <v>1364</v>
      </c>
      <c r="Q27" s="1379" t="s">
        <v>5107</v>
      </c>
      <c r="R27" s="1379" t="s">
        <v>5108</v>
      </c>
      <c r="S27" s="1379" t="s">
        <v>5106</v>
      </c>
      <c r="T27" s="1379" t="s">
        <v>4365</v>
      </c>
      <c r="U27" s="1396" t="s">
        <v>5109</v>
      </c>
      <c r="W27" s="1397" t="s">
        <v>5108</v>
      </c>
      <c r="X27" s="1379" t="s">
        <v>5107</v>
      </c>
      <c r="Y27" s="1379" t="s">
        <v>5109</v>
      </c>
      <c r="Z27" s="1379" t="s">
        <v>4365</v>
      </c>
      <c r="AA27" s="1396" t="s">
        <v>5106</v>
      </c>
    </row>
    <row r="28" customFormat="false" ht="15" hidden="false" customHeight="false" outlineLevel="0" collapsed="false">
      <c r="A28" s="1389"/>
      <c r="B28" s="1399" t="s">
        <v>1364</v>
      </c>
      <c r="C28" s="1400" t="s">
        <v>5106</v>
      </c>
      <c r="D28" s="1400" t="s">
        <v>5107</v>
      </c>
      <c r="E28" s="1400" t="s">
        <v>5108</v>
      </c>
      <c r="F28" s="1400" t="s">
        <v>5109</v>
      </c>
      <c r="G28" s="1401" t="s">
        <v>4365</v>
      </c>
      <c r="I28" s="1402" t="s">
        <v>5106</v>
      </c>
      <c r="J28" s="1400" t="s">
        <v>5109</v>
      </c>
      <c r="K28" s="1400" t="s">
        <v>5107</v>
      </c>
      <c r="L28" s="1400" t="s">
        <v>4365</v>
      </c>
      <c r="M28" s="1401" t="s">
        <v>5108</v>
      </c>
      <c r="O28" s="1409"/>
      <c r="P28" s="1403" t="s">
        <v>1619</v>
      </c>
      <c r="Q28" s="1400" t="s">
        <v>5106</v>
      </c>
      <c r="R28" s="1400" t="s">
        <v>5107</v>
      </c>
      <c r="S28" s="1400" t="s">
        <v>4365</v>
      </c>
      <c r="T28" s="1400" t="s">
        <v>5109</v>
      </c>
      <c r="U28" s="1401" t="s">
        <v>5108</v>
      </c>
      <c r="W28" s="1402" t="s">
        <v>5106</v>
      </c>
      <c r="X28" s="1400" t="s">
        <v>4365</v>
      </c>
      <c r="Y28" s="1400" t="s">
        <v>5107</v>
      </c>
      <c r="Z28" s="1400" t="s">
        <v>5108</v>
      </c>
      <c r="AA28" s="1401" t="s">
        <v>5109</v>
      </c>
    </row>
    <row r="29" customFormat="false" ht="15" hidden="false" customHeight="false" outlineLevel="0" collapsed="false">
      <c r="A29" s="1407"/>
    </row>
    <row r="30" customFormat="false" ht="15" hidden="false" customHeight="false" outlineLevel="0" collapsed="false">
      <c r="B30" s="1384" t="s">
        <v>5114</v>
      </c>
      <c r="C30" s="1384"/>
      <c r="D30" s="1384"/>
      <c r="E30" s="1384"/>
      <c r="F30" s="1384"/>
      <c r="G30" s="1384"/>
      <c r="H30" s="1384"/>
      <c r="I30" s="1384"/>
      <c r="J30" s="1384"/>
      <c r="K30" s="1384"/>
      <c r="L30" s="1384"/>
      <c r="M30" s="1384"/>
      <c r="N30" s="1379" t="s">
        <v>5115</v>
      </c>
      <c r="O30" s="1384" t="s">
        <v>5116</v>
      </c>
      <c r="P30" s="1384"/>
      <c r="Q30" s="1384"/>
      <c r="R30" s="1384"/>
      <c r="S30" s="1384"/>
      <c r="T30" s="1384"/>
      <c r="U30" s="1384"/>
      <c r="V30" s="1384"/>
      <c r="W30" s="1384"/>
      <c r="X30" s="1384"/>
      <c r="Y30" s="1384"/>
      <c r="Z30" s="1384"/>
    </row>
    <row r="31" s="1410" customFormat="true" ht="16.4" hidden="false" customHeight="false" outlineLevel="0" collapsed="false">
      <c r="A31" s="1410" t="s">
        <v>5102</v>
      </c>
      <c r="B31" s="1410" t="s">
        <v>5117</v>
      </c>
      <c r="C31" s="1410" t="s">
        <v>5118</v>
      </c>
      <c r="D31" s="1410" t="s">
        <v>5119</v>
      </c>
      <c r="E31" s="1410" t="s">
        <v>5120</v>
      </c>
      <c r="F31" s="1410" t="s">
        <v>4400</v>
      </c>
      <c r="G31" s="1410" t="s">
        <v>5121</v>
      </c>
      <c r="H31" s="1410" t="s">
        <v>780</v>
      </c>
      <c r="I31" s="1410" t="s">
        <v>476</v>
      </c>
      <c r="J31" s="1410" t="s">
        <v>5122</v>
      </c>
      <c r="K31" s="1410" t="s">
        <v>2297</v>
      </c>
      <c r="L31" s="1410" t="s">
        <v>474</v>
      </c>
      <c r="M31" s="1410" t="s">
        <v>475</v>
      </c>
      <c r="N31" s="1410" t="s">
        <v>2111</v>
      </c>
      <c r="O31" s="1410" t="s">
        <v>5123</v>
      </c>
      <c r="P31" s="1410" t="s">
        <v>5124</v>
      </c>
      <c r="Q31" s="1410" t="s">
        <v>5125</v>
      </c>
      <c r="R31" s="1410" t="s">
        <v>5126</v>
      </c>
      <c r="S31" s="1410" t="s">
        <v>5127</v>
      </c>
      <c r="T31" s="1410" t="s">
        <v>5128</v>
      </c>
      <c r="U31" s="1410" t="s">
        <v>893</v>
      </c>
      <c r="V31" s="1410" t="s">
        <v>894</v>
      </c>
      <c r="W31" s="1410" t="s">
        <v>895</v>
      </c>
      <c r="X31" s="1410" t="s">
        <v>2301</v>
      </c>
      <c r="Y31" s="1410" t="s">
        <v>2302</v>
      </c>
      <c r="Z31" s="1410" t="s">
        <v>5129</v>
      </c>
      <c r="AA31" s="1410" t="s">
        <v>5130</v>
      </c>
    </row>
    <row r="32" s="1410" customFormat="true" ht="15" hidden="false" customHeight="false" outlineLevel="0" collapsed="false">
      <c r="A32" s="1410" t="s">
        <v>5105</v>
      </c>
      <c r="B32" s="1411" t="s">
        <v>5131</v>
      </c>
      <c r="C32" s="1410" t="s">
        <v>5132</v>
      </c>
      <c r="D32" s="1410" t="s">
        <v>1364</v>
      </c>
      <c r="E32" s="1410" t="s">
        <v>1708</v>
      </c>
      <c r="F32" s="1410" t="s">
        <v>1619</v>
      </c>
      <c r="G32" s="1410" t="s">
        <v>1504</v>
      </c>
      <c r="J32" s="1410" t="s">
        <v>5133</v>
      </c>
      <c r="N32" s="1412" t="s">
        <v>3162</v>
      </c>
      <c r="O32" s="1411" t="s">
        <v>5134</v>
      </c>
      <c r="P32" s="1410" t="s">
        <v>3981</v>
      </c>
      <c r="Q32" s="1410" t="s">
        <v>1364</v>
      </c>
      <c r="R32" s="1410" t="s">
        <v>1619</v>
      </c>
      <c r="S32" s="1410" t="s">
        <v>1708</v>
      </c>
      <c r="T32" s="1410" t="s">
        <v>1504</v>
      </c>
    </row>
    <row r="33" s="1410" customFormat="true" ht="15" hidden="false" customHeight="false" outlineLevel="0" collapsed="false">
      <c r="A33" s="1410" t="s">
        <v>1708</v>
      </c>
      <c r="B33" s="1411" t="s">
        <v>5134</v>
      </c>
      <c r="C33" s="1410" t="s">
        <v>5135</v>
      </c>
      <c r="D33" s="1410" t="s">
        <v>5105</v>
      </c>
      <c r="E33" s="1410" t="s">
        <v>1619</v>
      </c>
      <c r="F33" s="1410" t="s">
        <v>1364</v>
      </c>
      <c r="G33" s="1410" t="s">
        <v>1504</v>
      </c>
      <c r="J33" s="1410" t="s">
        <v>5136</v>
      </c>
      <c r="N33" s="1412" t="s">
        <v>3168</v>
      </c>
      <c r="O33" s="1411" t="s">
        <v>5137</v>
      </c>
      <c r="P33" s="1410" t="s">
        <v>158</v>
      </c>
      <c r="Q33" s="1410" t="s">
        <v>1504</v>
      </c>
      <c r="R33" s="1410" t="s">
        <v>1619</v>
      </c>
      <c r="S33" s="1410" t="s">
        <v>5105</v>
      </c>
      <c r="T33" s="1410" t="s">
        <v>1364</v>
      </c>
    </row>
    <row r="34" s="1410" customFormat="true" ht="15" hidden="false" customHeight="false" outlineLevel="0" collapsed="false">
      <c r="A34" s="1410" t="s">
        <v>1619</v>
      </c>
      <c r="B34" s="1411" t="s">
        <v>5137</v>
      </c>
      <c r="C34" s="1410" t="s">
        <v>3984</v>
      </c>
      <c r="D34" s="1410" t="s">
        <v>1708</v>
      </c>
      <c r="E34" s="1410" t="s">
        <v>1504</v>
      </c>
      <c r="F34" s="1410" t="s">
        <v>5105</v>
      </c>
      <c r="G34" s="1410" t="s">
        <v>1364</v>
      </c>
      <c r="J34" s="1410" t="s">
        <v>5138</v>
      </c>
      <c r="N34" s="1412" t="s">
        <v>3171</v>
      </c>
      <c r="O34" s="1411" t="s">
        <v>5139</v>
      </c>
      <c r="P34" s="1410" t="s">
        <v>5140</v>
      </c>
      <c r="Q34" s="1410" t="s">
        <v>1708</v>
      </c>
      <c r="R34" s="1410" t="s">
        <v>5105</v>
      </c>
      <c r="S34" s="1410" t="s">
        <v>1364</v>
      </c>
      <c r="T34" s="1410" t="s">
        <v>1504</v>
      </c>
    </row>
    <row r="35" s="1410" customFormat="true" ht="15" hidden="false" customHeight="false" outlineLevel="0" collapsed="false">
      <c r="A35" s="1410" t="s">
        <v>1504</v>
      </c>
      <c r="B35" s="1411" t="s">
        <v>5141</v>
      </c>
      <c r="C35" s="1410" t="s">
        <v>3985</v>
      </c>
      <c r="D35" s="1410" t="s">
        <v>1364</v>
      </c>
      <c r="E35" s="1410" t="s">
        <v>1619</v>
      </c>
      <c r="F35" s="1410" t="s">
        <v>5105</v>
      </c>
      <c r="G35" s="1410" t="s">
        <v>1708</v>
      </c>
      <c r="J35" s="1410" t="s">
        <v>5142</v>
      </c>
      <c r="N35" s="1412" t="s">
        <v>3236</v>
      </c>
      <c r="O35" s="1411" t="s">
        <v>5131</v>
      </c>
      <c r="P35" s="1410" t="s">
        <v>3982</v>
      </c>
      <c r="Q35" s="1410" t="s">
        <v>1364</v>
      </c>
      <c r="R35" s="1410" t="s">
        <v>1708</v>
      </c>
      <c r="S35" s="1410" t="s">
        <v>1619</v>
      </c>
      <c r="T35" s="1410" t="s">
        <v>5105</v>
      </c>
    </row>
    <row r="36" s="1410" customFormat="true" ht="15" hidden="false" customHeight="false" outlineLevel="0" collapsed="false">
      <c r="A36" s="1410" t="s">
        <v>1364</v>
      </c>
      <c r="B36" s="1411" t="s">
        <v>5139</v>
      </c>
      <c r="C36" s="1410" t="s">
        <v>462</v>
      </c>
      <c r="D36" s="1410" t="s">
        <v>1708</v>
      </c>
      <c r="E36" s="1410" t="s">
        <v>1504</v>
      </c>
      <c r="F36" s="1410" t="s">
        <v>1708</v>
      </c>
      <c r="G36" s="1410" t="s">
        <v>1619</v>
      </c>
      <c r="J36" s="1410" t="s">
        <v>5143</v>
      </c>
      <c r="N36" s="1412" t="s">
        <v>3235</v>
      </c>
      <c r="O36" s="1411" t="s">
        <v>5141</v>
      </c>
      <c r="P36" s="1410" t="s">
        <v>5144</v>
      </c>
      <c r="Q36" s="1410" t="s">
        <v>5105</v>
      </c>
      <c r="R36" s="1410" t="s">
        <v>1504</v>
      </c>
      <c r="S36" s="1410" t="s">
        <v>1708</v>
      </c>
      <c r="T36" s="1410" t="s">
        <v>1619</v>
      </c>
    </row>
    <row r="38" s="1381" customFormat="true" ht="15" hidden="false" customHeight="false" outlineLevel="0" collapsed="false">
      <c r="A38" s="1381" t="s">
        <v>5145</v>
      </c>
      <c r="B38" s="1381" t="s">
        <v>5146</v>
      </c>
      <c r="C38" s="1381" t="s">
        <v>5147</v>
      </c>
      <c r="D38" s="1381" t="s">
        <v>5148</v>
      </c>
      <c r="E38" s="1381" t="s">
        <v>5149</v>
      </c>
      <c r="F38" s="1381" t="s">
        <v>5150</v>
      </c>
      <c r="G38" s="1381" t="s">
        <v>5151</v>
      </c>
    </row>
    <row r="39" s="1381" customFormat="true" ht="15" hidden="false" customHeight="false" outlineLevel="0" collapsed="false">
      <c r="A39" s="1381" t="s">
        <v>5106</v>
      </c>
      <c r="B39" s="1413" t="n">
        <f aca="false">B41/3</f>
        <v>0.333333333333333</v>
      </c>
      <c r="D39" s="1413" t="n">
        <v>1.5</v>
      </c>
      <c r="E39" s="1414" t="n">
        <v>1.25</v>
      </c>
      <c r="F39" s="1413" t="n">
        <v>2</v>
      </c>
      <c r="G39" s="1414" t="n">
        <v>1.75</v>
      </c>
    </row>
    <row r="40" s="1381" customFormat="true" ht="15" hidden="false" customHeight="false" outlineLevel="0" collapsed="false">
      <c r="A40" s="1381" t="s">
        <v>5107</v>
      </c>
      <c r="B40" s="1413" t="n">
        <f aca="false">B39/2</f>
        <v>0.166666666666667</v>
      </c>
      <c r="D40" s="1413" t="n">
        <v>1.25</v>
      </c>
      <c r="E40" s="1414" t="n">
        <v>1.25</v>
      </c>
      <c r="F40" s="1413" t="n">
        <v>1.5</v>
      </c>
      <c r="G40" s="1414" t="n">
        <v>1.75</v>
      </c>
    </row>
    <row r="41" s="1381" customFormat="true" ht="15" hidden="false" customHeight="false" outlineLevel="0" collapsed="false">
      <c r="A41" s="1381" t="s">
        <v>5108</v>
      </c>
      <c r="B41" s="1413" t="n">
        <v>1</v>
      </c>
      <c r="D41" s="1413" t="n">
        <v>2</v>
      </c>
      <c r="E41" s="1414" t="n">
        <v>1</v>
      </c>
      <c r="F41" s="1413" t="n">
        <v>0.75</v>
      </c>
      <c r="G41" s="1414" t="n">
        <v>0.75</v>
      </c>
    </row>
    <row r="42" s="1381" customFormat="true" ht="15" hidden="false" customHeight="false" outlineLevel="0" collapsed="false">
      <c r="A42" s="1381" t="s">
        <v>5109</v>
      </c>
      <c r="B42" s="1413" t="n">
        <f aca="false">B40/2</f>
        <v>0.0833333333333333</v>
      </c>
      <c r="D42" s="1413" t="n">
        <v>0.75</v>
      </c>
      <c r="E42" s="1414" t="n">
        <v>1</v>
      </c>
      <c r="F42" s="1413" t="n">
        <v>0.5</v>
      </c>
      <c r="G42" s="1414" t="n">
        <v>0.75</v>
      </c>
      <c r="J42" s="1415"/>
      <c r="K42" s="1416"/>
    </row>
    <row r="43" s="1381" customFormat="true" ht="15" hidden="false" customHeight="false" outlineLevel="0" collapsed="false">
      <c r="A43" s="1381" t="s">
        <v>4365</v>
      </c>
      <c r="B43" s="1413" t="n">
        <f aca="false">B42/2</f>
        <v>0.0416666666666667</v>
      </c>
      <c r="C43" s="1381" t="s">
        <v>5152</v>
      </c>
      <c r="D43" s="1413" t="n">
        <v>0.5</v>
      </c>
      <c r="E43" s="1414" t="n">
        <v>1.5</v>
      </c>
      <c r="F43" s="1413" t="n">
        <v>1.25</v>
      </c>
      <c r="G43" s="1414" t="n">
        <v>1</v>
      </c>
      <c r="J43" s="1415"/>
      <c r="K43" s="1416"/>
    </row>
    <row r="44" customFormat="false" ht="15" hidden="false" customHeight="false" outlineLevel="0" collapsed="false">
      <c r="J44" s="1415"/>
      <c r="K44" s="1416"/>
    </row>
    <row r="45" customFormat="false" ht="15" hidden="false" customHeight="false" outlineLevel="0" collapsed="false">
      <c r="J45" s="1415"/>
      <c r="K45" s="1416"/>
    </row>
    <row r="46" customFormat="false" ht="15" hidden="false" customHeight="false" outlineLevel="0" collapsed="false">
      <c r="J46" s="1417"/>
      <c r="K46" s="1418"/>
    </row>
  </sheetData>
  <mergeCells count="17">
    <mergeCell ref="C2:G2"/>
    <mergeCell ref="I2:M2"/>
    <mergeCell ref="Q2:U2"/>
    <mergeCell ref="W2:AA2"/>
    <mergeCell ref="A4:A8"/>
    <mergeCell ref="O4:O8"/>
    <mergeCell ref="V4:V8"/>
    <mergeCell ref="A9:A13"/>
    <mergeCell ref="O9:O13"/>
    <mergeCell ref="V9:V13"/>
    <mergeCell ref="A14:A18"/>
    <mergeCell ref="O14:O18"/>
    <mergeCell ref="V14:V18"/>
    <mergeCell ref="A19:A23"/>
    <mergeCell ref="A24:A28"/>
    <mergeCell ref="B30:M30"/>
    <mergeCell ref="O30:Z3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L1:AO30"/>
  <sheetViews>
    <sheetView showFormulas="false" showGridLines="true" showRowColHeaders="true" showZeros="true" rightToLeft="false" tabSelected="false" showOutlineSymbols="true" defaultGridColor="true" view="normal" topLeftCell="A9" colorId="64" zoomScale="181" zoomScaleNormal="181" zoomScalePageLayoutView="100" workbookViewId="0">
      <selection pane="topLeft" activeCell="R25" activeCellId="0" sqref="R25"/>
    </sheetView>
  </sheetViews>
  <sheetFormatPr defaultColWidth="4.5703125" defaultRowHeight="15" customHeight="true" zeroHeight="false" outlineLevelRow="0" outlineLevelCol="0"/>
  <cols>
    <col collapsed="false" customWidth="false" hidden="false" outlineLevel="0" max="39" min="1" style="1419" width="4.57"/>
    <col collapsed="false" customWidth="false" hidden="false" outlineLevel="0" max="40" min="40" style="1420" width="4.57"/>
    <col collapsed="false" customWidth="false" hidden="false" outlineLevel="0" max="1024" min="41" style="1419" width="4.57"/>
  </cols>
  <sheetData>
    <row r="1" customFormat="false" ht="15" hidden="false" customHeight="false" outlineLevel="0" collapsed="false">
      <c r="N1" s="1419" t="s">
        <v>466</v>
      </c>
      <c r="R1" s="1419" t="s">
        <v>5153</v>
      </c>
      <c r="V1" s="1419" t="s">
        <v>5154</v>
      </c>
      <c r="Z1" s="1419" t="s">
        <v>5155</v>
      </c>
      <c r="AD1" s="1419" t="s">
        <v>5156</v>
      </c>
      <c r="AH1" s="1419" t="s">
        <v>466</v>
      </c>
      <c r="AO1" s="1419" t="s">
        <v>4718</v>
      </c>
    </row>
    <row r="2" customFormat="false" ht="21.75" hidden="false" customHeight="true" outlineLevel="0" collapsed="false">
      <c r="M2" s="1421"/>
      <c r="N2" s="1422"/>
      <c r="O2" s="1423"/>
      <c r="P2" s="1423"/>
      <c r="Q2" s="1424"/>
      <c r="R2" s="1425" t="s">
        <v>2470</v>
      </c>
      <c r="S2" s="1425"/>
      <c r="T2" s="1425"/>
      <c r="U2" s="1425"/>
      <c r="V2" s="1425" t="s">
        <v>639</v>
      </c>
      <c r="W2" s="1425"/>
      <c r="X2" s="1425"/>
      <c r="Y2" s="1425"/>
      <c r="Z2" s="1425" t="s">
        <v>640</v>
      </c>
      <c r="AA2" s="1425"/>
      <c r="AB2" s="1425"/>
      <c r="AC2" s="1425"/>
      <c r="AD2" s="1425" t="s">
        <v>641</v>
      </c>
      <c r="AE2" s="1425"/>
      <c r="AF2" s="1425"/>
      <c r="AG2" s="1425"/>
      <c r="AH2" s="1425" t="s">
        <v>1464</v>
      </c>
      <c r="AI2" s="1425"/>
      <c r="AJ2" s="1425"/>
      <c r="AK2" s="1425"/>
      <c r="AL2" s="1426" t="s">
        <v>5157</v>
      </c>
      <c r="AM2" s="1426"/>
      <c r="AN2" s="1427" t="s">
        <v>4203</v>
      </c>
    </row>
    <row r="3" customFormat="false" ht="21.75" hidden="false" customHeight="true" outlineLevel="0" collapsed="false">
      <c r="M3" s="1428"/>
      <c r="N3" s="1429" t="s">
        <v>5158</v>
      </c>
      <c r="O3" s="1429"/>
      <c r="P3" s="1429"/>
      <c r="Q3" s="1429"/>
      <c r="R3" s="1430" t="s">
        <v>1341</v>
      </c>
      <c r="S3" s="1430"/>
      <c r="T3" s="1430"/>
      <c r="U3" s="1430"/>
      <c r="V3" s="1430"/>
      <c r="W3" s="1430"/>
      <c r="X3" s="1430"/>
      <c r="Y3" s="1430"/>
      <c r="Z3" s="1430"/>
      <c r="AA3" s="1431" t="s">
        <v>4806</v>
      </c>
      <c r="AB3" s="1431"/>
      <c r="AC3" s="1431"/>
      <c r="AD3" s="1431"/>
      <c r="AE3" s="1431"/>
      <c r="AF3" s="1431"/>
      <c r="AG3" s="1431"/>
      <c r="AH3" s="1431"/>
      <c r="AI3" s="1431"/>
      <c r="AJ3" s="1432" t="s">
        <v>5159</v>
      </c>
      <c r="AK3" s="1432"/>
      <c r="AL3" s="1432"/>
      <c r="AM3" s="1432"/>
      <c r="AN3" s="1433" t="s">
        <v>2247</v>
      </c>
    </row>
    <row r="4" customFormat="false" ht="21.75" hidden="false" customHeight="true" outlineLevel="0" collapsed="false">
      <c r="M4" s="1428"/>
      <c r="N4" s="1429"/>
      <c r="O4" s="1429"/>
      <c r="P4" s="1429"/>
      <c r="Q4" s="1429"/>
      <c r="R4" s="1430"/>
      <c r="S4" s="1430"/>
      <c r="T4" s="1430"/>
      <c r="U4" s="1430"/>
      <c r="V4" s="1430"/>
      <c r="W4" s="1430"/>
      <c r="X4" s="1430"/>
      <c r="Y4" s="1430"/>
      <c r="Z4" s="1430"/>
      <c r="AA4" s="1431"/>
      <c r="AB4" s="1431"/>
      <c r="AC4" s="1431"/>
      <c r="AD4" s="1431"/>
      <c r="AE4" s="1431"/>
      <c r="AF4" s="1431"/>
      <c r="AG4" s="1431"/>
      <c r="AH4" s="1431"/>
      <c r="AI4" s="1431"/>
      <c r="AJ4" s="1432"/>
      <c r="AK4" s="1432"/>
      <c r="AL4" s="1432"/>
      <c r="AM4" s="1432"/>
      <c r="AN4" s="1434" t="s">
        <v>643</v>
      </c>
      <c r="AO4" s="1419" t="s">
        <v>5155</v>
      </c>
    </row>
    <row r="5" customFormat="false" ht="21.75" hidden="false" customHeight="true" outlineLevel="0" collapsed="false">
      <c r="L5" s="1419" t="s">
        <v>5156</v>
      </c>
      <c r="M5" s="1435"/>
      <c r="N5" s="1429"/>
      <c r="O5" s="1429"/>
      <c r="P5" s="1429"/>
      <c r="Q5" s="1429"/>
      <c r="R5" s="1430"/>
      <c r="S5" s="1430"/>
      <c r="T5" s="1430"/>
      <c r="U5" s="1430"/>
      <c r="V5" s="1430"/>
      <c r="W5" s="1430"/>
      <c r="X5" s="1430"/>
      <c r="Y5" s="1430"/>
      <c r="Z5" s="1430"/>
      <c r="AA5" s="1431"/>
      <c r="AB5" s="1431"/>
      <c r="AC5" s="1431"/>
      <c r="AD5" s="1431"/>
      <c r="AE5" s="1431"/>
      <c r="AF5" s="1431"/>
      <c r="AG5" s="1431"/>
      <c r="AH5" s="1431"/>
      <c r="AI5" s="1431"/>
      <c r="AJ5" s="1432"/>
      <c r="AK5" s="1432"/>
      <c r="AL5" s="1432"/>
      <c r="AM5" s="1432"/>
      <c r="AN5" s="1434"/>
    </row>
    <row r="6" customFormat="false" ht="21.75" hidden="false" customHeight="true" outlineLevel="0" collapsed="false">
      <c r="M6" s="1421"/>
      <c r="N6" s="1429"/>
      <c r="O6" s="1429"/>
      <c r="P6" s="1429"/>
      <c r="Q6" s="1429"/>
      <c r="R6" s="1430"/>
      <c r="S6" s="1430"/>
      <c r="T6" s="1430"/>
      <c r="U6" s="1430"/>
      <c r="V6" s="1430"/>
      <c r="W6" s="1430"/>
      <c r="X6" s="1430"/>
      <c r="Y6" s="1430"/>
      <c r="Z6" s="1430"/>
      <c r="AA6" s="1431"/>
      <c r="AB6" s="1431"/>
      <c r="AC6" s="1431"/>
      <c r="AD6" s="1431"/>
      <c r="AE6" s="1431"/>
      <c r="AF6" s="1431"/>
      <c r="AG6" s="1431"/>
      <c r="AH6" s="1431"/>
      <c r="AI6" s="1431"/>
      <c r="AJ6" s="1432"/>
      <c r="AK6" s="1432"/>
      <c r="AL6" s="1432"/>
      <c r="AM6" s="1432"/>
      <c r="AN6" s="1434"/>
    </row>
    <row r="7" customFormat="false" ht="21.75" hidden="false" customHeight="true" outlineLevel="0" collapsed="false">
      <c r="M7" s="1428"/>
      <c r="N7" s="1436" t="s">
        <v>5160</v>
      </c>
      <c r="O7" s="1436"/>
      <c r="P7" s="1436"/>
      <c r="Q7" s="1436"/>
      <c r="R7" s="1437"/>
      <c r="S7" s="1437"/>
      <c r="T7" s="1437"/>
      <c r="U7" s="1437"/>
      <c r="V7" s="1437"/>
      <c r="W7" s="1437"/>
      <c r="X7" s="1437"/>
      <c r="Y7" s="1437"/>
      <c r="Z7" s="1437"/>
      <c r="AA7" s="1437"/>
      <c r="AB7" s="1437"/>
      <c r="AC7" s="1437"/>
      <c r="AD7" s="1437"/>
      <c r="AE7" s="1437"/>
      <c r="AF7" s="1437"/>
      <c r="AG7" s="1437"/>
      <c r="AH7" s="1437"/>
      <c r="AI7" s="1437"/>
      <c r="AJ7" s="1436" t="s">
        <v>5161</v>
      </c>
      <c r="AK7" s="1436"/>
      <c r="AL7" s="1436"/>
      <c r="AM7" s="1436"/>
      <c r="AN7" s="1434"/>
    </row>
    <row r="8" customFormat="false" ht="21.75" hidden="false" customHeight="true" outlineLevel="0" collapsed="false">
      <c r="M8" s="1428"/>
      <c r="N8" s="1436"/>
      <c r="O8" s="1436"/>
      <c r="P8" s="1436"/>
      <c r="Q8" s="1436"/>
      <c r="R8" s="1437"/>
      <c r="S8" s="1437"/>
      <c r="T8" s="1437"/>
      <c r="U8" s="1437"/>
      <c r="V8" s="1437"/>
      <c r="W8" s="1437"/>
      <c r="X8" s="1437"/>
      <c r="Y8" s="1437"/>
      <c r="Z8" s="1437"/>
      <c r="AA8" s="1437"/>
      <c r="AB8" s="1437"/>
      <c r="AC8" s="1437"/>
      <c r="AD8" s="1437"/>
      <c r="AE8" s="1437"/>
      <c r="AF8" s="1437"/>
      <c r="AG8" s="1437"/>
      <c r="AH8" s="1437"/>
      <c r="AI8" s="1437"/>
      <c r="AJ8" s="1436"/>
      <c r="AK8" s="1436"/>
      <c r="AL8" s="1436"/>
      <c r="AM8" s="1436"/>
      <c r="AN8" s="1434" t="s">
        <v>566</v>
      </c>
      <c r="AO8" s="1419" t="s">
        <v>5154</v>
      </c>
    </row>
    <row r="9" customFormat="false" ht="21.75" hidden="false" customHeight="true" outlineLevel="0" collapsed="false">
      <c r="L9" s="1419" t="s">
        <v>5155</v>
      </c>
      <c r="M9" s="1435"/>
      <c r="N9" s="1436"/>
      <c r="O9" s="1436"/>
      <c r="P9" s="1436"/>
      <c r="Q9" s="1436"/>
      <c r="R9" s="1437"/>
      <c r="S9" s="1437"/>
      <c r="T9" s="1437"/>
      <c r="U9" s="1437"/>
      <c r="V9" s="1437"/>
      <c r="W9" s="1437"/>
      <c r="X9" s="1437"/>
      <c r="Y9" s="1437"/>
      <c r="Z9" s="1437"/>
      <c r="AA9" s="1437"/>
      <c r="AB9" s="1437"/>
      <c r="AC9" s="1437"/>
      <c r="AD9" s="1437"/>
      <c r="AE9" s="1437"/>
      <c r="AF9" s="1437"/>
      <c r="AG9" s="1437"/>
      <c r="AH9" s="1437"/>
      <c r="AI9" s="1437"/>
      <c r="AJ9" s="1436"/>
      <c r="AK9" s="1436"/>
      <c r="AL9" s="1436"/>
      <c r="AM9" s="1436"/>
      <c r="AN9" s="1434"/>
    </row>
    <row r="10" customFormat="false" ht="21.75" hidden="false" customHeight="true" outlineLevel="0" collapsed="false">
      <c r="M10" s="1421"/>
      <c r="N10" s="1436"/>
      <c r="O10" s="1436"/>
      <c r="P10" s="1436"/>
      <c r="Q10" s="1436"/>
      <c r="R10" s="1437"/>
      <c r="S10" s="1437"/>
      <c r="T10" s="1437"/>
      <c r="U10" s="1437"/>
      <c r="V10" s="1437"/>
      <c r="W10" s="1437"/>
      <c r="X10" s="1437"/>
      <c r="Y10" s="1437"/>
      <c r="Z10" s="1437"/>
      <c r="AA10" s="1437"/>
      <c r="AB10" s="1437"/>
      <c r="AC10" s="1437"/>
      <c r="AD10" s="1437"/>
      <c r="AE10" s="1437"/>
      <c r="AF10" s="1437"/>
      <c r="AG10" s="1437"/>
      <c r="AH10" s="1437"/>
      <c r="AI10" s="1437"/>
      <c r="AJ10" s="1436"/>
      <c r="AK10" s="1436"/>
      <c r="AL10" s="1436"/>
      <c r="AM10" s="1436"/>
      <c r="AN10" s="1434"/>
    </row>
    <row r="11" customFormat="false" ht="21.75" hidden="false" customHeight="true" outlineLevel="0" collapsed="false">
      <c r="M11" s="1428"/>
      <c r="N11" s="1436"/>
      <c r="O11" s="1436"/>
      <c r="P11" s="1436"/>
      <c r="Q11" s="1436"/>
      <c r="R11" s="1437"/>
      <c r="S11" s="1437"/>
      <c r="T11" s="1437"/>
      <c r="U11" s="1437"/>
      <c r="V11" s="1437"/>
      <c r="W11" s="1437"/>
      <c r="X11" s="1437"/>
      <c r="Y11" s="1437"/>
      <c r="Z11" s="1437"/>
      <c r="AA11" s="1437"/>
      <c r="AB11" s="1437"/>
      <c r="AC11" s="1437"/>
      <c r="AD11" s="1437"/>
      <c r="AE11" s="1437"/>
      <c r="AF11" s="1437"/>
      <c r="AG11" s="1437"/>
      <c r="AH11" s="1437"/>
      <c r="AI11" s="1437"/>
      <c r="AJ11" s="1436"/>
      <c r="AK11" s="1436"/>
      <c r="AL11" s="1436"/>
      <c r="AM11" s="1436"/>
      <c r="AN11" s="1434"/>
    </row>
    <row r="12" customFormat="false" ht="21.75" hidden="false" customHeight="true" outlineLevel="0" collapsed="false">
      <c r="M12" s="1428"/>
      <c r="N12" s="1436"/>
      <c r="O12" s="1436"/>
      <c r="P12" s="1436"/>
      <c r="Q12" s="1436"/>
      <c r="R12" s="1437"/>
      <c r="S12" s="1437"/>
      <c r="T12" s="1437"/>
      <c r="U12" s="1437"/>
      <c r="V12" s="1437"/>
      <c r="W12" s="1437"/>
      <c r="X12" s="1437"/>
      <c r="Y12" s="1437"/>
      <c r="Z12" s="1437"/>
      <c r="AA12" s="1437"/>
      <c r="AB12" s="1437"/>
      <c r="AC12" s="1437"/>
      <c r="AD12" s="1437"/>
      <c r="AE12" s="1437"/>
      <c r="AF12" s="1437"/>
      <c r="AG12" s="1437"/>
      <c r="AH12" s="1437"/>
      <c r="AI12" s="1437"/>
      <c r="AJ12" s="1436"/>
      <c r="AK12" s="1436"/>
      <c r="AL12" s="1436"/>
      <c r="AM12" s="1436"/>
      <c r="AN12" s="1434" t="s">
        <v>644</v>
      </c>
      <c r="AO12" s="1419" t="s">
        <v>5153</v>
      </c>
    </row>
    <row r="13" customFormat="false" ht="21.75" hidden="false" customHeight="true" outlineLevel="0" collapsed="false">
      <c r="L13" s="1419" t="s">
        <v>5154</v>
      </c>
      <c r="M13" s="1435"/>
      <c r="N13" s="1436"/>
      <c r="O13" s="1436"/>
      <c r="P13" s="1436"/>
      <c r="Q13" s="1436"/>
      <c r="R13" s="1437"/>
      <c r="S13" s="1437"/>
      <c r="T13" s="1437"/>
      <c r="U13" s="1437"/>
      <c r="V13" s="1437"/>
      <c r="W13" s="1437"/>
      <c r="X13" s="1437"/>
      <c r="Y13" s="1437"/>
      <c r="Z13" s="1437"/>
      <c r="AA13" s="1437"/>
      <c r="AB13" s="1437"/>
      <c r="AC13" s="1437"/>
      <c r="AD13" s="1437"/>
      <c r="AE13" s="1437"/>
      <c r="AF13" s="1437"/>
      <c r="AG13" s="1437"/>
      <c r="AH13" s="1437"/>
      <c r="AI13" s="1437"/>
      <c r="AJ13" s="1436"/>
      <c r="AK13" s="1436"/>
      <c r="AL13" s="1436"/>
      <c r="AM13" s="1436"/>
      <c r="AN13" s="1434"/>
    </row>
    <row r="14" customFormat="false" ht="21.75" hidden="false" customHeight="true" outlineLevel="0" collapsed="false">
      <c r="M14" s="1421"/>
      <c r="N14" s="1436"/>
      <c r="O14" s="1436"/>
      <c r="P14" s="1436"/>
      <c r="Q14" s="1436"/>
      <c r="R14" s="1437"/>
      <c r="S14" s="1437"/>
      <c r="T14" s="1437"/>
      <c r="U14" s="1437"/>
      <c r="V14" s="1437"/>
      <c r="W14" s="1437"/>
      <c r="X14" s="1437"/>
      <c r="Y14" s="1437"/>
      <c r="Z14" s="1437"/>
      <c r="AA14" s="1437"/>
      <c r="AB14" s="1437"/>
      <c r="AC14" s="1437"/>
      <c r="AD14" s="1437"/>
      <c r="AE14" s="1437"/>
      <c r="AF14" s="1437"/>
      <c r="AG14" s="1437"/>
      <c r="AH14" s="1437"/>
      <c r="AI14" s="1437"/>
      <c r="AJ14" s="1436"/>
      <c r="AK14" s="1436"/>
      <c r="AL14" s="1436"/>
      <c r="AM14" s="1436"/>
      <c r="AN14" s="1434"/>
    </row>
    <row r="15" customFormat="false" ht="21.75" hidden="false" customHeight="true" outlineLevel="0" collapsed="false">
      <c r="M15" s="1428"/>
      <c r="N15" s="1436"/>
      <c r="O15" s="1436"/>
      <c r="P15" s="1436"/>
      <c r="Q15" s="1436"/>
      <c r="R15" s="1437"/>
      <c r="S15" s="1437"/>
      <c r="T15" s="1437"/>
      <c r="U15" s="1437"/>
      <c r="V15" s="1437"/>
      <c r="W15" s="1437"/>
      <c r="X15" s="1437"/>
      <c r="Y15" s="1437"/>
      <c r="Z15" s="1437"/>
      <c r="AA15" s="1437"/>
      <c r="AB15" s="1437"/>
      <c r="AC15" s="1437"/>
      <c r="AD15" s="1437"/>
      <c r="AE15" s="1437"/>
      <c r="AF15" s="1437"/>
      <c r="AG15" s="1437"/>
      <c r="AH15" s="1437"/>
      <c r="AI15" s="1437"/>
      <c r="AJ15" s="1436"/>
      <c r="AK15" s="1436"/>
      <c r="AL15" s="1436"/>
      <c r="AM15" s="1436"/>
      <c r="AN15" s="1434"/>
    </row>
    <row r="16" customFormat="false" ht="21.75" hidden="false" customHeight="true" outlineLevel="0" collapsed="false">
      <c r="M16" s="1428"/>
      <c r="N16" s="1436" t="s">
        <v>5162</v>
      </c>
      <c r="O16" s="1436"/>
      <c r="P16" s="1436"/>
      <c r="Q16" s="1436"/>
      <c r="R16" s="1437"/>
      <c r="S16" s="1437"/>
      <c r="T16" s="1437"/>
      <c r="U16" s="1437"/>
      <c r="V16" s="1437"/>
      <c r="W16" s="1437"/>
      <c r="X16" s="1437"/>
      <c r="Y16" s="1437"/>
      <c r="Z16" s="1437"/>
      <c r="AA16" s="1437"/>
      <c r="AB16" s="1437"/>
      <c r="AC16" s="1437"/>
      <c r="AD16" s="1437"/>
      <c r="AE16" s="1437"/>
      <c r="AF16" s="1437"/>
      <c r="AG16" s="1437"/>
      <c r="AH16" s="1437"/>
      <c r="AI16" s="1437"/>
      <c r="AJ16" s="1436" t="s">
        <v>5163</v>
      </c>
      <c r="AK16" s="1436"/>
      <c r="AL16" s="1436"/>
      <c r="AM16" s="1436"/>
      <c r="AN16" s="1434"/>
      <c r="AO16" s="1419" t="s">
        <v>466</v>
      </c>
    </row>
    <row r="17" customFormat="false" ht="21.75" hidden="false" customHeight="true" outlineLevel="0" collapsed="false">
      <c r="L17" s="1419" t="s">
        <v>5153</v>
      </c>
      <c r="M17" s="1435"/>
      <c r="N17" s="1436"/>
      <c r="O17" s="1436"/>
      <c r="P17" s="1436"/>
      <c r="Q17" s="1436"/>
      <c r="R17" s="1437"/>
      <c r="S17" s="1437"/>
      <c r="T17" s="1437"/>
      <c r="U17" s="1437"/>
      <c r="V17" s="1437"/>
      <c r="W17" s="1437"/>
      <c r="X17" s="1437"/>
      <c r="Y17" s="1437"/>
      <c r="Z17" s="1437"/>
      <c r="AA17" s="1437"/>
      <c r="AB17" s="1437"/>
      <c r="AC17" s="1437"/>
      <c r="AD17" s="1437"/>
      <c r="AE17" s="1437"/>
      <c r="AF17" s="1437"/>
      <c r="AG17" s="1437"/>
      <c r="AH17" s="1437"/>
      <c r="AI17" s="1437"/>
      <c r="AJ17" s="1436"/>
      <c r="AK17" s="1436"/>
      <c r="AL17" s="1436"/>
      <c r="AM17" s="1436"/>
      <c r="AN17" s="1434"/>
    </row>
    <row r="18" customFormat="false" ht="21.75" hidden="false" customHeight="true" outlineLevel="0" collapsed="false">
      <c r="M18" s="1421"/>
      <c r="N18" s="1436"/>
      <c r="O18" s="1436"/>
      <c r="P18" s="1436"/>
      <c r="Q18" s="1436"/>
      <c r="R18" s="1437"/>
      <c r="S18" s="1437"/>
      <c r="T18" s="1437"/>
      <c r="U18" s="1437"/>
      <c r="V18" s="1437"/>
      <c r="W18" s="1437"/>
      <c r="X18" s="1437"/>
      <c r="Y18" s="1437"/>
      <c r="Z18" s="1437"/>
      <c r="AA18" s="1437"/>
      <c r="AB18" s="1437"/>
      <c r="AC18" s="1437"/>
      <c r="AD18" s="1437"/>
      <c r="AE18" s="1437"/>
      <c r="AF18" s="1437"/>
      <c r="AG18" s="1437"/>
      <c r="AH18" s="1437"/>
      <c r="AI18" s="1437"/>
      <c r="AJ18" s="1436"/>
      <c r="AK18" s="1436"/>
      <c r="AL18" s="1436"/>
      <c r="AM18" s="1436"/>
      <c r="AN18" s="1434"/>
    </row>
    <row r="19" customFormat="false" ht="21.75" hidden="false" customHeight="true" outlineLevel="0" collapsed="false">
      <c r="M19" s="1428"/>
      <c r="N19" s="1436"/>
      <c r="O19" s="1436"/>
      <c r="P19" s="1436"/>
      <c r="Q19" s="1436"/>
      <c r="R19" s="1437"/>
      <c r="S19" s="1437"/>
      <c r="T19" s="1437"/>
      <c r="U19" s="1437"/>
      <c r="V19" s="1437"/>
      <c r="W19" s="1437"/>
      <c r="X19" s="1437"/>
      <c r="Y19" s="1437"/>
      <c r="Z19" s="1437"/>
      <c r="AA19" s="1437"/>
      <c r="AB19" s="1437"/>
      <c r="AC19" s="1437"/>
      <c r="AD19" s="1437"/>
      <c r="AE19" s="1437"/>
      <c r="AF19" s="1437"/>
      <c r="AG19" s="1437"/>
      <c r="AH19" s="1437"/>
      <c r="AI19" s="1437"/>
      <c r="AJ19" s="1436"/>
      <c r="AK19" s="1436"/>
      <c r="AL19" s="1436"/>
      <c r="AM19" s="1436"/>
      <c r="AN19" s="1434"/>
    </row>
    <row r="20" customFormat="false" ht="21.75" hidden="false" customHeight="true" outlineLevel="0" collapsed="false">
      <c r="L20" s="1419" t="s">
        <v>4718</v>
      </c>
      <c r="M20" s="1428"/>
      <c r="N20" s="1436"/>
      <c r="O20" s="1436"/>
      <c r="P20" s="1436"/>
      <c r="Q20" s="1436"/>
      <c r="R20" s="1437"/>
      <c r="S20" s="1437"/>
      <c r="T20" s="1437"/>
      <c r="U20" s="1437"/>
      <c r="V20" s="1437"/>
      <c r="W20" s="1437"/>
      <c r="X20" s="1437"/>
      <c r="Y20" s="1437"/>
      <c r="Z20" s="1437"/>
      <c r="AA20" s="1437"/>
      <c r="AB20" s="1437"/>
      <c r="AC20" s="1437"/>
      <c r="AD20" s="1437"/>
      <c r="AE20" s="1437"/>
      <c r="AF20" s="1437"/>
      <c r="AG20" s="1437"/>
      <c r="AH20" s="1437"/>
      <c r="AI20" s="1437"/>
      <c r="AJ20" s="1436"/>
      <c r="AK20" s="1436"/>
      <c r="AL20" s="1436"/>
      <c r="AM20" s="1436"/>
      <c r="AN20" s="1438"/>
      <c r="AO20" s="1419" t="s">
        <v>5156</v>
      </c>
    </row>
    <row r="21" customFormat="false" ht="21.75" hidden="false" customHeight="true" outlineLevel="0" collapsed="false">
      <c r="M21" s="1435"/>
      <c r="N21" s="1436"/>
      <c r="O21" s="1436"/>
      <c r="P21" s="1436"/>
      <c r="Q21" s="1436"/>
      <c r="R21" s="1437"/>
      <c r="S21" s="1437"/>
      <c r="T21" s="1437"/>
      <c r="U21" s="1437"/>
      <c r="V21" s="1437"/>
      <c r="W21" s="1437"/>
      <c r="X21" s="1437"/>
      <c r="Y21" s="1437"/>
      <c r="Z21" s="1437"/>
      <c r="AA21" s="1437"/>
      <c r="AB21" s="1437"/>
      <c r="AC21" s="1437"/>
      <c r="AD21" s="1437"/>
      <c r="AE21" s="1437"/>
      <c r="AF21" s="1437"/>
      <c r="AG21" s="1437"/>
      <c r="AH21" s="1437"/>
      <c r="AI21" s="1437"/>
      <c r="AJ21" s="1436"/>
      <c r="AK21" s="1436"/>
      <c r="AL21" s="1436"/>
      <c r="AM21" s="1436"/>
      <c r="AN21" s="1439"/>
    </row>
    <row r="22" customFormat="false" ht="21.75" hidden="false" customHeight="true" outlineLevel="0" collapsed="false">
      <c r="M22" s="1421"/>
      <c r="N22" s="1436"/>
      <c r="O22" s="1436"/>
      <c r="P22" s="1436"/>
      <c r="Q22" s="1436"/>
      <c r="R22" s="1437"/>
      <c r="S22" s="1437"/>
      <c r="T22" s="1437"/>
      <c r="U22" s="1437"/>
      <c r="V22" s="1437"/>
      <c r="W22" s="1437"/>
      <c r="X22" s="1437"/>
      <c r="Y22" s="1437"/>
      <c r="Z22" s="1437"/>
      <c r="AA22" s="1437"/>
      <c r="AB22" s="1437"/>
      <c r="AC22" s="1437"/>
      <c r="AD22" s="1437"/>
      <c r="AE22" s="1437"/>
      <c r="AF22" s="1437"/>
      <c r="AG22" s="1437"/>
      <c r="AH22" s="1437"/>
      <c r="AI22" s="1437"/>
      <c r="AJ22" s="1436"/>
      <c r="AK22" s="1436"/>
      <c r="AL22" s="1436"/>
      <c r="AM22" s="1436"/>
      <c r="AN22" s="1439"/>
    </row>
    <row r="23" customFormat="false" ht="21.75" hidden="false" customHeight="true" outlineLevel="0" collapsed="false">
      <c r="M23" s="1428"/>
      <c r="N23" s="1436"/>
      <c r="O23" s="1436"/>
      <c r="P23" s="1436"/>
      <c r="Q23" s="1436"/>
      <c r="R23" s="1437"/>
      <c r="S23" s="1437"/>
      <c r="T23" s="1437"/>
      <c r="U23" s="1437"/>
      <c r="V23" s="1437"/>
      <c r="W23" s="1437"/>
      <c r="X23" s="1437"/>
      <c r="Y23" s="1437"/>
      <c r="Z23" s="1437"/>
      <c r="AA23" s="1437"/>
      <c r="AB23" s="1437"/>
      <c r="AC23" s="1437"/>
      <c r="AD23" s="1437"/>
      <c r="AE23" s="1437"/>
      <c r="AF23" s="1437"/>
      <c r="AG23" s="1437"/>
      <c r="AH23" s="1437"/>
      <c r="AI23" s="1437"/>
      <c r="AJ23" s="1436"/>
      <c r="AK23" s="1436"/>
      <c r="AL23" s="1436"/>
      <c r="AM23" s="1436"/>
      <c r="AN23" s="1433"/>
    </row>
    <row r="24" customFormat="false" ht="21.75" hidden="false" customHeight="true" outlineLevel="0" collapsed="false">
      <c r="M24" s="1428"/>
      <c r="N24" s="1436"/>
      <c r="O24" s="1436"/>
      <c r="P24" s="1436"/>
      <c r="Q24" s="1436"/>
      <c r="R24" s="1437"/>
      <c r="S24" s="1437"/>
      <c r="T24" s="1437"/>
      <c r="U24" s="1437"/>
      <c r="V24" s="1437"/>
      <c r="W24" s="1437"/>
      <c r="X24" s="1437"/>
      <c r="Y24" s="1437"/>
      <c r="Z24" s="1437"/>
      <c r="AA24" s="1437"/>
      <c r="AB24" s="1437"/>
      <c r="AC24" s="1437"/>
      <c r="AD24" s="1437"/>
      <c r="AE24" s="1437"/>
      <c r="AF24" s="1437"/>
      <c r="AG24" s="1437"/>
      <c r="AH24" s="1437"/>
      <c r="AI24" s="1437"/>
      <c r="AJ24" s="1436"/>
      <c r="AK24" s="1436"/>
      <c r="AL24" s="1436"/>
      <c r="AM24" s="1436"/>
      <c r="AN24" s="1438"/>
      <c r="AO24" s="1419" t="s">
        <v>5154</v>
      </c>
    </row>
    <row r="25" customFormat="false" ht="21.75" hidden="false" customHeight="true" outlineLevel="0" collapsed="false">
      <c r="L25" s="1419" t="s">
        <v>5155</v>
      </c>
      <c r="M25" s="1435"/>
      <c r="N25" s="1440" t="s">
        <v>5164</v>
      </c>
      <c r="O25" s="1440"/>
      <c r="P25" s="1440"/>
      <c r="Q25" s="1440"/>
      <c r="R25" s="1441" t="s">
        <v>5165</v>
      </c>
      <c r="S25" s="1441"/>
      <c r="T25" s="1441"/>
      <c r="U25" s="1441"/>
      <c r="V25" s="1441"/>
      <c r="W25" s="1441"/>
      <c r="X25" s="1441"/>
      <c r="Y25" s="1441"/>
      <c r="Z25" s="1441"/>
      <c r="AA25" s="1441" t="s">
        <v>5166</v>
      </c>
      <c r="AB25" s="1441"/>
      <c r="AC25" s="1441"/>
      <c r="AD25" s="1441"/>
      <c r="AE25" s="1441"/>
      <c r="AF25" s="1441"/>
      <c r="AG25" s="1441"/>
      <c r="AH25" s="1441"/>
      <c r="AI25" s="1441"/>
      <c r="AJ25" s="1442" t="s">
        <v>5167</v>
      </c>
      <c r="AK25" s="1442"/>
      <c r="AL25" s="1442"/>
      <c r="AM25" s="1442"/>
      <c r="AN25" s="1439"/>
    </row>
    <row r="26" customFormat="false" ht="21.75" hidden="false" customHeight="true" outlineLevel="0" collapsed="false">
      <c r="M26" s="1421"/>
      <c r="N26" s="1440"/>
      <c r="O26" s="1440"/>
      <c r="P26" s="1440"/>
      <c r="Q26" s="1440"/>
      <c r="R26" s="1441"/>
      <c r="S26" s="1441"/>
      <c r="T26" s="1441"/>
      <c r="U26" s="1441"/>
      <c r="V26" s="1441"/>
      <c r="W26" s="1441"/>
      <c r="X26" s="1441"/>
      <c r="Y26" s="1441"/>
      <c r="Z26" s="1441"/>
      <c r="AA26" s="1441"/>
      <c r="AB26" s="1441"/>
      <c r="AC26" s="1441"/>
      <c r="AD26" s="1441"/>
      <c r="AE26" s="1441"/>
      <c r="AF26" s="1441"/>
      <c r="AG26" s="1441"/>
      <c r="AH26" s="1441"/>
      <c r="AI26" s="1441"/>
      <c r="AJ26" s="1442"/>
      <c r="AK26" s="1442"/>
      <c r="AL26" s="1442"/>
      <c r="AM26" s="1442"/>
      <c r="AN26" s="1439"/>
    </row>
    <row r="27" customFormat="false" ht="21.75" hidden="false" customHeight="true" outlineLevel="0" collapsed="false">
      <c r="M27" s="1428"/>
      <c r="N27" s="1440"/>
      <c r="O27" s="1440"/>
      <c r="P27" s="1440"/>
      <c r="Q27" s="1440"/>
      <c r="R27" s="1441"/>
      <c r="S27" s="1441"/>
      <c r="T27" s="1441"/>
      <c r="U27" s="1441"/>
      <c r="V27" s="1441"/>
      <c r="W27" s="1441"/>
      <c r="X27" s="1441"/>
      <c r="Y27" s="1441"/>
      <c r="Z27" s="1441"/>
      <c r="AA27" s="1441"/>
      <c r="AB27" s="1441"/>
      <c r="AC27" s="1441"/>
      <c r="AD27" s="1441"/>
      <c r="AE27" s="1441"/>
      <c r="AF27" s="1441"/>
      <c r="AG27" s="1441"/>
      <c r="AH27" s="1441"/>
      <c r="AI27" s="1441"/>
      <c r="AJ27" s="1442"/>
      <c r="AK27" s="1442"/>
      <c r="AL27" s="1442"/>
      <c r="AM27" s="1442"/>
      <c r="AN27" s="1433"/>
    </row>
    <row r="28" customFormat="false" ht="21.75" hidden="false" customHeight="true" outlineLevel="0" collapsed="false">
      <c r="M28" s="1428"/>
      <c r="N28" s="1440"/>
      <c r="O28" s="1440"/>
      <c r="P28" s="1440"/>
      <c r="Q28" s="1440"/>
      <c r="R28" s="1441"/>
      <c r="S28" s="1441"/>
      <c r="T28" s="1441"/>
      <c r="U28" s="1441"/>
      <c r="V28" s="1441"/>
      <c r="W28" s="1441"/>
      <c r="X28" s="1441"/>
      <c r="Y28" s="1441"/>
      <c r="Z28" s="1441"/>
      <c r="AA28" s="1441"/>
      <c r="AB28" s="1441"/>
      <c r="AC28" s="1441"/>
      <c r="AD28" s="1441"/>
      <c r="AE28" s="1441"/>
      <c r="AF28" s="1441"/>
      <c r="AG28" s="1441"/>
      <c r="AH28" s="1441"/>
      <c r="AI28" s="1441"/>
      <c r="AJ28" s="1442"/>
      <c r="AK28" s="1442"/>
      <c r="AL28" s="1442"/>
      <c r="AM28" s="1442"/>
      <c r="AN28" s="1438"/>
    </row>
    <row r="29" customFormat="false" ht="21.75" hidden="false" customHeight="true" outlineLevel="0" collapsed="false">
      <c r="L29" s="1419" t="s">
        <v>5154</v>
      </c>
      <c r="M29" s="1435"/>
      <c r="N29" s="1423"/>
      <c r="O29" s="1423"/>
      <c r="P29" s="1423"/>
      <c r="Q29" s="1424"/>
      <c r="R29" s="1422"/>
      <c r="S29" s="1423"/>
      <c r="T29" s="1423"/>
      <c r="U29" s="1424"/>
      <c r="V29" s="1422"/>
      <c r="W29" s="1423"/>
      <c r="X29" s="1423"/>
      <c r="Y29" s="1424"/>
      <c r="Z29" s="1422"/>
      <c r="AA29" s="1423"/>
      <c r="AB29" s="1423"/>
      <c r="AC29" s="1424"/>
      <c r="AD29" s="1422"/>
      <c r="AE29" s="1423"/>
      <c r="AF29" s="1423"/>
      <c r="AG29" s="1424"/>
      <c r="AH29" s="1422"/>
      <c r="AI29" s="1423"/>
      <c r="AJ29" s="1423"/>
      <c r="AK29" s="1424"/>
      <c r="AL29" s="1422"/>
      <c r="AM29" s="1423"/>
      <c r="AN29" s="1443"/>
    </row>
    <row r="30" customFormat="false" ht="15" hidden="false" customHeight="false" outlineLevel="0" collapsed="false">
      <c r="Q30" s="1419" t="s">
        <v>5153</v>
      </c>
      <c r="U30" s="1419" t="s">
        <v>466</v>
      </c>
      <c r="Y30" s="1419" t="s">
        <v>5156</v>
      </c>
      <c r="AC30" s="1419" t="s">
        <v>5153</v>
      </c>
      <c r="AG30" s="1419" t="s">
        <v>466</v>
      </c>
      <c r="AK30" s="1419" t="s">
        <v>5156</v>
      </c>
      <c r="AO30" s="1419" t="s">
        <v>5155</v>
      </c>
    </row>
  </sheetData>
  <mergeCells count="23">
    <mergeCell ref="R2:U2"/>
    <mergeCell ref="V2:Y2"/>
    <mergeCell ref="Z2:AC2"/>
    <mergeCell ref="AD2:AG2"/>
    <mergeCell ref="AH2:AK2"/>
    <mergeCell ref="AL2:AM2"/>
    <mergeCell ref="N3:Q6"/>
    <mergeCell ref="R3:Z6"/>
    <mergeCell ref="AA3:AI6"/>
    <mergeCell ref="AJ3:AM6"/>
    <mergeCell ref="AN4:AN7"/>
    <mergeCell ref="N7:Q15"/>
    <mergeCell ref="R7:AI24"/>
    <mergeCell ref="AJ7:AM15"/>
    <mergeCell ref="AN8:AN11"/>
    <mergeCell ref="AN12:AN15"/>
    <mergeCell ref="N16:Q24"/>
    <mergeCell ref="AJ16:AM24"/>
    <mergeCell ref="AN16:AN19"/>
    <mergeCell ref="N25:Q28"/>
    <mergeCell ref="R25:Z28"/>
    <mergeCell ref="AA25:AI28"/>
    <mergeCell ref="AJ25:AM2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7714</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2000-07-28T15:28:39Z</dcterms:created>
  <dc:creator>sprabhak</dc:creator>
  <dc:description/>
  <dc:language>en-IN</dc:language>
  <cp:lastModifiedBy/>
  <cp:lastPrinted>2018-12-10T16:45:18Z</cp:lastPrinted>
  <dcterms:modified xsi:type="dcterms:W3CDTF">2025-10-21T11:04:49Z</dcterms:modified>
  <cp:revision>955</cp:revision>
  <dc:subject/>
  <dc:title>Jyotish Work Sheet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